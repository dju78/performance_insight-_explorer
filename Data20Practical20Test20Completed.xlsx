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320124d274fb480/Desktop/performance analysis/"/>
    </mc:Choice>
  </mc:AlternateContent>
  <xr:revisionPtr revIDLastSave="2" documentId="11_2DA6F58195ED1EE446F92E697061AB77645C93F9" xr6:coauthVersionLast="47" xr6:coauthVersionMax="47" xr10:uidLastSave="{3E8AEC62-7885-446D-9A3D-3FB2C1819371}"/>
  <bookViews>
    <workbookView xWindow="-120" yWindow="-120" windowWidth="29040" windowHeight="15720" activeTab="3" xr2:uid="{00000000-000D-0000-FFFF-FFFF00000000}"/>
  </bookViews>
  <sheets>
    <sheet name="Questions" sheetId="7" r:id="rId1"/>
    <sheet name="Users" sheetId="1" r:id="rId2"/>
    <sheet name="Performance Data" sheetId="6" r:id="rId3"/>
    <sheet name="Summary"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40" i="6" l="1"/>
  <c r="I2540" i="6"/>
  <c r="H2540" i="6"/>
  <c r="G2540" i="6"/>
  <c r="F2540" i="6"/>
  <c r="H2539" i="6"/>
  <c r="G2539" i="6"/>
  <c r="I2539" i="6" s="1"/>
  <c r="F2539" i="6"/>
  <c r="H2538" i="6"/>
  <c r="G2538" i="6"/>
  <c r="F2538" i="6"/>
  <c r="I2537" i="6"/>
  <c r="H2537" i="6"/>
  <c r="G2537" i="6"/>
  <c r="J2537" i="6" s="1"/>
  <c r="F2537" i="6"/>
  <c r="J2536" i="6"/>
  <c r="I2536" i="6"/>
  <c r="H2536" i="6"/>
  <c r="G2536" i="6"/>
  <c r="F2536" i="6"/>
  <c r="H2535" i="6"/>
  <c r="G2535" i="6"/>
  <c r="F2535" i="6"/>
  <c r="H2534" i="6"/>
  <c r="G2534" i="6"/>
  <c r="J2534" i="6" s="1"/>
  <c r="F2534" i="6"/>
  <c r="H2533" i="6"/>
  <c r="I2533" i="6" s="1"/>
  <c r="G2533" i="6"/>
  <c r="J2533" i="6" s="1"/>
  <c r="F2533" i="6"/>
  <c r="J2532" i="6"/>
  <c r="I2532" i="6"/>
  <c r="H2532" i="6"/>
  <c r="G2532" i="6"/>
  <c r="F2532" i="6"/>
  <c r="H2531" i="6"/>
  <c r="G2531" i="6"/>
  <c r="I2531" i="6" s="1"/>
  <c r="F2531" i="6"/>
  <c r="H2530" i="6"/>
  <c r="G2530" i="6"/>
  <c r="F2530" i="6"/>
  <c r="I2529" i="6"/>
  <c r="H2529" i="6"/>
  <c r="G2529" i="6"/>
  <c r="J2529" i="6" s="1"/>
  <c r="F2529" i="6"/>
  <c r="J2528" i="6"/>
  <c r="I2528" i="6"/>
  <c r="H2528" i="6"/>
  <c r="G2528" i="6"/>
  <c r="F2528" i="6"/>
  <c r="H2527" i="6"/>
  <c r="G2527" i="6"/>
  <c r="F2527" i="6"/>
  <c r="H2526" i="6"/>
  <c r="G2526" i="6"/>
  <c r="J2526" i="6" s="1"/>
  <c r="F2526" i="6"/>
  <c r="H2525" i="6"/>
  <c r="I2525" i="6" s="1"/>
  <c r="G2525" i="6"/>
  <c r="J2525" i="6" s="1"/>
  <c r="F2525" i="6"/>
  <c r="J2524" i="6"/>
  <c r="I2524" i="6"/>
  <c r="H2524" i="6"/>
  <c r="G2524" i="6"/>
  <c r="F2524" i="6"/>
  <c r="H2523" i="6"/>
  <c r="G2523" i="6"/>
  <c r="I2523" i="6" s="1"/>
  <c r="F2523" i="6"/>
  <c r="H2522" i="6"/>
  <c r="G2522" i="6"/>
  <c r="F2522" i="6"/>
  <c r="I2521" i="6"/>
  <c r="H2521" i="6"/>
  <c r="G2521" i="6"/>
  <c r="J2521" i="6" s="1"/>
  <c r="F2521" i="6"/>
  <c r="J2520" i="6"/>
  <c r="I2520" i="6"/>
  <c r="H2520" i="6"/>
  <c r="G2520" i="6"/>
  <c r="F2520" i="6"/>
  <c r="H2519" i="6"/>
  <c r="G2519" i="6"/>
  <c r="F2519" i="6"/>
  <c r="H2518" i="6"/>
  <c r="G2518" i="6"/>
  <c r="F2518" i="6"/>
  <c r="I2517" i="6"/>
  <c r="H2517" i="6"/>
  <c r="G2517" i="6"/>
  <c r="J2517" i="6" s="1"/>
  <c r="F2517" i="6"/>
  <c r="I2516" i="6"/>
  <c r="H2516" i="6"/>
  <c r="G2516" i="6"/>
  <c r="F2516" i="6"/>
  <c r="J2516" i="6" s="1"/>
  <c r="H2515" i="6"/>
  <c r="G2515" i="6"/>
  <c r="I2515" i="6" s="1"/>
  <c r="F2515" i="6"/>
  <c r="H2514" i="6"/>
  <c r="G2514" i="6"/>
  <c r="F2514" i="6"/>
  <c r="I2513" i="6"/>
  <c r="H2513" i="6"/>
  <c r="G2513" i="6"/>
  <c r="J2513" i="6" s="1"/>
  <c r="F2513" i="6"/>
  <c r="I2512" i="6"/>
  <c r="H2512" i="6"/>
  <c r="G2512" i="6"/>
  <c r="F2512" i="6"/>
  <c r="J2512" i="6" s="1"/>
  <c r="H2511" i="6"/>
  <c r="G2511" i="6"/>
  <c r="F2511" i="6"/>
  <c r="H2510" i="6"/>
  <c r="G2510" i="6"/>
  <c r="J2510" i="6" s="1"/>
  <c r="F2510" i="6"/>
  <c r="H2509" i="6"/>
  <c r="I2509" i="6" s="1"/>
  <c r="G2509" i="6"/>
  <c r="F2509" i="6"/>
  <c r="I2508" i="6"/>
  <c r="H2508" i="6"/>
  <c r="G2508" i="6"/>
  <c r="F2508" i="6"/>
  <c r="J2508" i="6" s="1"/>
  <c r="J2507" i="6"/>
  <c r="H2507" i="6"/>
  <c r="G2507" i="6"/>
  <c r="I2507" i="6" s="1"/>
  <c r="F2507" i="6"/>
  <c r="H2506" i="6"/>
  <c r="G2506" i="6"/>
  <c r="F2506" i="6"/>
  <c r="I2505" i="6"/>
  <c r="H2505" i="6"/>
  <c r="G2505" i="6"/>
  <c r="J2505" i="6" s="1"/>
  <c r="F2505" i="6"/>
  <c r="I2504" i="6"/>
  <c r="H2504" i="6"/>
  <c r="G2504" i="6"/>
  <c r="F2504" i="6"/>
  <c r="J2504" i="6" s="1"/>
  <c r="H2503" i="6"/>
  <c r="G2503" i="6"/>
  <c r="F2503" i="6"/>
  <c r="H2502" i="6"/>
  <c r="G2502" i="6"/>
  <c r="J2502" i="6" s="1"/>
  <c r="F2502" i="6"/>
  <c r="H2501" i="6"/>
  <c r="I2501" i="6" s="1"/>
  <c r="G2501" i="6"/>
  <c r="J2501" i="6" s="1"/>
  <c r="F2501" i="6"/>
  <c r="I2500" i="6"/>
  <c r="H2500" i="6"/>
  <c r="G2500" i="6"/>
  <c r="F2500" i="6"/>
  <c r="J2500" i="6" s="1"/>
  <c r="J2499" i="6"/>
  <c r="H2499" i="6"/>
  <c r="G2499" i="6"/>
  <c r="I2499" i="6" s="1"/>
  <c r="F2499" i="6"/>
  <c r="H2498" i="6"/>
  <c r="G2498" i="6"/>
  <c r="F2498" i="6"/>
  <c r="I2497" i="6"/>
  <c r="H2497" i="6"/>
  <c r="G2497" i="6"/>
  <c r="J2497" i="6" s="1"/>
  <c r="F2497" i="6"/>
  <c r="I2496" i="6"/>
  <c r="H2496" i="6"/>
  <c r="G2496" i="6"/>
  <c r="F2496" i="6"/>
  <c r="J2496" i="6" s="1"/>
  <c r="H2495" i="6"/>
  <c r="G2495" i="6"/>
  <c r="F2495" i="6"/>
  <c r="H2494" i="6"/>
  <c r="G2494" i="6"/>
  <c r="J2494" i="6" s="1"/>
  <c r="F2494" i="6"/>
  <c r="I2493" i="6"/>
  <c r="H2493" i="6"/>
  <c r="G2493" i="6"/>
  <c r="J2493" i="6" s="1"/>
  <c r="F2493" i="6"/>
  <c r="I2492" i="6"/>
  <c r="H2492" i="6"/>
  <c r="G2492" i="6"/>
  <c r="F2492" i="6"/>
  <c r="J2492" i="6" s="1"/>
  <c r="H2491" i="6"/>
  <c r="G2491" i="6"/>
  <c r="F2491" i="6"/>
  <c r="H2490" i="6"/>
  <c r="G2490" i="6"/>
  <c r="F2490" i="6"/>
  <c r="I2489" i="6"/>
  <c r="H2489" i="6"/>
  <c r="G2489" i="6"/>
  <c r="J2489" i="6" s="1"/>
  <c r="F2489" i="6"/>
  <c r="I2488" i="6"/>
  <c r="H2488" i="6"/>
  <c r="G2488" i="6"/>
  <c r="F2488" i="6"/>
  <c r="J2488" i="6" s="1"/>
  <c r="H2487" i="6"/>
  <c r="G2487" i="6"/>
  <c r="F2487" i="6"/>
  <c r="H2486" i="6"/>
  <c r="G2486" i="6"/>
  <c r="F2486" i="6"/>
  <c r="I2485" i="6"/>
  <c r="H2485" i="6"/>
  <c r="G2485" i="6"/>
  <c r="J2485" i="6" s="1"/>
  <c r="F2485" i="6"/>
  <c r="I2484" i="6"/>
  <c r="H2484" i="6"/>
  <c r="G2484" i="6"/>
  <c r="F2484" i="6"/>
  <c r="J2484" i="6" s="1"/>
  <c r="H2483" i="6"/>
  <c r="G2483" i="6"/>
  <c r="F2483" i="6"/>
  <c r="H2482" i="6"/>
  <c r="G2482" i="6"/>
  <c r="F2482" i="6"/>
  <c r="I2481" i="6"/>
  <c r="H2481" i="6"/>
  <c r="G2481" i="6"/>
  <c r="J2481" i="6" s="1"/>
  <c r="F2481" i="6"/>
  <c r="I2480" i="6"/>
  <c r="H2480" i="6"/>
  <c r="G2480" i="6"/>
  <c r="F2480" i="6"/>
  <c r="J2480" i="6" s="1"/>
  <c r="H2479" i="6"/>
  <c r="G2479" i="6"/>
  <c r="F2479" i="6"/>
  <c r="H2478" i="6"/>
  <c r="G2478" i="6"/>
  <c r="F2478" i="6"/>
  <c r="I2477" i="6"/>
  <c r="H2477" i="6"/>
  <c r="G2477" i="6"/>
  <c r="J2477" i="6" s="1"/>
  <c r="F2477" i="6"/>
  <c r="I2476" i="6"/>
  <c r="H2476" i="6"/>
  <c r="G2476" i="6"/>
  <c r="F2476" i="6"/>
  <c r="J2476" i="6" s="1"/>
  <c r="H2475" i="6"/>
  <c r="G2475" i="6"/>
  <c r="F2475" i="6"/>
  <c r="H2474" i="6"/>
  <c r="G2474" i="6"/>
  <c r="F2474" i="6"/>
  <c r="I2473" i="6"/>
  <c r="H2473" i="6"/>
  <c r="G2473" i="6"/>
  <c r="J2473" i="6" s="1"/>
  <c r="F2473" i="6"/>
  <c r="I2472" i="6"/>
  <c r="H2472" i="6"/>
  <c r="G2472" i="6"/>
  <c r="F2472" i="6"/>
  <c r="J2472" i="6" s="1"/>
  <c r="H2471" i="6"/>
  <c r="G2471" i="6"/>
  <c r="F2471" i="6"/>
  <c r="H2470" i="6"/>
  <c r="G2470" i="6"/>
  <c r="F2470" i="6"/>
  <c r="I2469" i="6"/>
  <c r="H2469" i="6"/>
  <c r="G2469" i="6"/>
  <c r="J2469" i="6" s="1"/>
  <c r="F2469" i="6"/>
  <c r="I2468" i="6"/>
  <c r="H2468" i="6"/>
  <c r="G2468" i="6"/>
  <c r="F2468" i="6"/>
  <c r="J2468" i="6" s="1"/>
  <c r="H2467" i="6"/>
  <c r="G2467" i="6"/>
  <c r="F2467" i="6"/>
  <c r="H2466" i="6"/>
  <c r="G2466" i="6"/>
  <c r="F2466" i="6"/>
  <c r="I2465" i="6"/>
  <c r="H2465" i="6"/>
  <c r="G2465" i="6"/>
  <c r="J2465" i="6" s="1"/>
  <c r="F2465" i="6"/>
  <c r="I2464" i="6"/>
  <c r="H2464" i="6"/>
  <c r="G2464" i="6"/>
  <c r="F2464" i="6"/>
  <c r="J2464" i="6" s="1"/>
  <c r="H2463" i="6"/>
  <c r="G2463" i="6"/>
  <c r="F2463" i="6"/>
  <c r="H2462" i="6"/>
  <c r="G2462" i="6"/>
  <c r="F2462" i="6"/>
  <c r="I2461" i="6"/>
  <c r="H2461" i="6"/>
  <c r="G2461" i="6"/>
  <c r="J2461" i="6" s="1"/>
  <c r="F2461" i="6"/>
  <c r="I2460" i="6"/>
  <c r="H2460" i="6"/>
  <c r="G2460" i="6"/>
  <c r="F2460" i="6"/>
  <c r="J2460" i="6" s="1"/>
  <c r="H2459" i="6"/>
  <c r="G2459" i="6"/>
  <c r="F2459" i="6"/>
  <c r="H2458" i="6"/>
  <c r="G2458" i="6"/>
  <c r="F2458" i="6"/>
  <c r="I2457" i="6"/>
  <c r="H2457" i="6"/>
  <c r="G2457" i="6"/>
  <c r="J2457" i="6" s="1"/>
  <c r="F2457" i="6"/>
  <c r="I2456" i="6"/>
  <c r="H2456" i="6"/>
  <c r="G2456" i="6"/>
  <c r="F2456" i="6"/>
  <c r="J2456" i="6" s="1"/>
  <c r="H2455" i="6"/>
  <c r="G2455" i="6"/>
  <c r="F2455" i="6"/>
  <c r="H2454" i="6"/>
  <c r="G2454" i="6"/>
  <c r="F2454" i="6"/>
  <c r="I2453" i="6"/>
  <c r="H2453" i="6"/>
  <c r="G2453" i="6"/>
  <c r="J2453" i="6" s="1"/>
  <c r="F2453" i="6"/>
  <c r="I2452" i="6"/>
  <c r="H2452" i="6"/>
  <c r="G2452" i="6"/>
  <c r="F2452" i="6"/>
  <c r="J2452" i="6" s="1"/>
  <c r="H2451" i="6"/>
  <c r="G2451" i="6"/>
  <c r="F2451" i="6"/>
  <c r="H2450" i="6"/>
  <c r="G2450" i="6"/>
  <c r="F2450" i="6"/>
  <c r="I2449" i="6"/>
  <c r="H2449" i="6"/>
  <c r="G2449" i="6"/>
  <c r="J2449" i="6" s="1"/>
  <c r="F2449" i="6"/>
  <c r="I2448" i="6"/>
  <c r="H2448" i="6"/>
  <c r="G2448" i="6"/>
  <c r="F2448" i="6"/>
  <c r="J2448" i="6" s="1"/>
  <c r="H2447" i="6"/>
  <c r="G2447" i="6"/>
  <c r="F2447" i="6"/>
  <c r="H2446" i="6"/>
  <c r="G2446" i="6"/>
  <c r="F2446" i="6"/>
  <c r="I2445" i="6"/>
  <c r="H2445" i="6"/>
  <c r="G2445" i="6"/>
  <c r="J2445" i="6" s="1"/>
  <c r="F2445" i="6"/>
  <c r="I2444" i="6"/>
  <c r="H2444" i="6"/>
  <c r="G2444" i="6"/>
  <c r="F2444" i="6"/>
  <c r="J2444" i="6" s="1"/>
  <c r="H2443" i="6"/>
  <c r="G2443" i="6"/>
  <c r="F2443" i="6"/>
  <c r="H2442" i="6"/>
  <c r="G2442" i="6"/>
  <c r="F2442" i="6"/>
  <c r="I2441" i="6"/>
  <c r="H2441" i="6"/>
  <c r="G2441" i="6"/>
  <c r="J2441" i="6" s="1"/>
  <c r="F2441" i="6"/>
  <c r="I2440" i="6"/>
  <c r="H2440" i="6"/>
  <c r="G2440" i="6"/>
  <c r="F2440" i="6"/>
  <c r="J2440" i="6" s="1"/>
  <c r="H2439" i="6"/>
  <c r="G2439" i="6"/>
  <c r="F2439" i="6"/>
  <c r="H2438" i="6"/>
  <c r="G2438" i="6"/>
  <c r="F2438" i="6"/>
  <c r="I2437" i="6"/>
  <c r="H2437" i="6"/>
  <c r="G2437" i="6"/>
  <c r="J2437" i="6" s="1"/>
  <c r="F2437" i="6"/>
  <c r="I2436" i="6"/>
  <c r="H2436" i="6"/>
  <c r="G2436" i="6"/>
  <c r="F2436" i="6"/>
  <c r="J2436" i="6" s="1"/>
  <c r="H2435" i="6"/>
  <c r="G2435" i="6"/>
  <c r="F2435" i="6"/>
  <c r="H2434" i="6"/>
  <c r="G2434" i="6"/>
  <c r="F2434" i="6"/>
  <c r="I2433" i="6"/>
  <c r="H2433" i="6"/>
  <c r="G2433" i="6"/>
  <c r="J2433" i="6" s="1"/>
  <c r="F2433" i="6"/>
  <c r="I2432" i="6"/>
  <c r="H2432" i="6"/>
  <c r="G2432" i="6"/>
  <c r="F2432" i="6"/>
  <c r="J2432" i="6" s="1"/>
  <c r="H2431" i="6"/>
  <c r="G2431" i="6"/>
  <c r="F2431" i="6"/>
  <c r="H2430" i="6"/>
  <c r="G2430" i="6"/>
  <c r="F2430" i="6"/>
  <c r="I2429" i="6"/>
  <c r="H2429" i="6"/>
  <c r="G2429" i="6"/>
  <c r="J2429" i="6" s="1"/>
  <c r="F2429" i="6"/>
  <c r="I2428" i="6"/>
  <c r="H2428" i="6"/>
  <c r="G2428" i="6"/>
  <c r="F2428" i="6"/>
  <c r="J2428" i="6" s="1"/>
  <c r="H2427" i="6"/>
  <c r="G2427" i="6"/>
  <c r="F2427" i="6"/>
  <c r="H2426" i="6"/>
  <c r="G2426" i="6"/>
  <c r="F2426" i="6"/>
  <c r="I2425" i="6"/>
  <c r="H2425" i="6"/>
  <c r="G2425" i="6"/>
  <c r="J2425" i="6" s="1"/>
  <c r="F2425" i="6"/>
  <c r="I2424" i="6"/>
  <c r="H2424" i="6"/>
  <c r="G2424" i="6"/>
  <c r="F2424" i="6"/>
  <c r="J2424" i="6" s="1"/>
  <c r="H2423" i="6"/>
  <c r="G2423" i="6"/>
  <c r="F2423" i="6"/>
  <c r="H2422" i="6"/>
  <c r="G2422" i="6"/>
  <c r="F2422" i="6"/>
  <c r="I2421" i="6"/>
  <c r="H2421" i="6"/>
  <c r="G2421" i="6"/>
  <c r="J2421" i="6" s="1"/>
  <c r="F2421" i="6"/>
  <c r="I2420" i="6"/>
  <c r="H2420" i="6"/>
  <c r="G2420" i="6"/>
  <c r="F2420" i="6"/>
  <c r="J2420" i="6" s="1"/>
  <c r="J2419" i="6"/>
  <c r="I2419" i="6"/>
  <c r="H2419" i="6"/>
  <c r="G2419" i="6"/>
  <c r="F2419" i="6"/>
  <c r="H2418" i="6"/>
  <c r="G2418" i="6"/>
  <c r="F2418" i="6"/>
  <c r="H2417" i="6"/>
  <c r="I2417" i="6" s="1"/>
  <c r="G2417" i="6"/>
  <c r="J2417" i="6" s="1"/>
  <c r="F2417" i="6"/>
  <c r="I2416" i="6"/>
  <c r="H2416" i="6"/>
  <c r="J2416" i="6" s="1"/>
  <c r="G2416" i="6"/>
  <c r="F2416" i="6"/>
  <c r="J2415" i="6"/>
  <c r="H2415" i="6"/>
  <c r="G2415" i="6"/>
  <c r="I2415" i="6" s="1"/>
  <c r="F2415" i="6"/>
  <c r="H2414" i="6"/>
  <c r="G2414" i="6"/>
  <c r="I2414" i="6" s="1"/>
  <c r="F2414" i="6"/>
  <c r="H2413" i="6"/>
  <c r="I2413" i="6" s="1"/>
  <c r="G2413" i="6"/>
  <c r="F2413" i="6"/>
  <c r="I2412" i="6"/>
  <c r="H2412" i="6"/>
  <c r="G2412" i="6"/>
  <c r="F2412" i="6"/>
  <c r="J2412" i="6" s="1"/>
  <c r="J2411" i="6"/>
  <c r="H2411" i="6"/>
  <c r="G2411" i="6"/>
  <c r="I2411" i="6" s="1"/>
  <c r="F2411" i="6"/>
  <c r="H2410" i="6"/>
  <c r="G2410" i="6"/>
  <c r="F2410" i="6"/>
  <c r="I2409" i="6"/>
  <c r="H2409" i="6"/>
  <c r="G2409" i="6"/>
  <c r="J2409" i="6" s="1"/>
  <c r="F2409" i="6"/>
  <c r="I2408" i="6"/>
  <c r="H2408" i="6"/>
  <c r="J2408" i="6" s="1"/>
  <c r="G2408" i="6"/>
  <c r="F2408" i="6"/>
  <c r="H2407" i="6"/>
  <c r="G2407" i="6"/>
  <c r="I2407" i="6" s="1"/>
  <c r="F2407" i="6"/>
  <c r="H2406" i="6"/>
  <c r="G2406" i="6"/>
  <c r="F2406" i="6"/>
  <c r="H2405" i="6"/>
  <c r="G2405" i="6"/>
  <c r="J2405" i="6" s="1"/>
  <c r="F2405" i="6"/>
  <c r="J2404" i="6"/>
  <c r="I2404" i="6"/>
  <c r="H2404" i="6"/>
  <c r="G2404" i="6"/>
  <c r="F2404" i="6"/>
  <c r="H2403" i="6"/>
  <c r="G2403" i="6"/>
  <c r="J2403" i="6" s="1"/>
  <c r="F2403" i="6"/>
  <c r="H2402" i="6"/>
  <c r="G2402" i="6"/>
  <c r="F2402" i="6"/>
  <c r="H2401" i="6"/>
  <c r="I2401" i="6" s="1"/>
  <c r="G2401" i="6"/>
  <c r="F2401" i="6"/>
  <c r="H2400" i="6"/>
  <c r="J2400" i="6" s="1"/>
  <c r="G2400" i="6"/>
  <c r="F2400" i="6"/>
  <c r="H2399" i="6"/>
  <c r="G2399" i="6"/>
  <c r="I2399" i="6" s="1"/>
  <c r="F2399" i="6"/>
  <c r="J2398" i="6"/>
  <c r="H2398" i="6"/>
  <c r="G2398" i="6"/>
  <c r="F2398" i="6"/>
  <c r="H2397" i="6"/>
  <c r="G2397" i="6"/>
  <c r="J2397" i="6" s="1"/>
  <c r="F2397" i="6"/>
  <c r="J2396" i="6"/>
  <c r="I2396" i="6"/>
  <c r="H2396" i="6"/>
  <c r="G2396" i="6"/>
  <c r="F2396" i="6"/>
  <c r="H2395" i="6"/>
  <c r="G2395" i="6"/>
  <c r="F2395" i="6"/>
  <c r="H2394" i="6"/>
  <c r="G2394" i="6"/>
  <c r="F2394" i="6"/>
  <c r="H2393" i="6"/>
  <c r="I2393" i="6" s="1"/>
  <c r="G2393" i="6"/>
  <c r="F2393" i="6"/>
  <c r="J2392" i="6"/>
  <c r="I2392" i="6"/>
  <c r="H2392" i="6"/>
  <c r="G2392" i="6"/>
  <c r="F2392" i="6"/>
  <c r="H2391" i="6"/>
  <c r="G2391" i="6"/>
  <c r="F2391" i="6"/>
  <c r="H2390" i="6"/>
  <c r="G2390" i="6"/>
  <c r="I2390" i="6" s="1"/>
  <c r="F2390" i="6"/>
  <c r="H2389" i="6"/>
  <c r="G2389" i="6"/>
  <c r="F2389" i="6"/>
  <c r="I2388" i="6"/>
  <c r="H2388" i="6"/>
  <c r="G2388" i="6"/>
  <c r="F2388" i="6"/>
  <c r="J2388" i="6" s="1"/>
  <c r="J2387" i="6"/>
  <c r="I2387" i="6"/>
  <c r="H2387" i="6"/>
  <c r="G2387" i="6"/>
  <c r="F2387" i="6"/>
  <c r="H2386" i="6"/>
  <c r="G2386" i="6"/>
  <c r="F2386" i="6"/>
  <c r="H2385" i="6"/>
  <c r="I2385" i="6" s="1"/>
  <c r="G2385" i="6"/>
  <c r="F2385" i="6"/>
  <c r="I2384" i="6"/>
  <c r="H2384" i="6"/>
  <c r="J2384" i="6" s="1"/>
  <c r="G2384" i="6"/>
  <c r="F2384" i="6"/>
  <c r="J2383" i="6"/>
  <c r="H2383" i="6"/>
  <c r="G2383" i="6"/>
  <c r="I2383" i="6" s="1"/>
  <c r="F2383" i="6"/>
  <c r="H2382" i="6"/>
  <c r="G2382" i="6"/>
  <c r="I2382" i="6" s="1"/>
  <c r="F2382" i="6"/>
  <c r="H2381" i="6"/>
  <c r="I2381" i="6" s="1"/>
  <c r="G2381" i="6"/>
  <c r="F2381" i="6"/>
  <c r="I2380" i="6"/>
  <c r="H2380" i="6"/>
  <c r="G2380" i="6"/>
  <c r="F2380" i="6"/>
  <c r="J2380" i="6" s="1"/>
  <c r="J2379" i="6"/>
  <c r="I2379" i="6"/>
  <c r="H2379" i="6"/>
  <c r="G2379" i="6"/>
  <c r="F2379" i="6"/>
  <c r="H2378" i="6"/>
  <c r="G2378" i="6"/>
  <c r="F2378" i="6"/>
  <c r="I2377" i="6"/>
  <c r="H2377" i="6"/>
  <c r="G2377" i="6"/>
  <c r="F2377" i="6"/>
  <c r="I2376" i="6"/>
  <c r="H2376" i="6"/>
  <c r="G2376" i="6"/>
  <c r="F2376" i="6"/>
  <c r="J2375" i="6"/>
  <c r="H2375" i="6"/>
  <c r="G2375" i="6"/>
  <c r="I2375" i="6" s="1"/>
  <c r="F2375" i="6"/>
  <c r="H2374" i="6"/>
  <c r="G2374" i="6"/>
  <c r="F2374" i="6"/>
  <c r="H2373" i="6"/>
  <c r="G2373" i="6"/>
  <c r="J2373" i="6" s="1"/>
  <c r="F2373" i="6"/>
  <c r="J2372" i="6"/>
  <c r="I2372" i="6"/>
  <c r="H2372" i="6"/>
  <c r="G2372" i="6"/>
  <c r="F2372" i="6"/>
  <c r="H2371" i="6"/>
  <c r="G2371" i="6"/>
  <c r="J2371" i="6" s="1"/>
  <c r="F2371" i="6"/>
  <c r="H2370" i="6"/>
  <c r="G2370" i="6"/>
  <c r="F2370" i="6"/>
  <c r="H2369" i="6"/>
  <c r="I2369" i="6" s="1"/>
  <c r="G2369" i="6"/>
  <c r="F2369" i="6"/>
  <c r="H2368" i="6"/>
  <c r="J2368" i="6" s="1"/>
  <c r="G2368" i="6"/>
  <c r="F2368" i="6"/>
  <c r="H2367" i="6"/>
  <c r="G2367" i="6"/>
  <c r="I2367" i="6" s="1"/>
  <c r="F2367" i="6"/>
  <c r="J2366" i="6"/>
  <c r="H2366" i="6"/>
  <c r="G2366" i="6"/>
  <c r="F2366" i="6"/>
  <c r="H2365" i="6"/>
  <c r="G2365" i="6"/>
  <c r="J2365" i="6" s="1"/>
  <c r="F2365" i="6"/>
  <c r="J2364" i="6"/>
  <c r="I2364" i="6"/>
  <c r="H2364" i="6"/>
  <c r="G2364" i="6"/>
  <c r="F2364" i="6"/>
  <c r="H2363" i="6"/>
  <c r="G2363" i="6"/>
  <c r="F2363" i="6"/>
  <c r="H2362" i="6"/>
  <c r="G2362" i="6"/>
  <c r="F2362" i="6"/>
  <c r="H2361" i="6"/>
  <c r="I2361" i="6" s="1"/>
  <c r="G2361" i="6"/>
  <c r="F2361" i="6"/>
  <c r="J2360" i="6"/>
  <c r="I2360" i="6"/>
  <c r="H2360" i="6"/>
  <c r="G2360" i="6"/>
  <c r="F2360" i="6"/>
  <c r="H2359" i="6"/>
  <c r="G2359" i="6"/>
  <c r="F2359" i="6"/>
  <c r="H2358" i="6"/>
  <c r="G2358" i="6"/>
  <c r="I2358" i="6" s="1"/>
  <c r="F2358" i="6"/>
  <c r="H2357" i="6"/>
  <c r="G2357" i="6"/>
  <c r="F2357" i="6"/>
  <c r="I2356" i="6"/>
  <c r="H2356" i="6"/>
  <c r="G2356" i="6"/>
  <c r="F2356" i="6"/>
  <c r="J2356" i="6" s="1"/>
  <c r="J2355" i="6"/>
  <c r="I2355" i="6"/>
  <c r="H2355" i="6"/>
  <c r="G2355" i="6"/>
  <c r="F2355" i="6"/>
  <c r="H2354" i="6"/>
  <c r="G2354" i="6"/>
  <c r="F2354" i="6"/>
  <c r="H2353" i="6"/>
  <c r="I2353" i="6" s="1"/>
  <c r="G2353" i="6"/>
  <c r="J2353" i="6" s="1"/>
  <c r="F2353" i="6"/>
  <c r="I2352" i="6"/>
  <c r="H2352" i="6"/>
  <c r="J2352" i="6" s="1"/>
  <c r="G2352" i="6"/>
  <c r="F2352" i="6"/>
  <c r="J2351" i="6"/>
  <c r="H2351" i="6"/>
  <c r="G2351" i="6"/>
  <c r="I2351" i="6" s="1"/>
  <c r="F2351" i="6"/>
  <c r="H2350" i="6"/>
  <c r="G2350" i="6"/>
  <c r="I2350" i="6" s="1"/>
  <c r="F2350" i="6"/>
  <c r="H2349" i="6"/>
  <c r="I2349" i="6" s="1"/>
  <c r="G2349" i="6"/>
  <c r="F2349" i="6"/>
  <c r="I2348" i="6"/>
  <c r="H2348" i="6"/>
  <c r="G2348" i="6"/>
  <c r="F2348" i="6"/>
  <c r="J2348" i="6" s="1"/>
  <c r="J2347" i="6"/>
  <c r="I2347" i="6"/>
  <c r="H2347" i="6"/>
  <c r="G2347" i="6"/>
  <c r="F2347" i="6"/>
  <c r="H2346" i="6"/>
  <c r="G2346" i="6"/>
  <c r="F2346" i="6"/>
  <c r="I2345" i="6"/>
  <c r="H2345" i="6"/>
  <c r="G2345" i="6"/>
  <c r="F2345" i="6"/>
  <c r="I2344" i="6"/>
  <c r="H2344" i="6"/>
  <c r="J2344" i="6" s="1"/>
  <c r="G2344" i="6"/>
  <c r="F2344" i="6"/>
  <c r="J2343" i="6"/>
  <c r="H2343" i="6"/>
  <c r="G2343" i="6"/>
  <c r="I2343" i="6" s="1"/>
  <c r="F2343" i="6"/>
  <c r="H2342" i="6"/>
  <c r="G2342" i="6"/>
  <c r="F2342" i="6"/>
  <c r="H2341" i="6"/>
  <c r="G2341" i="6"/>
  <c r="J2341" i="6" s="1"/>
  <c r="F2341" i="6"/>
  <c r="J2340" i="6"/>
  <c r="I2340" i="6"/>
  <c r="H2340" i="6"/>
  <c r="G2340" i="6"/>
  <c r="F2340" i="6"/>
  <c r="H2339" i="6"/>
  <c r="G2339" i="6"/>
  <c r="J2339" i="6" s="1"/>
  <c r="F2339" i="6"/>
  <c r="H2338" i="6"/>
  <c r="G2338" i="6"/>
  <c r="F2338" i="6"/>
  <c r="H2337" i="6"/>
  <c r="I2337" i="6" s="1"/>
  <c r="G2337" i="6"/>
  <c r="F2337" i="6"/>
  <c r="H2336" i="6"/>
  <c r="J2336" i="6" s="1"/>
  <c r="G2336" i="6"/>
  <c r="F2336" i="6"/>
  <c r="H2335" i="6"/>
  <c r="G2335" i="6"/>
  <c r="I2335" i="6" s="1"/>
  <c r="F2335" i="6"/>
  <c r="J2334" i="6"/>
  <c r="H2334" i="6"/>
  <c r="G2334" i="6"/>
  <c r="F2334" i="6"/>
  <c r="H2333" i="6"/>
  <c r="G2333" i="6"/>
  <c r="J2333" i="6" s="1"/>
  <c r="F2333" i="6"/>
  <c r="J2332" i="6"/>
  <c r="I2332" i="6"/>
  <c r="H2332" i="6"/>
  <c r="G2332" i="6"/>
  <c r="F2332" i="6"/>
  <c r="H2331" i="6"/>
  <c r="G2331" i="6"/>
  <c r="F2331" i="6"/>
  <c r="H2330" i="6"/>
  <c r="G2330" i="6"/>
  <c r="F2330" i="6"/>
  <c r="H2329" i="6"/>
  <c r="I2329" i="6" s="1"/>
  <c r="G2329" i="6"/>
  <c r="F2329" i="6"/>
  <c r="J2328" i="6"/>
  <c r="I2328" i="6"/>
  <c r="H2328" i="6"/>
  <c r="G2328" i="6"/>
  <c r="F2328" i="6"/>
  <c r="H2327" i="6"/>
  <c r="G2327" i="6"/>
  <c r="F2327" i="6"/>
  <c r="H2326" i="6"/>
  <c r="G2326" i="6"/>
  <c r="I2326" i="6" s="1"/>
  <c r="F2326" i="6"/>
  <c r="H2325" i="6"/>
  <c r="G2325" i="6"/>
  <c r="F2325" i="6"/>
  <c r="I2324" i="6"/>
  <c r="H2324" i="6"/>
  <c r="G2324" i="6"/>
  <c r="F2324" i="6"/>
  <c r="J2324" i="6" s="1"/>
  <c r="J2323" i="6"/>
  <c r="I2323" i="6"/>
  <c r="H2323" i="6"/>
  <c r="G2323" i="6"/>
  <c r="F2323" i="6"/>
  <c r="H2322" i="6"/>
  <c r="G2322" i="6"/>
  <c r="I2322" i="6" s="1"/>
  <c r="F2322" i="6"/>
  <c r="I2321" i="6"/>
  <c r="H2321" i="6"/>
  <c r="G2321" i="6"/>
  <c r="F2321" i="6"/>
  <c r="H2320" i="6"/>
  <c r="J2320" i="6" s="1"/>
  <c r="G2320" i="6"/>
  <c r="F2320" i="6"/>
  <c r="J2319" i="6"/>
  <c r="I2319" i="6"/>
  <c r="H2319" i="6"/>
  <c r="G2319" i="6"/>
  <c r="F2319" i="6"/>
  <c r="H2318" i="6"/>
  <c r="G2318" i="6"/>
  <c r="F2318" i="6"/>
  <c r="H2317" i="6"/>
  <c r="G2317" i="6"/>
  <c r="J2317" i="6" s="1"/>
  <c r="F2317" i="6"/>
  <c r="H2316" i="6"/>
  <c r="G2316" i="6"/>
  <c r="F2316" i="6"/>
  <c r="H2315" i="6"/>
  <c r="G2315" i="6"/>
  <c r="J2315" i="6" s="1"/>
  <c r="F2315" i="6"/>
  <c r="J2314" i="6"/>
  <c r="H2314" i="6"/>
  <c r="G2314" i="6"/>
  <c r="F2314" i="6"/>
  <c r="H2313" i="6"/>
  <c r="G2313" i="6"/>
  <c r="J2313" i="6" s="1"/>
  <c r="F2313" i="6"/>
  <c r="J2312" i="6"/>
  <c r="I2312" i="6"/>
  <c r="H2312" i="6"/>
  <c r="G2312" i="6"/>
  <c r="F2312" i="6"/>
  <c r="H2311" i="6"/>
  <c r="G2311" i="6"/>
  <c r="F2311" i="6"/>
  <c r="J2310" i="6"/>
  <c r="H2310" i="6"/>
  <c r="G2310" i="6"/>
  <c r="I2310" i="6" s="1"/>
  <c r="F2310" i="6"/>
  <c r="H2309" i="6"/>
  <c r="G2309" i="6"/>
  <c r="F2309" i="6"/>
  <c r="H2308" i="6"/>
  <c r="I2308" i="6" s="1"/>
  <c r="G2308" i="6"/>
  <c r="F2308" i="6"/>
  <c r="J2308" i="6" s="1"/>
  <c r="I2307" i="6"/>
  <c r="H2307" i="6"/>
  <c r="G2307" i="6"/>
  <c r="J2307" i="6" s="1"/>
  <c r="F2307" i="6"/>
  <c r="H2306" i="6"/>
  <c r="G2306" i="6"/>
  <c r="I2306" i="6" s="1"/>
  <c r="F2306" i="6"/>
  <c r="I2305" i="6"/>
  <c r="H2305" i="6"/>
  <c r="G2305" i="6"/>
  <c r="F2305" i="6"/>
  <c r="H2304" i="6"/>
  <c r="G2304" i="6"/>
  <c r="F2304" i="6"/>
  <c r="J2303" i="6"/>
  <c r="I2303" i="6"/>
  <c r="H2303" i="6"/>
  <c r="G2303" i="6"/>
  <c r="F2303" i="6"/>
  <c r="H2302" i="6"/>
  <c r="G2302" i="6"/>
  <c r="I2302" i="6" s="1"/>
  <c r="F2302" i="6"/>
  <c r="J2302" i="6" s="1"/>
  <c r="I2301" i="6"/>
  <c r="H2301" i="6"/>
  <c r="G2301" i="6"/>
  <c r="J2301" i="6" s="1"/>
  <c r="F2301" i="6"/>
  <c r="H2300" i="6"/>
  <c r="I2300" i="6" s="1"/>
  <c r="G2300" i="6"/>
  <c r="F2300" i="6"/>
  <c r="H2299" i="6"/>
  <c r="G2299" i="6"/>
  <c r="F2299" i="6"/>
  <c r="J2298" i="6"/>
  <c r="H2298" i="6"/>
  <c r="G2298" i="6"/>
  <c r="F2298" i="6"/>
  <c r="H2297" i="6"/>
  <c r="G2297" i="6"/>
  <c r="F2297" i="6"/>
  <c r="J2296" i="6"/>
  <c r="I2296" i="6"/>
  <c r="H2296" i="6"/>
  <c r="G2296" i="6"/>
  <c r="F2296" i="6"/>
  <c r="H2295" i="6"/>
  <c r="G2295" i="6"/>
  <c r="J2295" i="6" s="1"/>
  <c r="F2295" i="6"/>
  <c r="J2294" i="6"/>
  <c r="H2294" i="6"/>
  <c r="G2294" i="6"/>
  <c r="I2294" i="6" s="1"/>
  <c r="F2294" i="6"/>
  <c r="H2293" i="6"/>
  <c r="G2293" i="6"/>
  <c r="J2293" i="6" s="1"/>
  <c r="F2293" i="6"/>
  <c r="H2292" i="6"/>
  <c r="I2292" i="6" s="1"/>
  <c r="G2292" i="6"/>
  <c r="F2292" i="6"/>
  <c r="J2292" i="6" s="1"/>
  <c r="I2291" i="6"/>
  <c r="H2291" i="6"/>
  <c r="G2291" i="6"/>
  <c r="J2291" i="6" s="1"/>
  <c r="F2291" i="6"/>
  <c r="H2290" i="6"/>
  <c r="G2290" i="6"/>
  <c r="F2290" i="6"/>
  <c r="I2289" i="6"/>
  <c r="H2289" i="6"/>
  <c r="G2289" i="6"/>
  <c r="F2289" i="6"/>
  <c r="H2288" i="6"/>
  <c r="G2288" i="6"/>
  <c r="F2288" i="6"/>
  <c r="J2287" i="6"/>
  <c r="I2287" i="6"/>
  <c r="H2287" i="6"/>
  <c r="G2287" i="6"/>
  <c r="F2287" i="6"/>
  <c r="J2286" i="6"/>
  <c r="H2286" i="6"/>
  <c r="G2286" i="6"/>
  <c r="I2286" i="6" s="1"/>
  <c r="F2286" i="6"/>
  <c r="I2285" i="6"/>
  <c r="H2285" i="6"/>
  <c r="G2285" i="6"/>
  <c r="J2285" i="6" s="1"/>
  <c r="F2285" i="6"/>
  <c r="J2284" i="6"/>
  <c r="H2284" i="6"/>
  <c r="G2284" i="6"/>
  <c r="I2284" i="6" s="1"/>
  <c r="F2284" i="6"/>
  <c r="H2283" i="6"/>
  <c r="G2283" i="6"/>
  <c r="F2283" i="6"/>
  <c r="J2282" i="6"/>
  <c r="I2282" i="6"/>
  <c r="H2282" i="6"/>
  <c r="G2282" i="6"/>
  <c r="F2282" i="6"/>
  <c r="H2281" i="6"/>
  <c r="G2281" i="6"/>
  <c r="F2281" i="6"/>
  <c r="J2280" i="6"/>
  <c r="I2280" i="6"/>
  <c r="H2280" i="6"/>
  <c r="G2280" i="6"/>
  <c r="F2280" i="6"/>
  <c r="J2279" i="6"/>
  <c r="H2279" i="6"/>
  <c r="G2279" i="6"/>
  <c r="I2279" i="6" s="1"/>
  <c r="F2279" i="6"/>
  <c r="H2278" i="6"/>
  <c r="G2278" i="6"/>
  <c r="F2278" i="6"/>
  <c r="H2277" i="6"/>
  <c r="I2277" i="6" s="1"/>
  <c r="G2277" i="6"/>
  <c r="F2277" i="6"/>
  <c r="H2276" i="6"/>
  <c r="G2276" i="6"/>
  <c r="F2276" i="6"/>
  <c r="J2275" i="6"/>
  <c r="I2275" i="6"/>
  <c r="H2275" i="6"/>
  <c r="G2275" i="6"/>
  <c r="F2275" i="6"/>
  <c r="J2274" i="6"/>
  <c r="H2274" i="6"/>
  <c r="G2274" i="6"/>
  <c r="F2274" i="6"/>
  <c r="H2273" i="6"/>
  <c r="G2273" i="6"/>
  <c r="F2273" i="6"/>
  <c r="H2272" i="6"/>
  <c r="J2272" i="6" s="1"/>
  <c r="G2272" i="6"/>
  <c r="F2272" i="6"/>
  <c r="H2271" i="6"/>
  <c r="G2271" i="6"/>
  <c r="F2271" i="6"/>
  <c r="J2270" i="6"/>
  <c r="H2270" i="6"/>
  <c r="G2270" i="6"/>
  <c r="F2270" i="6"/>
  <c r="I2269" i="6"/>
  <c r="H2269" i="6"/>
  <c r="G2269" i="6"/>
  <c r="J2269" i="6" s="1"/>
  <c r="F2269" i="6"/>
  <c r="H2268" i="6"/>
  <c r="G2268" i="6"/>
  <c r="I2268" i="6" s="1"/>
  <c r="F2268" i="6"/>
  <c r="J2268" i="6" s="1"/>
  <c r="I2267" i="6"/>
  <c r="H2267" i="6"/>
  <c r="G2267" i="6"/>
  <c r="J2267" i="6" s="1"/>
  <c r="F2267" i="6"/>
  <c r="H2266" i="6"/>
  <c r="G2266" i="6"/>
  <c r="F2266" i="6"/>
  <c r="I2265" i="6"/>
  <c r="H2265" i="6"/>
  <c r="G2265" i="6"/>
  <c r="F2265" i="6"/>
  <c r="I2264" i="6"/>
  <c r="H2264" i="6"/>
  <c r="J2264" i="6" s="1"/>
  <c r="G2264" i="6"/>
  <c r="F2264" i="6"/>
  <c r="H2263" i="6"/>
  <c r="G2263" i="6"/>
  <c r="I2263" i="6" s="1"/>
  <c r="F2263" i="6"/>
  <c r="J2263" i="6" s="1"/>
  <c r="H2262" i="6"/>
  <c r="G2262" i="6"/>
  <c r="F2262" i="6"/>
  <c r="H2261" i="6"/>
  <c r="G2261" i="6"/>
  <c r="F2261" i="6"/>
  <c r="J2260" i="6"/>
  <c r="I2260" i="6"/>
  <c r="H2260" i="6"/>
  <c r="G2260" i="6"/>
  <c r="F2260" i="6"/>
  <c r="H2259" i="6"/>
  <c r="G2259" i="6"/>
  <c r="F2259" i="6"/>
  <c r="H2258" i="6"/>
  <c r="G2258" i="6"/>
  <c r="I2258" i="6" s="1"/>
  <c r="F2258" i="6"/>
  <c r="J2258" i="6" s="1"/>
  <c r="H2257" i="6"/>
  <c r="G2257" i="6"/>
  <c r="F2257" i="6"/>
  <c r="I2256" i="6"/>
  <c r="H2256" i="6"/>
  <c r="J2256" i="6" s="1"/>
  <c r="G2256" i="6"/>
  <c r="F2256" i="6"/>
  <c r="J2255" i="6"/>
  <c r="I2255" i="6"/>
  <c r="H2255" i="6"/>
  <c r="G2255" i="6"/>
  <c r="F2255" i="6"/>
  <c r="H2254" i="6"/>
  <c r="G2254" i="6"/>
  <c r="F2254" i="6"/>
  <c r="J2253" i="6"/>
  <c r="I2253" i="6"/>
  <c r="H2253" i="6"/>
  <c r="G2253" i="6"/>
  <c r="F2253" i="6"/>
  <c r="J2252" i="6"/>
  <c r="H2252" i="6"/>
  <c r="G2252" i="6"/>
  <c r="I2252" i="6" s="1"/>
  <c r="F2252" i="6"/>
  <c r="H2251" i="6"/>
  <c r="G2251" i="6"/>
  <c r="F2251" i="6"/>
  <c r="J2250" i="6"/>
  <c r="I2250" i="6"/>
  <c r="H2250" i="6"/>
  <c r="G2250" i="6"/>
  <c r="F2250" i="6"/>
  <c r="H2249" i="6"/>
  <c r="G2249" i="6"/>
  <c r="F2249" i="6"/>
  <c r="J2248" i="6"/>
  <c r="I2248" i="6"/>
  <c r="H2248" i="6"/>
  <c r="G2248" i="6"/>
  <c r="F2248" i="6"/>
  <c r="J2247" i="6"/>
  <c r="H2247" i="6"/>
  <c r="G2247" i="6"/>
  <c r="I2247" i="6" s="1"/>
  <c r="F2247" i="6"/>
  <c r="H2246" i="6"/>
  <c r="G2246" i="6"/>
  <c r="F2246" i="6"/>
  <c r="H2245" i="6"/>
  <c r="I2245" i="6" s="1"/>
  <c r="G2245" i="6"/>
  <c r="F2245" i="6"/>
  <c r="H2244" i="6"/>
  <c r="G2244" i="6"/>
  <c r="F2244" i="6"/>
  <c r="J2243" i="6"/>
  <c r="I2243" i="6"/>
  <c r="H2243" i="6"/>
  <c r="G2243" i="6"/>
  <c r="F2243" i="6"/>
  <c r="J2242" i="6"/>
  <c r="H2242" i="6"/>
  <c r="G2242" i="6"/>
  <c r="F2242" i="6"/>
  <c r="H2241" i="6"/>
  <c r="G2241" i="6"/>
  <c r="F2241" i="6"/>
  <c r="H2240" i="6"/>
  <c r="G2240" i="6"/>
  <c r="F2240" i="6"/>
  <c r="H2239" i="6"/>
  <c r="G2239" i="6"/>
  <c r="F2239" i="6"/>
  <c r="J2238" i="6"/>
  <c r="H2238" i="6"/>
  <c r="G2238" i="6"/>
  <c r="F2238" i="6"/>
  <c r="I2237" i="6"/>
  <c r="H2237" i="6"/>
  <c r="G2237" i="6"/>
  <c r="J2237" i="6" s="1"/>
  <c r="F2237" i="6"/>
  <c r="H2236" i="6"/>
  <c r="G2236" i="6"/>
  <c r="I2236" i="6" s="1"/>
  <c r="F2236" i="6"/>
  <c r="J2236" i="6" s="1"/>
  <c r="I2235" i="6"/>
  <c r="H2235" i="6"/>
  <c r="G2235" i="6"/>
  <c r="J2235" i="6" s="1"/>
  <c r="F2235" i="6"/>
  <c r="H2234" i="6"/>
  <c r="G2234" i="6"/>
  <c r="F2234" i="6"/>
  <c r="I2233" i="6"/>
  <c r="H2233" i="6"/>
  <c r="G2233" i="6"/>
  <c r="F2233" i="6"/>
  <c r="I2232" i="6"/>
  <c r="H2232" i="6"/>
  <c r="J2232" i="6" s="1"/>
  <c r="G2232" i="6"/>
  <c r="F2232" i="6"/>
  <c r="H2231" i="6"/>
  <c r="G2231" i="6"/>
  <c r="I2231" i="6" s="1"/>
  <c r="F2231" i="6"/>
  <c r="J2231" i="6" s="1"/>
  <c r="H2230" i="6"/>
  <c r="G2230" i="6"/>
  <c r="F2230" i="6"/>
  <c r="H2229" i="6"/>
  <c r="G2229" i="6"/>
  <c r="F2229" i="6"/>
  <c r="J2228" i="6"/>
  <c r="I2228" i="6"/>
  <c r="H2228" i="6"/>
  <c r="G2228" i="6"/>
  <c r="F2228" i="6"/>
  <c r="H2227" i="6"/>
  <c r="G2227" i="6"/>
  <c r="F2227" i="6"/>
  <c r="H2226" i="6"/>
  <c r="G2226" i="6"/>
  <c r="I2226" i="6" s="1"/>
  <c r="F2226" i="6"/>
  <c r="J2226" i="6" s="1"/>
  <c r="I2225" i="6"/>
  <c r="H2225" i="6"/>
  <c r="G2225" i="6"/>
  <c r="J2225" i="6" s="1"/>
  <c r="F2225" i="6"/>
  <c r="H2224" i="6"/>
  <c r="G2224" i="6"/>
  <c r="F2224" i="6"/>
  <c r="J2223" i="6"/>
  <c r="I2223" i="6"/>
  <c r="H2223" i="6"/>
  <c r="G2223" i="6"/>
  <c r="F2223" i="6"/>
  <c r="J2222" i="6"/>
  <c r="H2222" i="6"/>
  <c r="G2222" i="6"/>
  <c r="I2222" i="6" s="1"/>
  <c r="F2222" i="6"/>
  <c r="H2221" i="6"/>
  <c r="G2221" i="6"/>
  <c r="F2221" i="6"/>
  <c r="J2220" i="6"/>
  <c r="I2220" i="6"/>
  <c r="H2220" i="6"/>
  <c r="G2220" i="6"/>
  <c r="F2220" i="6"/>
  <c r="I2219" i="6"/>
  <c r="H2219" i="6"/>
  <c r="G2219" i="6"/>
  <c r="F2219" i="6"/>
  <c r="H2218" i="6"/>
  <c r="G2218" i="6"/>
  <c r="I2218" i="6" s="1"/>
  <c r="F2218" i="6"/>
  <c r="J2218" i="6" s="1"/>
  <c r="H2217" i="6"/>
  <c r="G2217" i="6"/>
  <c r="F2217" i="6"/>
  <c r="H2216" i="6"/>
  <c r="G2216" i="6"/>
  <c r="F2216" i="6"/>
  <c r="J2215" i="6"/>
  <c r="I2215" i="6"/>
  <c r="H2215" i="6"/>
  <c r="G2215" i="6"/>
  <c r="F2215" i="6"/>
  <c r="J2214" i="6"/>
  <c r="H2214" i="6"/>
  <c r="G2214" i="6"/>
  <c r="F2214" i="6"/>
  <c r="H2213" i="6"/>
  <c r="G2213" i="6"/>
  <c r="F2213" i="6"/>
  <c r="I2212" i="6"/>
  <c r="H2212" i="6"/>
  <c r="J2212" i="6" s="1"/>
  <c r="G2212" i="6"/>
  <c r="F2212" i="6"/>
  <c r="H2211" i="6"/>
  <c r="G2211" i="6"/>
  <c r="F2211" i="6"/>
  <c r="J2210" i="6"/>
  <c r="H2210" i="6"/>
  <c r="G2210" i="6"/>
  <c r="I2210" i="6" s="1"/>
  <c r="F2210" i="6"/>
  <c r="H2209" i="6"/>
  <c r="G2209" i="6"/>
  <c r="F2209" i="6"/>
  <c r="H2208" i="6"/>
  <c r="G2208" i="6"/>
  <c r="F2208" i="6"/>
  <c r="J2207" i="6"/>
  <c r="I2207" i="6"/>
  <c r="H2207" i="6"/>
  <c r="G2207" i="6"/>
  <c r="F2207" i="6"/>
  <c r="J2206" i="6"/>
  <c r="H2206" i="6"/>
  <c r="G2206" i="6"/>
  <c r="F2206" i="6"/>
  <c r="H2205" i="6"/>
  <c r="G2205" i="6"/>
  <c r="F2205" i="6"/>
  <c r="I2204" i="6"/>
  <c r="H2204" i="6"/>
  <c r="J2204" i="6" s="1"/>
  <c r="G2204" i="6"/>
  <c r="F2204" i="6"/>
  <c r="H2203" i="6"/>
  <c r="G2203" i="6"/>
  <c r="F2203" i="6"/>
  <c r="J2202" i="6"/>
  <c r="H2202" i="6"/>
  <c r="G2202" i="6"/>
  <c r="I2202" i="6" s="1"/>
  <c r="F2202" i="6"/>
  <c r="H2201" i="6"/>
  <c r="G2201" i="6"/>
  <c r="F2201" i="6"/>
  <c r="H2200" i="6"/>
  <c r="G2200" i="6"/>
  <c r="F2200" i="6"/>
  <c r="J2199" i="6"/>
  <c r="I2199" i="6"/>
  <c r="H2199" i="6"/>
  <c r="G2199" i="6"/>
  <c r="F2199" i="6"/>
  <c r="J2198" i="6"/>
  <c r="H2198" i="6"/>
  <c r="G2198" i="6"/>
  <c r="F2198" i="6"/>
  <c r="H2197" i="6"/>
  <c r="G2197" i="6"/>
  <c r="F2197" i="6"/>
  <c r="I2196" i="6"/>
  <c r="H2196" i="6"/>
  <c r="J2196" i="6" s="1"/>
  <c r="G2196" i="6"/>
  <c r="F2196" i="6"/>
  <c r="H2195" i="6"/>
  <c r="G2195" i="6"/>
  <c r="F2195" i="6"/>
  <c r="J2194" i="6"/>
  <c r="H2194" i="6"/>
  <c r="G2194" i="6"/>
  <c r="I2194" i="6" s="1"/>
  <c r="F2194" i="6"/>
  <c r="H2193" i="6"/>
  <c r="G2193" i="6"/>
  <c r="F2193" i="6"/>
  <c r="H2192" i="6"/>
  <c r="G2192" i="6"/>
  <c r="F2192" i="6"/>
  <c r="J2191" i="6"/>
  <c r="I2191" i="6"/>
  <c r="H2191" i="6"/>
  <c r="G2191" i="6"/>
  <c r="F2191" i="6"/>
  <c r="J2190" i="6"/>
  <c r="I2190" i="6"/>
  <c r="H2190" i="6"/>
  <c r="G2190" i="6"/>
  <c r="F2190" i="6"/>
  <c r="H2189" i="6"/>
  <c r="G2189" i="6"/>
  <c r="F2189" i="6"/>
  <c r="J2188" i="6"/>
  <c r="I2188" i="6"/>
  <c r="H2188" i="6"/>
  <c r="G2188" i="6"/>
  <c r="F2188" i="6"/>
  <c r="I2187" i="6"/>
  <c r="H2187" i="6"/>
  <c r="G2187" i="6"/>
  <c r="F2187" i="6"/>
  <c r="J2186" i="6"/>
  <c r="H2186" i="6"/>
  <c r="G2186" i="6"/>
  <c r="I2186" i="6" s="1"/>
  <c r="F2186" i="6"/>
  <c r="H2185" i="6"/>
  <c r="G2185" i="6"/>
  <c r="F2185" i="6"/>
  <c r="H2184" i="6"/>
  <c r="G2184" i="6"/>
  <c r="F2184" i="6"/>
  <c r="J2183" i="6"/>
  <c r="I2183" i="6"/>
  <c r="H2183" i="6"/>
  <c r="G2183" i="6"/>
  <c r="F2183" i="6"/>
  <c r="H2182" i="6"/>
  <c r="G2182" i="6"/>
  <c r="J2182" i="6" s="1"/>
  <c r="F2182" i="6"/>
  <c r="H2181" i="6"/>
  <c r="G2181" i="6"/>
  <c r="F2181" i="6"/>
  <c r="J2180" i="6"/>
  <c r="I2180" i="6"/>
  <c r="H2180" i="6"/>
  <c r="G2180" i="6"/>
  <c r="F2180" i="6"/>
  <c r="H2179" i="6"/>
  <c r="G2179" i="6"/>
  <c r="F2179" i="6"/>
  <c r="J2178" i="6"/>
  <c r="H2178" i="6"/>
  <c r="I2178" i="6" s="1"/>
  <c r="G2178" i="6"/>
  <c r="F2178" i="6"/>
  <c r="I2177" i="6"/>
  <c r="H2177" i="6"/>
  <c r="J2177" i="6" s="1"/>
  <c r="G2177" i="6"/>
  <c r="F2177" i="6"/>
  <c r="H2176" i="6"/>
  <c r="G2176" i="6"/>
  <c r="F2176" i="6"/>
  <c r="J2175" i="6"/>
  <c r="I2175" i="6"/>
  <c r="H2175" i="6"/>
  <c r="G2175" i="6"/>
  <c r="F2175" i="6"/>
  <c r="I2174" i="6"/>
  <c r="H2174" i="6"/>
  <c r="G2174" i="6"/>
  <c r="J2174" i="6" s="1"/>
  <c r="F2174" i="6"/>
  <c r="H2173" i="6"/>
  <c r="G2173" i="6"/>
  <c r="F2173" i="6"/>
  <c r="I2172" i="6"/>
  <c r="H2172" i="6"/>
  <c r="J2172" i="6" s="1"/>
  <c r="G2172" i="6"/>
  <c r="F2172" i="6"/>
  <c r="I2171" i="6"/>
  <c r="H2171" i="6"/>
  <c r="G2171" i="6"/>
  <c r="F2171" i="6"/>
  <c r="H2170" i="6"/>
  <c r="I2170" i="6" s="1"/>
  <c r="G2170" i="6"/>
  <c r="F2170" i="6"/>
  <c r="J2170" i="6" s="1"/>
  <c r="J2169" i="6"/>
  <c r="H2169" i="6"/>
  <c r="I2169" i="6" s="1"/>
  <c r="G2169" i="6"/>
  <c r="F2169" i="6"/>
  <c r="H2168" i="6"/>
  <c r="G2168" i="6"/>
  <c r="F2168" i="6"/>
  <c r="J2167" i="6"/>
  <c r="I2167" i="6"/>
  <c r="H2167" i="6"/>
  <c r="G2167" i="6"/>
  <c r="F2167" i="6"/>
  <c r="H2166" i="6"/>
  <c r="G2166" i="6"/>
  <c r="F2166" i="6"/>
  <c r="H2165" i="6"/>
  <c r="G2165" i="6"/>
  <c r="F2165" i="6"/>
  <c r="H2164" i="6"/>
  <c r="G2164" i="6"/>
  <c r="F2164" i="6"/>
  <c r="H2163" i="6"/>
  <c r="G2163" i="6"/>
  <c r="J2163" i="6" s="1"/>
  <c r="F2163" i="6"/>
  <c r="J2162" i="6"/>
  <c r="H2162" i="6"/>
  <c r="I2162" i="6" s="1"/>
  <c r="G2162" i="6"/>
  <c r="F2162" i="6"/>
  <c r="H2161" i="6"/>
  <c r="G2161" i="6"/>
  <c r="J2161" i="6" s="1"/>
  <c r="F2161" i="6"/>
  <c r="H2160" i="6"/>
  <c r="G2160" i="6"/>
  <c r="F2160" i="6"/>
  <c r="J2159" i="6"/>
  <c r="I2159" i="6"/>
  <c r="H2159" i="6"/>
  <c r="G2159" i="6"/>
  <c r="F2159" i="6"/>
  <c r="J2158" i="6"/>
  <c r="I2158" i="6"/>
  <c r="H2158" i="6"/>
  <c r="G2158" i="6"/>
  <c r="F2158" i="6"/>
  <c r="H2157" i="6"/>
  <c r="G2157" i="6"/>
  <c r="F2157" i="6"/>
  <c r="J2156" i="6"/>
  <c r="I2156" i="6"/>
  <c r="H2156" i="6"/>
  <c r="G2156" i="6"/>
  <c r="F2156" i="6"/>
  <c r="I2155" i="6"/>
  <c r="H2155" i="6"/>
  <c r="G2155" i="6"/>
  <c r="F2155" i="6"/>
  <c r="J2154" i="6"/>
  <c r="H2154" i="6"/>
  <c r="I2154" i="6" s="1"/>
  <c r="G2154" i="6"/>
  <c r="F2154" i="6"/>
  <c r="H2153" i="6"/>
  <c r="G2153" i="6"/>
  <c r="F2153" i="6"/>
  <c r="H2152" i="6"/>
  <c r="G2152" i="6"/>
  <c r="F2152" i="6"/>
  <c r="J2151" i="6"/>
  <c r="I2151" i="6"/>
  <c r="H2151" i="6"/>
  <c r="G2151" i="6"/>
  <c r="F2151" i="6"/>
  <c r="H2150" i="6"/>
  <c r="G2150" i="6"/>
  <c r="J2150" i="6" s="1"/>
  <c r="F2150" i="6"/>
  <c r="H2149" i="6"/>
  <c r="G2149" i="6"/>
  <c r="F2149" i="6"/>
  <c r="J2148" i="6"/>
  <c r="I2148" i="6"/>
  <c r="H2148" i="6"/>
  <c r="G2148" i="6"/>
  <c r="F2148" i="6"/>
  <c r="H2147" i="6"/>
  <c r="G2147" i="6"/>
  <c r="I2147" i="6" s="1"/>
  <c r="F2147" i="6"/>
  <c r="H2146" i="6"/>
  <c r="I2146" i="6" s="1"/>
  <c r="G2146" i="6"/>
  <c r="F2146" i="6"/>
  <c r="J2146" i="6" s="1"/>
  <c r="I2145" i="6"/>
  <c r="H2145" i="6"/>
  <c r="G2145" i="6"/>
  <c r="J2145" i="6" s="1"/>
  <c r="F2145" i="6"/>
  <c r="H2144" i="6"/>
  <c r="G2144" i="6"/>
  <c r="F2144" i="6"/>
  <c r="J2143" i="6"/>
  <c r="I2143" i="6"/>
  <c r="H2143" i="6"/>
  <c r="G2143" i="6"/>
  <c r="F2143" i="6"/>
  <c r="I2142" i="6"/>
  <c r="H2142" i="6"/>
  <c r="G2142" i="6"/>
  <c r="J2142" i="6" s="1"/>
  <c r="F2142" i="6"/>
  <c r="H2141" i="6"/>
  <c r="G2141" i="6"/>
  <c r="F2141" i="6"/>
  <c r="I2140" i="6"/>
  <c r="H2140" i="6"/>
  <c r="J2140" i="6" s="1"/>
  <c r="G2140" i="6"/>
  <c r="F2140" i="6"/>
  <c r="I2139" i="6"/>
  <c r="H2139" i="6"/>
  <c r="G2139" i="6"/>
  <c r="F2139" i="6"/>
  <c r="H2138" i="6"/>
  <c r="I2138" i="6" s="1"/>
  <c r="G2138" i="6"/>
  <c r="F2138" i="6"/>
  <c r="J2138" i="6" s="1"/>
  <c r="J2137" i="6"/>
  <c r="I2137" i="6"/>
  <c r="H2137" i="6"/>
  <c r="G2137" i="6"/>
  <c r="F2137" i="6"/>
  <c r="H2136" i="6"/>
  <c r="G2136" i="6"/>
  <c r="F2136" i="6"/>
  <c r="J2135" i="6"/>
  <c r="I2135" i="6"/>
  <c r="H2135" i="6"/>
  <c r="G2135" i="6"/>
  <c r="F2135" i="6"/>
  <c r="H2134" i="6"/>
  <c r="G2134" i="6"/>
  <c r="F2134" i="6"/>
  <c r="H2133" i="6"/>
  <c r="G2133" i="6"/>
  <c r="F2133" i="6"/>
  <c r="H2132" i="6"/>
  <c r="G2132" i="6"/>
  <c r="F2132" i="6"/>
  <c r="H2131" i="6"/>
  <c r="G2131" i="6"/>
  <c r="J2131" i="6" s="1"/>
  <c r="F2131" i="6"/>
  <c r="H2130" i="6"/>
  <c r="I2130" i="6" s="1"/>
  <c r="G2130" i="6"/>
  <c r="F2130" i="6"/>
  <c r="J2130" i="6" s="1"/>
  <c r="H2129" i="6"/>
  <c r="G2129" i="6"/>
  <c r="J2129" i="6" s="1"/>
  <c r="F2129" i="6"/>
  <c r="H2128" i="6"/>
  <c r="G2128" i="6"/>
  <c r="F2128" i="6"/>
  <c r="J2127" i="6"/>
  <c r="I2127" i="6"/>
  <c r="H2127" i="6"/>
  <c r="G2127" i="6"/>
  <c r="F2127" i="6"/>
  <c r="J2126" i="6"/>
  <c r="I2126" i="6"/>
  <c r="H2126" i="6"/>
  <c r="G2126" i="6"/>
  <c r="F2126" i="6"/>
  <c r="H2125" i="6"/>
  <c r="G2125" i="6"/>
  <c r="F2125" i="6"/>
  <c r="J2124" i="6"/>
  <c r="I2124" i="6"/>
  <c r="H2124" i="6"/>
  <c r="G2124" i="6"/>
  <c r="F2124" i="6"/>
  <c r="I2123" i="6"/>
  <c r="H2123" i="6"/>
  <c r="G2123" i="6"/>
  <c r="F2123" i="6"/>
  <c r="J2122" i="6"/>
  <c r="H2122" i="6"/>
  <c r="I2122" i="6" s="1"/>
  <c r="G2122" i="6"/>
  <c r="F2122" i="6"/>
  <c r="H2121" i="6"/>
  <c r="G2121" i="6"/>
  <c r="F2121" i="6"/>
  <c r="H2120" i="6"/>
  <c r="G2120" i="6"/>
  <c r="F2120" i="6"/>
  <c r="J2119" i="6"/>
  <c r="I2119" i="6"/>
  <c r="H2119" i="6"/>
  <c r="G2119" i="6"/>
  <c r="F2119" i="6"/>
  <c r="H2118" i="6"/>
  <c r="G2118" i="6"/>
  <c r="J2118" i="6" s="1"/>
  <c r="F2118" i="6"/>
  <c r="H2117" i="6"/>
  <c r="G2117" i="6"/>
  <c r="F2117" i="6"/>
  <c r="J2116" i="6"/>
  <c r="I2116" i="6"/>
  <c r="H2116" i="6"/>
  <c r="G2116" i="6"/>
  <c r="F2116" i="6"/>
  <c r="H2115" i="6"/>
  <c r="G2115" i="6"/>
  <c r="F2115" i="6"/>
  <c r="H2114" i="6"/>
  <c r="I2114" i="6" s="1"/>
  <c r="G2114" i="6"/>
  <c r="F2114" i="6"/>
  <c r="J2114" i="6" s="1"/>
  <c r="I2113" i="6"/>
  <c r="H2113" i="6"/>
  <c r="G2113" i="6"/>
  <c r="J2113" i="6" s="1"/>
  <c r="F2113" i="6"/>
  <c r="H2112" i="6"/>
  <c r="G2112" i="6"/>
  <c r="F2112" i="6"/>
  <c r="J2111" i="6"/>
  <c r="I2111" i="6"/>
  <c r="H2111" i="6"/>
  <c r="G2111" i="6"/>
  <c r="F2111" i="6"/>
  <c r="I2110" i="6"/>
  <c r="H2110" i="6"/>
  <c r="G2110" i="6"/>
  <c r="F2110" i="6"/>
  <c r="H2109" i="6"/>
  <c r="G2109" i="6"/>
  <c r="F2109" i="6"/>
  <c r="I2108" i="6"/>
  <c r="H2108" i="6"/>
  <c r="J2108" i="6" s="1"/>
  <c r="G2108" i="6"/>
  <c r="F2108" i="6"/>
  <c r="I2107" i="6"/>
  <c r="H2107" i="6"/>
  <c r="G2107" i="6"/>
  <c r="F2107" i="6"/>
  <c r="H2106" i="6"/>
  <c r="I2106" i="6" s="1"/>
  <c r="G2106" i="6"/>
  <c r="F2106" i="6"/>
  <c r="J2106" i="6" s="1"/>
  <c r="J2105" i="6"/>
  <c r="I2105" i="6"/>
  <c r="H2105" i="6"/>
  <c r="G2105" i="6"/>
  <c r="F2105" i="6"/>
  <c r="H2104" i="6"/>
  <c r="G2104" i="6"/>
  <c r="F2104" i="6"/>
  <c r="H2103" i="6"/>
  <c r="G2103" i="6"/>
  <c r="J2103" i="6" s="1"/>
  <c r="F2103" i="6"/>
  <c r="I2102" i="6"/>
  <c r="H2102" i="6"/>
  <c r="G2102" i="6"/>
  <c r="J2102" i="6" s="1"/>
  <c r="F2102" i="6"/>
  <c r="H2101" i="6"/>
  <c r="G2101" i="6"/>
  <c r="J2101" i="6" s="1"/>
  <c r="F2101" i="6"/>
  <c r="J2100" i="6"/>
  <c r="I2100" i="6"/>
  <c r="H2100" i="6"/>
  <c r="G2100" i="6"/>
  <c r="F2100" i="6"/>
  <c r="I2099" i="6"/>
  <c r="H2099" i="6"/>
  <c r="G2099" i="6"/>
  <c r="F2099" i="6"/>
  <c r="J2098" i="6"/>
  <c r="H2098" i="6"/>
  <c r="I2098" i="6" s="1"/>
  <c r="G2098" i="6"/>
  <c r="F2098" i="6"/>
  <c r="H2097" i="6"/>
  <c r="G2097" i="6"/>
  <c r="F2097" i="6"/>
  <c r="H2096" i="6"/>
  <c r="J2096" i="6" s="1"/>
  <c r="G2096" i="6"/>
  <c r="F2096" i="6"/>
  <c r="H2095" i="6"/>
  <c r="G2095" i="6"/>
  <c r="J2095" i="6" s="1"/>
  <c r="F2095" i="6"/>
  <c r="J2094" i="6"/>
  <c r="H2094" i="6"/>
  <c r="G2094" i="6"/>
  <c r="I2094" i="6" s="1"/>
  <c r="F2094" i="6"/>
  <c r="I2093" i="6"/>
  <c r="H2093" i="6"/>
  <c r="G2093" i="6"/>
  <c r="F2093" i="6"/>
  <c r="I2092" i="6"/>
  <c r="H2092" i="6"/>
  <c r="J2092" i="6" s="1"/>
  <c r="G2092" i="6"/>
  <c r="F2092" i="6"/>
  <c r="H2091" i="6"/>
  <c r="G2091" i="6"/>
  <c r="J2091" i="6" s="1"/>
  <c r="F2091" i="6"/>
  <c r="H2090" i="6"/>
  <c r="I2090" i="6" s="1"/>
  <c r="G2090" i="6"/>
  <c r="F2090" i="6"/>
  <c r="J2090" i="6" s="1"/>
  <c r="H2089" i="6"/>
  <c r="J2089" i="6" s="1"/>
  <c r="G2089" i="6"/>
  <c r="F2089" i="6"/>
  <c r="H2088" i="6"/>
  <c r="G2088" i="6"/>
  <c r="F2088" i="6"/>
  <c r="I2087" i="6"/>
  <c r="H2087" i="6"/>
  <c r="G2087" i="6"/>
  <c r="J2087" i="6" s="1"/>
  <c r="F2087" i="6"/>
  <c r="I2086" i="6"/>
  <c r="H2086" i="6"/>
  <c r="G2086" i="6"/>
  <c r="J2086" i="6" s="1"/>
  <c r="F2086" i="6"/>
  <c r="H2085" i="6"/>
  <c r="G2085" i="6"/>
  <c r="J2085" i="6" s="1"/>
  <c r="F2085" i="6"/>
  <c r="J2084" i="6"/>
  <c r="H2084" i="6"/>
  <c r="I2084" i="6" s="1"/>
  <c r="G2084" i="6"/>
  <c r="F2084" i="6"/>
  <c r="I2083" i="6"/>
  <c r="H2083" i="6"/>
  <c r="G2083" i="6"/>
  <c r="F2083" i="6"/>
  <c r="H2082" i="6"/>
  <c r="J2082" i="6" s="1"/>
  <c r="G2082" i="6"/>
  <c r="F2082" i="6"/>
  <c r="H2081" i="6"/>
  <c r="G2081" i="6"/>
  <c r="J2081" i="6" s="1"/>
  <c r="F2081" i="6"/>
  <c r="J2080" i="6"/>
  <c r="H2080" i="6"/>
  <c r="G2080" i="6"/>
  <c r="I2080" i="6" s="1"/>
  <c r="F2080" i="6"/>
  <c r="I2079" i="6"/>
  <c r="H2079" i="6"/>
  <c r="G2079" i="6"/>
  <c r="J2079" i="6" s="1"/>
  <c r="F2079" i="6"/>
  <c r="H2078" i="6"/>
  <c r="I2078" i="6" s="1"/>
  <c r="G2078" i="6"/>
  <c r="J2078" i="6" s="1"/>
  <c r="F2078" i="6"/>
  <c r="J2077" i="6"/>
  <c r="I2077" i="6"/>
  <c r="H2077" i="6"/>
  <c r="G2077" i="6"/>
  <c r="F2077" i="6"/>
  <c r="H2076" i="6"/>
  <c r="G2076" i="6"/>
  <c r="F2076" i="6"/>
  <c r="I2075" i="6"/>
  <c r="H2075" i="6"/>
  <c r="G2075" i="6"/>
  <c r="F2075" i="6"/>
  <c r="I2074" i="6"/>
  <c r="H2074" i="6"/>
  <c r="J2074" i="6" s="1"/>
  <c r="G2074" i="6"/>
  <c r="F2074" i="6"/>
  <c r="H2073" i="6"/>
  <c r="I2073" i="6" s="1"/>
  <c r="G2073" i="6"/>
  <c r="F2073" i="6"/>
  <c r="H2072" i="6"/>
  <c r="G2072" i="6"/>
  <c r="I2072" i="6" s="1"/>
  <c r="F2072" i="6"/>
  <c r="H2071" i="6"/>
  <c r="G2071" i="6"/>
  <c r="F2071" i="6"/>
  <c r="J2070" i="6"/>
  <c r="I2070" i="6"/>
  <c r="H2070" i="6"/>
  <c r="G2070" i="6"/>
  <c r="F2070" i="6"/>
  <c r="I2069" i="6"/>
  <c r="H2069" i="6"/>
  <c r="G2069" i="6"/>
  <c r="J2069" i="6" s="1"/>
  <c r="F2069" i="6"/>
  <c r="H2068" i="6"/>
  <c r="I2068" i="6" s="1"/>
  <c r="G2068" i="6"/>
  <c r="J2068" i="6" s="1"/>
  <c r="F2068" i="6"/>
  <c r="H2067" i="6"/>
  <c r="G2067" i="6"/>
  <c r="J2067" i="6" s="1"/>
  <c r="F2067" i="6"/>
  <c r="I2066" i="6"/>
  <c r="H2066" i="6"/>
  <c r="G2066" i="6"/>
  <c r="F2066" i="6"/>
  <c r="J2066" i="6" s="1"/>
  <c r="J2065" i="6"/>
  <c r="I2065" i="6"/>
  <c r="H2065" i="6"/>
  <c r="G2065" i="6"/>
  <c r="F2065" i="6"/>
  <c r="H2064" i="6"/>
  <c r="G2064" i="6"/>
  <c r="J2064" i="6" s="1"/>
  <c r="F2064" i="6"/>
  <c r="J2063" i="6"/>
  <c r="H2063" i="6"/>
  <c r="G2063" i="6"/>
  <c r="I2063" i="6" s="1"/>
  <c r="F2063" i="6"/>
  <c r="J2062" i="6"/>
  <c r="H2062" i="6"/>
  <c r="G2062" i="6"/>
  <c r="I2062" i="6" s="1"/>
  <c r="F2062" i="6"/>
  <c r="H2061" i="6"/>
  <c r="G2061" i="6"/>
  <c r="F2061" i="6"/>
  <c r="J2060" i="6"/>
  <c r="I2060" i="6"/>
  <c r="H2060" i="6"/>
  <c r="G2060" i="6"/>
  <c r="F2060" i="6"/>
  <c r="H2059" i="6"/>
  <c r="G2059" i="6"/>
  <c r="I2059" i="6" s="1"/>
  <c r="F2059" i="6"/>
  <c r="J2058" i="6"/>
  <c r="H2058" i="6"/>
  <c r="G2058" i="6"/>
  <c r="I2058" i="6" s="1"/>
  <c r="F2058" i="6"/>
  <c r="J2057" i="6"/>
  <c r="H2057" i="6"/>
  <c r="G2057" i="6"/>
  <c r="I2057" i="6" s="1"/>
  <c r="F2057" i="6"/>
  <c r="H2056" i="6"/>
  <c r="G2056" i="6"/>
  <c r="F2056" i="6"/>
  <c r="J2055" i="6"/>
  <c r="I2055" i="6"/>
  <c r="H2055" i="6"/>
  <c r="G2055" i="6"/>
  <c r="F2055" i="6"/>
  <c r="I2054" i="6"/>
  <c r="H2054" i="6"/>
  <c r="G2054" i="6"/>
  <c r="J2054" i="6" s="1"/>
  <c r="F2054" i="6"/>
  <c r="H2053" i="6"/>
  <c r="I2053" i="6" s="1"/>
  <c r="G2053" i="6"/>
  <c r="F2053" i="6"/>
  <c r="H2052" i="6"/>
  <c r="J2052" i="6" s="1"/>
  <c r="G2052" i="6"/>
  <c r="F2052" i="6"/>
  <c r="H2051" i="6"/>
  <c r="J2051" i="6" s="1"/>
  <c r="G2051" i="6"/>
  <c r="I2051" i="6" s="1"/>
  <c r="F2051" i="6"/>
  <c r="J2050" i="6"/>
  <c r="H2050" i="6"/>
  <c r="G2050" i="6"/>
  <c r="I2050" i="6" s="1"/>
  <c r="F2050" i="6"/>
  <c r="J2049" i="6"/>
  <c r="H2049" i="6"/>
  <c r="G2049" i="6"/>
  <c r="I2049" i="6" s="1"/>
  <c r="F2049" i="6"/>
  <c r="H2048" i="6"/>
  <c r="G2048" i="6"/>
  <c r="F2048" i="6"/>
  <c r="J2047" i="6"/>
  <c r="I2047" i="6"/>
  <c r="H2047" i="6"/>
  <c r="G2047" i="6"/>
  <c r="F2047" i="6"/>
  <c r="I2046" i="6"/>
  <c r="H2046" i="6"/>
  <c r="G2046" i="6"/>
  <c r="J2046" i="6" s="1"/>
  <c r="F2046" i="6"/>
  <c r="H2045" i="6"/>
  <c r="I2045" i="6" s="1"/>
  <c r="G2045" i="6"/>
  <c r="F2045" i="6"/>
  <c r="H2044" i="6"/>
  <c r="J2044" i="6" s="1"/>
  <c r="G2044" i="6"/>
  <c r="F2044" i="6"/>
  <c r="H2043" i="6"/>
  <c r="G2043" i="6"/>
  <c r="F2043" i="6"/>
  <c r="J2042" i="6"/>
  <c r="H2042" i="6"/>
  <c r="G2042" i="6"/>
  <c r="I2042" i="6" s="1"/>
  <c r="F2042" i="6"/>
  <c r="J2041" i="6"/>
  <c r="H2041" i="6"/>
  <c r="G2041" i="6"/>
  <c r="I2041" i="6" s="1"/>
  <c r="F2041" i="6"/>
  <c r="H2040" i="6"/>
  <c r="G2040" i="6"/>
  <c r="F2040" i="6"/>
  <c r="J2039" i="6"/>
  <c r="I2039" i="6"/>
  <c r="H2039" i="6"/>
  <c r="G2039" i="6"/>
  <c r="F2039" i="6"/>
  <c r="I2038" i="6"/>
  <c r="H2038" i="6"/>
  <c r="G2038" i="6"/>
  <c r="J2038" i="6" s="1"/>
  <c r="F2038" i="6"/>
  <c r="H2037" i="6"/>
  <c r="I2037" i="6" s="1"/>
  <c r="G2037" i="6"/>
  <c r="J2037" i="6" s="1"/>
  <c r="F2037" i="6"/>
  <c r="H2036" i="6"/>
  <c r="G2036" i="6"/>
  <c r="F2036" i="6"/>
  <c r="H2035" i="6"/>
  <c r="G2035" i="6"/>
  <c r="F2035" i="6"/>
  <c r="J2034" i="6"/>
  <c r="H2034" i="6"/>
  <c r="G2034" i="6"/>
  <c r="I2034" i="6" s="1"/>
  <c r="F2034" i="6"/>
  <c r="J2033" i="6"/>
  <c r="H2033" i="6"/>
  <c r="G2033" i="6"/>
  <c r="I2033" i="6" s="1"/>
  <c r="F2033" i="6"/>
  <c r="H2032" i="6"/>
  <c r="G2032" i="6"/>
  <c r="F2032" i="6"/>
  <c r="J2031" i="6"/>
  <c r="I2031" i="6"/>
  <c r="H2031" i="6"/>
  <c r="G2031" i="6"/>
  <c r="F2031" i="6"/>
  <c r="I2030" i="6"/>
  <c r="H2030" i="6"/>
  <c r="G2030" i="6"/>
  <c r="J2030" i="6" s="1"/>
  <c r="F2030" i="6"/>
  <c r="H2029" i="6"/>
  <c r="I2029" i="6" s="1"/>
  <c r="G2029" i="6"/>
  <c r="J2029" i="6" s="1"/>
  <c r="F2029" i="6"/>
  <c r="H2028" i="6"/>
  <c r="G2028" i="6"/>
  <c r="F2028" i="6"/>
  <c r="H2027" i="6"/>
  <c r="G2027" i="6"/>
  <c r="F2027" i="6"/>
  <c r="J2026" i="6"/>
  <c r="H2026" i="6"/>
  <c r="G2026" i="6"/>
  <c r="I2026" i="6" s="1"/>
  <c r="F2026" i="6"/>
  <c r="H2025" i="6"/>
  <c r="G2025" i="6"/>
  <c r="I2025" i="6" s="1"/>
  <c r="F2025" i="6"/>
  <c r="H2024" i="6"/>
  <c r="G2024" i="6"/>
  <c r="F2024" i="6"/>
  <c r="J2023" i="6"/>
  <c r="I2023" i="6"/>
  <c r="H2023" i="6"/>
  <c r="G2023" i="6"/>
  <c r="F2023" i="6"/>
  <c r="I2022" i="6"/>
  <c r="H2022" i="6"/>
  <c r="G2022" i="6"/>
  <c r="J2022" i="6" s="1"/>
  <c r="F2022" i="6"/>
  <c r="H2021" i="6"/>
  <c r="I2021" i="6" s="1"/>
  <c r="G2021" i="6"/>
  <c r="J2021" i="6" s="1"/>
  <c r="F2021" i="6"/>
  <c r="H2020" i="6"/>
  <c r="G2020" i="6"/>
  <c r="F2020" i="6"/>
  <c r="H2019" i="6"/>
  <c r="G2019" i="6"/>
  <c r="F2019" i="6"/>
  <c r="J2018" i="6"/>
  <c r="H2018" i="6"/>
  <c r="G2018" i="6"/>
  <c r="I2018" i="6" s="1"/>
  <c r="F2018" i="6"/>
  <c r="H2017" i="6"/>
  <c r="G2017" i="6"/>
  <c r="I2017" i="6" s="1"/>
  <c r="F2017" i="6"/>
  <c r="H2016" i="6"/>
  <c r="G2016" i="6"/>
  <c r="F2016" i="6"/>
  <c r="J2015" i="6"/>
  <c r="I2015" i="6"/>
  <c r="H2015" i="6"/>
  <c r="G2015" i="6"/>
  <c r="F2015" i="6"/>
  <c r="I2014" i="6"/>
  <c r="H2014" i="6"/>
  <c r="G2014" i="6"/>
  <c r="F2014" i="6"/>
  <c r="H2013" i="6"/>
  <c r="I2013" i="6" s="1"/>
  <c r="G2013" i="6"/>
  <c r="J2013" i="6" s="1"/>
  <c r="F2013" i="6"/>
  <c r="H2012" i="6"/>
  <c r="G2012" i="6"/>
  <c r="F2012" i="6"/>
  <c r="H2011" i="6"/>
  <c r="G2011" i="6"/>
  <c r="J2011" i="6" s="1"/>
  <c r="F2011" i="6"/>
  <c r="J2010" i="6"/>
  <c r="H2010" i="6"/>
  <c r="G2010" i="6"/>
  <c r="I2010" i="6" s="1"/>
  <c r="F2010" i="6"/>
  <c r="H2009" i="6"/>
  <c r="G2009" i="6"/>
  <c r="I2009" i="6" s="1"/>
  <c r="F2009" i="6"/>
  <c r="H2008" i="6"/>
  <c r="G2008" i="6"/>
  <c r="F2008" i="6"/>
  <c r="J2007" i="6"/>
  <c r="I2007" i="6"/>
  <c r="H2007" i="6"/>
  <c r="G2007" i="6"/>
  <c r="F2007" i="6"/>
  <c r="I2006" i="6"/>
  <c r="H2006" i="6"/>
  <c r="G2006" i="6"/>
  <c r="F2006" i="6"/>
  <c r="H2005" i="6"/>
  <c r="I2005" i="6" s="1"/>
  <c r="G2005" i="6"/>
  <c r="F2005" i="6"/>
  <c r="H2004" i="6"/>
  <c r="G2004" i="6"/>
  <c r="F2004" i="6"/>
  <c r="H2003" i="6"/>
  <c r="G2003" i="6"/>
  <c r="J2003" i="6" s="1"/>
  <c r="F2003" i="6"/>
  <c r="J2002" i="6"/>
  <c r="H2002" i="6"/>
  <c r="G2002" i="6"/>
  <c r="I2002" i="6" s="1"/>
  <c r="F2002" i="6"/>
  <c r="H2001" i="6"/>
  <c r="G2001" i="6"/>
  <c r="I2001" i="6" s="1"/>
  <c r="F2001" i="6"/>
  <c r="H2000" i="6"/>
  <c r="G2000" i="6"/>
  <c r="F2000" i="6"/>
  <c r="J1999" i="6"/>
  <c r="I1999" i="6"/>
  <c r="H1999" i="6"/>
  <c r="G1999" i="6"/>
  <c r="F1999" i="6"/>
  <c r="I1998" i="6"/>
  <c r="H1998" i="6"/>
  <c r="G1998" i="6"/>
  <c r="F1998" i="6"/>
  <c r="H1997" i="6"/>
  <c r="I1997" i="6" s="1"/>
  <c r="G1997" i="6"/>
  <c r="F1997" i="6"/>
  <c r="H1996" i="6"/>
  <c r="G1996" i="6"/>
  <c r="F1996" i="6"/>
  <c r="H1995" i="6"/>
  <c r="G1995" i="6"/>
  <c r="J1995" i="6" s="1"/>
  <c r="F1995" i="6"/>
  <c r="J1994" i="6"/>
  <c r="H1994" i="6"/>
  <c r="G1994" i="6"/>
  <c r="I1994" i="6" s="1"/>
  <c r="F1994" i="6"/>
  <c r="J1993" i="6"/>
  <c r="H1993" i="6"/>
  <c r="G1993" i="6"/>
  <c r="I1993" i="6" s="1"/>
  <c r="F1993" i="6"/>
  <c r="H1992" i="6"/>
  <c r="G1992" i="6"/>
  <c r="F1992" i="6"/>
  <c r="J1991" i="6"/>
  <c r="I1991" i="6"/>
  <c r="H1991" i="6"/>
  <c r="G1991" i="6"/>
  <c r="F1991" i="6"/>
  <c r="I1990" i="6"/>
  <c r="H1990" i="6"/>
  <c r="G1990" i="6"/>
  <c r="F1990" i="6"/>
  <c r="H1989" i="6"/>
  <c r="I1989" i="6" s="1"/>
  <c r="G1989" i="6"/>
  <c r="F1989" i="6"/>
  <c r="H1988" i="6"/>
  <c r="G1988" i="6"/>
  <c r="F1988" i="6"/>
  <c r="H1987" i="6"/>
  <c r="J1987" i="6" s="1"/>
  <c r="G1987" i="6"/>
  <c r="I1987" i="6" s="1"/>
  <c r="F1987" i="6"/>
  <c r="J1986" i="6"/>
  <c r="H1986" i="6"/>
  <c r="G1986" i="6"/>
  <c r="I1986" i="6" s="1"/>
  <c r="F1986" i="6"/>
  <c r="J1985" i="6"/>
  <c r="H1985" i="6"/>
  <c r="G1985" i="6"/>
  <c r="I1985" i="6" s="1"/>
  <c r="F1985" i="6"/>
  <c r="H1984" i="6"/>
  <c r="G1984" i="6"/>
  <c r="F1984" i="6"/>
  <c r="J1983" i="6"/>
  <c r="I1983" i="6"/>
  <c r="H1983" i="6"/>
  <c r="G1983" i="6"/>
  <c r="F1983" i="6"/>
  <c r="I1982" i="6"/>
  <c r="H1982" i="6"/>
  <c r="G1982" i="6"/>
  <c r="J1982" i="6" s="1"/>
  <c r="F1982" i="6"/>
  <c r="H1981" i="6"/>
  <c r="I1981" i="6" s="1"/>
  <c r="G1981" i="6"/>
  <c r="F1981" i="6"/>
  <c r="H1980" i="6"/>
  <c r="G1980" i="6"/>
  <c r="F1980" i="6"/>
  <c r="H1979" i="6"/>
  <c r="J1979" i="6" s="1"/>
  <c r="G1979" i="6"/>
  <c r="F1979" i="6"/>
  <c r="J1978" i="6"/>
  <c r="H1978" i="6"/>
  <c r="G1978" i="6"/>
  <c r="I1978" i="6" s="1"/>
  <c r="F1978" i="6"/>
  <c r="J1977" i="6"/>
  <c r="H1977" i="6"/>
  <c r="G1977" i="6"/>
  <c r="I1977" i="6" s="1"/>
  <c r="F1977" i="6"/>
  <c r="H1976" i="6"/>
  <c r="G1976" i="6"/>
  <c r="F1976" i="6"/>
  <c r="J1975" i="6"/>
  <c r="I1975" i="6"/>
  <c r="H1975" i="6"/>
  <c r="G1975" i="6"/>
  <c r="F1975" i="6"/>
  <c r="I1974" i="6"/>
  <c r="H1974" i="6"/>
  <c r="G1974" i="6"/>
  <c r="J1974" i="6" s="1"/>
  <c r="F1974" i="6"/>
  <c r="H1973" i="6"/>
  <c r="I1973" i="6" s="1"/>
  <c r="G1973" i="6"/>
  <c r="J1973" i="6" s="1"/>
  <c r="F1973" i="6"/>
  <c r="H1972" i="6"/>
  <c r="G1972" i="6"/>
  <c r="F1972" i="6"/>
  <c r="H1971" i="6"/>
  <c r="J1971" i="6" s="1"/>
  <c r="G1971" i="6"/>
  <c r="F1971" i="6"/>
  <c r="J1970" i="6"/>
  <c r="H1970" i="6"/>
  <c r="G1970" i="6"/>
  <c r="I1970" i="6" s="1"/>
  <c r="F1970" i="6"/>
  <c r="J1969" i="6"/>
  <c r="H1969" i="6"/>
  <c r="G1969" i="6"/>
  <c r="I1969" i="6" s="1"/>
  <c r="F1969" i="6"/>
  <c r="H1968" i="6"/>
  <c r="G1968" i="6"/>
  <c r="F1968" i="6"/>
  <c r="J1967" i="6"/>
  <c r="I1967" i="6"/>
  <c r="H1967" i="6"/>
  <c r="G1967" i="6"/>
  <c r="F1967" i="6"/>
  <c r="I1966" i="6"/>
  <c r="H1966" i="6"/>
  <c r="G1966" i="6"/>
  <c r="J1966" i="6" s="1"/>
  <c r="F1966" i="6"/>
  <c r="H1965" i="6"/>
  <c r="I1965" i="6" s="1"/>
  <c r="G1965" i="6"/>
  <c r="J1965" i="6" s="1"/>
  <c r="F1965" i="6"/>
  <c r="H1964" i="6"/>
  <c r="G1964" i="6"/>
  <c r="F1964" i="6"/>
  <c r="H1963" i="6"/>
  <c r="J1963" i="6" s="1"/>
  <c r="G1963" i="6"/>
  <c r="F1963" i="6"/>
  <c r="J1962" i="6"/>
  <c r="H1962" i="6"/>
  <c r="G1962" i="6"/>
  <c r="I1962" i="6" s="1"/>
  <c r="F1962" i="6"/>
  <c r="H1961" i="6"/>
  <c r="G1961" i="6"/>
  <c r="I1961" i="6" s="1"/>
  <c r="F1961" i="6"/>
  <c r="H1960" i="6"/>
  <c r="G1960" i="6"/>
  <c r="F1960" i="6"/>
  <c r="J1959" i="6"/>
  <c r="I1959" i="6"/>
  <c r="H1959" i="6"/>
  <c r="G1959" i="6"/>
  <c r="F1959" i="6"/>
  <c r="I1958" i="6"/>
  <c r="H1958" i="6"/>
  <c r="G1958" i="6"/>
  <c r="J1958" i="6" s="1"/>
  <c r="F1958" i="6"/>
  <c r="H1957" i="6"/>
  <c r="I1957" i="6" s="1"/>
  <c r="G1957" i="6"/>
  <c r="J1957" i="6" s="1"/>
  <c r="F1957" i="6"/>
  <c r="H1956" i="6"/>
  <c r="G1956" i="6"/>
  <c r="F1956" i="6"/>
  <c r="H1955" i="6"/>
  <c r="G1955" i="6"/>
  <c r="F1955" i="6"/>
  <c r="J1954" i="6"/>
  <c r="H1954" i="6"/>
  <c r="G1954" i="6"/>
  <c r="I1954" i="6" s="1"/>
  <c r="F1954" i="6"/>
  <c r="H1953" i="6"/>
  <c r="G1953" i="6"/>
  <c r="I1953" i="6" s="1"/>
  <c r="F1953" i="6"/>
  <c r="H1952" i="6"/>
  <c r="G1952" i="6"/>
  <c r="F1952" i="6"/>
  <c r="J1951" i="6"/>
  <c r="I1951" i="6"/>
  <c r="H1951" i="6"/>
  <c r="G1951" i="6"/>
  <c r="F1951" i="6"/>
  <c r="I1950" i="6"/>
  <c r="H1950" i="6"/>
  <c r="G1950" i="6"/>
  <c r="F1950" i="6"/>
  <c r="H1949" i="6"/>
  <c r="I1949" i="6" s="1"/>
  <c r="G1949" i="6"/>
  <c r="J1949" i="6" s="1"/>
  <c r="F1949" i="6"/>
  <c r="H1948" i="6"/>
  <c r="J1948" i="6" s="1"/>
  <c r="G1948" i="6"/>
  <c r="F1948" i="6"/>
  <c r="H1947" i="6"/>
  <c r="G1947" i="6"/>
  <c r="F1947" i="6"/>
  <c r="J1946" i="6"/>
  <c r="H1946" i="6"/>
  <c r="G1946" i="6"/>
  <c r="I1946" i="6" s="1"/>
  <c r="F1946" i="6"/>
  <c r="H1945" i="6"/>
  <c r="J1945" i="6" s="1"/>
  <c r="G1945" i="6"/>
  <c r="F1945" i="6"/>
  <c r="H1944" i="6"/>
  <c r="G1944" i="6"/>
  <c r="F1944" i="6"/>
  <c r="J1943" i="6"/>
  <c r="I1943" i="6"/>
  <c r="H1943" i="6"/>
  <c r="G1943" i="6"/>
  <c r="F1943" i="6"/>
  <c r="H1942" i="6"/>
  <c r="G1942" i="6"/>
  <c r="J1942" i="6" s="1"/>
  <c r="F1942" i="6"/>
  <c r="H1941" i="6"/>
  <c r="I1941" i="6" s="1"/>
  <c r="G1941" i="6"/>
  <c r="J1941" i="6" s="1"/>
  <c r="F1941" i="6"/>
  <c r="I1940" i="6"/>
  <c r="H1940" i="6"/>
  <c r="J1940" i="6" s="1"/>
  <c r="G1940" i="6"/>
  <c r="F1940" i="6"/>
  <c r="H1939" i="6"/>
  <c r="G1939" i="6"/>
  <c r="F1939" i="6"/>
  <c r="J1938" i="6"/>
  <c r="H1938" i="6"/>
  <c r="G1938" i="6"/>
  <c r="I1938" i="6" s="1"/>
  <c r="F1938" i="6"/>
  <c r="J1937" i="6"/>
  <c r="H1937" i="6"/>
  <c r="G1937" i="6"/>
  <c r="I1937" i="6" s="1"/>
  <c r="F1937" i="6"/>
  <c r="H1936" i="6"/>
  <c r="G1936" i="6"/>
  <c r="F1936" i="6"/>
  <c r="J1935" i="6"/>
  <c r="I1935" i="6"/>
  <c r="H1935" i="6"/>
  <c r="G1935" i="6"/>
  <c r="F1935" i="6"/>
  <c r="H1934" i="6"/>
  <c r="G1934" i="6"/>
  <c r="J1934" i="6" s="1"/>
  <c r="F1934" i="6"/>
  <c r="H1933" i="6"/>
  <c r="I1933" i="6" s="1"/>
  <c r="G1933" i="6"/>
  <c r="F1933" i="6"/>
  <c r="I1932" i="6"/>
  <c r="H1932" i="6"/>
  <c r="J1932" i="6" s="1"/>
  <c r="G1932" i="6"/>
  <c r="F1932" i="6"/>
  <c r="H1931" i="6"/>
  <c r="G1931" i="6"/>
  <c r="I1931" i="6" s="1"/>
  <c r="F1931" i="6"/>
  <c r="J1930" i="6"/>
  <c r="H1930" i="6"/>
  <c r="G1930" i="6"/>
  <c r="I1930" i="6" s="1"/>
  <c r="F1930" i="6"/>
  <c r="H1929" i="6"/>
  <c r="G1929" i="6"/>
  <c r="I1929" i="6" s="1"/>
  <c r="F1929" i="6"/>
  <c r="H1928" i="6"/>
  <c r="G1928" i="6"/>
  <c r="F1928" i="6"/>
  <c r="J1927" i="6"/>
  <c r="I1927" i="6"/>
  <c r="H1927" i="6"/>
  <c r="G1927" i="6"/>
  <c r="F1927" i="6"/>
  <c r="I1926" i="6"/>
  <c r="H1926" i="6"/>
  <c r="G1926" i="6"/>
  <c r="F1926" i="6"/>
  <c r="H1925" i="6"/>
  <c r="I1925" i="6" s="1"/>
  <c r="G1925" i="6"/>
  <c r="F1925" i="6"/>
  <c r="H1924" i="6"/>
  <c r="J1924" i="6" s="1"/>
  <c r="G1924" i="6"/>
  <c r="F1924" i="6"/>
  <c r="H1923" i="6"/>
  <c r="J1923" i="6" s="1"/>
  <c r="G1923" i="6"/>
  <c r="F1923" i="6"/>
  <c r="J1922" i="6"/>
  <c r="H1922" i="6"/>
  <c r="G1922" i="6"/>
  <c r="I1922" i="6" s="1"/>
  <c r="F1922" i="6"/>
  <c r="H1921" i="6"/>
  <c r="G1921" i="6"/>
  <c r="F1921" i="6"/>
  <c r="H1920" i="6"/>
  <c r="G1920" i="6"/>
  <c r="F1920" i="6"/>
  <c r="J1919" i="6"/>
  <c r="I1919" i="6"/>
  <c r="H1919" i="6"/>
  <c r="G1919" i="6"/>
  <c r="F1919" i="6"/>
  <c r="I1918" i="6"/>
  <c r="H1918" i="6"/>
  <c r="G1918" i="6"/>
  <c r="F1918" i="6"/>
  <c r="H1917" i="6"/>
  <c r="I1917" i="6" s="1"/>
  <c r="G1917" i="6"/>
  <c r="J1917" i="6" s="1"/>
  <c r="F1917" i="6"/>
  <c r="H1916" i="6"/>
  <c r="J1916" i="6" s="1"/>
  <c r="G1916" i="6"/>
  <c r="F1916" i="6"/>
  <c r="H1915" i="6"/>
  <c r="J1915" i="6" s="1"/>
  <c r="G1915" i="6"/>
  <c r="F1915" i="6"/>
  <c r="J1914" i="6"/>
  <c r="H1914" i="6"/>
  <c r="G1914" i="6"/>
  <c r="I1914" i="6" s="1"/>
  <c r="F1914" i="6"/>
  <c r="H1913" i="6"/>
  <c r="J1913" i="6" s="1"/>
  <c r="G1913" i="6"/>
  <c r="F1913" i="6"/>
  <c r="H1912" i="6"/>
  <c r="G1912" i="6"/>
  <c r="F1912" i="6"/>
  <c r="J1911" i="6"/>
  <c r="I1911" i="6"/>
  <c r="H1911" i="6"/>
  <c r="G1911" i="6"/>
  <c r="F1911" i="6"/>
  <c r="H1910" i="6"/>
  <c r="G1910" i="6"/>
  <c r="J1910" i="6" s="1"/>
  <c r="F1910" i="6"/>
  <c r="H1909" i="6"/>
  <c r="I1909" i="6" s="1"/>
  <c r="G1909" i="6"/>
  <c r="J1909" i="6" s="1"/>
  <c r="F1909" i="6"/>
  <c r="I1908" i="6"/>
  <c r="H1908" i="6"/>
  <c r="J1908" i="6" s="1"/>
  <c r="G1908" i="6"/>
  <c r="F1908" i="6"/>
  <c r="H1907" i="6"/>
  <c r="G1907" i="6"/>
  <c r="I1907" i="6" s="1"/>
  <c r="F1907" i="6"/>
  <c r="J1906" i="6"/>
  <c r="H1906" i="6"/>
  <c r="G1906" i="6"/>
  <c r="I1906" i="6" s="1"/>
  <c r="F1906" i="6"/>
  <c r="J1905" i="6"/>
  <c r="H1905" i="6"/>
  <c r="G1905" i="6"/>
  <c r="I1905" i="6" s="1"/>
  <c r="F1905" i="6"/>
  <c r="H1904" i="6"/>
  <c r="G1904" i="6"/>
  <c r="F1904" i="6"/>
  <c r="J1903" i="6"/>
  <c r="I1903" i="6"/>
  <c r="H1903" i="6"/>
  <c r="G1903" i="6"/>
  <c r="F1903" i="6"/>
  <c r="H1902" i="6"/>
  <c r="G1902" i="6"/>
  <c r="J1902" i="6" s="1"/>
  <c r="F1902" i="6"/>
  <c r="H1901" i="6"/>
  <c r="I1901" i="6" s="1"/>
  <c r="G1901" i="6"/>
  <c r="F1901" i="6"/>
  <c r="I1900" i="6"/>
  <c r="H1900" i="6"/>
  <c r="J1900" i="6" s="1"/>
  <c r="G1900" i="6"/>
  <c r="F1900" i="6"/>
  <c r="H1899" i="6"/>
  <c r="G1899" i="6"/>
  <c r="I1899" i="6" s="1"/>
  <c r="F1899" i="6"/>
  <c r="J1898" i="6"/>
  <c r="H1898" i="6"/>
  <c r="G1898" i="6"/>
  <c r="I1898" i="6" s="1"/>
  <c r="F1898" i="6"/>
  <c r="H1897" i="6"/>
  <c r="G1897" i="6"/>
  <c r="I1897" i="6" s="1"/>
  <c r="F1897" i="6"/>
  <c r="H1896" i="6"/>
  <c r="G1896" i="6"/>
  <c r="F1896" i="6"/>
  <c r="J1895" i="6"/>
  <c r="I1895" i="6"/>
  <c r="H1895" i="6"/>
  <c r="G1895" i="6"/>
  <c r="F1895" i="6"/>
  <c r="I1894" i="6"/>
  <c r="H1894" i="6"/>
  <c r="G1894" i="6"/>
  <c r="F1894" i="6"/>
  <c r="I1893" i="6"/>
  <c r="H1893" i="6"/>
  <c r="G1893" i="6"/>
  <c r="J1893" i="6" s="1"/>
  <c r="F1893" i="6"/>
  <c r="H1892" i="6"/>
  <c r="J1892" i="6" s="1"/>
  <c r="G1892" i="6"/>
  <c r="F1892" i="6"/>
  <c r="J1891" i="6"/>
  <c r="H1891" i="6"/>
  <c r="G1891" i="6"/>
  <c r="I1891" i="6" s="1"/>
  <c r="F1891" i="6"/>
  <c r="H1890" i="6"/>
  <c r="J1890" i="6" s="1"/>
  <c r="G1890" i="6"/>
  <c r="F1890" i="6"/>
  <c r="H1889" i="6"/>
  <c r="J1889" i="6" s="1"/>
  <c r="G1889" i="6"/>
  <c r="I1889" i="6" s="1"/>
  <c r="F1889" i="6"/>
  <c r="J1888" i="6"/>
  <c r="H1888" i="6"/>
  <c r="G1888" i="6"/>
  <c r="I1888" i="6" s="1"/>
  <c r="F1888" i="6"/>
  <c r="H1887" i="6"/>
  <c r="G1887" i="6"/>
  <c r="J1887" i="6" s="1"/>
  <c r="F1887" i="6"/>
  <c r="H1886" i="6"/>
  <c r="I1886" i="6" s="1"/>
  <c r="G1886" i="6"/>
  <c r="F1886" i="6"/>
  <c r="H1885" i="6"/>
  <c r="I1885" i="6" s="1"/>
  <c r="G1885" i="6"/>
  <c r="J1885" i="6" s="1"/>
  <c r="F1885" i="6"/>
  <c r="J1884" i="6"/>
  <c r="I1884" i="6"/>
  <c r="H1884" i="6"/>
  <c r="G1884" i="6"/>
  <c r="F1884" i="6"/>
  <c r="H1883" i="6"/>
  <c r="J1883" i="6" s="1"/>
  <c r="G1883" i="6"/>
  <c r="F1883" i="6"/>
  <c r="H1882" i="6"/>
  <c r="G1882" i="6"/>
  <c r="I1882" i="6" s="1"/>
  <c r="F1882" i="6"/>
  <c r="I1881" i="6"/>
  <c r="H1881" i="6"/>
  <c r="G1881" i="6"/>
  <c r="J1881" i="6" s="1"/>
  <c r="F1881" i="6"/>
  <c r="I1880" i="6"/>
  <c r="H1880" i="6"/>
  <c r="G1880" i="6"/>
  <c r="J1880" i="6" s="1"/>
  <c r="F1880" i="6"/>
  <c r="I1879" i="6"/>
  <c r="H1879" i="6"/>
  <c r="G1879" i="6"/>
  <c r="F1879" i="6"/>
  <c r="J1879" i="6" s="1"/>
  <c r="H1878" i="6"/>
  <c r="G1878" i="6"/>
  <c r="J1878" i="6" s="1"/>
  <c r="F1878" i="6"/>
  <c r="H1877" i="6"/>
  <c r="I1877" i="6" s="1"/>
  <c r="G1877" i="6"/>
  <c r="F1877" i="6"/>
  <c r="H1876" i="6"/>
  <c r="J1876" i="6" s="1"/>
  <c r="G1876" i="6"/>
  <c r="F1876" i="6"/>
  <c r="H1875" i="6"/>
  <c r="G1875" i="6"/>
  <c r="I1875" i="6" s="1"/>
  <c r="F1875" i="6"/>
  <c r="H1874" i="6"/>
  <c r="J1874" i="6" s="1"/>
  <c r="G1874" i="6"/>
  <c r="F1874" i="6"/>
  <c r="H1873" i="6"/>
  <c r="J1873" i="6" s="1"/>
  <c r="G1873" i="6"/>
  <c r="I1873" i="6" s="1"/>
  <c r="F1873" i="6"/>
  <c r="J1872" i="6"/>
  <c r="H1872" i="6"/>
  <c r="G1872" i="6"/>
  <c r="I1872" i="6" s="1"/>
  <c r="F1872" i="6"/>
  <c r="H1871" i="6"/>
  <c r="G1871" i="6"/>
  <c r="J1871" i="6" s="1"/>
  <c r="F1871" i="6"/>
  <c r="H1870" i="6"/>
  <c r="I1870" i="6" s="1"/>
  <c r="G1870" i="6"/>
  <c r="F1870" i="6"/>
  <c r="H1869" i="6"/>
  <c r="I1869" i="6" s="1"/>
  <c r="G1869" i="6"/>
  <c r="J1869" i="6" s="1"/>
  <c r="F1869" i="6"/>
  <c r="J1868" i="6"/>
  <c r="I1868" i="6"/>
  <c r="H1868" i="6"/>
  <c r="G1868" i="6"/>
  <c r="F1868" i="6"/>
  <c r="H1867" i="6"/>
  <c r="J1867" i="6" s="1"/>
  <c r="G1867" i="6"/>
  <c r="F1867" i="6"/>
  <c r="H1866" i="6"/>
  <c r="G1866" i="6"/>
  <c r="I1866" i="6" s="1"/>
  <c r="F1866" i="6"/>
  <c r="I1865" i="6"/>
  <c r="H1865" i="6"/>
  <c r="G1865" i="6"/>
  <c r="J1865" i="6" s="1"/>
  <c r="F1865" i="6"/>
  <c r="I1864" i="6"/>
  <c r="H1864" i="6"/>
  <c r="G1864" i="6"/>
  <c r="J1864" i="6" s="1"/>
  <c r="F1864" i="6"/>
  <c r="I1863" i="6"/>
  <c r="H1863" i="6"/>
  <c r="G1863" i="6"/>
  <c r="J1863" i="6" s="1"/>
  <c r="F1863" i="6"/>
  <c r="H1862" i="6"/>
  <c r="G1862" i="6"/>
  <c r="J1862" i="6" s="1"/>
  <c r="F1862" i="6"/>
  <c r="H1861" i="6"/>
  <c r="G1861" i="6"/>
  <c r="J1861" i="6" s="1"/>
  <c r="F1861" i="6"/>
  <c r="I1860" i="6"/>
  <c r="H1860" i="6"/>
  <c r="J1860" i="6" s="1"/>
  <c r="G1860" i="6"/>
  <c r="F1860" i="6"/>
  <c r="I1859" i="6"/>
  <c r="H1859" i="6"/>
  <c r="G1859" i="6"/>
  <c r="F1859" i="6"/>
  <c r="J1859" i="6" s="1"/>
  <c r="H1858" i="6"/>
  <c r="G1858" i="6"/>
  <c r="I1858" i="6" s="1"/>
  <c r="F1858" i="6"/>
  <c r="H1857" i="6"/>
  <c r="G1857" i="6"/>
  <c r="J1857" i="6" s="1"/>
  <c r="F1857" i="6"/>
  <c r="H1856" i="6"/>
  <c r="G1856" i="6"/>
  <c r="J1856" i="6" s="1"/>
  <c r="F1856" i="6"/>
  <c r="I1855" i="6"/>
  <c r="H1855" i="6"/>
  <c r="G1855" i="6"/>
  <c r="J1855" i="6" s="1"/>
  <c r="F1855" i="6"/>
  <c r="I1854" i="6"/>
  <c r="H1854" i="6"/>
  <c r="G1854" i="6"/>
  <c r="J1854" i="6" s="1"/>
  <c r="F1854" i="6"/>
  <c r="H1853" i="6"/>
  <c r="G1853" i="6"/>
  <c r="J1853" i="6" s="1"/>
  <c r="F1853" i="6"/>
  <c r="J1852" i="6"/>
  <c r="H1852" i="6"/>
  <c r="I1852" i="6" s="1"/>
  <c r="G1852" i="6"/>
  <c r="F1852" i="6"/>
  <c r="H1851" i="6"/>
  <c r="G1851" i="6"/>
  <c r="J1851" i="6" s="1"/>
  <c r="F1851" i="6"/>
  <c r="H1850" i="6"/>
  <c r="J1850" i="6" s="1"/>
  <c r="G1850" i="6"/>
  <c r="F1850" i="6"/>
  <c r="H1849" i="6"/>
  <c r="J1849" i="6" s="1"/>
  <c r="G1849" i="6"/>
  <c r="F1849" i="6"/>
  <c r="J1848" i="6"/>
  <c r="H1848" i="6"/>
  <c r="G1848" i="6"/>
  <c r="I1848" i="6" s="1"/>
  <c r="F1848" i="6"/>
  <c r="H1847" i="6"/>
  <c r="G1847" i="6"/>
  <c r="J1847" i="6" s="1"/>
  <c r="F1847" i="6"/>
  <c r="H1846" i="6"/>
  <c r="G1846" i="6"/>
  <c r="J1846" i="6" s="1"/>
  <c r="F1846" i="6"/>
  <c r="H1845" i="6"/>
  <c r="I1845" i="6" s="1"/>
  <c r="G1845" i="6"/>
  <c r="F1845" i="6"/>
  <c r="H1844" i="6"/>
  <c r="J1844" i="6" s="1"/>
  <c r="G1844" i="6"/>
  <c r="F1844" i="6"/>
  <c r="J1843" i="6"/>
  <c r="H1843" i="6"/>
  <c r="G1843" i="6"/>
  <c r="I1843" i="6" s="1"/>
  <c r="F1843" i="6"/>
  <c r="H1842" i="6"/>
  <c r="G1842" i="6"/>
  <c r="I1842" i="6" s="1"/>
  <c r="F1842" i="6"/>
  <c r="J1842" i="6" s="1"/>
  <c r="H1841" i="6"/>
  <c r="I1841" i="6" s="1"/>
  <c r="G1841" i="6"/>
  <c r="J1841" i="6" s="1"/>
  <c r="F1841" i="6"/>
  <c r="H1840" i="6"/>
  <c r="I1840" i="6" s="1"/>
  <c r="G1840" i="6"/>
  <c r="J1840" i="6" s="1"/>
  <c r="F1840" i="6"/>
  <c r="J1839" i="6"/>
  <c r="I1839" i="6"/>
  <c r="H1839" i="6"/>
  <c r="G1839" i="6"/>
  <c r="F1839" i="6"/>
  <c r="J1838" i="6"/>
  <c r="H1838" i="6"/>
  <c r="G1838" i="6"/>
  <c r="I1838" i="6" s="1"/>
  <c r="F1838" i="6"/>
  <c r="I1837" i="6"/>
  <c r="H1837" i="6"/>
  <c r="G1837" i="6"/>
  <c r="F1837" i="6"/>
  <c r="H1836" i="6"/>
  <c r="J1836" i="6" s="1"/>
  <c r="G1836" i="6"/>
  <c r="F1836" i="6"/>
  <c r="H1835" i="6"/>
  <c r="I1835" i="6" s="1"/>
  <c r="G1835" i="6"/>
  <c r="J1835" i="6" s="1"/>
  <c r="F1835" i="6"/>
  <c r="H1834" i="6"/>
  <c r="G1834" i="6"/>
  <c r="I1834" i="6" s="1"/>
  <c r="F1834" i="6"/>
  <c r="I1833" i="6"/>
  <c r="H1833" i="6"/>
  <c r="G1833" i="6"/>
  <c r="J1833" i="6" s="1"/>
  <c r="F1833" i="6"/>
  <c r="I1832" i="6"/>
  <c r="H1832" i="6"/>
  <c r="G1832" i="6"/>
  <c r="J1832" i="6" s="1"/>
  <c r="F1832" i="6"/>
  <c r="I1831" i="6"/>
  <c r="H1831" i="6"/>
  <c r="G1831" i="6"/>
  <c r="J1831" i="6" s="1"/>
  <c r="F1831" i="6"/>
  <c r="H1830" i="6"/>
  <c r="G1830" i="6"/>
  <c r="J1830" i="6" s="1"/>
  <c r="F1830" i="6"/>
  <c r="H1829" i="6"/>
  <c r="G1829" i="6"/>
  <c r="J1829" i="6" s="1"/>
  <c r="F1829" i="6"/>
  <c r="I1828" i="6"/>
  <c r="H1828" i="6"/>
  <c r="J1828" i="6" s="1"/>
  <c r="G1828" i="6"/>
  <c r="F1828" i="6"/>
  <c r="I1827" i="6"/>
  <c r="H1827" i="6"/>
  <c r="G1827" i="6"/>
  <c r="F1827" i="6"/>
  <c r="J1827" i="6" s="1"/>
  <c r="H1826" i="6"/>
  <c r="I1826" i="6" s="1"/>
  <c r="G1826" i="6"/>
  <c r="J1826" i="6" s="1"/>
  <c r="F1826" i="6"/>
  <c r="H1825" i="6"/>
  <c r="G1825" i="6"/>
  <c r="J1825" i="6" s="1"/>
  <c r="F1825" i="6"/>
  <c r="H1824" i="6"/>
  <c r="J1824" i="6" s="1"/>
  <c r="G1824" i="6"/>
  <c r="F1824" i="6"/>
  <c r="J1823" i="6"/>
  <c r="H1823" i="6"/>
  <c r="G1823" i="6"/>
  <c r="I1823" i="6" s="1"/>
  <c r="F1823" i="6"/>
  <c r="H1822" i="6"/>
  <c r="G1822" i="6"/>
  <c r="J1822" i="6" s="1"/>
  <c r="F1822" i="6"/>
  <c r="H1821" i="6"/>
  <c r="G1821" i="6"/>
  <c r="J1821" i="6" s="1"/>
  <c r="F1821" i="6"/>
  <c r="I1820" i="6"/>
  <c r="H1820" i="6"/>
  <c r="G1820" i="6"/>
  <c r="J1820" i="6" s="1"/>
  <c r="F1820" i="6"/>
  <c r="I1819" i="6"/>
  <c r="H1819" i="6"/>
  <c r="G1819" i="6"/>
  <c r="F1819" i="6"/>
  <c r="J1819" i="6" s="1"/>
  <c r="H1818" i="6"/>
  <c r="I1818" i="6" s="1"/>
  <c r="G1818" i="6"/>
  <c r="J1818" i="6" s="1"/>
  <c r="F1818" i="6"/>
  <c r="H1817" i="6"/>
  <c r="G1817" i="6"/>
  <c r="J1817" i="6" s="1"/>
  <c r="F1817" i="6"/>
  <c r="H1816" i="6"/>
  <c r="J1816" i="6" s="1"/>
  <c r="G1816" i="6"/>
  <c r="F1816" i="6"/>
  <c r="J1815" i="6"/>
  <c r="H1815" i="6"/>
  <c r="G1815" i="6"/>
  <c r="I1815" i="6" s="1"/>
  <c r="F1815" i="6"/>
  <c r="H1814" i="6"/>
  <c r="G1814" i="6"/>
  <c r="J1814" i="6" s="1"/>
  <c r="F1814" i="6"/>
  <c r="H1813" i="6"/>
  <c r="G1813" i="6"/>
  <c r="J1813" i="6" s="1"/>
  <c r="F1813" i="6"/>
  <c r="I1812" i="6"/>
  <c r="H1812" i="6"/>
  <c r="G1812" i="6"/>
  <c r="J1812" i="6" s="1"/>
  <c r="F1812" i="6"/>
  <c r="I1811" i="6"/>
  <c r="H1811" i="6"/>
  <c r="G1811" i="6"/>
  <c r="F1811" i="6"/>
  <c r="J1811" i="6" s="1"/>
  <c r="H1810" i="6"/>
  <c r="I1810" i="6" s="1"/>
  <c r="G1810" i="6"/>
  <c r="J1810" i="6" s="1"/>
  <c r="F1810" i="6"/>
  <c r="H1809" i="6"/>
  <c r="G1809" i="6"/>
  <c r="J1809" i="6" s="1"/>
  <c r="F1809" i="6"/>
  <c r="H1808" i="6"/>
  <c r="J1808" i="6" s="1"/>
  <c r="G1808" i="6"/>
  <c r="F1808" i="6"/>
  <c r="J1807" i="6"/>
  <c r="H1807" i="6"/>
  <c r="G1807" i="6"/>
  <c r="I1807" i="6" s="1"/>
  <c r="F1807" i="6"/>
  <c r="H1806" i="6"/>
  <c r="G1806" i="6"/>
  <c r="J1806" i="6" s="1"/>
  <c r="F1806" i="6"/>
  <c r="H1805" i="6"/>
  <c r="G1805" i="6"/>
  <c r="J1805" i="6" s="1"/>
  <c r="F1805" i="6"/>
  <c r="I1804" i="6"/>
  <c r="H1804" i="6"/>
  <c r="G1804" i="6"/>
  <c r="J1804" i="6" s="1"/>
  <c r="F1804" i="6"/>
  <c r="I1803" i="6"/>
  <c r="H1803" i="6"/>
  <c r="G1803" i="6"/>
  <c r="F1803" i="6"/>
  <c r="J1803" i="6" s="1"/>
  <c r="H1802" i="6"/>
  <c r="I1802" i="6" s="1"/>
  <c r="G1802" i="6"/>
  <c r="J1802" i="6" s="1"/>
  <c r="F1802" i="6"/>
  <c r="H1801" i="6"/>
  <c r="G1801" i="6"/>
  <c r="J1801" i="6" s="1"/>
  <c r="F1801" i="6"/>
  <c r="H1800" i="6"/>
  <c r="J1800" i="6" s="1"/>
  <c r="G1800" i="6"/>
  <c r="F1800" i="6"/>
  <c r="J1799" i="6"/>
  <c r="H1799" i="6"/>
  <c r="G1799" i="6"/>
  <c r="I1799" i="6" s="1"/>
  <c r="F1799" i="6"/>
  <c r="H1798" i="6"/>
  <c r="G1798" i="6"/>
  <c r="J1798" i="6" s="1"/>
  <c r="F1798" i="6"/>
  <c r="H1797" i="6"/>
  <c r="G1797" i="6"/>
  <c r="J1797" i="6" s="1"/>
  <c r="F1797" i="6"/>
  <c r="I1796" i="6"/>
  <c r="H1796" i="6"/>
  <c r="G1796" i="6"/>
  <c r="J1796" i="6" s="1"/>
  <c r="F1796" i="6"/>
  <c r="I1795" i="6"/>
  <c r="H1795" i="6"/>
  <c r="G1795" i="6"/>
  <c r="F1795" i="6"/>
  <c r="J1795" i="6" s="1"/>
  <c r="H1794" i="6"/>
  <c r="I1794" i="6" s="1"/>
  <c r="G1794" i="6"/>
  <c r="J1794" i="6" s="1"/>
  <c r="F1794" i="6"/>
  <c r="H1793" i="6"/>
  <c r="G1793" i="6"/>
  <c r="J1793" i="6" s="1"/>
  <c r="F1793" i="6"/>
  <c r="H1792" i="6"/>
  <c r="J1792" i="6" s="1"/>
  <c r="G1792" i="6"/>
  <c r="F1792" i="6"/>
  <c r="J1791" i="6"/>
  <c r="H1791" i="6"/>
  <c r="G1791" i="6"/>
  <c r="I1791" i="6" s="1"/>
  <c r="F1791" i="6"/>
  <c r="H1790" i="6"/>
  <c r="G1790" i="6"/>
  <c r="J1790" i="6" s="1"/>
  <c r="F1790" i="6"/>
  <c r="H1789" i="6"/>
  <c r="G1789" i="6"/>
  <c r="J1789" i="6" s="1"/>
  <c r="F1789" i="6"/>
  <c r="I1788" i="6"/>
  <c r="H1788" i="6"/>
  <c r="G1788" i="6"/>
  <c r="J1788" i="6" s="1"/>
  <c r="F1788" i="6"/>
  <c r="I1787" i="6"/>
  <c r="H1787" i="6"/>
  <c r="G1787" i="6"/>
  <c r="F1787" i="6"/>
  <c r="J1787" i="6" s="1"/>
  <c r="H1786" i="6"/>
  <c r="I1786" i="6" s="1"/>
  <c r="G1786" i="6"/>
  <c r="J1786" i="6" s="1"/>
  <c r="F1786" i="6"/>
  <c r="H1785" i="6"/>
  <c r="G1785" i="6"/>
  <c r="J1785" i="6" s="1"/>
  <c r="F1785" i="6"/>
  <c r="H1784" i="6"/>
  <c r="J1784" i="6" s="1"/>
  <c r="G1784" i="6"/>
  <c r="F1784" i="6"/>
  <c r="J1783" i="6"/>
  <c r="H1783" i="6"/>
  <c r="G1783" i="6"/>
  <c r="I1783" i="6" s="1"/>
  <c r="F1783" i="6"/>
  <c r="H1782" i="6"/>
  <c r="G1782" i="6"/>
  <c r="J1782" i="6" s="1"/>
  <c r="F1782" i="6"/>
  <c r="H1781" i="6"/>
  <c r="G1781" i="6"/>
  <c r="J1781" i="6" s="1"/>
  <c r="F1781" i="6"/>
  <c r="I1780" i="6"/>
  <c r="H1780" i="6"/>
  <c r="G1780" i="6"/>
  <c r="J1780" i="6" s="1"/>
  <c r="F1780" i="6"/>
  <c r="I1779" i="6"/>
  <c r="H1779" i="6"/>
  <c r="G1779" i="6"/>
  <c r="F1779" i="6"/>
  <c r="J1779" i="6" s="1"/>
  <c r="H1778" i="6"/>
  <c r="I1778" i="6" s="1"/>
  <c r="G1778" i="6"/>
  <c r="J1778" i="6" s="1"/>
  <c r="F1778" i="6"/>
  <c r="H1777" i="6"/>
  <c r="G1777" i="6"/>
  <c r="J1777" i="6" s="1"/>
  <c r="F1777" i="6"/>
  <c r="H1776" i="6"/>
  <c r="J1776" i="6" s="1"/>
  <c r="G1776" i="6"/>
  <c r="F1776" i="6"/>
  <c r="J1775" i="6"/>
  <c r="H1775" i="6"/>
  <c r="G1775" i="6"/>
  <c r="I1775" i="6" s="1"/>
  <c r="F1775" i="6"/>
  <c r="H1774" i="6"/>
  <c r="G1774" i="6"/>
  <c r="J1774" i="6" s="1"/>
  <c r="F1774" i="6"/>
  <c r="H1773" i="6"/>
  <c r="G1773" i="6"/>
  <c r="J1773" i="6" s="1"/>
  <c r="F1773" i="6"/>
  <c r="I1772" i="6"/>
  <c r="H1772" i="6"/>
  <c r="G1772" i="6"/>
  <c r="J1772" i="6" s="1"/>
  <c r="F1772" i="6"/>
  <c r="I1771" i="6"/>
  <c r="H1771" i="6"/>
  <c r="G1771" i="6"/>
  <c r="F1771" i="6"/>
  <c r="J1771" i="6" s="1"/>
  <c r="H1770" i="6"/>
  <c r="I1770" i="6" s="1"/>
  <c r="G1770" i="6"/>
  <c r="J1770" i="6" s="1"/>
  <c r="F1770" i="6"/>
  <c r="H1769" i="6"/>
  <c r="G1769" i="6"/>
  <c r="J1769" i="6" s="1"/>
  <c r="F1769" i="6"/>
  <c r="H1768" i="6"/>
  <c r="J1768" i="6" s="1"/>
  <c r="G1768" i="6"/>
  <c r="F1768" i="6"/>
  <c r="J1767" i="6"/>
  <c r="H1767" i="6"/>
  <c r="G1767" i="6"/>
  <c r="I1767" i="6" s="1"/>
  <c r="F1767" i="6"/>
  <c r="H1766" i="6"/>
  <c r="G1766" i="6"/>
  <c r="J1766" i="6" s="1"/>
  <c r="F1766" i="6"/>
  <c r="H1765" i="6"/>
  <c r="G1765" i="6"/>
  <c r="J1765" i="6" s="1"/>
  <c r="F1765" i="6"/>
  <c r="I1764" i="6"/>
  <c r="H1764" i="6"/>
  <c r="G1764" i="6"/>
  <c r="J1764" i="6" s="1"/>
  <c r="F1764" i="6"/>
  <c r="I1763" i="6"/>
  <c r="H1763" i="6"/>
  <c r="G1763" i="6"/>
  <c r="F1763" i="6"/>
  <c r="J1763" i="6" s="1"/>
  <c r="H1762" i="6"/>
  <c r="I1762" i="6" s="1"/>
  <c r="G1762" i="6"/>
  <c r="J1762" i="6" s="1"/>
  <c r="F1762" i="6"/>
  <c r="H1761" i="6"/>
  <c r="G1761" i="6"/>
  <c r="J1761" i="6" s="1"/>
  <c r="F1761" i="6"/>
  <c r="H1760" i="6"/>
  <c r="J1760" i="6" s="1"/>
  <c r="G1760" i="6"/>
  <c r="F1760" i="6"/>
  <c r="J1759" i="6"/>
  <c r="H1759" i="6"/>
  <c r="G1759" i="6"/>
  <c r="I1759" i="6" s="1"/>
  <c r="F1759" i="6"/>
  <c r="H1758" i="6"/>
  <c r="G1758" i="6"/>
  <c r="J1758" i="6" s="1"/>
  <c r="F1758" i="6"/>
  <c r="H1757" i="6"/>
  <c r="G1757" i="6"/>
  <c r="J1757" i="6" s="1"/>
  <c r="F1757" i="6"/>
  <c r="I1756" i="6"/>
  <c r="H1756" i="6"/>
  <c r="G1756" i="6"/>
  <c r="J1756" i="6" s="1"/>
  <c r="F1756" i="6"/>
  <c r="I1755" i="6"/>
  <c r="H1755" i="6"/>
  <c r="G1755" i="6"/>
  <c r="F1755" i="6"/>
  <c r="J1755" i="6" s="1"/>
  <c r="H1754" i="6"/>
  <c r="I1754" i="6" s="1"/>
  <c r="G1754" i="6"/>
  <c r="J1754" i="6" s="1"/>
  <c r="F1754" i="6"/>
  <c r="H1753" i="6"/>
  <c r="G1753" i="6"/>
  <c r="J1753" i="6" s="1"/>
  <c r="F1753" i="6"/>
  <c r="H1752" i="6"/>
  <c r="J1752" i="6" s="1"/>
  <c r="G1752" i="6"/>
  <c r="F1752" i="6"/>
  <c r="J1751" i="6"/>
  <c r="H1751" i="6"/>
  <c r="G1751" i="6"/>
  <c r="I1751" i="6" s="1"/>
  <c r="F1751" i="6"/>
  <c r="H1750" i="6"/>
  <c r="G1750" i="6"/>
  <c r="J1750" i="6" s="1"/>
  <c r="F1750" i="6"/>
  <c r="H1749" i="6"/>
  <c r="G1749" i="6"/>
  <c r="J1749" i="6" s="1"/>
  <c r="F1749" i="6"/>
  <c r="I1748" i="6"/>
  <c r="H1748" i="6"/>
  <c r="G1748" i="6"/>
  <c r="J1748" i="6" s="1"/>
  <c r="F1748" i="6"/>
  <c r="I1747" i="6"/>
  <c r="H1747" i="6"/>
  <c r="G1747" i="6"/>
  <c r="F1747" i="6"/>
  <c r="J1747" i="6" s="1"/>
  <c r="H1746" i="6"/>
  <c r="I1746" i="6" s="1"/>
  <c r="G1746" i="6"/>
  <c r="J1746" i="6" s="1"/>
  <c r="F1746" i="6"/>
  <c r="H1745" i="6"/>
  <c r="G1745" i="6"/>
  <c r="J1745" i="6" s="1"/>
  <c r="F1745" i="6"/>
  <c r="H1744" i="6"/>
  <c r="J1744" i="6" s="1"/>
  <c r="G1744" i="6"/>
  <c r="F1744" i="6"/>
  <c r="J1743" i="6"/>
  <c r="H1743" i="6"/>
  <c r="G1743" i="6"/>
  <c r="I1743" i="6" s="1"/>
  <c r="F1743" i="6"/>
  <c r="H1742" i="6"/>
  <c r="G1742" i="6"/>
  <c r="J1742" i="6" s="1"/>
  <c r="F1742" i="6"/>
  <c r="H1741" i="6"/>
  <c r="G1741" i="6"/>
  <c r="J1741" i="6" s="1"/>
  <c r="F1741" i="6"/>
  <c r="I1740" i="6"/>
  <c r="H1740" i="6"/>
  <c r="G1740" i="6"/>
  <c r="J1740" i="6" s="1"/>
  <c r="F1740" i="6"/>
  <c r="I1739" i="6"/>
  <c r="H1739" i="6"/>
  <c r="G1739" i="6"/>
  <c r="F1739" i="6"/>
  <c r="J1739" i="6" s="1"/>
  <c r="H1738" i="6"/>
  <c r="I1738" i="6" s="1"/>
  <c r="G1738" i="6"/>
  <c r="J1738" i="6" s="1"/>
  <c r="F1738" i="6"/>
  <c r="H1737" i="6"/>
  <c r="G1737" i="6"/>
  <c r="J1737" i="6" s="1"/>
  <c r="F1737" i="6"/>
  <c r="H1736" i="6"/>
  <c r="J1736" i="6" s="1"/>
  <c r="G1736" i="6"/>
  <c r="F1736" i="6"/>
  <c r="J1735" i="6"/>
  <c r="H1735" i="6"/>
  <c r="G1735" i="6"/>
  <c r="I1735" i="6" s="1"/>
  <c r="F1735" i="6"/>
  <c r="H1734" i="6"/>
  <c r="G1734" i="6"/>
  <c r="F1734" i="6"/>
  <c r="H1733" i="6"/>
  <c r="G1733" i="6"/>
  <c r="J1733" i="6" s="1"/>
  <c r="F1733" i="6"/>
  <c r="I1732" i="6"/>
  <c r="H1732" i="6"/>
  <c r="G1732" i="6"/>
  <c r="J1732" i="6" s="1"/>
  <c r="F1732" i="6"/>
  <c r="I1731" i="6"/>
  <c r="H1731" i="6"/>
  <c r="G1731" i="6"/>
  <c r="F1731" i="6"/>
  <c r="J1731" i="6" s="1"/>
  <c r="H1730" i="6"/>
  <c r="I1730" i="6" s="1"/>
  <c r="G1730" i="6"/>
  <c r="J1730" i="6" s="1"/>
  <c r="F1730" i="6"/>
  <c r="H1729" i="6"/>
  <c r="G1729" i="6"/>
  <c r="F1729" i="6"/>
  <c r="H1728" i="6"/>
  <c r="J1728" i="6" s="1"/>
  <c r="G1728" i="6"/>
  <c r="F1728" i="6"/>
  <c r="J1727" i="6"/>
  <c r="H1727" i="6"/>
  <c r="G1727" i="6"/>
  <c r="I1727" i="6" s="1"/>
  <c r="F1727" i="6"/>
  <c r="H1726" i="6"/>
  <c r="G1726" i="6"/>
  <c r="F1726" i="6"/>
  <c r="H1725" i="6"/>
  <c r="G1725" i="6"/>
  <c r="J1725" i="6" s="1"/>
  <c r="F1725" i="6"/>
  <c r="I1724" i="6"/>
  <c r="H1724" i="6"/>
  <c r="G1724" i="6"/>
  <c r="J1724" i="6" s="1"/>
  <c r="F1724" i="6"/>
  <c r="I1723" i="6"/>
  <c r="H1723" i="6"/>
  <c r="G1723" i="6"/>
  <c r="F1723" i="6"/>
  <c r="J1723" i="6" s="1"/>
  <c r="H1722" i="6"/>
  <c r="I1722" i="6" s="1"/>
  <c r="G1722" i="6"/>
  <c r="J1722" i="6" s="1"/>
  <c r="F1722" i="6"/>
  <c r="H1721" i="6"/>
  <c r="G1721" i="6"/>
  <c r="F1721" i="6"/>
  <c r="H1720" i="6"/>
  <c r="J1720" i="6" s="1"/>
  <c r="G1720" i="6"/>
  <c r="F1720" i="6"/>
  <c r="J1719" i="6"/>
  <c r="H1719" i="6"/>
  <c r="G1719" i="6"/>
  <c r="I1719" i="6" s="1"/>
  <c r="F1719" i="6"/>
  <c r="H1718" i="6"/>
  <c r="G1718" i="6"/>
  <c r="F1718" i="6"/>
  <c r="H1717" i="6"/>
  <c r="G1717" i="6"/>
  <c r="J1717" i="6" s="1"/>
  <c r="F1717" i="6"/>
  <c r="I1716" i="6"/>
  <c r="H1716" i="6"/>
  <c r="G1716" i="6"/>
  <c r="J1716" i="6" s="1"/>
  <c r="F1716" i="6"/>
  <c r="I1715" i="6"/>
  <c r="H1715" i="6"/>
  <c r="G1715" i="6"/>
  <c r="F1715" i="6"/>
  <c r="J1715" i="6" s="1"/>
  <c r="H1714" i="6"/>
  <c r="I1714" i="6" s="1"/>
  <c r="G1714" i="6"/>
  <c r="J1714" i="6" s="1"/>
  <c r="F1714" i="6"/>
  <c r="H1713" i="6"/>
  <c r="G1713" i="6"/>
  <c r="F1713" i="6"/>
  <c r="H1712" i="6"/>
  <c r="J1712" i="6" s="1"/>
  <c r="G1712" i="6"/>
  <c r="F1712" i="6"/>
  <c r="J1711" i="6"/>
  <c r="H1711" i="6"/>
  <c r="G1711" i="6"/>
  <c r="I1711" i="6" s="1"/>
  <c r="F1711" i="6"/>
  <c r="H1710" i="6"/>
  <c r="G1710" i="6"/>
  <c r="F1710" i="6"/>
  <c r="H1709" i="6"/>
  <c r="G1709" i="6"/>
  <c r="J1709" i="6" s="1"/>
  <c r="F1709" i="6"/>
  <c r="I1708" i="6"/>
  <c r="H1708" i="6"/>
  <c r="G1708" i="6"/>
  <c r="J1708" i="6" s="1"/>
  <c r="F1708" i="6"/>
  <c r="I1707" i="6"/>
  <c r="H1707" i="6"/>
  <c r="G1707" i="6"/>
  <c r="F1707" i="6"/>
  <c r="J1707" i="6" s="1"/>
  <c r="H1706" i="6"/>
  <c r="I1706" i="6" s="1"/>
  <c r="G1706" i="6"/>
  <c r="J1706" i="6" s="1"/>
  <c r="F1706" i="6"/>
  <c r="H1705" i="6"/>
  <c r="G1705" i="6"/>
  <c r="F1705" i="6"/>
  <c r="H1704" i="6"/>
  <c r="J1704" i="6" s="1"/>
  <c r="G1704" i="6"/>
  <c r="F1704" i="6"/>
  <c r="J1703" i="6"/>
  <c r="H1703" i="6"/>
  <c r="G1703" i="6"/>
  <c r="I1703" i="6" s="1"/>
  <c r="F1703" i="6"/>
  <c r="H1702" i="6"/>
  <c r="G1702" i="6"/>
  <c r="I1702" i="6" s="1"/>
  <c r="F1702" i="6"/>
  <c r="H1701" i="6"/>
  <c r="G1701" i="6"/>
  <c r="F1701" i="6"/>
  <c r="I1700" i="6"/>
  <c r="H1700" i="6"/>
  <c r="G1700" i="6"/>
  <c r="J1700" i="6" s="1"/>
  <c r="F1700" i="6"/>
  <c r="I1699" i="6"/>
  <c r="H1699" i="6"/>
  <c r="G1699" i="6"/>
  <c r="F1699" i="6"/>
  <c r="J1699" i="6" s="1"/>
  <c r="H1698" i="6"/>
  <c r="I1698" i="6" s="1"/>
  <c r="G1698" i="6"/>
  <c r="J1698" i="6" s="1"/>
  <c r="F1698" i="6"/>
  <c r="H1697" i="6"/>
  <c r="G1697" i="6"/>
  <c r="J1697" i="6" s="1"/>
  <c r="F1697" i="6"/>
  <c r="H1696" i="6"/>
  <c r="G1696" i="6"/>
  <c r="F1696" i="6"/>
  <c r="J1695" i="6"/>
  <c r="H1695" i="6"/>
  <c r="G1695" i="6"/>
  <c r="I1695" i="6" s="1"/>
  <c r="F1695" i="6"/>
  <c r="H1694" i="6"/>
  <c r="G1694" i="6"/>
  <c r="I1694" i="6" s="1"/>
  <c r="F1694" i="6"/>
  <c r="H1693" i="6"/>
  <c r="G1693" i="6"/>
  <c r="F1693" i="6"/>
  <c r="I1692" i="6"/>
  <c r="H1692" i="6"/>
  <c r="G1692" i="6"/>
  <c r="J1692" i="6" s="1"/>
  <c r="F1692" i="6"/>
  <c r="I1691" i="6"/>
  <c r="H1691" i="6"/>
  <c r="G1691" i="6"/>
  <c r="F1691" i="6"/>
  <c r="J1691" i="6" s="1"/>
  <c r="H1690" i="6"/>
  <c r="I1690" i="6" s="1"/>
  <c r="G1690" i="6"/>
  <c r="F1690" i="6"/>
  <c r="H1689" i="6"/>
  <c r="G1689" i="6"/>
  <c r="F1689" i="6"/>
  <c r="H1688" i="6"/>
  <c r="G1688" i="6"/>
  <c r="F1688" i="6"/>
  <c r="J1687" i="6"/>
  <c r="H1687" i="6"/>
  <c r="G1687" i="6"/>
  <c r="I1687" i="6" s="1"/>
  <c r="F1687" i="6"/>
  <c r="H1686" i="6"/>
  <c r="G1686" i="6"/>
  <c r="I1686" i="6" s="1"/>
  <c r="F1686" i="6"/>
  <c r="H1685" i="6"/>
  <c r="G1685" i="6"/>
  <c r="F1685" i="6"/>
  <c r="I1684" i="6"/>
  <c r="H1684" i="6"/>
  <c r="G1684" i="6"/>
  <c r="J1684" i="6" s="1"/>
  <c r="F1684" i="6"/>
  <c r="I1683" i="6"/>
  <c r="H1683" i="6"/>
  <c r="G1683" i="6"/>
  <c r="F1683" i="6"/>
  <c r="J1683" i="6" s="1"/>
  <c r="H1682" i="6"/>
  <c r="I1682" i="6" s="1"/>
  <c r="G1682" i="6"/>
  <c r="F1682" i="6"/>
  <c r="H1681" i="6"/>
  <c r="G1681" i="6"/>
  <c r="F1681" i="6"/>
  <c r="H1680" i="6"/>
  <c r="G1680" i="6"/>
  <c r="F1680" i="6"/>
  <c r="J1679" i="6"/>
  <c r="H1679" i="6"/>
  <c r="G1679" i="6"/>
  <c r="I1679" i="6" s="1"/>
  <c r="F1679" i="6"/>
  <c r="H1678" i="6"/>
  <c r="G1678" i="6"/>
  <c r="I1678" i="6" s="1"/>
  <c r="F1678" i="6"/>
  <c r="H1677" i="6"/>
  <c r="G1677" i="6"/>
  <c r="J1677" i="6" s="1"/>
  <c r="F1677" i="6"/>
  <c r="I1676" i="6"/>
  <c r="H1676" i="6"/>
  <c r="G1676" i="6"/>
  <c r="J1676" i="6" s="1"/>
  <c r="F1676" i="6"/>
  <c r="I1675" i="6"/>
  <c r="H1675" i="6"/>
  <c r="G1675" i="6"/>
  <c r="F1675" i="6"/>
  <c r="J1675" i="6" s="1"/>
  <c r="H1674" i="6"/>
  <c r="I1674" i="6" s="1"/>
  <c r="G1674" i="6"/>
  <c r="J1674" i="6" s="1"/>
  <c r="F1674" i="6"/>
  <c r="H1673" i="6"/>
  <c r="G1673" i="6"/>
  <c r="F1673" i="6"/>
  <c r="J1672" i="6"/>
  <c r="H1672" i="6"/>
  <c r="I1672" i="6" s="1"/>
  <c r="G1672" i="6"/>
  <c r="F1672" i="6"/>
  <c r="J1671" i="6"/>
  <c r="H1671" i="6"/>
  <c r="G1671" i="6"/>
  <c r="I1671" i="6" s="1"/>
  <c r="F1671" i="6"/>
  <c r="J1670" i="6"/>
  <c r="H1670" i="6"/>
  <c r="G1670" i="6"/>
  <c r="I1670" i="6" s="1"/>
  <c r="F1670" i="6"/>
  <c r="I1669" i="6"/>
  <c r="H1669" i="6"/>
  <c r="G1669" i="6"/>
  <c r="J1669" i="6" s="1"/>
  <c r="F1669" i="6"/>
  <c r="I1668" i="6"/>
  <c r="H1668" i="6"/>
  <c r="G1668" i="6"/>
  <c r="F1668" i="6"/>
  <c r="I1667" i="6"/>
  <c r="H1667" i="6"/>
  <c r="G1667" i="6"/>
  <c r="F1667" i="6"/>
  <c r="J1667" i="6" s="1"/>
  <c r="H1666" i="6"/>
  <c r="I1666" i="6" s="1"/>
  <c r="G1666" i="6"/>
  <c r="F1666" i="6"/>
  <c r="H1665" i="6"/>
  <c r="G1665" i="6"/>
  <c r="F1665" i="6"/>
  <c r="H1664" i="6"/>
  <c r="I1664" i="6" s="1"/>
  <c r="G1664" i="6"/>
  <c r="F1664" i="6"/>
  <c r="H1663" i="6"/>
  <c r="G1663" i="6"/>
  <c r="I1663" i="6" s="1"/>
  <c r="F1663" i="6"/>
  <c r="H1662" i="6"/>
  <c r="G1662" i="6"/>
  <c r="I1662" i="6" s="1"/>
  <c r="F1662" i="6"/>
  <c r="J1661" i="6"/>
  <c r="I1661" i="6"/>
  <c r="H1661" i="6"/>
  <c r="G1661" i="6"/>
  <c r="F1661" i="6"/>
  <c r="I1660" i="6"/>
  <c r="H1660" i="6"/>
  <c r="G1660" i="6"/>
  <c r="F1660" i="6"/>
  <c r="I1659" i="6"/>
  <c r="H1659" i="6"/>
  <c r="G1659" i="6"/>
  <c r="F1659" i="6"/>
  <c r="J1659" i="6" s="1"/>
  <c r="H1658" i="6"/>
  <c r="I1658" i="6" s="1"/>
  <c r="G1658" i="6"/>
  <c r="F1658" i="6"/>
  <c r="H1657" i="6"/>
  <c r="G1657" i="6"/>
  <c r="J1657" i="6" s="1"/>
  <c r="F1657" i="6"/>
  <c r="H1656" i="6"/>
  <c r="I1656" i="6" s="1"/>
  <c r="G1656" i="6"/>
  <c r="F1656" i="6"/>
  <c r="H1655" i="6"/>
  <c r="G1655" i="6"/>
  <c r="I1655" i="6" s="1"/>
  <c r="F1655" i="6"/>
  <c r="H1654" i="6"/>
  <c r="G1654" i="6"/>
  <c r="I1654" i="6" s="1"/>
  <c r="F1654" i="6"/>
  <c r="J1653" i="6"/>
  <c r="I1653" i="6"/>
  <c r="H1653" i="6"/>
  <c r="G1653" i="6"/>
  <c r="F1653" i="6"/>
  <c r="I1652" i="6"/>
  <c r="H1652" i="6"/>
  <c r="G1652" i="6"/>
  <c r="F1652" i="6"/>
  <c r="I1651" i="6"/>
  <c r="H1651" i="6"/>
  <c r="G1651" i="6"/>
  <c r="F1651" i="6"/>
  <c r="J1651" i="6" s="1"/>
  <c r="H1650" i="6"/>
  <c r="I1650" i="6" s="1"/>
  <c r="G1650" i="6"/>
  <c r="F1650" i="6"/>
  <c r="H1649" i="6"/>
  <c r="G1649" i="6"/>
  <c r="J1649" i="6" s="1"/>
  <c r="F1649" i="6"/>
  <c r="H1648" i="6"/>
  <c r="I1648" i="6" s="1"/>
  <c r="G1648" i="6"/>
  <c r="F1648" i="6"/>
  <c r="H1647" i="6"/>
  <c r="G1647" i="6"/>
  <c r="I1647" i="6" s="1"/>
  <c r="F1647" i="6"/>
  <c r="H1646" i="6"/>
  <c r="G1646" i="6"/>
  <c r="I1646" i="6" s="1"/>
  <c r="F1646" i="6"/>
  <c r="H1645" i="6"/>
  <c r="J1645" i="6" s="1"/>
  <c r="G1645" i="6"/>
  <c r="F1645" i="6"/>
  <c r="H1644" i="6"/>
  <c r="I1644" i="6" s="1"/>
  <c r="G1644" i="6"/>
  <c r="F1644" i="6"/>
  <c r="J1643" i="6"/>
  <c r="I1643" i="6"/>
  <c r="H1643" i="6"/>
  <c r="G1643" i="6"/>
  <c r="F1643" i="6"/>
  <c r="H1642" i="6"/>
  <c r="G1642" i="6"/>
  <c r="J1642" i="6" s="1"/>
  <c r="F1642" i="6"/>
  <c r="H1641" i="6"/>
  <c r="G1641" i="6"/>
  <c r="F1641" i="6"/>
  <c r="J1640" i="6"/>
  <c r="H1640" i="6"/>
  <c r="I1640" i="6" s="1"/>
  <c r="G1640" i="6"/>
  <c r="F1640" i="6"/>
  <c r="H1639" i="6"/>
  <c r="G1639" i="6"/>
  <c r="J1639" i="6" s="1"/>
  <c r="F1639" i="6"/>
  <c r="H1638" i="6"/>
  <c r="G1638" i="6"/>
  <c r="I1638" i="6" s="1"/>
  <c r="F1638" i="6"/>
  <c r="H1637" i="6"/>
  <c r="I1637" i="6" s="1"/>
  <c r="G1637" i="6"/>
  <c r="J1637" i="6" s="1"/>
  <c r="F1637" i="6"/>
  <c r="J1636" i="6"/>
  <c r="I1636" i="6"/>
  <c r="H1636" i="6"/>
  <c r="G1636" i="6"/>
  <c r="F1636" i="6"/>
  <c r="H1635" i="6"/>
  <c r="G1635" i="6"/>
  <c r="J1635" i="6" s="1"/>
  <c r="F1635" i="6"/>
  <c r="H1634" i="6"/>
  <c r="G1634" i="6"/>
  <c r="J1634" i="6" s="1"/>
  <c r="F1634" i="6"/>
  <c r="H1633" i="6"/>
  <c r="G1633" i="6"/>
  <c r="J1633" i="6" s="1"/>
  <c r="F1633" i="6"/>
  <c r="H1632" i="6"/>
  <c r="J1632" i="6" s="1"/>
  <c r="G1632" i="6"/>
  <c r="F1632" i="6"/>
  <c r="J1631" i="6"/>
  <c r="I1631" i="6"/>
  <c r="H1631" i="6"/>
  <c r="G1631" i="6"/>
  <c r="F1631" i="6"/>
  <c r="H1630" i="6"/>
  <c r="G1630" i="6"/>
  <c r="J1630" i="6" s="1"/>
  <c r="F1630" i="6"/>
  <c r="H1629" i="6"/>
  <c r="G1629" i="6"/>
  <c r="J1629" i="6" s="1"/>
  <c r="F1629" i="6"/>
  <c r="H1628" i="6"/>
  <c r="I1628" i="6" s="1"/>
  <c r="G1628" i="6"/>
  <c r="J1628" i="6" s="1"/>
  <c r="F1628" i="6"/>
  <c r="I1627" i="6"/>
  <c r="H1627" i="6"/>
  <c r="G1627" i="6"/>
  <c r="F1627" i="6"/>
  <c r="J1627" i="6" s="1"/>
  <c r="J1626" i="6"/>
  <c r="H1626" i="6"/>
  <c r="G1626" i="6"/>
  <c r="I1626" i="6" s="1"/>
  <c r="F1626" i="6"/>
  <c r="H1625" i="6"/>
  <c r="G1625" i="6"/>
  <c r="J1625" i="6" s="1"/>
  <c r="F1625" i="6"/>
  <c r="H1624" i="6"/>
  <c r="I1624" i="6" s="1"/>
  <c r="G1624" i="6"/>
  <c r="J1624" i="6" s="1"/>
  <c r="F1624" i="6"/>
  <c r="J1623" i="6"/>
  <c r="I1623" i="6"/>
  <c r="H1623" i="6"/>
  <c r="G1623" i="6"/>
  <c r="F1623" i="6"/>
  <c r="H1622" i="6"/>
  <c r="G1622" i="6"/>
  <c r="J1622" i="6" s="1"/>
  <c r="F1622" i="6"/>
  <c r="H1621" i="6"/>
  <c r="G1621" i="6"/>
  <c r="J1621" i="6" s="1"/>
  <c r="F1621" i="6"/>
  <c r="H1620" i="6"/>
  <c r="I1620" i="6" s="1"/>
  <c r="G1620" i="6"/>
  <c r="J1620" i="6" s="1"/>
  <c r="F1620" i="6"/>
  <c r="I1619" i="6"/>
  <c r="H1619" i="6"/>
  <c r="G1619" i="6"/>
  <c r="F1619" i="6"/>
  <c r="J1619" i="6" s="1"/>
  <c r="J1618" i="6"/>
  <c r="H1618" i="6"/>
  <c r="G1618" i="6"/>
  <c r="I1618" i="6" s="1"/>
  <c r="F1618" i="6"/>
  <c r="H1617" i="6"/>
  <c r="G1617" i="6"/>
  <c r="J1617" i="6" s="1"/>
  <c r="F1617" i="6"/>
  <c r="H1616" i="6"/>
  <c r="I1616" i="6" s="1"/>
  <c r="G1616" i="6"/>
  <c r="J1616" i="6" s="1"/>
  <c r="F1616" i="6"/>
  <c r="J1615" i="6"/>
  <c r="I1615" i="6"/>
  <c r="H1615" i="6"/>
  <c r="G1615" i="6"/>
  <c r="F1615" i="6"/>
  <c r="H1614" i="6"/>
  <c r="G1614" i="6"/>
  <c r="J1614" i="6" s="1"/>
  <c r="F1614" i="6"/>
  <c r="H1613" i="6"/>
  <c r="G1613" i="6"/>
  <c r="J1613" i="6" s="1"/>
  <c r="F1613" i="6"/>
  <c r="H1612" i="6"/>
  <c r="I1612" i="6" s="1"/>
  <c r="G1612" i="6"/>
  <c r="J1612" i="6" s="1"/>
  <c r="F1612" i="6"/>
  <c r="I1611" i="6"/>
  <c r="H1611" i="6"/>
  <c r="G1611" i="6"/>
  <c r="F1611" i="6"/>
  <c r="J1611" i="6" s="1"/>
  <c r="J1610" i="6"/>
  <c r="H1610" i="6"/>
  <c r="G1610" i="6"/>
  <c r="I1610" i="6" s="1"/>
  <c r="F1610" i="6"/>
  <c r="H1609" i="6"/>
  <c r="G1609" i="6"/>
  <c r="J1609" i="6" s="1"/>
  <c r="F1609" i="6"/>
  <c r="H1608" i="6"/>
  <c r="I1608" i="6" s="1"/>
  <c r="G1608" i="6"/>
  <c r="J1608" i="6" s="1"/>
  <c r="F1608" i="6"/>
  <c r="J1607" i="6"/>
  <c r="I1607" i="6"/>
  <c r="H1607" i="6"/>
  <c r="G1607" i="6"/>
  <c r="F1607" i="6"/>
  <c r="H1606" i="6"/>
  <c r="G1606" i="6"/>
  <c r="J1606" i="6" s="1"/>
  <c r="F1606" i="6"/>
  <c r="H1605" i="6"/>
  <c r="G1605" i="6"/>
  <c r="J1605" i="6" s="1"/>
  <c r="F1605" i="6"/>
  <c r="H1604" i="6"/>
  <c r="I1604" i="6" s="1"/>
  <c r="G1604" i="6"/>
  <c r="J1604" i="6" s="1"/>
  <c r="F1604" i="6"/>
  <c r="I1603" i="6"/>
  <c r="H1603" i="6"/>
  <c r="G1603" i="6"/>
  <c r="F1603" i="6"/>
  <c r="J1603" i="6" s="1"/>
  <c r="J1602" i="6"/>
  <c r="H1602" i="6"/>
  <c r="G1602" i="6"/>
  <c r="I1602" i="6" s="1"/>
  <c r="F1602" i="6"/>
  <c r="H1601" i="6"/>
  <c r="G1601" i="6"/>
  <c r="J1601" i="6" s="1"/>
  <c r="F1601" i="6"/>
  <c r="H1600" i="6"/>
  <c r="I1600" i="6" s="1"/>
  <c r="G1600" i="6"/>
  <c r="J1600" i="6" s="1"/>
  <c r="F1600" i="6"/>
  <c r="J1599" i="6"/>
  <c r="I1599" i="6"/>
  <c r="H1599" i="6"/>
  <c r="G1599" i="6"/>
  <c r="F1599" i="6"/>
  <c r="H1598" i="6"/>
  <c r="G1598" i="6"/>
  <c r="J1598" i="6" s="1"/>
  <c r="F1598" i="6"/>
  <c r="H1597" i="6"/>
  <c r="G1597" i="6"/>
  <c r="J1597" i="6" s="1"/>
  <c r="F1597" i="6"/>
  <c r="H1596" i="6"/>
  <c r="I1596" i="6" s="1"/>
  <c r="G1596" i="6"/>
  <c r="J1596" i="6" s="1"/>
  <c r="F1596" i="6"/>
  <c r="I1595" i="6"/>
  <c r="H1595" i="6"/>
  <c r="G1595" i="6"/>
  <c r="F1595" i="6"/>
  <c r="J1595" i="6" s="1"/>
  <c r="J1594" i="6"/>
  <c r="H1594" i="6"/>
  <c r="G1594" i="6"/>
  <c r="I1594" i="6" s="1"/>
  <c r="F1594" i="6"/>
  <c r="H1593" i="6"/>
  <c r="G1593" i="6"/>
  <c r="J1593" i="6" s="1"/>
  <c r="F1593" i="6"/>
  <c r="H1592" i="6"/>
  <c r="I1592" i="6" s="1"/>
  <c r="G1592" i="6"/>
  <c r="J1592" i="6" s="1"/>
  <c r="F1592" i="6"/>
  <c r="J1591" i="6"/>
  <c r="I1591" i="6"/>
  <c r="H1591" i="6"/>
  <c r="G1591" i="6"/>
  <c r="F1591" i="6"/>
  <c r="H1590" i="6"/>
  <c r="G1590" i="6"/>
  <c r="J1590" i="6" s="1"/>
  <c r="F1590" i="6"/>
  <c r="H1589" i="6"/>
  <c r="G1589" i="6"/>
  <c r="J1589" i="6" s="1"/>
  <c r="F1589" i="6"/>
  <c r="H1588" i="6"/>
  <c r="I1588" i="6" s="1"/>
  <c r="G1588" i="6"/>
  <c r="J1588" i="6" s="1"/>
  <c r="F1588" i="6"/>
  <c r="I1587" i="6"/>
  <c r="H1587" i="6"/>
  <c r="G1587" i="6"/>
  <c r="F1587" i="6"/>
  <c r="J1587" i="6" s="1"/>
  <c r="J1586" i="6"/>
  <c r="H1586" i="6"/>
  <c r="G1586" i="6"/>
  <c r="I1586" i="6" s="1"/>
  <c r="F1586" i="6"/>
  <c r="H1585" i="6"/>
  <c r="G1585" i="6"/>
  <c r="J1585" i="6" s="1"/>
  <c r="F1585" i="6"/>
  <c r="H1584" i="6"/>
  <c r="I1584" i="6" s="1"/>
  <c r="G1584" i="6"/>
  <c r="J1584" i="6" s="1"/>
  <c r="F1584" i="6"/>
  <c r="J1583" i="6"/>
  <c r="I1583" i="6"/>
  <c r="H1583" i="6"/>
  <c r="G1583" i="6"/>
  <c r="F1583" i="6"/>
  <c r="H1582" i="6"/>
  <c r="G1582" i="6"/>
  <c r="J1582" i="6" s="1"/>
  <c r="F1582" i="6"/>
  <c r="H1581" i="6"/>
  <c r="G1581" i="6"/>
  <c r="J1581" i="6" s="1"/>
  <c r="F1581" i="6"/>
  <c r="H1580" i="6"/>
  <c r="I1580" i="6" s="1"/>
  <c r="G1580" i="6"/>
  <c r="J1580" i="6" s="1"/>
  <c r="F1580" i="6"/>
  <c r="I1579" i="6"/>
  <c r="H1579" i="6"/>
  <c r="G1579" i="6"/>
  <c r="F1579" i="6"/>
  <c r="J1579" i="6" s="1"/>
  <c r="J1578" i="6"/>
  <c r="H1578" i="6"/>
  <c r="G1578" i="6"/>
  <c r="I1578" i="6" s="1"/>
  <c r="F1578" i="6"/>
  <c r="H1577" i="6"/>
  <c r="G1577" i="6"/>
  <c r="J1577" i="6" s="1"/>
  <c r="F1577" i="6"/>
  <c r="H1576" i="6"/>
  <c r="I1576" i="6" s="1"/>
  <c r="G1576" i="6"/>
  <c r="J1576" i="6" s="1"/>
  <c r="F1576" i="6"/>
  <c r="J1575" i="6"/>
  <c r="I1575" i="6"/>
  <c r="H1575" i="6"/>
  <c r="G1575" i="6"/>
  <c r="F1575" i="6"/>
  <c r="H1574" i="6"/>
  <c r="G1574" i="6"/>
  <c r="J1574" i="6" s="1"/>
  <c r="F1574" i="6"/>
  <c r="H1573" i="6"/>
  <c r="G1573" i="6"/>
  <c r="J1573" i="6" s="1"/>
  <c r="F1573" i="6"/>
  <c r="H1572" i="6"/>
  <c r="I1572" i="6" s="1"/>
  <c r="G1572" i="6"/>
  <c r="J1572" i="6" s="1"/>
  <c r="F1572" i="6"/>
  <c r="I1571" i="6"/>
  <c r="H1571" i="6"/>
  <c r="G1571" i="6"/>
  <c r="F1571" i="6"/>
  <c r="J1571" i="6" s="1"/>
  <c r="J1570" i="6"/>
  <c r="H1570" i="6"/>
  <c r="G1570" i="6"/>
  <c r="I1570" i="6" s="1"/>
  <c r="F1570" i="6"/>
  <c r="H1569" i="6"/>
  <c r="G1569" i="6"/>
  <c r="J1569" i="6" s="1"/>
  <c r="F1569" i="6"/>
  <c r="H1568" i="6"/>
  <c r="I1568" i="6" s="1"/>
  <c r="G1568" i="6"/>
  <c r="J1568" i="6" s="1"/>
  <c r="F1568" i="6"/>
  <c r="J1567" i="6"/>
  <c r="I1567" i="6"/>
  <c r="H1567" i="6"/>
  <c r="G1567" i="6"/>
  <c r="F1567" i="6"/>
  <c r="H1566" i="6"/>
  <c r="G1566" i="6"/>
  <c r="J1566" i="6" s="1"/>
  <c r="F1566" i="6"/>
  <c r="H1565" i="6"/>
  <c r="G1565" i="6"/>
  <c r="J1565" i="6" s="1"/>
  <c r="F1565" i="6"/>
  <c r="H1564" i="6"/>
  <c r="I1564" i="6" s="1"/>
  <c r="G1564" i="6"/>
  <c r="J1564" i="6" s="1"/>
  <c r="F1564" i="6"/>
  <c r="I1563" i="6"/>
  <c r="H1563" i="6"/>
  <c r="G1563" i="6"/>
  <c r="F1563" i="6"/>
  <c r="J1563" i="6" s="1"/>
  <c r="J1562" i="6"/>
  <c r="H1562" i="6"/>
  <c r="G1562" i="6"/>
  <c r="I1562" i="6" s="1"/>
  <c r="F1562" i="6"/>
  <c r="H1561" i="6"/>
  <c r="G1561" i="6"/>
  <c r="J1561" i="6" s="1"/>
  <c r="F1561" i="6"/>
  <c r="H1560" i="6"/>
  <c r="I1560" i="6" s="1"/>
  <c r="G1560" i="6"/>
  <c r="J1560" i="6" s="1"/>
  <c r="F1560" i="6"/>
  <c r="J1559" i="6"/>
  <c r="I1559" i="6"/>
  <c r="H1559" i="6"/>
  <c r="G1559" i="6"/>
  <c r="F1559" i="6"/>
  <c r="H1558" i="6"/>
  <c r="G1558" i="6"/>
  <c r="J1558" i="6" s="1"/>
  <c r="F1558" i="6"/>
  <c r="H1557" i="6"/>
  <c r="G1557" i="6"/>
  <c r="J1557" i="6" s="1"/>
  <c r="F1557" i="6"/>
  <c r="H1556" i="6"/>
  <c r="J1556" i="6" s="1"/>
  <c r="G1556" i="6"/>
  <c r="F1556" i="6"/>
  <c r="I1555" i="6"/>
  <c r="H1555" i="6"/>
  <c r="G1555" i="6"/>
  <c r="F1555" i="6"/>
  <c r="J1555" i="6" s="1"/>
  <c r="J1554" i="6"/>
  <c r="H1554" i="6"/>
  <c r="G1554" i="6"/>
  <c r="I1554" i="6" s="1"/>
  <c r="F1554" i="6"/>
  <c r="H1553" i="6"/>
  <c r="G1553" i="6"/>
  <c r="J1553" i="6" s="1"/>
  <c r="F1553" i="6"/>
  <c r="H1552" i="6"/>
  <c r="I1552" i="6" s="1"/>
  <c r="G1552" i="6"/>
  <c r="J1552" i="6" s="1"/>
  <c r="F1552" i="6"/>
  <c r="J1551" i="6"/>
  <c r="I1551" i="6"/>
  <c r="H1551" i="6"/>
  <c r="G1551" i="6"/>
  <c r="F1551" i="6"/>
  <c r="H1550" i="6"/>
  <c r="G1550" i="6"/>
  <c r="J1550" i="6" s="1"/>
  <c r="F1550" i="6"/>
  <c r="H1549" i="6"/>
  <c r="G1549" i="6"/>
  <c r="J1549" i="6" s="1"/>
  <c r="F1549" i="6"/>
  <c r="H1548" i="6"/>
  <c r="I1548" i="6" s="1"/>
  <c r="G1548" i="6"/>
  <c r="J1548" i="6" s="1"/>
  <c r="F1548" i="6"/>
  <c r="I1547" i="6"/>
  <c r="H1547" i="6"/>
  <c r="G1547" i="6"/>
  <c r="F1547" i="6"/>
  <c r="J1547" i="6" s="1"/>
  <c r="J1546" i="6"/>
  <c r="H1546" i="6"/>
  <c r="G1546" i="6"/>
  <c r="I1546" i="6" s="1"/>
  <c r="F1546" i="6"/>
  <c r="H1545" i="6"/>
  <c r="G1545" i="6"/>
  <c r="J1545" i="6" s="1"/>
  <c r="F1545" i="6"/>
  <c r="H1544" i="6"/>
  <c r="I1544" i="6" s="1"/>
  <c r="G1544" i="6"/>
  <c r="J1544" i="6" s="1"/>
  <c r="F1544" i="6"/>
  <c r="J1543" i="6"/>
  <c r="I1543" i="6"/>
  <c r="H1543" i="6"/>
  <c r="G1543" i="6"/>
  <c r="F1543" i="6"/>
  <c r="H1542" i="6"/>
  <c r="G1542" i="6"/>
  <c r="J1542" i="6" s="1"/>
  <c r="F1542" i="6"/>
  <c r="H1541" i="6"/>
  <c r="G1541" i="6"/>
  <c r="J1541" i="6" s="1"/>
  <c r="F1541" i="6"/>
  <c r="H1540" i="6"/>
  <c r="I1540" i="6" s="1"/>
  <c r="G1540" i="6"/>
  <c r="J1540" i="6" s="1"/>
  <c r="F1540" i="6"/>
  <c r="I1539" i="6"/>
  <c r="H1539" i="6"/>
  <c r="G1539" i="6"/>
  <c r="F1539" i="6"/>
  <c r="J1539" i="6" s="1"/>
  <c r="J1538" i="6"/>
  <c r="H1538" i="6"/>
  <c r="G1538" i="6"/>
  <c r="I1538" i="6" s="1"/>
  <c r="F1538" i="6"/>
  <c r="H1537" i="6"/>
  <c r="G1537" i="6"/>
  <c r="J1537" i="6" s="1"/>
  <c r="F1537" i="6"/>
  <c r="H1536" i="6"/>
  <c r="I1536" i="6" s="1"/>
  <c r="G1536" i="6"/>
  <c r="J1536" i="6" s="1"/>
  <c r="F1536" i="6"/>
  <c r="J1535" i="6"/>
  <c r="I1535" i="6"/>
  <c r="H1535" i="6"/>
  <c r="G1535" i="6"/>
  <c r="F1535" i="6"/>
  <c r="H1534" i="6"/>
  <c r="G1534" i="6"/>
  <c r="F1534" i="6"/>
  <c r="H1533" i="6"/>
  <c r="G1533" i="6"/>
  <c r="J1533" i="6" s="1"/>
  <c r="F1533" i="6"/>
  <c r="H1532" i="6"/>
  <c r="G1532" i="6"/>
  <c r="F1532" i="6"/>
  <c r="I1531" i="6"/>
  <c r="H1531" i="6"/>
  <c r="G1531" i="6"/>
  <c r="F1531" i="6"/>
  <c r="J1531" i="6" s="1"/>
  <c r="J1530" i="6"/>
  <c r="H1530" i="6"/>
  <c r="G1530" i="6"/>
  <c r="I1530" i="6" s="1"/>
  <c r="F1530" i="6"/>
  <c r="H1529" i="6"/>
  <c r="G1529" i="6"/>
  <c r="F1529" i="6"/>
  <c r="H1528" i="6"/>
  <c r="I1528" i="6" s="1"/>
  <c r="G1528" i="6"/>
  <c r="J1528" i="6" s="1"/>
  <c r="F1528" i="6"/>
  <c r="J1527" i="6"/>
  <c r="I1527" i="6"/>
  <c r="H1527" i="6"/>
  <c r="G1527" i="6"/>
  <c r="F1527" i="6"/>
  <c r="H1526" i="6"/>
  <c r="G1526" i="6"/>
  <c r="F1526" i="6"/>
  <c r="H1525" i="6"/>
  <c r="G1525" i="6"/>
  <c r="J1525" i="6" s="1"/>
  <c r="F1525" i="6"/>
  <c r="H1524" i="6"/>
  <c r="G1524" i="6"/>
  <c r="F1524" i="6"/>
  <c r="I1523" i="6"/>
  <c r="H1523" i="6"/>
  <c r="G1523" i="6"/>
  <c r="F1523" i="6"/>
  <c r="J1523" i="6" s="1"/>
  <c r="J1522" i="6"/>
  <c r="H1522" i="6"/>
  <c r="G1522" i="6"/>
  <c r="I1522" i="6" s="1"/>
  <c r="F1522" i="6"/>
  <c r="H1521" i="6"/>
  <c r="G1521" i="6"/>
  <c r="F1521" i="6"/>
  <c r="H1520" i="6"/>
  <c r="J1520" i="6" s="1"/>
  <c r="G1520" i="6"/>
  <c r="F1520" i="6"/>
  <c r="J1519" i="6"/>
  <c r="I1519" i="6"/>
  <c r="H1519" i="6"/>
  <c r="G1519" i="6"/>
  <c r="F1519" i="6"/>
  <c r="H1518" i="6"/>
  <c r="G1518" i="6"/>
  <c r="F1518" i="6"/>
  <c r="H1517" i="6"/>
  <c r="G1517" i="6"/>
  <c r="J1517" i="6" s="1"/>
  <c r="F1517" i="6"/>
  <c r="H1516" i="6"/>
  <c r="G1516" i="6"/>
  <c r="F1516" i="6"/>
  <c r="I1515" i="6"/>
  <c r="H1515" i="6"/>
  <c r="G1515" i="6"/>
  <c r="F1515" i="6"/>
  <c r="J1515" i="6" s="1"/>
  <c r="J1514" i="6"/>
  <c r="H1514" i="6"/>
  <c r="G1514" i="6"/>
  <c r="I1514" i="6" s="1"/>
  <c r="F1514" i="6"/>
  <c r="H1513" i="6"/>
  <c r="G1513" i="6"/>
  <c r="F1513" i="6"/>
  <c r="H1512" i="6"/>
  <c r="J1512" i="6" s="1"/>
  <c r="G1512" i="6"/>
  <c r="F1512" i="6"/>
  <c r="J1511" i="6"/>
  <c r="I1511" i="6"/>
  <c r="H1511" i="6"/>
  <c r="G1511" i="6"/>
  <c r="F1511" i="6"/>
  <c r="H1510" i="6"/>
  <c r="G1510" i="6"/>
  <c r="F1510" i="6"/>
  <c r="H1509" i="6"/>
  <c r="G1509" i="6"/>
  <c r="J1509" i="6" s="1"/>
  <c r="F1509" i="6"/>
  <c r="H1508" i="6"/>
  <c r="G1508" i="6"/>
  <c r="F1508" i="6"/>
  <c r="I1507" i="6"/>
  <c r="H1507" i="6"/>
  <c r="G1507" i="6"/>
  <c r="F1507" i="6"/>
  <c r="J1507" i="6" s="1"/>
  <c r="J1506" i="6"/>
  <c r="H1506" i="6"/>
  <c r="G1506" i="6"/>
  <c r="I1506" i="6" s="1"/>
  <c r="F1506" i="6"/>
  <c r="H1505" i="6"/>
  <c r="G1505" i="6"/>
  <c r="F1505" i="6"/>
  <c r="H1504" i="6"/>
  <c r="J1504" i="6" s="1"/>
  <c r="G1504" i="6"/>
  <c r="F1504" i="6"/>
  <c r="J1503" i="6"/>
  <c r="I1503" i="6"/>
  <c r="H1503" i="6"/>
  <c r="G1503" i="6"/>
  <c r="F1503" i="6"/>
  <c r="H1502" i="6"/>
  <c r="G1502" i="6"/>
  <c r="F1502" i="6"/>
  <c r="H1501" i="6"/>
  <c r="G1501" i="6"/>
  <c r="J1501" i="6" s="1"/>
  <c r="F1501" i="6"/>
  <c r="H1500" i="6"/>
  <c r="G1500" i="6"/>
  <c r="F1500" i="6"/>
  <c r="I1499" i="6"/>
  <c r="H1499" i="6"/>
  <c r="G1499" i="6"/>
  <c r="F1499" i="6"/>
  <c r="J1499" i="6" s="1"/>
  <c r="J1498" i="6"/>
  <c r="H1498" i="6"/>
  <c r="G1498" i="6"/>
  <c r="I1498" i="6" s="1"/>
  <c r="F1498" i="6"/>
  <c r="H1497" i="6"/>
  <c r="G1497" i="6"/>
  <c r="F1497" i="6"/>
  <c r="H1496" i="6"/>
  <c r="J1496" i="6" s="1"/>
  <c r="G1496" i="6"/>
  <c r="F1496" i="6"/>
  <c r="J1495" i="6"/>
  <c r="I1495" i="6"/>
  <c r="H1495" i="6"/>
  <c r="G1495" i="6"/>
  <c r="F1495" i="6"/>
  <c r="H1494" i="6"/>
  <c r="G1494" i="6"/>
  <c r="F1494" i="6"/>
  <c r="H1493" i="6"/>
  <c r="G1493" i="6"/>
  <c r="J1493" i="6" s="1"/>
  <c r="F1493" i="6"/>
  <c r="H1492" i="6"/>
  <c r="G1492" i="6"/>
  <c r="F1492" i="6"/>
  <c r="I1491" i="6"/>
  <c r="H1491" i="6"/>
  <c r="G1491" i="6"/>
  <c r="F1491" i="6"/>
  <c r="J1491" i="6" s="1"/>
  <c r="J1490" i="6"/>
  <c r="H1490" i="6"/>
  <c r="G1490" i="6"/>
  <c r="I1490" i="6" s="1"/>
  <c r="F1490" i="6"/>
  <c r="H1489" i="6"/>
  <c r="G1489" i="6"/>
  <c r="F1489" i="6"/>
  <c r="H1488" i="6"/>
  <c r="J1488" i="6" s="1"/>
  <c r="G1488" i="6"/>
  <c r="F1488" i="6"/>
  <c r="J1487" i="6"/>
  <c r="I1487" i="6"/>
  <c r="H1487" i="6"/>
  <c r="G1487" i="6"/>
  <c r="F1487" i="6"/>
  <c r="H1486" i="6"/>
  <c r="G1486" i="6"/>
  <c r="F1486" i="6"/>
  <c r="H1485" i="6"/>
  <c r="G1485" i="6"/>
  <c r="J1485" i="6" s="1"/>
  <c r="F1485" i="6"/>
  <c r="H1484" i="6"/>
  <c r="G1484" i="6"/>
  <c r="F1484" i="6"/>
  <c r="I1483" i="6"/>
  <c r="H1483" i="6"/>
  <c r="G1483" i="6"/>
  <c r="F1483" i="6"/>
  <c r="J1483" i="6" s="1"/>
  <c r="J1482" i="6"/>
  <c r="H1482" i="6"/>
  <c r="G1482" i="6"/>
  <c r="I1482" i="6" s="1"/>
  <c r="F1482" i="6"/>
  <c r="H1481" i="6"/>
  <c r="G1481" i="6"/>
  <c r="F1481" i="6"/>
  <c r="H1480" i="6"/>
  <c r="I1480" i="6" s="1"/>
  <c r="G1480" i="6"/>
  <c r="J1480" i="6" s="1"/>
  <c r="F1480" i="6"/>
  <c r="J1479" i="6"/>
  <c r="I1479" i="6"/>
  <c r="H1479" i="6"/>
  <c r="G1479" i="6"/>
  <c r="F1479" i="6"/>
  <c r="H1478" i="6"/>
  <c r="G1478" i="6"/>
  <c r="F1478" i="6"/>
  <c r="H1477" i="6"/>
  <c r="G1477" i="6"/>
  <c r="J1477" i="6" s="1"/>
  <c r="F1477" i="6"/>
  <c r="H1476" i="6"/>
  <c r="G1476" i="6"/>
  <c r="F1476" i="6"/>
  <c r="I1475" i="6"/>
  <c r="H1475" i="6"/>
  <c r="G1475" i="6"/>
  <c r="F1475" i="6"/>
  <c r="J1475" i="6" s="1"/>
  <c r="J1474" i="6"/>
  <c r="H1474" i="6"/>
  <c r="G1474" i="6"/>
  <c r="I1474" i="6" s="1"/>
  <c r="F1474" i="6"/>
  <c r="H1473" i="6"/>
  <c r="G1473" i="6"/>
  <c r="F1473" i="6"/>
  <c r="H1472" i="6"/>
  <c r="I1472" i="6" s="1"/>
  <c r="G1472" i="6"/>
  <c r="J1472" i="6" s="1"/>
  <c r="F1472" i="6"/>
  <c r="J1471" i="6"/>
  <c r="I1471" i="6"/>
  <c r="H1471" i="6"/>
  <c r="G1471" i="6"/>
  <c r="F1471" i="6"/>
  <c r="H1470" i="6"/>
  <c r="G1470" i="6"/>
  <c r="F1470" i="6"/>
  <c r="H1469" i="6"/>
  <c r="G1469" i="6"/>
  <c r="J1469" i="6" s="1"/>
  <c r="F1469" i="6"/>
  <c r="H1468" i="6"/>
  <c r="G1468" i="6"/>
  <c r="F1468" i="6"/>
  <c r="I1467" i="6"/>
  <c r="H1467" i="6"/>
  <c r="G1467" i="6"/>
  <c r="F1467" i="6"/>
  <c r="J1467" i="6" s="1"/>
  <c r="J1466" i="6"/>
  <c r="H1466" i="6"/>
  <c r="G1466" i="6"/>
  <c r="I1466" i="6" s="1"/>
  <c r="F1466" i="6"/>
  <c r="H1465" i="6"/>
  <c r="G1465" i="6"/>
  <c r="F1465" i="6"/>
  <c r="H1464" i="6"/>
  <c r="I1464" i="6" s="1"/>
  <c r="G1464" i="6"/>
  <c r="J1464" i="6" s="1"/>
  <c r="F1464" i="6"/>
  <c r="J1463" i="6"/>
  <c r="I1463" i="6"/>
  <c r="H1463" i="6"/>
  <c r="G1463" i="6"/>
  <c r="F1463" i="6"/>
  <c r="H1462" i="6"/>
  <c r="G1462" i="6"/>
  <c r="F1462" i="6"/>
  <c r="H1461" i="6"/>
  <c r="G1461" i="6"/>
  <c r="J1461" i="6" s="1"/>
  <c r="F1461" i="6"/>
  <c r="H1460" i="6"/>
  <c r="I1460" i="6" s="1"/>
  <c r="G1460" i="6"/>
  <c r="J1460" i="6" s="1"/>
  <c r="F1460" i="6"/>
  <c r="I1459" i="6"/>
  <c r="H1459" i="6"/>
  <c r="G1459" i="6"/>
  <c r="F1459" i="6"/>
  <c r="J1459" i="6" s="1"/>
  <c r="J1458" i="6"/>
  <c r="H1458" i="6"/>
  <c r="G1458" i="6"/>
  <c r="I1458" i="6" s="1"/>
  <c r="F1458" i="6"/>
  <c r="H1457" i="6"/>
  <c r="G1457" i="6"/>
  <c r="F1457" i="6"/>
  <c r="H1456" i="6"/>
  <c r="I1456" i="6" s="1"/>
  <c r="G1456" i="6"/>
  <c r="J1456" i="6" s="1"/>
  <c r="F1456" i="6"/>
  <c r="J1455" i="6"/>
  <c r="I1455" i="6"/>
  <c r="H1455" i="6"/>
  <c r="G1455" i="6"/>
  <c r="F1455" i="6"/>
  <c r="H1454" i="6"/>
  <c r="G1454" i="6"/>
  <c r="F1454" i="6"/>
  <c r="H1453" i="6"/>
  <c r="G1453" i="6"/>
  <c r="J1453" i="6" s="1"/>
  <c r="F1453" i="6"/>
  <c r="H1452" i="6"/>
  <c r="I1452" i="6" s="1"/>
  <c r="G1452" i="6"/>
  <c r="F1452" i="6"/>
  <c r="I1451" i="6"/>
  <c r="H1451" i="6"/>
  <c r="G1451" i="6"/>
  <c r="F1451" i="6"/>
  <c r="J1451" i="6" s="1"/>
  <c r="J1450" i="6"/>
  <c r="H1450" i="6"/>
  <c r="G1450" i="6"/>
  <c r="I1450" i="6" s="1"/>
  <c r="F1450" i="6"/>
  <c r="H1449" i="6"/>
  <c r="G1449" i="6"/>
  <c r="F1449" i="6"/>
  <c r="H1448" i="6"/>
  <c r="I1448" i="6" s="1"/>
  <c r="G1448" i="6"/>
  <c r="J1448" i="6" s="1"/>
  <c r="F1448" i="6"/>
  <c r="J1447" i="6"/>
  <c r="I1447" i="6"/>
  <c r="H1447" i="6"/>
  <c r="G1447" i="6"/>
  <c r="F1447" i="6"/>
  <c r="H1446" i="6"/>
  <c r="G1446" i="6"/>
  <c r="F1446" i="6"/>
  <c r="H1445" i="6"/>
  <c r="G1445" i="6"/>
  <c r="J1445" i="6" s="1"/>
  <c r="F1445" i="6"/>
  <c r="H1444" i="6"/>
  <c r="I1444" i="6" s="1"/>
  <c r="G1444" i="6"/>
  <c r="J1444" i="6" s="1"/>
  <c r="F1444" i="6"/>
  <c r="I1443" i="6"/>
  <c r="H1443" i="6"/>
  <c r="G1443" i="6"/>
  <c r="F1443" i="6"/>
  <c r="J1443" i="6" s="1"/>
  <c r="J1442" i="6"/>
  <c r="H1442" i="6"/>
  <c r="G1442" i="6"/>
  <c r="I1442" i="6" s="1"/>
  <c r="F1442" i="6"/>
  <c r="H1441" i="6"/>
  <c r="G1441" i="6"/>
  <c r="F1441" i="6"/>
  <c r="H1440" i="6"/>
  <c r="I1440" i="6" s="1"/>
  <c r="G1440" i="6"/>
  <c r="J1440" i="6" s="1"/>
  <c r="F1440" i="6"/>
  <c r="J1439" i="6"/>
  <c r="I1439" i="6"/>
  <c r="H1439" i="6"/>
  <c r="G1439" i="6"/>
  <c r="F1439" i="6"/>
  <c r="H1438" i="6"/>
  <c r="G1438" i="6"/>
  <c r="F1438" i="6"/>
  <c r="H1437" i="6"/>
  <c r="G1437" i="6"/>
  <c r="J1437" i="6" s="1"/>
  <c r="F1437" i="6"/>
  <c r="H1436" i="6"/>
  <c r="I1436" i="6" s="1"/>
  <c r="G1436" i="6"/>
  <c r="F1436" i="6"/>
  <c r="I1435" i="6"/>
  <c r="H1435" i="6"/>
  <c r="G1435" i="6"/>
  <c r="F1435" i="6"/>
  <c r="J1435" i="6" s="1"/>
  <c r="J1434" i="6"/>
  <c r="H1434" i="6"/>
  <c r="G1434" i="6"/>
  <c r="I1434" i="6" s="1"/>
  <c r="F1434" i="6"/>
  <c r="H1433" i="6"/>
  <c r="G1433" i="6"/>
  <c r="F1433" i="6"/>
  <c r="H1432" i="6"/>
  <c r="I1432" i="6" s="1"/>
  <c r="G1432" i="6"/>
  <c r="J1432" i="6" s="1"/>
  <c r="F1432" i="6"/>
  <c r="J1431" i="6"/>
  <c r="I1431" i="6"/>
  <c r="H1431" i="6"/>
  <c r="G1431" i="6"/>
  <c r="F1431" i="6"/>
  <c r="H1430" i="6"/>
  <c r="G1430" i="6"/>
  <c r="F1430" i="6"/>
  <c r="H1429" i="6"/>
  <c r="G1429" i="6"/>
  <c r="J1429" i="6" s="1"/>
  <c r="F1429" i="6"/>
  <c r="H1428" i="6"/>
  <c r="G1428" i="6"/>
  <c r="F1428" i="6"/>
  <c r="I1427" i="6"/>
  <c r="H1427" i="6"/>
  <c r="G1427" i="6"/>
  <c r="F1427" i="6"/>
  <c r="J1427" i="6" s="1"/>
  <c r="J1426" i="6"/>
  <c r="H1426" i="6"/>
  <c r="G1426" i="6"/>
  <c r="I1426" i="6" s="1"/>
  <c r="F1426" i="6"/>
  <c r="H1425" i="6"/>
  <c r="G1425" i="6"/>
  <c r="F1425" i="6"/>
  <c r="H1424" i="6"/>
  <c r="J1424" i="6" s="1"/>
  <c r="G1424" i="6"/>
  <c r="F1424" i="6"/>
  <c r="J1423" i="6"/>
  <c r="I1423" i="6"/>
  <c r="H1423" i="6"/>
  <c r="G1423" i="6"/>
  <c r="F1423" i="6"/>
  <c r="H1422" i="6"/>
  <c r="G1422" i="6"/>
  <c r="F1422" i="6"/>
  <c r="H1421" i="6"/>
  <c r="G1421" i="6"/>
  <c r="J1421" i="6" s="1"/>
  <c r="F1421" i="6"/>
  <c r="H1420" i="6"/>
  <c r="G1420" i="6"/>
  <c r="F1420" i="6"/>
  <c r="I1419" i="6"/>
  <c r="H1419" i="6"/>
  <c r="G1419" i="6"/>
  <c r="F1419" i="6"/>
  <c r="J1419" i="6" s="1"/>
  <c r="J1418" i="6"/>
  <c r="H1418" i="6"/>
  <c r="G1418" i="6"/>
  <c r="I1418" i="6" s="1"/>
  <c r="F1418" i="6"/>
  <c r="H1417" i="6"/>
  <c r="G1417" i="6"/>
  <c r="F1417" i="6"/>
  <c r="H1416" i="6"/>
  <c r="J1416" i="6" s="1"/>
  <c r="G1416" i="6"/>
  <c r="F1416" i="6"/>
  <c r="J1415" i="6"/>
  <c r="I1415" i="6"/>
  <c r="H1415" i="6"/>
  <c r="G1415" i="6"/>
  <c r="F1415" i="6"/>
  <c r="H1414" i="6"/>
  <c r="G1414" i="6"/>
  <c r="F1414" i="6"/>
  <c r="H1413" i="6"/>
  <c r="G1413" i="6"/>
  <c r="J1413" i="6" s="1"/>
  <c r="F1413" i="6"/>
  <c r="H1412" i="6"/>
  <c r="G1412" i="6"/>
  <c r="F1412" i="6"/>
  <c r="I1411" i="6"/>
  <c r="H1411" i="6"/>
  <c r="G1411" i="6"/>
  <c r="F1411" i="6"/>
  <c r="J1411" i="6" s="1"/>
  <c r="J1410" i="6"/>
  <c r="H1410" i="6"/>
  <c r="G1410" i="6"/>
  <c r="I1410" i="6" s="1"/>
  <c r="F1410" i="6"/>
  <c r="H1409" i="6"/>
  <c r="G1409" i="6"/>
  <c r="F1409" i="6"/>
  <c r="H1408" i="6"/>
  <c r="J1408" i="6" s="1"/>
  <c r="G1408" i="6"/>
  <c r="F1408" i="6"/>
  <c r="J1407" i="6"/>
  <c r="I1407" i="6"/>
  <c r="H1407" i="6"/>
  <c r="G1407" i="6"/>
  <c r="F1407" i="6"/>
  <c r="H1406" i="6"/>
  <c r="G1406" i="6"/>
  <c r="F1406" i="6"/>
  <c r="H1405" i="6"/>
  <c r="G1405" i="6"/>
  <c r="J1405" i="6" s="1"/>
  <c r="F1405" i="6"/>
  <c r="H1404" i="6"/>
  <c r="G1404" i="6"/>
  <c r="F1404" i="6"/>
  <c r="I1403" i="6"/>
  <c r="H1403" i="6"/>
  <c r="G1403" i="6"/>
  <c r="F1403" i="6"/>
  <c r="J1403" i="6" s="1"/>
  <c r="J1402" i="6"/>
  <c r="H1402" i="6"/>
  <c r="G1402" i="6"/>
  <c r="I1402" i="6" s="1"/>
  <c r="F1402" i="6"/>
  <c r="H1401" i="6"/>
  <c r="G1401" i="6"/>
  <c r="F1401" i="6"/>
  <c r="H1400" i="6"/>
  <c r="G1400" i="6"/>
  <c r="F1400" i="6"/>
  <c r="J1399" i="6"/>
  <c r="I1399" i="6"/>
  <c r="H1399" i="6"/>
  <c r="G1399" i="6"/>
  <c r="F1399" i="6"/>
  <c r="H1398" i="6"/>
  <c r="G1398" i="6"/>
  <c r="F1398" i="6"/>
  <c r="H1397" i="6"/>
  <c r="G1397" i="6"/>
  <c r="F1397" i="6"/>
  <c r="I1396" i="6"/>
  <c r="H1396" i="6"/>
  <c r="J1396" i="6" s="1"/>
  <c r="G1396" i="6"/>
  <c r="F1396" i="6"/>
  <c r="I1395" i="6"/>
  <c r="H1395" i="6"/>
  <c r="G1395" i="6"/>
  <c r="F1395" i="6"/>
  <c r="J1395" i="6" s="1"/>
  <c r="H1394" i="6"/>
  <c r="G1394" i="6"/>
  <c r="I1394" i="6" s="1"/>
  <c r="F1394" i="6"/>
  <c r="J1394" i="6" s="1"/>
  <c r="H1393" i="6"/>
  <c r="G1393" i="6"/>
  <c r="F1393" i="6"/>
  <c r="H1392" i="6"/>
  <c r="G1392" i="6"/>
  <c r="F1392" i="6"/>
  <c r="J1391" i="6"/>
  <c r="H1391" i="6"/>
  <c r="G1391" i="6"/>
  <c r="I1391" i="6" s="1"/>
  <c r="F1391" i="6"/>
  <c r="H1390" i="6"/>
  <c r="G1390" i="6"/>
  <c r="I1390" i="6" s="1"/>
  <c r="F1390" i="6"/>
  <c r="J1390" i="6" s="1"/>
  <c r="H1389" i="6"/>
  <c r="G1389" i="6"/>
  <c r="J1389" i="6" s="1"/>
  <c r="F1389" i="6"/>
  <c r="I1388" i="6"/>
  <c r="H1388" i="6"/>
  <c r="G1388" i="6"/>
  <c r="F1388" i="6"/>
  <c r="I1387" i="6"/>
  <c r="H1387" i="6"/>
  <c r="G1387" i="6"/>
  <c r="F1387" i="6"/>
  <c r="J1387" i="6" s="1"/>
  <c r="H1386" i="6"/>
  <c r="G1386" i="6"/>
  <c r="I1386" i="6" s="1"/>
  <c r="F1386" i="6"/>
  <c r="J1386" i="6" s="1"/>
  <c r="H1385" i="6"/>
  <c r="G1385" i="6"/>
  <c r="F1385" i="6"/>
  <c r="H1384" i="6"/>
  <c r="G1384" i="6"/>
  <c r="F1384" i="6"/>
  <c r="J1383" i="6"/>
  <c r="H1383" i="6"/>
  <c r="G1383" i="6"/>
  <c r="I1383" i="6" s="1"/>
  <c r="F1383" i="6"/>
  <c r="J1382" i="6"/>
  <c r="H1382" i="6"/>
  <c r="G1382" i="6"/>
  <c r="I1382" i="6" s="1"/>
  <c r="F1382" i="6"/>
  <c r="H1381" i="6"/>
  <c r="G1381" i="6"/>
  <c r="J1381" i="6" s="1"/>
  <c r="F1381" i="6"/>
  <c r="I1380" i="6"/>
  <c r="H1380" i="6"/>
  <c r="G1380" i="6"/>
  <c r="F1380" i="6"/>
  <c r="I1379" i="6"/>
  <c r="H1379" i="6"/>
  <c r="G1379" i="6"/>
  <c r="F1379" i="6"/>
  <c r="J1379" i="6" s="1"/>
  <c r="J1378" i="6"/>
  <c r="H1378" i="6"/>
  <c r="G1378" i="6"/>
  <c r="I1378" i="6" s="1"/>
  <c r="F1378" i="6"/>
  <c r="H1377" i="6"/>
  <c r="G1377" i="6"/>
  <c r="F1377" i="6"/>
  <c r="H1376" i="6"/>
  <c r="G1376" i="6"/>
  <c r="F1376" i="6"/>
  <c r="J1375" i="6"/>
  <c r="H1375" i="6"/>
  <c r="G1375" i="6"/>
  <c r="I1375" i="6" s="1"/>
  <c r="F1375" i="6"/>
  <c r="H1374" i="6"/>
  <c r="G1374" i="6"/>
  <c r="I1374" i="6" s="1"/>
  <c r="F1374" i="6"/>
  <c r="J1374" i="6" s="1"/>
  <c r="H1373" i="6"/>
  <c r="G1373" i="6"/>
  <c r="J1373" i="6" s="1"/>
  <c r="F1373" i="6"/>
  <c r="I1372" i="6"/>
  <c r="H1372" i="6"/>
  <c r="G1372" i="6"/>
  <c r="F1372" i="6"/>
  <c r="I1371" i="6"/>
  <c r="H1371" i="6"/>
  <c r="G1371" i="6"/>
  <c r="F1371" i="6"/>
  <c r="J1371" i="6" s="1"/>
  <c r="H1370" i="6"/>
  <c r="G1370" i="6"/>
  <c r="I1370" i="6" s="1"/>
  <c r="F1370" i="6"/>
  <c r="J1370" i="6" s="1"/>
  <c r="H1369" i="6"/>
  <c r="G1369" i="6"/>
  <c r="F1369" i="6"/>
  <c r="H1368" i="6"/>
  <c r="G1368" i="6"/>
  <c r="F1368" i="6"/>
  <c r="J1367" i="6"/>
  <c r="H1367" i="6"/>
  <c r="G1367" i="6"/>
  <c r="I1367" i="6" s="1"/>
  <c r="F1367" i="6"/>
  <c r="H1366" i="6"/>
  <c r="G1366" i="6"/>
  <c r="I1366" i="6" s="1"/>
  <c r="F1366" i="6"/>
  <c r="J1366" i="6" s="1"/>
  <c r="H1365" i="6"/>
  <c r="G1365" i="6"/>
  <c r="J1365" i="6" s="1"/>
  <c r="F1365" i="6"/>
  <c r="I1364" i="6"/>
  <c r="H1364" i="6"/>
  <c r="G1364" i="6"/>
  <c r="F1364" i="6"/>
  <c r="I1363" i="6"/>
  <c r="H1363" i="6"/>
  <c r="G1363" i="6"/>
  <c r="F1363" i="6"/>
  <c r="J1363" i="6" s="1"/>
  <c r="H1362" i="6"/>
  <c r="G1362" i="6"/>
  <c r="F1362" i="6"/>
  <c r="H1361" i="6"/>
  <c r="G1361" i="6"/>
  <c r="F1361" i="6"/>
  <c r="J1360" i="6"/>
  <c r="H1360" i="6"/>
  <c r="I1360" i="6" s="1"/>
  <c r="G1360" i="6"/>
  <c r="F1360" i="6"/>
  <c r="H1359" i="6"/>
  <c r="G1359" i="6"/>
  <c r="F1359" i="6"/>
  <c r="H1358" i="6"/>
  <c r="J1358" i="6" s="1"/>
  <c r="G1358" i="6"/>
  <c r="F1358" i="6"/>
  <c r="H1357" i="6"/>
  <c r="G1357" i="6"/>
  <c r="F1357" i="6"/>
  <c r="J1356" i="6"/>
  <c r="I1356" i="6"/>
  <c r="H1356" i="6"/>
  <c r="G1356" i="6"/>
  <c r="F1356" i="6"/>
  <c r="I1355" i="6"/>
  <c r="H1355" i="6"/>
  <c r="G1355" i="6"/>
  <c r="J1355" i="6" s="1"/>
  <c r="F1355" i="6"/>
  <c r="H1354" i="6"/>
  <c r="G1354" i="6"/>
  <c r="I1354" i="6" s="1"/>
  <c r="F1354" i="6"/>
  <c r="I1353" i="6"/>
  <c r="H1353" i="6"/>
  <c r="G1353" i="6"/>
  <c r="J1353" i="6" s="1"/>
  <c r="F1353" i="6"/>
  <c r="H1352" i="6"/>
  <c r="G1352" i="6"/>
  <c r="F1352" i="6"/>
  <c r="J1351" i="6"/>
  <c r="I1351" i="6"/>
  <c r="H1351" i="6"/>
  <c r="G1351" i="6"/>
  <c r="F1351" i="6"/>
  <c r="H1350" i="6"/>
  <c r="G1350" i="6"/>
  <c r="F1350" i="6"/>
  <c r="J1349" i="6"/>
  <c r="I1349" i="6"/>
  <c r="H1349" i="6"/>
  <c r="G1349" i="6"/>
  <c r="F1349" i="6"/>
  <c r="I1348" i="6"/>
  <c r="H1348" i="6"/>
  <c r="G1348" i="6"/>
  <c r="J1348" i="6" s="1"/>
  <c r="F1348" i="6"/>
  <c r="H1347" i="6"/>
  <c r="G1347" i="6"/>
  <c r="J1347" i="6" s="1"/>
  <c r="F1347" i="6"/>
  <c r="H1346" i="6"/>
  <c r="G1346" i="6"/>
  <c r="F1346" i="6"/>
  <c r="H1345" i="6"/>
  <c r="I1345" i="6" s="1"/>
  <c r="G1345" i="6"/>
  <c r="F1345" i="6"/>
  <c r="J1344" i="6"/>
  <c r="H1344" i="6"/>
  <c r="G1344" i="6"/>
  <c r="I1344" i="6" s="1"/>
  <c r="F1344" i="6"/>
  <c r="H1343" i="6"/>
  <c r="G1343" i="6"/>
  <c r="I1343" i="6" s="1"/>
  <c r="F1343" i="6"/>
  <c r="H1342" i="6"/>
  <c r="G1342" i="6"/>
  <c r="F1342" i="6"/>
  <c r="J1341" i="6"/>
  <c r="I1341" i="6"/>
  <c r="H1341" i="6"/>
  <c r="G1341" i="6"/>
  <c r="F1341" i="6"/>
  <c r="I1340" i="6"/>
  <c r="H1340" i="6"/>
  <c r="G1340" i="6"/>
  <c r="J1340" i="6" s="1"/>
  <c r="F1340" i="6"/>
  <c r="H1339" i="6"/>
  <c r="G1339" i="6"/>
  <c r="J1339" i="6" s="1"/>
  <c r="F1339" i="6"/>
  <c r="H1338" i="6"/>
  <c r="G1338" i="6"/>
  <c r="F1338" i="6"/>
  <c r="H1337" i="6"/>
  <c r="I1337" i="6" s="1"/>
  <c r="G1337" i="6"/>
  <c r="F1337" i="6"/>
  <c r="J1336" i="6"/>
  <c r="H1336" i="6"/>
  <c r="G1336" i="6"/>
  <c r="I1336" i="6" s="1"/>
  <c r="F1336" i="6"/>
  <c r="H1335" i="6"/>
  <c r="G1335" i="6"/>
  <c r="I1335" i="6" s="1"/>
  <c r="F1335" i="6"/>
  <c r="H1334" i="6"/>
  <c r="G1334" i="6"/>
  <c r="F1334" i="6"/>
  <c r="J1333" i="6"/>
  <c r="I1333" i="6"/>
  <c r="H1333" i="6"/>
  <c r="G1333" i="6"/>
  <c r="F1333" i="6"/>
  <c r="I1332" i="6"/>
  <c r="H1332" i="6"/>
  <c r="G1332" i="6"/>
  <c r="J1332" i="6" s="1"/>
  <c r="F1332" i="6"/>
  <c r="H1331" i="6"/>
  <c r="G1331" i="6"/>
  <c r="J1331" i="6" s="1"/>
  <c r="F1331" i="6"/>
  <c r="H1330" i="6"/>
  <c r="G1330" i="6"/>
  <c r="F1330" i="6"/>
  <c r="H1329" i="6"/>
  <c r="I1329" i="6" s="1"/>
  <c r="G1329" i="6"/>
  <c r="F1329" i="6"/>
  <c r="J1328" i="6"/>
  <c r="H1328" i="6"/>
  <c r="G1328" i="6"/>
  <c r="I1328" i="6" s="1"/>
  <c r="F1328" i="6"/>
  <c r="H1327" i="6"/>
  <c r="G1327" i="6"/>
  <c r="I1327" i="6" s="1"/>
  <c r="F1327" i="6"/>
  <c r="H1326" i="6"/>
  <c r="G1326" i="6"/>
  <c r="F1326" i="6"/>
  <c r="J1325" i="6"/>
  <c r="I1325" i="6"/>
  <c r="H1325" i="6"/>
  <c r="G1325" i="6"/>
  <c r="F1325" i="6"/>
  <c r="I1324" i="6"/>
  <c r="H1324" i="6"/>
  <c r="G1324" i="6"/>
  <c r="F1324" i="6"/>
  <c r="H1323" i="6"/>
  <c r="G1323" i="6"/>
  <c r="J1323" i="6" s="1"/>
  <c r="F1323" i="6"/>
  <c r="H1322" i="6"/>
  <c r="G1322" i="6"/>
  <c r="F1322" i="6"/>
  <c r="H1321" i="6"/>
  <c r="I1321" i="6" s="1"/>
  <c r="G1321" i="6"/>
  <c r="J1321" i="6" s="1"/>
  <c r="F1321" i="6"/>
  <c r="J1320" i="6"/>
  <c r="H1320" i="6"/>
  <c r="G1320" i="6"/>
  <c r="I1320" i="6" s="1"/>
  <c r="F1320" i="6"/>
  <c r="H1319" i="6"/>
  <c r="G1319" i="6"/>
  <c r="I1319" i="6" s="1"/>
  <c r="F1319" i="6"/>
  <c r="H1318" i="6"/>
  <c r="G1318" i="6"/>
  <c r="F1318" i="6"/>
  <c r="J1317" i="6"/>
  <c r="I1317" i="6"/>
  <c r="H1317" i="6"/>
  <c r="G1317" i="6"/>
  <c r="F1317" i="6"/>
  <c r="I1316" i="6"/>
  <c r="H1316" i="6"/>
  <c r="G1316" i="6"/>
  <c r="F1316" i="6"/>
  <c r="H1315" i="6"/>
  <c r="G1315" i="6"/>
  <c r="F1315" i="6"/>
  <c r="H1314" i="6"/>
  <c r="G1314" i="6"/>
  <c r="F1314" i="6"/>
  <c r="H1313" i="6"/>
  <c r="I1313" i="6" s="1"/>
  <c r="G1313" i="6"/>
  <c r="J1313" i="6" s="1"/>
  <c r="F1313" i="6"/>
  <c r="J1312" i="6"/>
  <c r="H1312" i="6"/>
  <c r="G1312" i="6"/>
  <c r="I1312" i="6" s="1"/>
  <c r="F1312" i="6"/>
  <c r="J1311" i="6"/>
  <c r="H1311" i="6"/>
  <c r="G1311" i="6"/>
  <c r="I1311" i="6" s="1"/>
  <c r="F1311" i="6"/>
  <c r="H1310" i="6"/>
  <c r="G1310" i="6"/>
  <c r="F1310" i="6"/>
  <c r="J1309" i="6"/>
  <c r="I1309" i="6"/>
  <c r="H1309" i="6"/>
  <c r="G1309" i="6"/>
  <c r="F1309" i="6"/>
  <c r="I1308" i="6"/>
  <c r="H1308" i="6"/>
  <c r="G1308" i="6"/>
  <c r="F1308" i="6"/>
  <c r="H1307" i="6"/>
  <c r="G1307" i="6"/>
  <c r="F1307" i="6"/>
  <c r="H1306" i="6"/>
  <c r="G1306" i="6"/>
  <c r="F1306" i="6"/>
  <c r="H1305" i="6"/>
  <c r="I1305" i="6" s="1"/>
  <c r="G1305" i="6"/>
  <c r="J1305" i="6" s="1"/>
  <c r="F1305" i="6"/>
  <c r="J1304" i="6"/>
  <c r="H1304" i="6"/>
  <c r="G1304" i="6"/>
  <c r="I1304" i="6" s="1"/>
  <c r="F1304" i="6"/>
  <c r="H1303" i="6"/>
  <c r="G1303" i="6"/>
  <c r="F1303" i="6"/>
  <c r="H1302" i="6"/>
  <c r="G1302" i="6"/>
  <c r="F1302" i="6"/>
  <c r="J1301" i="6"/>
  <c r="I1301" i="6"/>
  <c r="H1301" i="6"/>
  <c r="G1301" i="6"/>
  <c r="F1301" i="6"/>
  <c r="I1300" i="6"/>
  <c r="H1300" i="6"/>
  <c r="G1300" i="6"/>
  <c r="J1300" i="6" s="1"/>
  <c r="F1300" i="6"/>
  <c r="H1299" i="6"/>
  <c r="G1299" i="6"/>
  <c r="F1299" i="6"/>
  <c r="H1298" i="6"/>
  <c r="G1298" i="6"/>
  <c r="F1298" i="6"/>
  <c r="H1297" i="6"/>
  <c r="I1297" i="6" s="1"/>
  <c r="G1297" i="6"/>
  <c r="F1297" i="6"/>
  <c r="J1296" i="6"/>
  <c r="H1296" i="6"/>
  <c r="G1296" i="6"/>
  <c r="I1296" i="6" s="1"/>
  <c r="F1296" i="6"/>
  <c r="J1295" i="6"/>
  <c r="H1295" i="6"/>
  <c r="G1295" i="6"/>
  <c r="I1295" i="6" s="1"/>
  <c r="F1295" i="6"/>
  <c r="H1294" i="6"/>
  <c r="G1294" i="6"/>
  <c r="F1294" i="6"/>
  <c r="J1293" i="6"/>
  <c r="I1293" i="6"/>
  <c r="H1293" i="6"/>
  <c r="G1293" i="6"/>
  <c r="F1293" i="6"/>
  <c r="I1292" i="6"/>
  <c r="H1292" i="6"/>
  <c r="G1292" i="6"/>
  <c r="J1292" i="6" s="1"/>
  <c r="F1292" i="6"/>
  <c r="H1291" i="6"/>
  <c r="G1291" i="6"/>
  <c r="J1291" i="6" s="1"/>
  <c r="F1291" i="6"/>
  <c r="H1290" i="6"/>
  <c r="G1290" i="6"/>
  <c r="F1290" i="6"/>
  <c r="H1289" i="6"/>
  <c r="I1289" i="6" s="1"/>
  <c r="G1289" i="6"/>
  <c r="F1289" i="6"/>
  <c r="J1288" i="6"/>
  <c r="H1288" i="6"/>
  <c r="G1288" i="6"/>
  <c r="I1288" i="6" s="1"/>
  <c r="F1288" i="6"/>
  <c r="J1287" i="6"/>
  <c r="H1287" i="6"/>
  <c r="G1287" i="6"/>
  <c r="I1287" i="6" s="1"/>
  <c r="F1287" i="6"/>
  <c r="H1286" i="6"/>
  <c r="G1286" i="6"/>
  <c r="F1286" i="6"/>
  <c r="J1285" i="6"/>
  <c r="I1285" i="6"/>
  <c r="H1285" i="6"/>
  <c r="G1285" i="6"/>
  <c r="F1285" i="6"/>
  <c r="I1284" i="6"/>
  <c r="H1284" i="6"/>
  <c r="G1284" i="6"/>
  <c r="J1284" i="6" s="1"/>
  <c r="F1284" i="6"/>
  <c r="H1283" i="6"/>
  <c r="G1283" i="6"/>
  <c r="J1283" i="6" s="1"/>
  <c r="F1283" i="6"/>
  <c r="H1282" i="6"/>
  <c r="G1282" i="6"/>
  <c r="F1282" i="6"/>
  <c r="H1281" i="6"/>
  <c r="I1281" i="6" s="1"/>
  <c r="G1281" i="6"/>
  <c r="F1281" i="6"/>
  <c r="J1280" i="6"/>
  <c r="H1280" i="6"/>
  <c r="G1280" i="6"/>
  <c r="I1280" i="6" s="1"/>
  <c r="F1280" i="6"/>
  <c r="H1279" i="6"/>
  <c r="G1279" i="6"/>
  <c r="I1279" i="6" s="1"/>
  <c r="F1279" i="6"/>
  <c r="H1278" i="6"/>
  <c r="G1278" i="6"/>
  <c r="F1278" i="6"/>
  <c r="J1277" i="6"/>
  <c r="I1277" i="6"/>
  <c r="H1277" i="6"/>
  <c r="G1277" i="6"/>
  <c r="F1277" i="6"/>
  <c r="I1276" i="6"/>
  <c r="H1276" i="6"/>
  <c r="G1276" i="6"/>
  <c r="J1276" i="6" s="1"/>
  <c r="F1276" i="6"/>
  <c r="H1275" i="6"/>
  <c r="G1275" i="6"/>
  <c r="J1275" i="6" s="1"/>
  <c r="F1275" i="6"/>
  <c r="H1274" i="6"/>
  <c r="G1274" i="6"/>
  <c r="F1274" i="6"/>
  <c r="H1273" i="6"/>
  <c r="I1273" i="6" s="1"/>
  <c r="G1273" i="6"/>
  <c r="F1273" i="6"/>
  <c r="J1272" i="6"/>
  <c r="H1272" i="6"/>
  <c r="G1272" i="6"/>
  <c r="I1272" i="6" s="1"/>
  <c r="F1272" i="6"/>
  <c r="H1271" i="6"/>
  <c r="G1271" i="6"/>
  <c r="I1271" i="6" s="1"/>
  <c r="F1271" i="6"/>
  <c r="H1270" i="6"/>
  <c r="G1270" i="6"/>
  <c r="F1270" i="6"/>
  <c r="J1269" i="6"/>
  <c r="I1269" i="6"/>
  <c r="H1269" i="6"/>
  <c r="G1269" i="6"/>
  <c r="F1269" i="6"/>
  <c r="I1268" i="6"/>
  <c r="H1268" i="6"/>
  <c r="G1268" i="6"/>
  <c r="J1268" i="6" s="1"/>
  <c r="F1268" i="6"/>
  <c r="H1267" i="6"/>
  <c r="G1267" i="6"/>
  <c r="J1267" i="6" s="1"/>
  <c r="F1267" i="6"/>
  <c r="H1266" i="6"/>
  <c r="G1266" i="6"/>
  <c r="F1266" i="6"/>
  <c r="H1265" i="6"/>
  <c r="I1265" i="6" s="1"/>
  <c r="G1265" i="6"/>
  <c r="F1265" i="6"/>
  <c r="J1264" i="6"/>
  <c r="H1264" i="6"/>
  <c r="G1264" i="6"/>
  <c r="I1264" i="6" s="1"/>
  <c r="F1264" i="6"/>
  <c r="H1263" i="6"/>
  <c r="G1263" i="6"/>
  <c r="I1263" i="6" s="1"/>
  <c r="F1263" i="6"/>
  <c r="H1262" i="6"/>
  <c r="G1262" i="6"/>
  <c r="F1262" i="6"/>
  <c r="J1261" i="6"/>
  <c r="I1261" i="6"/>
  <c r="H1261" i="6"/>
  <c r="G1261" i="6"/>
  <c r="F1261" i="6"/>
  <c r="I1260" i="6"/>
  <c r="H1260" i="6"/>
  <c r="G1260" i="6"/>
  <c r="F1260" i="6"/>
  <c r="H1259" i="6"/>
  <c r="G1259" i="6"/>
  <c r="J1259" i="6" s="1"/>
  <c r="F1259" i="6"/>
  <c r="H1258" i="6"/>
  <c r="G1258" i="6"/>
  <c r="F1258" i="6"/>
  <c r="H1257" i="6"/>
  <c r="I1257" i="6" s="1"/>
  <c r="G1257" i="6"/>
  <c r="J1257" i="6" s="1"/>
  <c r="F1257" i="6"/>
  <c r="J1256" i="6"/>
  <c r="H1256" i="6"/>
  <c r="G1256" i="6"/>
  <c r="I1256" i="6" s="1"/>
  <c r="F1256" i="6"/>
  <c r="H1255" i="6"/>
  <c r="G1255" i="6"/>
  <c r="I1255" i="6" s="1"/>
  <c r="F1255" i="6"/>
  <c r="H1254" i="6"/>
  <c r="G1254" i="6"/>
  <c r="F1254" i="6"/>
  <c r="J1253" i="6"/>
  <c r="I1253" i="6"/>
  <c r="H1253" i="6"/>
  <c r="G1253" i="6"/>
  <c r="F1253" i="6"/>
  <c r="I1252" i="6"/>
  <c r="H1252" i="6"/>
  <c r="G1252" i="6"/>
  <c r="F1252" i="6"/>
  <c r="H1251" i="6"/>
  <c r="G1251" i="6"/>
  <c r="F1251" i="6"/>
  <c r="H1250" i="6"/>
  <c r="G1250" i="6"/>
  <c r="F1250" i="6"/>
  <c r="H1249" i="6"/>
  <c r="G1249" i="6"/>
  <c r="F1249" i="6"/>
  <c r="J1248" i="6"/>
  <c r="H1248" i="6"/>
  <c r="G1248" i="6"/>
  <c r="I1248" i="6" s="1"/>
  <c r="F1248" i="6"/>
  <c r="J1247" i="6"/>
  <c r="H1247" i="6"/>
  <c r="G1247" i="6"/>
  <c r="I1247" i="6" s="1"/>
  <c r="F1247" i="6"/>
  <c r="H1246" i="6"/>
  <c r="G1246" i="6"/>
  <c r="F1246" i="6"/>
  <c r="J1245" i="6"/>
  <c r="I1245" i="6"/>
  <c r="H1245" i="6"/>
  <c r="G1245" i="6"/>
  <c r="F1245" i="6"/>
  <c r="I1244" i="6"/>
  <c r="H1244" i="6"/>
  <c r="G1244" i="6"/>
  <c r="F1244" i="6"/>
  <c r="H1243" i="6"/>
  <c r="G1243" i="6"/>
  <c r="F1243" i="6"/>
  <c r="H1242" i="6"/>
  <c r="G1242" i="6"/>
  <c r="F1242" i="6"/>
  <c r="H1241" i="6"/>
  <c r="G1241" i="6"/>
  <c r="F1241" i="6"/>
  <c r="J1240" i="6"/>
  <c r="H1240" i="6"/>
  <c r="G1240" i="6"/>
  <c r="I1240" i="6" s="1"/>
  <c r="F1240" i="6"/>
  <c r="H1239" i="6"/>
  <c r="G1239" i="6"/>
  <c r="F1239" i="6"/>
  <c r="H1238" i="6"/>
  <c r="G1238" i="6"/>
  <c r="F1238" i="6"/>
  <c r="J1237" i="6"/>
  <c r="I1237" i="6"/>
  <c r="H1237" i="6"/>
  <c r="G1237" i="6"/>
  <c r="F1237" i="6"/>
  <c r="I1236" i="6"/>
  <c r="H1236" i="6"/>
  <c r="G1236" i="6"/>
  <c r="J1236" i="6" s="1"/>
  <c r="F1236" i="6"/>
  <c r="H1235" i="6"/>
  <c r="G1235" i="6"/>
  <c r="F1235" i="6"/>
  <c r="H1234" i="6"/>
  <c r="G1234" i="6"/>
  <c r="F1234" i="6"/>
  <c r="H1233" i="6"/>
  <c r="G1233" i="6"/>
  <c r="F1233" i="6"/>
  <c r="J1232" i="6"/>
  <c r="H1232" i="6"/>
  <c r="G1232" i="6"/>
  <c r="I1232" i="6" s="1"/>
  <c r="F1232" i="6"/>
  <c r="J1231" i="6"/>
  <c r="H1231" i="6"/>
  <c r="G1231" i="6"/>
  <c r="I1231" i="6" s="1"/>
  <c r="F1231" i="6"/>
  <c r="H1230" i="6"/>
  <c r="G1230" i="6"/>
  <c r="F1230" i="6"/>
  <c r="J1229" i="6"/>
  <c r="I1229" i="6"/>
  <c r="H1229" i="6"/>
  <c r="G1229" i="6"/>
  <c r="F1229" i="6"/>
  <c r="I1228" i="6"/>
  <c r="H1228" i="6"/>
  <c r="G1228" i="6"/>
  <c r="J1228" i="6" s="1"/>
  <c r="F1228" i="6"/>
  <c r="H1227" i="6"/>
  <c r="G1227" i="6"/>
  <c r="J1227" i="6" s="1"/>
  <c r="F1227" i="6"/>
  <c r="H1226" i="6"/>
  <c r="G1226" i="6"/>
  <c r="F1226" i="6"/>
  <c r="H1225" i="6"/>
  <c r="G1225" i="6"/>
  <c r="F1225" i="6"/>
  <c r="J1224" i="6"/>
  <c r="H1224" i="6"/>
  <c r="G1224" i="6"/>
  <c r="I1224" i="6" s="1"/>
  <c r="F1224" i="6"/>
  <c r="J1223" i="6"/>
  <c r="H1223" i="6"/>
  <c r="G1223" i="6"/>
  <c r="I1223" i="6" s="1"/>
  <c r="F1223" i="6"/>
  <c r="H1222" i="6"/>
  <c r="G1222" i="6"/>
  <c r="F1222" i="6"/>
  <c r="J1221" i="6"/>
  <c r="I1221" i="6"/>
  <c r="H1221" i="6"/>
  <c r="G1221" i="6"/>
  <c r="F1221" i="6"/>
  <c r="I1220" i="6"/>
  <c r="H1220" i="6"/>
  <c r="G1220" i="6"/>
  <c r="J1220" i="6" s="1"/>
  <c r="F1220" i="6"/>
  <c r="H1219" i="6"/>
  <c r="G1219" i="6"/>
  <c r="J1219" i="6" s="1"/>
  <c r="F1219" i="6"/>
  <c r="H1218" i="6"/>
  <c r="G1218" i="6"/>
  <c r="F1218" i="6"/>
  <c r="H1217" i="6"/>
  <c r="G1217" i="6"/>
  <c r="F1217" i="6"/>
  <c r="J1216" i="6"/>
  <c r="H1216" i="6"/>
  <c r="G1216" i="6"/>
  <c r="I1216" i="6" s="1"/>
  <c r="F1216" i="6"/>
  <c r="H1215" i="6"/>
  <c r="G1215" i="6"/>
  <c r="I1215" i="6" s="1"/>
  <c r="F1215" i="6"/>
  <c r="H1214" i="6"/>
  <c r="G1214" i="6"/>
  <c r="F1214" i="6"/>
  <c r="J1213" i="6"/>
  <c r="I1213" i="6"/>
  <c r="H1213" i="6"/>
  <c r="G1213" i="6"/>
  <c r="F1213" i="6"/>
  <c r="I1212" i="6"/>
  <c r="H1212" i="6"/>
  <c r="G1212" i="6"/>
  <c r="J1212" i="6" s="1"/>
  <c r="F1212" i="6"/>
  <c r="H1211" i="6"/>
  <c r="G1211" i="6"/>
  <c r="J1211" i="6" s="1"/>
  <c r="F1211" i="6"/>
  <c r="H1210" i="6"/>
  <c r="G1210" i="6"/>
  <c r="F1210" i="6"/>
  <c r="H1209" i="6"/>
  <c r="G1209" i="6"/>
  <c r="F1209" i="6"/>
  <c r="J1208" i="6"/>
  <c r="H1208" i="6"/>
  <c r="G1208" i="6"/>
  <c r="I1208" i="6" s="1"/>
  <c r="F1208" i="6"/>
  <c r="H1207" i="6"/>
  <c r="G1207" i="6"/>
  <c r="I1207" i="6" s="1"/>
  <c r="F1207" i="6"/>
  <c r="H1206" i="6"/>
  <c r="G1206" i="6"/>
  <c r="F1206" i="6"/>
  <c r="J1205" i="6"/>
  <c r="I1205" i="6"/>
  <c r="H1205" i="6"/>
  <c r="G1205" i="6"/>
  <c r="F1205" i="6"/>
  <c r="I1204" i="6"/>
  <c r="H1204" i="6"/>
  <c r="G1204" i="6"/>
  <c r="J1204" i="6" s="1"/>
  <c r="F1204" i="6"/>
  <c r="H1203" i="6"/>
  <c r="G1203" i="6"/>
  <c r="J1203" i="6" s="1"/>
  <c r="F1203" i="6"/>
  <c r="H1202" i="6"/>
  <c r="G1202" i="6"/>
  <c r="F1202" i="6"/>
  <c r="H1201" i="6"/>
  <c r="G1201" i="6"/>
  <c r="F1201" i="6"/>
  <c r="J1200" i="6"/>
  <c r="H1200" i="6"/>
  <c r="G1200" i="6"/>
  <c r="I1200" i="6" s="1"/>
  <c r="F1200" i="6"/>
  <c r="H1199" i="6"/>
  <c r="G1199" i="6"/>
  <c r="I1199" i="6" s="1"/>
  <c r="F1199" i="6"/>
  <c r="H1198" i="6"/>
  <c r="G1198" i="6"/>
  <c r="F1198" i="6"/>
  <c r="J1197" i="6"/>
  <c r="I1197" i="6"/>
  <c r="H1197" i="6"/>
  <c r="G1197" i="6"/>
  <c r="F1197" i="6"/>
  <c r="I1196" i="6"/>
  <c r="H1196" i="6"/>
  <c r="G1196" i="6"/>
  <c r="F1196" i="6"/>
  <c r="H1195" i="6"/>
  <c r="G1195" i="6"/>
  <c r="J1195" i="6" s="1"/>
  <c r="F1195" i="6"/>
  <c r="H1194" i="6"/>
  <c r="G1194" i="6"/>
  <c r="F1194" i="6"/>
  <c r="H1193" i="6"/>
  <c r="G1193" i="6"/>
  <c r="F1193" i="6"/>
  <c r="J1192" i="6"/>
  <c r="H1192" i="6"/>
  <c r="G1192" i="6"/>
  <c r="I1192" i="6" s="1"/>
  <c r="F1192" i="6"/>
  <c r="H1191" i="6"/>
  <c r="G1191" i="6"/>
  <c r="I1191" i="6" s="1"/>
  <c r="F1191" i="6"/>
  <c r="H1190" i="6"/>
  <c r="G1190" i="6"/>
  <c r="F1190" i="6"/>
  <c r="J1189" i="6"/>
  <c r="I1189" i="6"/>
  <c r="H1189" i="6"/>
  <c r="G1189" i="6"/>
  <c r="F1189" i="6"/>
  <c r="I1188" i="6"/>
  <c r="H1188" i="6"/>
  <c r="G1188" i="6"/>
  <c r="F1188" i="6"/>
  <c r="H1187" i="6"/>
  <c r="G1187" i="6"/>
  <c r="F1187" i="6"/>
  <c r="H1186" i="6"/>
  <c r="G1186" i="6"/>
  <c r="F1186" i="6"/>
  <c r="H1185" i="6"/>
  <c r="G1185" i="6"/>
  <c r="F1185" i="6"/>
  <c r="J1184" i="6"/>
  <c r="H1184" i="6"/>
  <c r="G1184" i="6"/>
  <c r="I1184" i="6" s="1"/>
  <c r="F1184" i="6"/>
  <c r="J1183" i="6"/>
  <c r="H1183" i="6"/>
  <c r="G1183" i="6"/>
  <c r="I1183" i="6" s="1"/>
  <c r="F1183" i="6"/>
  <c r="H1182" i="6"/>
  <c r="G1182" i="6"/>
  <c r="F1182" i="6"/>
  <c r="J1181" i="6"/>
  <c r="I1181" i="6"/>
  <c r="H1181" i="6"/>
  <c r="G1181" i="6"/>
  <c r="F1181" i="6"/>
  <c r="I1180" i="6"/>
  <c r="H1180" i="6"/>
  <c r="G1180" i="6"/>
  <c r="F1180" i="6"/>
  <c r="H1179" i="6"/>
  <c r="G1179" i="6"/>
  <c r="F1179" i="6"/>
  <c r="H1178" i="6"/>
  <c r="G1178" i="6"/>
  <c r="F1178" i="6"/>
  <c r="H1177" i="6"/>
  <c r="G1177" i="6"/>
  <c r="F1177" i="6"/>
  <c r="J1176" i="6"/>
  <c r="H1176" i="6"/>
  <c r="G1176" i="6"/>
  <c r="I1176" i="6" s="1"/>
  <c r="F1176" i="6"/>
  <c r="H1175" i="6"/>
  <c r="G1175" i="6"/>
  <c r="F1175" i="6"/>
  <c r="H1174" i="6"/>
  <c r="G1174" i="6"/>
  <c r="F1174" i="6"/>
  <c r="J1173" i="6"/>
  <c r="I1173" i="6"/>
  <c r="H1173" i="6"/>
  <c r="G1173" i="6"/>
  <c r="F1173" i="6"/>
  <c r="I1172" i="6"/>
  <c r="H1172" i="6"/>
  <c r="G1172" i="6"/>
  <c r="J1172" i="6" s="1"/>
  <c r="F1172" i="6"/>
  <c r="H1171" i="6"/>
  <c r="G1171" i="6"/>
  <c r="F1171" i="6"/>
  <c r="H1170" i="6"/>
  <c r="G1170" i="6"/>
  <c r="F1170" i="6"/>
  <c r="H1169" i="6"/>
  <c r="G1169" i="6"/>
  <c r="F1169" i="6"/>
  <c r="J1168" i="6"/>
  <c r="H1168" i="6"/>
  <c r="G1168" i="6"/>
  <c r="I1168" i="6" s="1"/>
  <c r="F1168" i="6"/>
  <c r="J1167" i="6"/>
  <c r="H1167" i="6"/>
  <c r="G1167" i="6"/>
  <c r="I1167" i="6" s="1"/>
  <c r="F1167" i="6"/>
  <c r="H1166" i="6"/>
  <c r="G1166" i="6"/>
  <c r="F1166" i="6"/>
  <c r="J1165" i="6"/>
  <c r="I1165" i="6"/>
  <c r="H1165" i="6"/>
  <c r="G1165" i="6"/>
  <c r="F1165" i="6"/>
  <c r="I1164" i="6"/>
  <c r="H1164" i="6"/>
  <c r="G1164" i="6"/>
  <c r="J1164" i="6" s="1"/>
  <c r="F1164" i="6"/>
  <c r="H1163" i="6"/>
  <c r="G1163" i="6"/>
  <c r="J1163" i="6" s="1"/>
  <c r="F1163" i="6"/>
  <c r="H1162" i="6"/>
  <c r="G1162" i="6"/>
  <c r="F1162" i="6"/>
  <c r="H1161" i="6"/>
  <c r="G1161" i="6"/>
  <c r="F1161" i="6"/>
  <c r="J1160" i="6"/>
  <c r="H1160" i="6"/>
  <c r="G1160" i="6"/>
  <c r="I1160" i="6" s="1"/>
  <c r="F1160" i="6"/>
  <c r="J1159" i="6"/>
  <c r="H1159" i="6"/>
  <c r="G1159" i="6"/>
  <c r="I1159" i="6" s="1"/>
  <c r="F1159" i="6"/>
  <c r="H1158" i="6"/>
  <c r="G1158" i="6"/>
  <c r="I1158" i="6" s="1"/>
  <c r="F1158" i="6"/>
  <c r="I1157" i="6"/>
  <c r="H1157" i="6"/>
  <c r="G1157" i="6"/>
  <c r="J1157" i="6" s="1"/>
  <c r="F1157" i="6"/>
  <c r="I1156" i="6"/>
  <c r="H1156" i="6"/>
  <c r="G1156" i="6"/>
  <c r="J1156" i="6" s="1"/>
  <c r="F1156" i="6"/>
  <c r="I1155" i="6"/>
  <c r="H1155" i="6"/>
  <c r="G1155" i="6"/>
  <c r="F1155" i="6"/>
  <c r="H1154" i="6"/>
  <c r="G1154" i="6"/>
  <c r="F1154" i="6"/>
  <c r="H1153" i="6"/>
  <c r="G1153" i="6"/>
  <c r="J1153" i="6" s="1"/>
  <c r="F1153" i="6"/>
  <c r="H1152" i="6"/>
  <c r="J1152" i="6" s="1"/>
  <c r="G1152" i="6"/>
  <c r="F1152" i="6"/>
  <c r="H1151" i="6"/>
  <c r="G1151" i="6"/>
  <c r="F1151" i="6"/>
  <c r="H1150" i="6"/>
  <c r="G1150" i="6"/>
  <c r="I1150" i="6" s="1"/>
  <c r="F1150" i="6"/>
  <c r="H1149" i="6"/>
  <c r="G1149" i="6"/>
  <c r="F1149" i="6"/>
  <c r="I1148" i="6"/>
  <c r="H1148" i="6"/>
  <c r="G1148" i="6"/>
  <c r="J1148" i="6" s="1"/>
  <c r="F1148" i="6"/>
  <c r="I1147" i="6"/>
  <c r="H1147" i="6"/>
  <c r="G1147" i="6"/>
  <c r="J1147" i="6" s="1"/>
  <c r="F1147" i="6"/>
  <c r="H1146" i="6"/>
  <c r="I1146" i="6" s="1"/>
  <c r="G1146" i="6"/>
  <c r="F1146" i="6"/>
  <c r="H1145" i="6"/>
  <c r="G1145" i="6"/>
  <c r="F1145" i="6"/>
  <c r="J1144" i="6"/>
  <c r="H1144" i="6"/>
  <c r="G1144" i="6"/>
  <c r="I1144" i="6" s="1"/>
  <c r="F1144" i="6"/>
  <c r="H1143" i="6"/>
  <c r="G1143" i="6"/>
  <c r="F1143" i="6"/>
  <c r="H1142" i="6"/>
  <c r="G1142" i="6"/>
  <c r="I1142" i="6" s="1"/>
  <c r="F1142" i="6"/>
  <c r="H1141" i="6"/>
  <c r="G1141" i="6"/>
  <c r="F1141" i="6"/>
  <c r="H1140" i="6"/>
  <c r="I1140" i="6" s="1"/>
  <c r="G1140" i="6"/>
  <c r="F1140" i="6"/>
  <c r="I1139" i="6"/>
  <c r="H1139" i="6"/>
  <c r="G1139" i="6"/>
  <c r="J1139" i="6" s="1"/>
  <c r="F1139" i="6"/>
  <c r="H1138" i="6"/>
  <c r="I1138" i="6" s="1"/>
  <c r="G1138" i="6"/>
  <c r="F1138" i="6"/>
  <c r="H1137" i="6"/>
  <c r="G1137" i="6"/>
  <c r="F1137" i="6"/>
  <c r="J1136" i="6"/>
  <c r="H1136" i="6"/>
  <c r="G1136" i="6"/>
  <c r="I1136" i="6" s="1"/>
  <c r="F1136" i="6"/>
  <c r="H1135" i="6"/>
  <c r="G1135" i="6"/>
  <c r="F1135" i="6"/>
  <c r="H1134" i="6"/>
  <c r="G1134" i="6"/>
  <c r="I1134" i="6" s="1"/>
  <c r="F1134" i="6"/>
  <c r="H1133" i="6"/>
  <c r="G1133" i="6"/>
  <c r="F1133" i="6"/>
  <c r="H1132" i="6"/>
  <c r="I1132" i="6" s="1"/>
  <c r="G1132" i="6"/>
  <c r="F1132" i="6"/>
  <c r="I1131" i="6"/>
  <c r="H1131" i="6"/>
  <c r="G1131" i="6"/>
  <c r="J1131" i="6" s="1"/>
  <c r="F1131" i="6"/>
  <c r="H1130" i="6"/>
  <c r="I1130" i="6" s="1"/>
  <c r="G1130" i="6"/>
  <c r="F1130" i="6"/>
  <c r="H1129" i="6"/>
  <c r="G1129" i="6"/>
  <c r="F1129" i="6"/>
  <c r="J1128" i="6"/>
  <c r="H1128" i="6"/>
  <c r="G1128" i="6"/>
  <c r="I1128" i="6" s="1"/>
  <c r="F1128" i="6"/>
  <c r="H1127" i="6"/>
  <c r="G1127" i="6"/>
  <c r="F1127" i="6"/>
  <c r="H1126" i="6"/>
  <c r="G1126" i="6"/>
  <c r="I1126" i="6" s="1"/>
  <c r="F1126" i="6"/>
  <c r="H1125" i="6"/>
  <c r="G1125" i="6"/>
  <c r="F1125" i="6"/>
  <c r="H1124" i="6"/>
  <c r="I1124" i="6" s="1"/>
  <c r="G1124" i="6"/>
  <c r="F1124" i="6"/>
  <c r="I1123" i="6"/>
  <c r="H1123" i="6"/>
  <c r="G1123" i="6"/>
  <c r="J1123" i="6" s="1"/>
  <c r="F1123" i="6"/>
  <c r="H1122" i="6"/>
  <c r="I1122" i="6" s="1"/>
  <c r="G1122" i="6"/>
  <c r="F1122" i="6"/>
  <c r="H1121" i="6"/>
  <c r="G1121" i="6"/>
  <c r="F1121" i="6"/>
  <c r="J1120" i="6"/>
  <c r="H1120" i="6"/>
  <c r="G1120" i="6"/>
  <c r="I1120" i="6" s="1"/>
  <c r="F1120" i="6"/>
  <c r="H1119" i="6"/>
  <c r="G1119" i="6"/>
  <c r="F1119" i="6"/>
  <c r="H1118" i="6"/>
  <c r="G1118" i="6"/>
  <c r="I1118" i="6" s="1"/>
  <c r="F1118" i="6"/>
  <c r="H1117" i="6"/>
  <c r="G1117" i="6"/>
  <c r="J1117" i="6" s="1"/>
  <c r="F1117" i="6"/>
  <c r="I1116" i="6"/>
  <c r="H1116" i="6"/>
  <c r="G1116" i="6"/>
  <c r="F1116" i="6"/>
  <c r="I1115" i="6"/>
  <c r="H1115" i="6"/>
  <c r="G1115" i="6"/>
  <c r="J1115" i="6" s="1"/>
  <c r="F1115" i="6"/>
  <c r="I1114" i="6"/>
  <c r="H1114" i="6"/>
  <c r="G1114" i="6"/>
  <c r="F1114" i="6"/>
  <c r="J1114" i="6" s="1"/>
  <c r="H1113" i="6"/>
  <c r="G1113" i="6"/>
  <c r="F1113" i="6"/>
  <c r="J1112" i="6"/>
  <c r="H1112" i="6"/>
  <c r="G1112" i="6"/>
  <c r="F1112" i="6"/>
  <c r="I1111" i="6"/>
  <c r="H1111" i="6"/>
  <c r="J1111" i="6" s="1"/>
  <c r="G1111" i="6"/>
  <c r="F1111" i="6"/>
  <c r="H1110" i="6"/>
  <c r="G1110" i="6"/>
  <c r="I1110" i="6" s="1"/>
  <c r="F1110" i="6"/>
  <c r="J1109" i="6"/>
  <c r="I1109" i="6"/>
  <c r="H1109" i="6"/>
  <c r="G1109" i="6"/>
  <c r="F1109" i="6"/>
  <c r="H1108" i="6"/>
  <c r="G1108" i="6"/>
  <c r="F1108" i="6"/>
  <c r="I1107" i="6"/>
  <c r="H1107" i="6"/>
  <c r="G1107" i="6"/>
  <c r="J1107" i="6" s="1"/>
  <c r="F1107" i="6"/>
  <c r="I1106" i="6"/>
  <c r="H1106" i="6"/>
  <c r="J1106" i="6" s="1"/>
  <c r="G1106" i="6"/>
  <c r="F1106" i="6"/>
  <c r="H1105" i="6"/>
  <c r="G1105" i="6"/>
  <c r="F1105" i="6"/>
  <c r="H1104" i="6"/>
  <c r="J1104" i="6" s="1"/>
  <c r="G1104" i="6"/>
  <c r="F1104" i="6"/>
  <c r="J1103" i="6"/>
  <c r="H1103" i="6"/>
  <c r="G1103" i="6"/>
  <c r="I1103" i="6" s="1"/>
  <c r="F1103" i="6"/>
  <c r="H1102" i="6"/>
  <c r="G1102" i="6"/>
  <c r="F1102" i="6"/>
  <c r="J1101" i="6"/>
  <c r="I1101" i="6"/>
  <c r="H1101" i="6"/>
  <c r="G1101" i="6"/>
  <c r="F1101" i="6"/>
  <c r="H1100" i="6"/>
  <c r="G1100" i="6"/>
  <c r="F1100" i="6"/>
  <c r="I1099" i="6"/>
  <c r="H1099" i="6"/>
  <c r="G1099" i="6"/>
  <c r="F1099" i="6"/>
  <c r="I1098" i="6"/>
  <c r="H1098" i="6"/>
  <c r="J1098" i="6" s="1"/>
  <c r="G1098" i="6"/>
  <c r="F1098" i="6"/>
  <c r="H1097" i="6"/>
  <c r="G1097" i="6"/>
  <c r="F1097" i="6"/>
  <c r="H1096" i="6"/>
  <c r="J1096" i="6" s="1"/>
  <c r="G1096" i="6"/>
  <c r="F1096" i="6"/>
  <c r="H1095" i="6"/>
  <c r="G1095" i="6"/>
  <c r="J1095" i="6" s="1"/>
  <c r="F1095" i="6"/>
  <c r="J1094" i="6"/>
  <c r="H1094" i="6"/>
  <c r="G1094" i="6"/>
  <c r="I1094" i="6" s="1"/>
  <c r="F1094" i="6"/>
  <c r="H1093" i="6"/>
  <c r="G1093" i="6"/>
  <c r="J1093" i="6" s="1"/>
  <c r="F1093" i="6"/>
  <c r="I1092" i="6"/>
  <c r="H1092" i="6"/>
  <c r="G1092" i="6"/>
  <c r="J1092" i="6" s="1"/>
  <c r="F1092" i="6"/>
  <c r="I1091" i="6"/>
  <c r="H1091" i="6"/>
  <c r="G1091" i="6"/>
  <c r="F1091" i="6"/>
  <c r="J1090" i="6"/>
  <c r="H1090" i="6"/>
  <c r="I1090" i="6" s="1"/>
  <c r="G1090" i="6"/>
  <c r="F1090" i="6"/>
  <c r="H1089" i="6"/>
  <c r="G1089" i="6"/>
  <c r="F1089" i="6"/>
  <c r="J1088" i="6"/>
  <c r="H1088" i="6"/>
  <c r="G1088" i="6"/>
  <c r="I1088" i="6" s="1"/>
  <c r="F1088" i="6"/>
  <c r="H1087" i="6"/>
  <c r="G1087" i="6"/>
  <c r="F1087" i="6"/>
  <c r="H1086" i="6"/>
  <c r="G1086" i="6"/>
  <c r="I1086" i="6" s="1"/>
  <c r="F1086" i="6"/>
  <c r="H1085" i="6"/>
  <c r="G1085" i="6"/>
  <c r="J1085" i="6" s="1"/>
  <c r="F1085" i="6"/>
  <c r="I1084" i="6"/>
  <c r="H1084" i="6"/>
  <c r="G1084" i="6"/>
  <c r="F1084" i="6"/>
  <c r="I1083" i="6"/>
  <c r="H1083" i="6"/>
  <c r="G1083" i="6"/>
  <c r="J1083" i="6" s="1"/>
  <c r="F1083" i="6"/>
  <c r="I1082" i="6"/>
  <c r="H1082" i="6"/>
  <c r="G1082" i="6"/>
  <c r="F1082" i="6"/>
  <c r="J1082" i="6" s="1"/>
  <c r="H1081" i="6"/>
  <c r="G1081" i="6"/>
  <c r="F1081" i="6"/>
  <c r="J1080" i="6"/>
  <c r="H1080" i="6"/>
  <c r="G1080" i="6"/>
  <c r="F1080" i="6"/>
  <c r="I1079" i="6"/>
  <c r="H1079" i="6"/>
  <c r="J1079" i="6" s="1"/>
  <c r="G1079" i="6"/>
  <c r="F1079" i="6"/>
  <c r="H1078" i="6"/>
  <c r="G1078" i="6"/>
  <c r="I1078" i="6" s="1"/>
  <c r="F1078" i="6"/>
  <c r="J1077" i="6"/>
  <c r="I1077" i="6"/>
  <c r="H1077" i="6"/>
  <c r="G1077" i="6"/>
  <c r="F1077" i="6"/>
  <c r="H1076" i="6"/>
  <c r="G1076" i="6"/>
  <c r="F1076" i="6"/>
  <c r="I1075" i="6"/>
  <c r="H1075" i="6"/>
  <c r="G1075" i="6"/>
  <c r="J1075" i="6" s="1"/>
  <c r="F1075" i="6"/>
  <c r="I1074" i="6"/>
  <c r="H1074" i="6"/>
  <c r="J1074" i="6" s="1"/>
  <c r="G1074" i="6"/>
  <c r="F1074" i="6"/>
  <c r="H1073" i="6"/>
  <c r="G1073" i="6"/>
  <c r="F1073" i="6"/>
  <c r="H1072" i="6"/>
  <c r="J1072" i="6" s="1"/>
  <c r="G1072" i="6"/>
  <c r="F1072" i="6"/>
  <c r="J1071" i="6"/>
  <c r="H1071" i="6"/>
  <c r="G1071" i="6"/>
  <c r="I1071" i="6" s="1"/>
  <c r="F1071" i="6"/>
  <c r="H1070" i="6"/>
  <c r="G1070" i="6"/>
  <c r="F1070" i="6"/>
  <c r="J1069" i="6"/>
  <c r="I1069" i="6"/>
  <c r="H1069" i="6"/>
  <c r="G1069" i="6"/>
  <c r="F1069" i="6"/>
  <c r="H1068" i="6"/>
  <c r="G1068" i="6"/>
  <c r="F1068" i="6"/>
  <c r="I1067" i="6"/>
  <c r="H1067" i="6"/>
  <c r="G1067" i="6"/>
  <c r="F1067" i="6"/>
  <c r="I1066" i="6"/>
  <c r="H1066" i="6"/>
  <c r="J1066" i="6" s="1"/>
  <c r="G1066" i="6"/>
  <c r="F1066" i="6"/>
  <c r="H1065" i="6"/>
  <c r="G1065" i="6"/>
  <c r="F1065" i="6"/>
  <c r="H1064" i="6"/>
  <c r="J1064" i="6" s="1"/>
  <c r="G1064" i="6"/>
  <c r="F1064" i="6"/>
  <c r="H1063" i="6"/>
  <c r="G1063" i="6"/>
  <c r="J1063" i="6" s="1"/>
  <c r="F1063" i="6"/>
  <c r="J1062" i="6"/>
  <c r="H1062" i="6"/>
  <c r="G1062" i="6"/>
  <c r="I1062" i="6" s="1"/>
  <c r="F1062" i="6"/>
  <c r="H1061" i="6"/>
  <c r="G1061" i="6"/>
  <c r="J1061" i="6" s="1"/>
  <c r="F1061" i="6"/>
  <c r="J1060" i="6"/>
  <c r="H1060" i="6"/>
  <c r="G1060" i="6"/>
  <c r="I1060" i="6" s="1"/>
  <c r="F1060" i="6"/>
  <c r="H1059" i="6"/>
  <c r="G1059" i="6"/>
  <c r="F1059" i="6"/>
  <c r="I1058" i="6"/>
  <c r="H1058" i="6"/>
  <c r="J1058" i="6" s="1"/>
  <c r="G1058" i="6"/>
  <c r="F1058" i="6"/>
  <c r="I1057" i="6"/>
  <c r="H1057" i="6"/>
  <c r="J1057" i="6" s="1"/>
  <c r="G1057" i="6"/>
  <c r="F1057" i="6"/>
  <c r="H1056" i="6"/>
  <c r="G1056" i="6"/>
  <c r="I1056" i="6" s="1"/>
  <c r="F1056" i="6"/>
  <c r="J1055" i="6"/>
  <c r="I1055" i="6"/>
  <c r="H1055" i="6"/>
  <c r="G1055" i="6"/>
  <c r="F1055" i="6"/>
  <c r="H1054" i="6"/>
  <c r="G1054" i="6"/>
  <c r="F1054" i="6"/>
  <c r="I1053" i="6"/>
  <c r="H1053" i="6"/>
  <c r="G1053" i="6"/>
  <c r="F1053" i="6"/>
  <c r="J1053" i="6" s="1"/>
  <c r="I1052" i="6"/>
  <c r="H1052" i="6"/>
  <c r="J1052" i="6" s="1"/>
  <c r="G1052" i="6"/>
  <c r="F1052" i="6"/>
  <c r="H1051" i="6"/>
  <c r="G1051" i="6"/>
  <c r="J1051" i="6" s="1"/>
  <c r="F1051" i="6"/>
  <c r="J1050" i="6"/>
  <c r="I1050" i="6"/>
  <c r="H1050" i="6"/>
  <c r="G1050" i="6"/>
  <c r="F1050" i="6"/>
  <c r="H1049" i="6"/>
  <c r="G1049" i="6"/>
  <c r="F1049" i="6"/>
  <c r="H1048" i="6"/>
  <c r="G1048" i="6"/>
  <c r="F1048" i="6"/>
  <c r="H1047" i="6"/>
  <c r="G1047" i="6"/>
  <c r="F1047" i="6"/>
  <c r="H1046" i="6"/>
  <c r="G1046" i="6"/>
  <c r="J1046" i="6" s="1"/>
  <c r="F1046" i="6"/>
  <c r="J1045" i="6"/>
  <c r="I1045" i="6"/>
  <c r="H1045" i="6"/>
  <c r="G1045" i="6"/>
  <c r="F1045" i="6"/>
  <c r="H1044" i="6"/>
  <c r="G1044" i="6"/>
  <c r="F1044" i="6"/>
  <c r="H1043" i="6"/>
  <c r="G1043" i="6"/>
  <c r="F1043" i="6"/>
  <c r="H1042" i="6"/>
  <c r="G1042" i="6"/>
  <c r="F1042" i="6"/>
  <c r="H1041" i="6"/>
  <c r="G1041" i="6"/>
  <c r="J1041" i="6" s="1"/>
  <c r="F1041" i="6"/>
  <c r="H1040" i="6"/>
  <c r="J1040" i="6" s="1"/>
  <c r="G1040" i="6"/>
  <c r="F1040" i="6"/>
  <c r="H1039" i="6"/>
  <c r="G1039" i="6"/>
  <c r="J1039" i="6" s="1"/>
  <c r="F1039" i="6"/>
  <c r="J1038" i="6"/>
  <c r="H1038" i="6"/>
  <c r="G1038" i="6"/>
  <c r="I1038" i="6" s="1"/>
  <c r="F1038" i="6"/>
  <c r="H1037" i="6"/>
  <c r="G1037" i="6"/>
  <c r="F1037" i="6"/>
  <c r="H1036" i="6"/>
  <c r="G1036" i="6"/>
  <c r="J1036" i="6" s="1"/>
  <c r="F1036" i="6"/>
  <c r="I1035" i="6"/>
  <c r="H1035" i="6"/>
  <c r="G1035" i="6"/>
  <c r="F1035" i="6"/>
  <c r="H1034" i="6"/>
  <c r="G1034" i="6"/>
  <c r="F1034" i="6"/>
  <c r="J1033" i="6"/>
  <c r="H1033" i="6"/>
  <c r="G1033" i="6"/>
  <c r="I1033" i="6" s="1"/>
  <c r="F1033" i="6"/>
  <c r="H1032" i="6"/>
  <c r="G1032" i="6"/>
  <c r="F1032" i="6"/>
  <c r="I1031" i="6"/>
  <c r="H1031" i="6"/>
  <c r="J1031" i="6" s="1"/>
  <c r="G1031" i="6"/>
  <c r="F1031" i="6"/>
  <c r="I1030" i="6"/>
  <c r="H1030" i="6"/>
  <c r="J1030" i="6" s="1"/>
  <c r="G1030" i="6"/>
  <c r="F1030" i="6"/>
  <c r="H1029" i="6"/>
  <c r="G1029" i="6"/>
  <c r="F1029" i="6"/>
  <c r="J1028" i="6"/>
  <c r="H1028" i="6"/>
  <c r="G1028" i="6"/>
  <c r="I1028" i="6" s="1"/>
  <c r="F1028" i="6"/>
  <c r="H1027" i="6"/>
  <c r="G1027" i="6"/>
  <c r="F1027" i="6"/>
  <c r="I1026" i="6"/>
  <c r="H1026" i="6"/>
  <c r="J1026" i="6" s="1"/>
  <c r="G1026" i="6"/>
  <c r="F1026" i="6"/>
  <c r="H1025" i="6"/>
  <c r="J1025" i="6" s="1"/>
  <c r="G1025" i="6"/>
  <c r="F1025" i="6"/>
  <c r="H1024" i="6"/>
  <c r="G1024" i="6"/>
  <c r="I1024" i="6" s="1"/>
  <c r="F1024" i="6"/>
  <c r="J1023" i="6"/>
  <c r="I1023" i="6"/>
  <c r="H1023" i="6"/>
  <c r="G1023" i="6"/>
  <c r="F1023" i="6"/>
  <c r="H1022" i="6"/>
  <c r="G1022" i="6"/>
  <c r="F1022" i="6"/>
  <c r="I1021" i="6"/>
  <c r="H1021" i="6"/>
  <c r="G1021" i="6"/>
  <c r="F1021" i="6"/>
  <c r="J1021" i="6" s="1"/>
  <c r="H1020" i="6"/>
  <c r="J1020" i="6" s="1"/>
  <c r="G1020" i="6"/>
  <c r="F1020" i="6"/>
  <c r="H1019" i="6"/>
  <c r="G1019" i="6"/>
  <c r="J1019" i="6" s="1"/>
  <c r="F1019" i="6"/>
  <c r="J1018" i="6"/>
  <c r="I1018" i="6"/>
  <c r="H1018" i="6"/>
  <c r="G1018" i="6"/>
  <c r="F1018" i="6"/>
  <c r="H1017" i="6"/>
  <c r="G1017" i="6"/>
  <c r="F1017" i="6"/>
  <c r="H1016" i="6"/>
  <c r="G1016" i="6"/>
  <c r="F1016" i="6"/>
  <c r="H1015" i="6"/>
  <c r="G1015" i="6"/>
  <c r="F1015" i="6"/>
  <c r="H1014" i="6"/>
  <c r="G1014" i="6"/>
  <c r="J1014" i="6" s="1"/>
  <c r="F1014" i="6"/>
  <c r="J1013" i="6"/>
  <c r="I1013" i="6"/>
  <c r="H1013" i="6"/>
  <c r="G1013" i="6"/>
  <c r="F1013" i="6"/>
  <c r="H1012" i="6"/>
  <c r="G1012" i="6"/>
  <c r="F1012" i="6"/>
  <c r="I1011" i="6"/>
  <c r="H1011" i="6"/>
  <c r="J1011" i="6" s="1"/>
  <c r="G1011" i="6"/>
  <c r="F1011" i="6"/>
  <c r="H1010" i="6"/>
  <c r="J1010" i="6" s="1"/>
  <c r="G1010" i="6"/>
  <c r="F1010" i="6"/>
  <c r="H1009" i="6"/>
  <c r="G1009" i="6"/>
  <c r="J1009" i="6" s="1"/>
  <c r="F1009" i="6"/>
  <c r="J1008" i="6"/>
  <c r="H1008" i="6"/>
  <c r="G1008" i="6"/>
  <c r="I1008" i="6" s="1"/>
  <c r="F1008" i="6"/>
  <c r="H1007" i="6"/>
  <c r="G1007" i="6"/>
  <c r="F1007" i="6"/>
  <c r="H1006" i="6"/>
  <c r="G1006" i="6"/>
  <c r="J1006" i="6" s="1"/>
  <c r="F1006" i="6"/>
  <c r="J1005" i="6"/>
  <c r="I1005" i="6"/>
  <c r="H1005" i="6"/>
  <c r="G1005" i="6"/>
  <c r="F1005" i="6"/>
  <c r="H1004" i="6"/>
  <c r="G1004" i="6"/>
  <c r="F1004" i="6"/>
  <c r="I1003" i="6"/>
  <c r="H1003" i="6"/>
  <c r="J1003" i="6" s="1"/>
  <c r="G1003" i="6"/>
  <c r="F1003" i="6"/>
  <c r="I1002" i="6"/>
  <c r="H1002" i="6"/>
  <c r="J1002" i="6" s="1"/>
  <c r="G1002" i="6"/>
  <c r="F1002" i="6"/>
  <c r="H1001" i="6"/>
  <c r="G1001" i="6"/>
  <c r="F1001" i="6"/>
  <c r="J1000" i="6"/>
  <c r="H1000" i="6"/>
  <c r="G1000" i="6"/>
  <c r="I1000" i="6" s="1"/>
  <c r="F1000" i="6"/>
  <c r="H999" i="6"/>
  <c r="G999" i="6"/>
  <c r="F999" i="6"/>
  <c r="H998" i="6"/>
  <c r="G998" i="6"/>
  <c r="J998" i="6" s="1"/>
  <c r="F998" i="6"/>
  <c r="J997" i="6"/>
  <c r="I997" i="6"/>
  <c r="H997" i="6"/>
  <c r="G997" i="6"/>
  <c r="F997" i="6"/>
  <c r="H996" i="6"/>
  <c r="G996" i="6"/>
  <c r="F996" i="6"/>
  <c r="I995" i="6"/>
  <c r="H995" i="6"/>
  <c r="J995" i="6" s="1"/>
  <c r="G995" i="6"/>
  <c r="F995" i="6"/>
  <c r="H994" i="6"/>
  <c r="J994" i="6" s="1"/>
  <c r="G994" i="6"/>
  <c r="F994" i="6"/>
  <c r="H993" i="6"/>
  <c r="G993" i="6"/>
  <c r="J993" i="6" s="1"/>
  <c r="F993" i="6"/>
  <c r="J992" i="6"/>
  <c r="H992" i="6"/>
  <c r="G992" i="6"/>
  <c r="I992" i="6" s="1"/>
  <c r="F992" i="6"/>
  <c r="H991" i="6"/>
  <c r="G991" i="6"/>
  <c r="F991" i="6"/>
  <c r="H990" i="6"/>
  <c r="G990" i="6"/>
  <c r="J990" i="6" s="1"/>
  <c r="F990" i="6"/>
  <c r="J989" i="6"/>
  <c r="I989" i="6"/>
  <c r="H989" i="6"/>
  <c r="G989" i="6"/>
  <c r="F989" i="6"/>
  <c r="H988" i="6"/>
  <c r="G988" i="6"/>
  <c r="F988" i="6"/>
  <c r="I987" i="6"/>
  <c r="H987" i="6"/>
  <c r="J987" i="6" s="1"/>
  <c r="G987" i="6"/>
  <c r="F987" i="6"/>
  <c r="I986" i="6"/>
  <c r="H986" i="6"/>
  <c r="J986" i="6" s="1"/>
  <c r="G986" i="6"/>
  <c r="F986" i="6"/>
  <c r="H985" i="6"/>
  <c r="G985" i="6"/>
  <c r="F985" i="6"/>
  <c r="J984" i="6"/>
  <c r="H984" i="6"/>
  <c r="G984" i="6"/>
  <c r="I984" i="6" s="1"/>
  <c r="F984" i="6"/>
  <c r="H983" i="6"/>
  <c r="G983" i="6"/>
  <c r="F983" i="6"/>
  <c r="H982" i="6"/>
  <c r="G982" i="6"/>
  <c r="J982" i="6" s="1"/>
  <c r="F982" i="6"/>
  <c r="J981" i="6"/>
  <c r="I981" i="6"/>
  <c r="H981" i="6"/>
  <c r="G981" i="6"/>
  <c r="F981" i="6"/>
  <c r="H980" i="6"/>
  <c r="G980" i="6"/>
  <c r="F980" i="6"/>
  <c r="I979" i="6"/>
  <c r="H979" i="6"/>
  <c r="J979" i="6" s="1"/>
  <c r="G979" i="6"/>
  <c r="F979" i="6"/>
  <c r="H978" i="6"/>
  <c r="J978" i="6" s="1"/>
  <c r="G978" i="6"/>
  <c r="F978" i="6"/>
  <c r="H977" i="6"/>
  <c r="G977" i="6"/>
  <c r="F977" i="6"/>
  <c r="J976" i="6"/>
  <c r="H976" i="6"/>
  <c r="G976" i="6"/>
  <c r="I976" i="6" s="1"/>
  <c r="F976" i="6"/>
  <c r="H975" i="6"/>
  <c r="G975" i="6"/>
  <c r="F975" i="6"/>
  <c r="H974" i="6"/>
  <c r="G974" i="6"/>
  <c r="J974" i="6" s="1"/>
  <c r="F974" i="6"/>
  <c r="J973" i="6"/>
  <c r="I973" i="6"/>
  <c r="H973" i="6"/>
  <c r="G973" i="6"/>
  <c r="F973" i="6"/>
  <c r="H972" i="6"/>
  <c r="G972" i="6"/>
  <c r="F972" i="6"/>
  <c r="I971" i="6"/>
  <c r="H971" i="6"/>
  <c r="J971" i="6" s="1"/>
  <c r="G971" i="6"/>
  <c r="F971" i="6"/>
  <c r="H970" i="6"/>
  <c r="J970" i="6" s="1"/>
  <c r="G970" i="6"/>
  <c r="F970" i="6"/>
  <c r="H969" i="6"/>
  <c r="G969" i="6"/>
  <c r="F969" i="6"/>
  <c r="J968" i="6"/>
  <c r="H968" i="6"/>
  <c r="G968" i="6"/>
  <c r="I968" i="6" s="1"/>
  <c r="F968" i="6"/>
  <c r="H967" i="6"/>
  <c r="G967" i="6"/>
  <c r="F967" i="6"/>
  <c r="H966" i="6"/>
  <c r="G966" i="6"/>
  <c r="J966" i="6" s="1"/>
  <c r="F966" i="6"/>
  <c r="J965" i="6"/>
  <c r="I965" i="6"/>
  <c r="H965" i="6"/>
  <c r="G965" i="6"/>
  <c r="F965" i="6"/>
  <c r="H964" i="6"/>
  <c r="G964" i="6"/>
  <c r="F964" i="6"/>
  <c r="I963" i="6"/>
  <c r="H963" i="6"/>
  <c r="J963" i="6" s="1"/>
  <c r="G963" i="6"/>
  <c r="F963" i="6"/>
  <c r="H962" i="6"/>
  <c r="J962" i="6" s="1"/>
  <c r="G962" i="6"/>
  <c r="F962" i="6"/>
  <c r="H961" i="6"/>
  <c r="G961" i="6"/>
  <c r="J961" i="6" s="1"/>
  <c r="F961" i="6"/>
  <c r="J960" i="6"/>
  <c r="H960" i="6"/>
  <c r="G960" i="6"/>
  <c r="I960" i="6" s="1"/>
  <c r="F960" i="6"/>
  <c r="H959" i="6"/>
  <c r="G959" i="6"/>
  <c r="F959" i="6"/>
  <c r="H958" i="6"/>
  <c r="G958" i="6"/>
  <c r="J958" i="6" s="1"/>
  <c r="F958" i="6"/>
  <c r="J957" i="6"/>
  <c r="I957" i="6"/>
  <c r="H957" i="6"/>
  <c r="G957" i="6"/>
  <c r="F957" i="6"/>
  <c r="H956" i="6"/>
  <c r="G956" i="6"/>
  <c r="F956" i="6"/>
  <c r="I955" i="6"/>
  <c r="H955" i="6"/>
  <c r="J955" i="6" s="1"/>
  <c r="G955" i="6"/>
  <c r="F955" i="6"/>
  <c r="I954" i="6"/>
  <c r="H954" i="6"/>
  <c r="J954" i="6" s="1"/>
  <c r="G954" i="6"/>
  <c r="F954" i="6"/>
  <c r="H953" i="6"/>
  <c r="G953" i="6"/>
  <c r="J953" i="6" s="1"/>
  <c r="F953" i="6"/>
  <c r="J952" i="6"/>
  <c r="H952" i="6"/>
  <c r="G952" i="6"/>
  <c r="I952" i="6" s="1"/>
  <c r="F952" i="6"/>
  <c r="H951" i="6"/>
  <c r="G951" i="6"/>
  <c r="F951" i="6"/>
  <c r="H950" i="6"/>
  <c r="G950" i="6"/>
  <c r="J950" i="6" s="1"/>
  <c r="F950" i="6"/>
  <c r="J949" i="6"/>
  <c r="I949" i="6"/>
  <c r="H949" i="6"/>
  <c r="G949" i="6"/>
  <c r="F949" i="6"/>
  <c r="H948" i="6"/>
  <c r="G948" i="6"/>
  <c r="F948" i="6"/>
  <c r="I947" i="6"/>
  <c r="H947" i="6"/>
  <c r="J947" i="6" s="1"/>
  <c r="G947" i="6"/>
  <c r="F947" i="6"/>
  <c r="H946" i="6"/>
  <c r="J946" i="6" s="1"/>
  <c r="G946" i="6"/>
  <c r="F946" i="6"/>
  <c r="H945" i="6"/>
  <c r="G945" i="6"/>
  <c r="J945" i="6" s="1"/>
  <c r="F945" i="6"/>
  <c r="J944" i="6"/>
  <c r="H944" i="6"/>
  <c r="G944" i="6"/>
  <c r="I944" i="6" s="1"/>
  <c r="F944" i="6"/>
  <c r="H943" i="6"/>
  <c r="G943" i="6"/>
  <c r="F943" i="6"/>
  <c r="H942" i="6"/>
  <c r="G942" i="6"/>
  <c r="J942" i="6" s="1"/>
  <c r="F942" i="6"/>
  <c r="J941" i="6"/>
  <c r="I941" i="6"/>
  <c r="H941" i="6"/>
  <c r="G941" i="6"/>
  <c r="F941" i="6"/>
  <c r="H940" i="6"/>
  <c r="G940" i="6"/>
  <c r="F940" i="6"/>
  <c r="I939" i="6"/>
  <c r="H939" i="6"/>
  <c r="J939" i="6" s="1"/>
  <c r="G939" i="6"/>
  <c r="F939" i="6"/>
  <c r="I938" i="6"/>
  <c r="H938" i="6"/>
  <c r="J938" i="6" s="1"/>
  <c r="G938" i="6"/>
  <c r="F938" i="6"/>
  <c r="H937" i="6"/>
  <c r="G937" i="6"/>
  <c r="F937" i="6"/>
  <c r="J936" i="6"/>
  <c r="H936" i="6"/>
  <c r="G936" i="6"/>
  <c r="I936" i="6" s="1"/>
  <c r="F936" i="6"/>
  <c r="H935" i="6"/>
  <c r="G935" i="6"/>
  <c r="F935" i="6"/>
  <c r="H934" i="6"/>
  <c r="G934" i="6"/>
  <c r="J934" i="6" s="1"/>
  <c r="F934" i="6"/>
  <c r="J933" i="6"/>
  <c r="I933" i="6"/>
  <c r="H933" i="6"/>
  <c r="G933" i="6"/>
  <c r="F933" i="6"/>
  <c r="H932" i="6"/>
  <c r="G932" i="6"/>
  <c r="F932" i="6"/>
  <c r="I931" i="6"/>
  <c r="H931" i="6"/>
  <c r="J931" i="6" s="1"/>
  <c r="G931" i="6"/>
  <c r="F931" i="6"/>
  <c r="H930" i="6"/>
  <c r="J930" i="6" s="1"/>
  <c r="G930" i="6"/>
  <c r="F930" i="6"/>
  <c r="H929" i="6"/>
  <c r="G929" i="6"/>
  <c r="J929" i="6" s="1"/>
  <c r="F929" i="6"/>
  <c r="J928" i="6"/>
  <c r="H928" i="6"/>
  <c r="G928" i="6"/>
  <c r="I928" i="6" s="1"/>
  <c r="F928" i="6"/>
  <c r="H927" i="6"/>
  <c r="G927" i="6"/>
  <c r="F927" i="6"/>
  <c r="H926" i="6"/>
  <c r="G926" i="6"/>
  <c r="J926" i="6" s="1"/>
  <c r="F926" i="6"/>
  <c r="J925" i="6"/>
  <c r="I925" i="6"/>
  <c r="H925" i="6"/>
  <c r="G925" i="6"/>
  <c r="F925" i="6"/>
  <c r="H924" i="6"/>
  <c r="G924" i="6"/>
  <c r="F924" i="6"/>
  <c r="I923" i="6"/>
  <c r="H923" i="6"/>
  <c r="J923" i="6" s="1"/>
  <c r="G923" i="6"/>
  <c r="F923" i="6"/>
  <c r="I922" i="6"/>
  <c r="H922" i="6"/>
  <c r="J922" i="6" s="1"/>
  <c r="G922" i="6"/>
  <c r="F922" i="6"/>
  <c r="H921" i="6"/>
  <c r="G921" i="6"/>
  <c r="F921" i="6"/>
  <c r="J920" i="6"/>
  <c r="H920" i="6"/>
  <c r="G920" i="6"/>
  <c r="I920" i="6" s="1"/>
  <c r="F920" i="6"/>
  <c r="H919" i="6"/>
  <c r="G919" i="6"/>
  <c r="F919" i="6"/>
  <c r="H918" i="6"/>
  <c r="G918" i="6"/>
  <c r="J918" i="6" s="1"/>
  <c r="F918" i="6"/>
  <c r="J917" i="6"/>
  <c r="I917" i="6"/>
  <c r="H917" i="6"/>
  <c r="G917" i="6"/>
  <c r="F917" i="6"/>
  <c r="H916" i="6"/>
  <c r="G916" i="6"/>
  <c r="F916" i="6"/>
  <c r="I915" i="6"/>
  <c r="H915" i="6"/>
  <c r="J915" i="6" s="1"/>
  <c r="G915" i="6"/>
  <c r="F915" i="6"/>
  <c r="H914" i="6"/>
  <c r="J914" i="6" s="1"/>
  <c r="G914" i="6"/>
  <c r="F914" i="6"/>
  <c r="H913" i="6"/>
  <c r="G913" i="6"/>
  <c r="J913" i="6" s="1"/>
  <c r="F913" i="6"/>
  <c r="J912" i="6"/>
  <c r="H912" i="6"/>
  <c r="G912" i="6"/>
  <c r="I912" i="6" s="1"/>
  <c r="F912" i="6"/>
  <c r="H911" i="6"/>
  <c r="G911" i="6"/>
  <c r="F911" i="6"/>
  <c r="H910" i="6"/>
  <c r="G910" i="6"/>
  <c r="J910" i="6" s="1"/>
  <c r="F910" i="6"/>
  <c r="J909" i="6"/>
  <c r="I909" i="6"/>
  <c r="H909" i="6"/>
  <c r="G909" i="6"/>
  <c r="F909" i="6"/>
  <c r="H908" i="6"/>
  <c r="G908" i="6"/>
  <c r="F908" i="6"/>
  <c r="I907" i="6"/>
  <c r="H907" i="6"/>
  <c r="J907" i="6" s="1"/>
  <c r="G907" i="6"/>
  <c r="F907" i="6"/>
  <c r="H906" i="6"/>
  <c r="J906" i="6" s="1"/>
  <c r="G906" i="6"/>
  <c r="F906" i="6"/>
  <c r="H905" i="6"/>
  <c r="G905" i="6"/>
  <c r="F905" i="6"/>
  <c r="J904" i="6"/>
  <c r="H904" i="6"/>
  <c r="G904" i="6"/>
  <c r="I904" i="6" s="1"/>
  <c r="F904" i="6"/>
  <c r="H903" i="6"/>
  <c r="G903" i="6"/>
  <c r="F903" i="6"/>
  <c r="H902" i="6"/>
  <c r="G902" i="6"/>
  <c r="J902" i="6" s="1"/>
  <c r="F902" i="6"/>
  <c r="J901" i="6"/>
  <c r="I901" i="6"/>
  <c r="H901" i="6"/>
  <c r="G901" i="6"/>
  <c r="F901" i="6"/>
  <c r="H900" i="6"/>
  <c r="G900" i="6"/>
  <c r="F900" i="6"/>
  <c r="I899" i="6"/>
  <c r="H899" i="6"/>
  <c r="J899" i="6" s="1"/>
  <c r="G899" i="6"/>
  <c r="F899" i="6"/>
  <c r="H898" i="6"/>
  <c r="J898" i="6" s="1"/>
  <c r="G898" i="6"/>
  <c r="F898" i="6"/>
  <c r="H897" i="6"/>
  <c r="G897" i="6"/>
  <c r="J897" i="6" s="1"/>
  <c r="F897" i="6"/>
  <c r="J896" i="6"/>
  <c r="H896" i="6"/>
  <c r="G896" i="6"/>
  <c r="I896" i="6" s="1"/>
  <c r="F896" i="6"/>
  <c r="H895" i="6"/>
  <c r="G895" i="6"/>
  <c r="F895" i="6"/>
  <c r="H894" i="6"/>
  <c r="G894" i="6"/>
  <c r="J894" i="6" s="1"/>
  <c r="F894" i="6"/>
  <c r="J893" i="6"/>
  <c r="I893" i="6"/>
  <c r="H893" i="6"/>
  <c r="G893" i="6"/>
  <c r="F893" i="6"/>
  <c r="H892" i="6"/>
  <c r="G892" i="6"/>
  <c r="F892" i="6"/>
  <c r="I891" i="6"/>
  <c r="H891" i="6"/>
  <c r="J891" i="6" s="1"/>
  <c r="G891" i="6"/>
  <c r="F891" i="6"/>
  <c r="I890" i="6"/>
  <c r="H890" i="6"/>
  <c r="J890" i="6" s="1"/>
  <c r="G890" i="6"/>
  <c r="F890" i="6"/>
  <c r="H889" i="6"/>
  <c r="G889" i="6"/>
  <c r="J889" i="6" s="1"/>
  <c r="F889" i="6"/>
  <c r="J888" i="6"/>
  <c r="H888" i="6"/>
  <c r="G888" i="6"/>
  <c r="I888" i="6" s="1"/>
  <c r="F888" i="6"/>
  <c r="H887" i="6"/>
  <c r="G887" i="6"/>
  <c r="F887" i="6"/>
  <c r="H886" i="6"/>
  <c r="G886" i="6"/>
  <c r="J886" i="6" s="1"/>
  <c r="F886" i="6"/>
  <c r="J885" i="6"/>
  <c r="I885" i="6"/>
  <c r="H885" i="6"/>
  <c r="G885" i="6"/>
  <c r="F885" i="6"/>
  <c r="H884" i="6"/>
  <c r="G884" i="6"/>
  <c r="F884" i="6"/>
  <c r="I883" i="6"/>
  <c r="H883" i="6"/>
  <c r="J883" i="6" s="1"/>
  <c r="G883" i="6"/>
  <c r="F883" i="6"/>
  <c r="I882" i="6"/>
  <c r="H882" i="6"/>
  <c r="J882" i="6" s="1"/>
  <c r="G882" i="6"/>
  <c r="F882" i="6"/>
  <c r="H881" i="6"/>
  <c r="G881" i="6"/>
  <c r="J881" i="6" s="1"/>
  <c r="F881" i="6"/>
  <c r="J880" i="6"/>
  <c r="H880" i="6"/>
  <c r="G880" i="6"/>
  <c r="I880" i="6" s="1"/>
  <c r="F880" i="6"/>
  <c r="H879" i="6"/>
  <c r="G879" i="6"/>
  <c r="F879" i="6"/>
  <c r="H878" i="6"/>
  <c r="G878" i="6"/>
  <c r="J878" i="6" s="1"/>
  <c r="F878" i="6"/>
  <c r="J877" i="6"/>
  <c r="I877" i="6"/>
  <c r="H877" i="6"/>
  <c r="G877" i="6"/>
  <c r="F877" i="6"/>
  <c r="H876" i="6"/>
  <c r="G876" i="6"/>
  <c r="F876" i="6"/>
  <c r="I875" i="6"/>
  <c r="H875" i="6"/>
  <c r="J875" i="6" s="1"/>
  <c r="G875" i="6"/>
  <c r="F875" i="6"/>
  <c r="I874" i="6"/>
  <c r="H874" i="6"/>
  <c r="J874" i="6" s="1"/>
  <c r="G874" i="6"/>
  <c r="F874" i="6"/>
  <c r="H873" i="6"/>
  <c r="G873" i="6"/>
  <c r="F873" i="6"/>
  <c r="J872" i="6"/>
  <c r="H872" i="6"/>
  <c r="G872" i="6"/>
  <c r="I872" i="6" s="1"/>
  <c r="F872" i="6"/>
  <c r="H871" i="6"/>
  <c r="G871" i="6"/>
  <c r="F871" i="6"/>
  <c r="H870" i="6"/>
  <c r="G870" i="6"/>
  <c r="J870" i="6" s="1"/>
  <c r="F870" i="6"/>
  <c r="J869" i="6"/>
  <c r="I869" i="6"/>
  <c r="H869" i="6"/>
  <c r="G869" i="6"/>
  <c r="F869" i="6"/>
  <c r="H868" i="6"/>
  <c r="G868" i="6"/>
  <c r="F868" i="6"/>
  <c r="I867" i="6"/>
  <c r="H867" i="6"/>
  <c r="J867" i="6" s="1"/>
  <c r="G867" i="6"/>
  <c r="F867" i="6"/>
  <c r="H866" i="6"/>
  <c r="J866" i="6" s="1"/>
  <c r="G866" i="6"/>
  <c r="F866" i="6"/>
  <c r="H865" i="6"/>
  <c r="G865" i="6"/>
  <c r="J865" i="6" s="1"/>
  <c r="F865" i="6"/>
  <c r="J864" i="6"/>
  <c r="H864" i="6"/>
  <c r="G864" i="6"/>
  <c r="I864" i="6" s="1"/>
  <c r="F864" i="6"/>
  <c r="H863" i="6"/>
  <c r="G863" i="6"/>
  <c r="F863" i="6"/>
  <c r="H862" i="6"/>
  <c r="G862" i="6"/>
  <c r="J862" i="6" s="1"/>
  <c r="F862" i="6"/>
  <c r="J861" i="6"/>
  <c r="I861" i="6"/>
  <c r="H861" i="6"/>
  <c r="G861" i="6"/>
  <c r="F861" i="6"/>
  <c r="H860" i="6"/>
  <c r="G860" i="6"/>
  <c r="F860" i="6"/>
  <c r="I859" i="6"/>
  <c r="H859" i="6"/>
  <c r="J859" i="6" s="1"/>
  <c r="G859" i="6"/>
  <c r="F859" i="6"/>
  <c r="I858" i="6"/>
  <c r="H858" i="6"/>
  <c r="J858" i="6" s="1"/>
  <c r="G858" i="6"/>
  <c r="F858" i="6"/>
  <c r="H857" i="6"/>
  <c r="G857" i="6"/>
  <c r="F857" i="6"/>
  <c r="J856" i="6"/>
  <c r="H856" i="6"/>
  <c r="G856" i="6"/>
  <c r="I856" i="6" s="1"/>
  <c r="F856" i="6"/>
  <c r="H855" i="6"/>
  <c r="G855" i="6"/>
  <c r="F855" i="6"/>
  <c r="H854" i="6"/>
  <c r="G854" i="6"/>
  <c r="J854" i="6" s="1"/>
  <c r="F854" i="6"/>
  <c r="J853" i="6"/>
  <c r="I853" i="6"/>
  <c r="H853" i="6"/>
  <c r="G853" i="6"/>
  <c r="F853" i="6"/>
  <c r="H852" i="6"/>
  <c r="G852" i="6"/>
  <c r="F852" i="6"/>
  <c r="I851" i="6"/>
  <c r="H851" i="6"/>
  <c r="J851" i="6" s="1"/>
  <c r="G851" i="6"/>
  <c r="F851" i="6"/>
  <c r="H850" i="6"/>
  <c r="J850" i="6" s="1"/>
  <c r="G850" i="6"/>
  <c r="F850" i="6"/>
  <c r="H849" i="6"/>
  <c r="G849" i="6"/>
  <c r="J849" i="6" s="1"/>
  <c r="F849" i="6"/>
  <c r="J848" i="6"/>
  <c r="H848" i="6"/>
  <c r="G848" i="6"/>
  <c r="I848" i="6" s="1"/>
  <c r="F848" i="6"/>
  <c r="H847" i="6"/>
  <c r="G847" i="6"/>
  <c r="F847" i="6"/>
  <c r="H846" i="6"/>
  <c r="G846" i="6"/>
  <c r="J846" i="6" s="1"/>
  <c r="F846" i="6"/>
  <c r="J845" i="6"/>
  <c r="I845" i="6"/>
  <c r="H845" i="6"/>
  <c r="G845" i="6"/>
  <c r="F845" i="6"/>
  <c r="H844" i="6"/>
  <c r="G844" i="6"/>
  <c r="F844" i="6"/>
  <c r="I843" i="6"/>
  <c r="H843" i="6"/>
  <c r="J843" i="6" s="1"/>
  <c r="G843" i="6"/>
  <c r="F843" i="6"/>
  <c r="H842" i="6"/>
  <c r="J842" i="6" s="1"/>
  <c r="G842" i="6"/>
  <c r="F842" i="6"/>
  <c r="H841" i="6"/>
  <c r="G841" i="6"/>
  <c r="F841" i="6"/>
  <c r="J840" i="6"/>
  <c r="H840" i="6"/>
  <c r="G840" i="6"/>
  <c r="I840" i="6" s="1"/>
  <c r="F840" i="6"/>
  <c r="H839" i="6"/>
  <c r="G839" i="6"/>
  <c r="F839" i="6"/>
  <c r="H838" i="6"/>
  <c r="G838" i="6"/>
  <c r="J838" i="6" s="1"/>
  <c r="F838" i="6"/>
  <c r="J837" i="6"/>
  <c r="I837" i="6"/>
  <c r="H837" i="6"/>
  <c r="G837" i="6"/>
  <c r="F837" i="6"/>
  <c r="H836" i="6"/>
  <c r="G836" i="6"/>
  <c r="F836" i="6"/>
  <c r="I835" i="6"/>
  <c r="H835" i="6"/>
  <c r="J835" i="6" s="1"/>
  <c r="G835" i="6"/>
  <c r="F835" i="6"/>
  <c r="H834" i="6"/>
  <c r="J834" i="6" s="1"/>
  <c r="G834" i="6"/>
  <c r="F834" i="6"/>
  <c r="H833" i="6"/>
  <c r="G833" i="6"/>
  <c r="J833" i="6" s="1"/>
  <c r="F833" i="6"/>
  <c r="J832" i="6"/>
  <c r="H832" i="6"/>
  <c r="G832" i="6"/>
  <c r="I832" i="6" s="1"/>
  <c r="F832" i="6"/>
  <c r="H831" i="6"/>
  <c r="G831" i="6"/>
  <c r="F831" i="6"/>
  <c r="H830" i="6"/>
  <c r="G830" i="6"/>
  <c r="J830" i="6" s="1"/>
  <c r="F830" i="6"/>
  <c r="J829" i="6"/>
  <c r="I829" i="6"/>
  <c r="H829" i="6"/>
  <c r="G829" i="6"/>
  <c r="F829" i="6"/>
  <c r="H828" i="6"/>
  <c r="G828" i="6"/>
  <c r="F828" i="6"/>
  <c r="I827" i="6"/>
  <c r="H827" i="6"/>
  <c r="J827" i="6" s="1"/>
  <c r="G827" i="6"/>
  <c r="F827" i="6"/>
  <c r="I826" i="6"/>
  <c r="H826" i="6"/>
  <c r="J826" i="6" s="1"/>
  <c r="G826" i="6"/>
  <c r="F826" i="6"/>
  <c r="H825" i="6"/>
  <c r="G825" i="6"/>
  <c r="J825" i="6" s="1"/>
  <c r="F825" i="6"/>
  <c r="J824" i="6"/>
  <c r="H824" i="6"/>
  <c r="G824" i="6"/>
  <c r="I824" i="6" s="1"/>
  <c r="F824" i="6"/>
  <c r="H823" i="6"/>
  <c r="G823" i="6"/>
  <c r="F823" i="6"/>
  <c r="H822" i="6"/>
  <c r="G822" i="6"/>
  <c r="J822" i="6" s="1"/>
  <c r="F822" i="6"/>
  <c r="J821" i="6"/>
  <c r="I821" i="6"/>
  <c r="H821" i="6"/>
  <c r="G821" i="6"/>
  <c r="F821" i="6"/>
  <c r="H820" i="6"/>
  <c r="G820" i="6"/>
  <c r="F820" i="6"/>
  <c r="I819" i="6"/>
  <c r="H819" i="6"/>
  <c r="J819" i="6" s="1"/>
  <c r="G819" i="6"/>
  <c r="F819" i="6"/>
  <c r="I818" i="6"/>
  <c r="H818" i="6"/>
  <c r="J818" i="6" s="1"/>
  <c r="G818" i="6"/>
  <c r="F818" i="6"/>
  <c r="H817" i="6"/>
  <c r="G817" i="6"/>
  <c r="J817" i="6" s="1"/>
  <c r="F817" i="6"/>
  <c r="J816" i="6"/>
  <c r="H816" i="6"/>
  <c r="G816" i="6"/>
  <c r="I816" i="6" s="1"/>
  <c r="F816" i="6"/>
  <c r="H815" i="6"/>
  <c r="G815" i="6"/>
  <c r="F815" i="6"/>
  <c r="H814" i="6"/>
  <c r="G814" i="6"/>
  <c r="J814" i="6" s="1"/>
  <c r="F814" i="6"/>
  <c r="J813" i="6"/>
  <c r="I813" i="6"/>
  <c r="H813" i="6"/>
  <c r="G813" i="6"/>
  <c r="F813" i="6"/>
  <c r="H812" i="6"/>
  <c r="G812" i="6"/>
  <c r="F812" i="6"/>
  <c r="I811" i="6"/>
  <c r="H811" i="6"/>
  <c r="J811" i="6" s="1"/>
  <c r="G811" i="6"/>
  <c r="F811" i="6"/>
  <c r="I810" i="6"/>
  <c r="H810" i="6"/>
  <c r="J810" i="6" s="1"/>
  <c r="G810" i="6"/>
  <c r="F810" i="6"/>
  <c r="H809" i="6"/>
  <c r="G809" i="6"/>
  <c r="F809" i="6"/>
  <c r="J808" i="6"/>
  <c r="H808" i="6"/>
  <c r="G808" i="6"/>
  <c r="I808" i="6" s="1"/>
  <c r="F808" i="6"/>
  <c r="H807" i="6"/>
  <c r="G807" i="6"/>
  <c r="F807" i="6"/>
  <c r="H806" i="6"/>
  <c r="G806" i="6"/>
  <c r="J806" i="6" s="1"/>
  <c r="F806" i="6"/>
  <c r="J805" i="6"/>
  <c r="I805" i="6"/>
  <c r="H805" i="6"/>
  <c r="G805" i="6"/>
  <c r="F805" i="6"/>
  <c r="H804" i="6"/>
  <c r="G804" i="6"/>
  <c r="F804" i="6"/>
  <c r="I803" i="6"/>
  <c r="H803" i="6"/>
  <c r="J803" i="6" s="1"/>
  <c r="G803" i="6"/>
  <c r="F803" i="6"/>
  <c r="H802" i="6"/>
  <c r="J802" i="6" s="1"/>
  <c r="G802" i="6"/>
  <c r="F802" i="6"/>
  <c r="H801" i="6"/>
  <c r="G801" i="6"/>
  <c r="J801" i="6" s="1"/>
  <c r="F801" i="6"/>
  <c r="J800" i="6"/>
  <c r="H800" i="6"/>
  <c r="G800" i="6"/>
  <c r="I800" i="6" s="1"/>
  <c r="F800" i="6"/>
  <c r="H799" i="6"/>
  <c r="G799" i="6"/>
  <c r="I799" i="6" s="1"/>
  <c r="F799" i="6"/>
  <c r="H798" i="6"/>
  <c r="G798" i="6"/>
  <c r="F798" i="6"/>
  <c r="J797" i="6"/>
  <c r="I797" i="6"/>
  <c r="H797" i="6"/>
  <c r="G797" i="6"/>
  <c r="F797" i="6"/>
  <c r="H796" i="6"/>
  <c r="G796" i="6"/>
  <c r="J796" i="6" s="1"/>
  <c r="F796" i="6"/>
  <c r="I795" i="6"/>
  <c r="H795" i="6"/>
  <c r="G795" i="6"/>
  <c r="F795" i="6"/>
  <c r="H794" i="6"/>
  <c r="J794" i="6" s="1"/>
  <c r="G794" i="6"/>
  <c r="F794" i="6"/>
  <c r="H793" i="6"/>
  <c r="G793" i="6"/>
  <c r="F793" i="6"/>
  <c r="J792" i="6"/>
  <c r="H792" i="6"/>
  <c r="G792" i="6"/>
  <c r="I792" i="6" s="1"/>
  <c r="F792" i="6"/>
  <c r="H791" i="6"/>
  <c r="G791" i="6"/>
  <c r="F791" i="6"/>
  <c r="H790" i="6"/>
  <c r="G790" i="6"/>
  <c r="F790" i="6"/>
  <c r="J789" i="6"/>
  <c r="I789" i="6"/>
  <c r="H789" i="6"/>
  <c r="G789" i="6"/>
  <c r="F789" i="6"/>
  <c r="H788" i="6"/>
  <c r="G788" i="6"/>
  <c r="F788" i="6"/>
  <c r="I787" i="6"/>
  <c r="H787" i="6"/>
  <c r="G787" i="6"/>
  <c r="F787" i="6"/>
  <c r="H786" i="6"/>
  <c r="J786" i="6" s="1"/>
  <c r="G786" i="6"/>
  <c r="F786" i="6"/>
  <c r="H785" i="6"/>
  <c r="G785" i="6"/>
  <c r="J785" i="6" s="1"/>
  <c r="F785" i="6"/>
  <c r="J784" i="6"/>
  <c r="H784" i="6"/>
  <c r="G784" i="6"/>
  <c r="I784" i="6" s="1"/>
  <c r="F784" i="6"/>
  <c r="J783" i="6"/>
  <c r="H783" i="6"/>
  <c r="G783" i="6"/>
  <c r="I783" i="6" s="1"/>
  <c r="F783" i="6"/>
  <c r="H782" i="6"/>
  <c r="G782" i="6"/>
  <c r="F782" i="6"/>
  <c r="J781" i="6"/>
  <c r="I781" i="6"/>
  <c r="H781" i="6"/>
  <c r="G781" i="6"/>
  <c r="F781" i="6"/>
  <c r="I780" i="6"/>
  <c r="H780" i="6"/>
  <c r="G780" i="6"/>
  <c r="J780" i="6" s="1"/>
  <c r="F780" i="6"/>
  <c r="I779" i="6"/>
  <c r="H779" i="6"/>
  <c r="J779" i="6" s="1"/>
  <c r="G779" i="6"/>
  <c r="F779" i="6"/>
  <c r="I778" i="6"/>
  <c r="H778" i="6"/>
  <c r="J778" i="6" s="1"/>
  <c r="G778" i="6"/>
  <c r="F778" i="6"/>
  <c r="H777" i="6"/>
  <c r="G777" i="6"/>
  <c r="F777" i="6"/>
  <c r="J776" i="6"/>
  <c r="H776" i="6"/>
  <c r="G776" i="6"/>
  <c r="I776" i="6" s="1"/>
  <c r="F776" i="6"/>
  <c r="H775" i="6"/>
  <c r="J775" i="6" s="1"/>
  <c r="G775" i="6"/>
  <c r="F775" i="6"/>
  <c r="H774" i="6"/>
  <c r="G774" i="6"/>
  <c r="F774" i="6"/>
  <c r="J773" i="6"/>
  <c r="I773" i="6"/>
  <c r="H773" i="6"/>
  <c r="G773" i="6"/>
  <c r="F773" i="6"/>
  <c r="H772" i="6"/>
  <c r="G772" i="6"/>
  <c r="F772" i="6"/>
  <c r="I771" i="6"/>
  <c r="H771" i="6"/>
  <c r="J771" i="6" s="1"/>
  <c r="G771" i="6"/>
  <c r="F771" i="6"/>
  <c r="H770" i="6"/>
  <c r="J770" i="6" s="1"/>
  <c r="G770" i="6"/>
  <c r="F770" i="6"/>
  <c r="H769" i="6"/>
  <c r="G769" i="6"/>
  <c r="J769" i="6" s="1"/>
  <c r="F769" i="6"/>
  <c r="J768" i="6"/>
  <c r="H768" i="6"/>
  <c r="G768" i="6"/>
  <c r="I768" i="6" s="1"/>
  <c r="F768" i="6"/>
  <c r="H767" i="6"/>
  <c r="G767" i="6"/>
  <c r="I767" i="6" s="1"/>
  <c r="F767" i="6"/>
  <c r="H766" i="6"/>
  <c r="G766" i="6"/>
  <c r="F766" i="6"/>
  <c r="J765" i="6"/>
  <c r="I765" i="6"/>
  <c r="H765" i="6"/>
  <c r="G765" i="6"/>
  <c r="F765" i="6"/>
  <c r="H764" i="6"/>
  <c r="G764" i="6"/>
  <c r="J764" i="6" s="1"/>
  <c r="F764" i="6"/>
  <c r="I763" i="6"/>
  <c r="H763" i="6"/>
  <c r="J763" i="6" s="1"/>
  <c r="G763" i="6"/>
  <c r="F763" i="6"/>
  <c r="I762" i="6"/>
  <c r="H762" i="6"/>
  <c r="J762" i="6" s="1"/>
  <c r="G762" i="6"/>
  <c r="F762" i="6"/>
  <c r="H761" i="6"/>
  <c r="G761" i="6"/>
  <c r="F761" i="6"/>
  <c r="J760" i="6"/>
  <c r="H760" i="6"/>
  <c r="G760" i="6"/>
  <c r="I760" i="6" s="1"/>
  <c r="F760" i="6"/>
  <c r="H759" i="6"/>
  <c r="G759" i="6"/>
  <c r="F759" i="6"/>
  <c r="H758" i="6"/>
  <c r="G758" i="6"/>
  <c r="F758" i="6"/>
  <c r="J757" i="6"/>
  <c r="I757" i="6"/>
  <c r="H757" i="6"/>
  <c r="G757" i="6"/>
  <c r="F757" i="6"/>
  <c r="H756" i="6"/>
  <c r="G756" i="6"/>
  <c r="F756" i="6"/>
  <c r="I755" i="6"/>
  <c r="H755" i="6"/>
  <c r="G755" i="6"/>
  <c r="F755" i="6"/>
  <c r="H754" i="6"/>
  <c r="J754" i="6" s="1"/>
  <c r="G754" i="6"/>
  <c r="F754" i="6"/>
  <c r="H753" i="6"/>
  <c r="G753" i="6"/>
  <c r="J753" i="6" s="1"/>
  <c r="F753" i="6"/>
  <c r="J752" i="6"/>
  <c r="H752" i="6"/>
  <c r="G752" i="6"/>
  <c r="I752" i="6" s="1"/>
  <c r="F752" i="6"/>
  <c r="J751" i="6"/>
  <c r="H751" i="6"/>
  <c r="G751" i="6"/>
  <c r="I751" i="6" s="1"/>
  <c r="F751" i="6"/>
  <c r="H750" i="6"/>
  <c r="G750" i="6"/>
  <c r="F750" i="6"/>
  <c r="J749" i="6"/>
  <c r="I749" i="6"/>
  <c r="H749" i="6"/>
  <c r="G749" i="6"/>
  <c r="F749" i="6"/>
  <c r="I748" i="6"/>
  <c r="H748" i="6"/>
  <c r="G748" i="6"/>
  <c r="J748" i="6" s="1"/>
  <c r="F748" i="6"/>
  <c r="I747" i="6"/>
  <c r="H747" i="6"/>
  <c r="J747" i="6" s="1"/>
  <c r="G747" i="6"/>
  <c r="F747" i="6"/>
  <c r="I746" i="6"/>
  <c r="H746" i="6"/>
  <c r="J746" i="6" s="1"/>
  <c r="G746" i="6"/>
  <c r="F746" i="6"/>
  <c r="H745" i="6"/>
  <c r="G745" i="6"/>
  <c r="F745" i="6"/>
  <c r="J744" i="6"/>
  <c r="H744" i="6"/>
  <c r="G744" i="6"/>
  <c r="I744" i="6" s="1"/>
  <c r="F744" i="6"/>
  <c r="H743" i="6"/>
  <c r="G743" i="6"/>
  <c r="F743" i="6"/>
  <c r="H742" i="6"/>
  <c r="G742" i="6"/>
  <c r="F742" i="6"/>
  <c r="J741" i="6"/>
  <c r="I741" i="6"/>
  <c r="H741" i="6"/>
  <c r="G741" i="6"/>
  <c r="F741" i="6"/>
  <c r="I740" i="6"/>
  <c r="H740" i="6"/>
  <c r="G740" i="6"/>
  <c r="J740" i="6" s="1"/>
  <c r="F740" i="6"/>
  <c r="I739" i="6"/>
  <c r="H739" i="6"/>
  <c r="J739" i="6" s="1"/>
  <c r="G739" i="6"/>
  <c r="F739" i="6"/>
  <c r="H738" i="6"/>
  <c r="J738" i="6" s="1"/>
  <c r="G738" i="6"/>
  <c r="F738" i="6"/>
  <c r="H737" i="6"/>
  <c r="G737" i="6"/>
  <c r="J737" i="6" s="1"/>
  <c r="F737" i="6"/>
  <c r="J736" i="6"/>
  <c r="H736" i="6"/>
  <c r="G736" i="6"/>
  <c r="I736" i="6" s="1"/>
  <c r="F736" i="6"/>
  <c r="H735" i="6"/>
  <c r="G735" i="6"/>
  <c r="I735" i="6" s="1"/>
  <c r="F735" i="6"/>
  <c r="H734" i="6"/>
  <c r="G734" i="6"/>
  <c r="F734" i="6"/>
  <c r="J733" i="6"/>
  <c r="I733" i="6"/>
  <c r="H733" i="6"/>
  <c r="G733" i="6"/>
  <c r="F733" i="6"/>
  <c r="H732" i="6"/>
  <c r="G732" i="6"/>
  <c r="J732" i="6" s="1"/>
  <c r="F732" i="6"/>
  <c r="I731" i="6"/>
  <c r="H731" i="6"/>
  <c r="G731" i="6"/>
  <c r="F731" i="6"/>
  <c r="I730" i="6"/>
  <c r="H730" i="6"/>
  <c r="J730" i="6" s="1"/>
  <c r="G730" i="6"/>
  <c r="F730" i="6"/>
  <c r="H729" i="6"/>
  <c r="G729" i="6"/>
  <c r="F729" i="6"/>
  <c r="J728" i="6"/>
  <c r="H728" i="6"/>
  <c r="G728" i="6"/>
  <c r="I728" i="6" s="1"/>
  <c r="F728" i="6"/>
  <c r="H727" i="6"/>
  <c r="G727" i="6"/>
  <c r="J727" i="6" s="1"/>
  <c r="F727" i="6"/>
  <c r="H726" i="6"/>
  <c r="G726" i="6"/>
  <c r="F726" i="6"/>
  <c r="J725" i="6"/>
  <c r="I725" i="6"/>
  <c r="H725" i="6"/>
  <c r="G725" i="6"/>
  <c r="F725" i="6"/>
  <c r="H724" i="6"/>
  <c r="G724" i="6"/>
  <c r="J724" i="6" s="1"/>
  <c r="F724" i="6"/>
  <c r="I723" i="6"/>
  <c r="H723" i="6"/>
  <c r="G723" i="6"/>
  <c r="F723" i="6"/>
  <c r="H722" i="6"/>
  <c r="J722" i="6" s="1"/>
  <c r="G722" i="6"/>
  <c r="F722" i="6"/>
  <c r="H721" i="6"/>
  <c r="G721" i="6"/>
  <c r="F721" i="6"/>
  <c r="J720" i="6"/>
  <c r="H720" i="6"/>
  <c r="G720" i="6"/>
  <c r="I720" i="6" s="1"/>
  <c r="F720" i="6"/>
  <c r="H719" i="6"/>
  <c r="G719" i="6"/>
  <c r="J719" i="6" s="1"/>
  <c r="F719" i="6"/>
  <c r="H718" i="6"/>
  <c r="G718" i="6"/>
  <c r="F718" i="6"/>
  <c r="J717" i="6"/>
  <c r="I717" i="6"/>
  <c r="H717" i="6"/>
  <c r="G717" i="6"/>
  <c r="F717" i="6"/>
  <c r="H716" i="6"/>
  <c r="I716" i="6" s="1"/>
  <c r="G716" i="6"/>
  <c r="F716" i="6"/>
  <c r="I715" i="6"/>
  <c r="H715" i="6"/>
  <c r="J715" i="6" s="1"/>
  <c r="G715" i="6"/>
  <c r="F715" i="6"/>
  <c r="J714" i="6"/>
  <c r="I714" i="6"/>
  <c r="H714" i="6"/>
  <c r="G714" i="6"/>
  <c r="F714" i="6"/>
  <c r="H713" i="6"/>
  <c r="G713" i="6"/>
  <c r="F713" i="6"/>
  <c r="J712" i="6"/>
  <c r="H712" i="6"/>
  <c r="G712" i="6"/>
  <c r="I712" i="6" s="1"/>
  <c r="F712" i="6"/>
  <c r="I711" i="6"/>
  <c r="H711" i="6"/>
  <c r="G711" i="6"/>
  <c r="J711" i="6" s="1"/>
  <c r="F711" i="6"/>
  <c r="J710" i="6"/>
  <c r="H710" i="6"/>
  <c r="G710" i="6"/>
  <c r="I710" i="6" s="1"/>
  <c r="F710" i="6"/>
  <c r="J709" i="6"/>
  <c r="I709" i="6"/>
  <c r="H709" i="6"/>
  <c r="G709" i="6"/>
  <c r="F709" i="6"/>
  <c r="I708" i="6"/>
  <c r="H708" i="6"/>
  <c r="G708" i="6"/>
  <c r="F708" i="6"/>
  <c r="I707" i="6"/>
  <c r="H707" i="6"/>
  <c r="G707" i="6"/>
  <c r="F707" i="6"/>
  <c r="H706" i="6"/>
  <c r="I706" i="6" s="1"/>
  <c r="G706" i="6"/>
  <c r="F706" i="6"/>
  <c r="J706" i="6" s="1"/>
  <c r="H705" i="6"/>
  <c r="G705" i="6"/>
  <c r="F705" i="6"/>
  <c r="J704" i="6"/>
  <c r="H704" i="6"/>
  <c r="G704" i="6"/>
  <c r="F704" i="6"/>
  <c r="H703" i="6"/>
  <c r="G703" i="6"/>
  <c r="J703" i="6" s="1"/>
  <c r="F703" i="6"/>
  <c r="H702" i="6"/>
  <c r="G702" i="6"/>
  <c r="I702" i="6" s="1"/>
  <c r="F702" i="6"/>
  <c r="J701" i="6"/>
  <c r="I701" i="6"/>
  <c r="H701" i="6"/>
  <c r="G701" i="6"/>
  <c r="F701" i="6"/>
  <c r="H700" i="6"/>
  <c r="G700" i="6"/>
  <c r="F700" i="6"/>
  <c r="I699" i="6"/>
  <c r="H699" i="6"/>
  <c r="J699" i="6" s="1"/>
  <c r="G699" i="6"/>
  <c r="F699" i="6"/>
  <c r="I698" i="6"/>
  <c r="H698" i="6"/>
  <c r="J698" i="6" s="1"/>
  <c r="G698" i="6"/>
  <c r="F698" i="6"/>
  <c r="H697" i="6"/>
  <c r="G697" i="6"/>
  <c r="F697" i="6"/>
  <c r="H696" i="6"/>
  <c r="J696" i="6" s="1"/>
  <c r="G696" i="6"/>
  <c r="F696" i="6"/>
  <c r="J695" i="6"/>
  <c r="I695" i="6"/>
  <c r="H695" i="6"/>
  <c r="G695" i="6"/>
  <c r="F695" i="6"/>
  <c r="J694" i="6"/>
  <c r="H694" i="6"/>
  <c r="G694" i="6"/>
  <c r="I694" i="6" s="1"/>
  <c r="F694" i="6"/>
  <c r="J693" i="6"/>
  <c r="I693" i="6"/>
  <c r="H693" i="6"/>
  <c r="G693" i="6"/>
  <c r="F693" i="6"/>
  <c r="H692" i="6"/>
  <c r="G692" i="6"/>
  <c r="F692" i="6"/>
  <c r="I691" i="6"/>
  <c r="H691" i="6"/>
  <c r="G691" i="6"/>
  <c r="F691" i="6"/>
  <c r="H690" i="6"/>
  <c r="J690" i="6" s="1"/>
  <c r="G690" i="6"/>
  <c r="F690" i="6"/>
  <c r="H689" i="6"/>
  <c r="G689" i="6"/>
  <c r="F689" i="6"/>
  <c r="J688" i="6"/>
  <c r="H688" i="6"/>
  <c r="G688" i="6"/>
  <c r="I688" i="6" s="1"/>
  <c r="F688" i="6"/>
  <c r="H687" i="6"/>
  <c r="G687" i="6"/>
  <c r="J687" i="6" s="1"/>
  <c r="F687" i="6"/>
  <c r="J686" i="6"/>
  <c r="I686" i="6"/>
  <c r="H686" i="6"/>
  <c r="G686" i="6"/>
  <c r="F686" i="6"/>
  <c r="I685" i="6"/>
  <c r="H685" i="6"/>
  <c r="G685" i="6"/>
  <c r="J685" i="6" s="1"/>
  <c r="F685" i="6"/>
  <c r="I684" i="6"/>
  <c r="H684" i="6"/>
  <c r="G684" i="6"/>
  <c r="F684" i="6"/>
  <c r="I683" i="6"/>
  <c r="H683" i="6"/>
  <c r="G683" i="6"/>
  <c r="F683" i="6"/>
  <c r="J682" i="6"/>
  <c r="I682" i="6"/>
  <c r="H682" i="6"/>
  <c r="G682" i="6"/>
  <c r="F682" i="6"/>
  <c r="H681" i="6"/>
  <c r="G681" i="6"/>
  <c r="I681" i="6" s="1"/>
  <c r="F681" i="6"/>
  <c r="J680" i="6"/>
  <c r="H680" i="6"/>
  <c r="G680" i="6"/>
  <c r="F680" i="6"/>
  <c r="H679" i="6"/>
  <c r="G679" i="6"/>
  <c r="J679" i="6" s="1"/>
  <c r="F679" i="6"/>
  <c r="H678" i="6"/>
  <c r="G678" i="6"/>
  <c r="J678" i="6" s="1"/>
  <c r="F678" i="6"/>
  <c r="J677" i="6"/>
  <c r="I677" i="6"/>
  <c r="H677" i="6"/>
  <c r="G677" i="6"/>
  <c r="F677" i="6"/>
  <c r="I676" i="6"/>
  <c r="H676" i="6"/>
  <c r="G676" i="6"/>
  <c r="F676" i="6"/>
  <c r="I675" i="6"/>
  <c r="H675" i="6"/>
  <c r="J675" i="6" s="1"/>
  <c r="G675" i="6"/>
  <c r="F675" i="6"/>
  <c r="H674" i="6"/>
  <c r="I674" i="6" s="1"/>
  <c r="G674" i="6"/>
  <c r="F674" i="6"/>
  <c r="J674" i="6" s="1"/>
  <c r="H673" i="6"/>
  <c r="G673" i="6"/>
  <c r="F673" i="6"/>
  <c r="J673" i="6" s="1"/>
  <c r="H672" i="6"/>
  <c r="G672" i="6"/>
  <c r="J672" i="6" s="1"/>
  <c r="F672" i="6"/>
  <c r="H671" i="6"/>
  <c r="G671" i="6"/>
  <c r="J671" i="6" s="1"/>
  <c r="F671" i="6"/>
  <c r="J670" i="6"/>
  <c r="I670" i="6"/>
  <c r="H670" i="6"/>
  <c r="G670" i="6"/>
  <c r="F670" i="6"/>
  <c r="H669" i="6"/>
  <c r="G669" i="6"/>
  <c r="I669" i="6" s="1"/>
  <c r="F669" i="6"/>
  <c r="J669" i="6" s="1"/>
  <c r="I668" i="6"/>
  <c r="H668" i="6"/>
  <c r="G668" i="6"/>
  <c r="F668" i="6"/>
  <c r="H667" i="6"/>
  <c r="J667" i="6" s="1"/>
  <c r="G667" i="6"/>
  <c r="F667" i="6"/>
  <c r="H666" i="6"/>
  <c r="G666" i="6"/>
  <c r="J666" i="6" s="1"/>
  <c r="F666" i="6"/>
  <c r="H665" i="6"/>
  <c r="J665" i="6" s="1"/>
  <c r="G665" i="6"/>
  <c r="F665" i="6"/>
  <c r="I664" i="6"/>
  <c r="H664" i="6"/>
  <c r="G664" i="6"/>
  <c r="J664" i="6" s="1"/>
  <c r="F664" i="6"/>
  <c r="J663" i="6"/>
  <c r="I663" i="6"/>
  <c r="H663" i="6"/>
  <c r="G663" i="6"/>
  <c r="F663" i="6"/>
  <c r="H662" i="6"/>
  <c r="G662" i="6"/>
  <c r="F662" i="6"/>
  <c r="H661" i="6"/>
  <c r="G661" i="6"/>
  <c r="J661" i="6" s="1"/>
  <c r="F661" i="6"/>
  <c r="H660" i="6"/>
  <c r="I660" i="6" s="1"/>
  <c r="G660" i="6"/>
  <c r="F660" i="6"/>
  <c r="I659" i="6"/>
  <c r="H659" i="6"/>
  <c r="J659" i="6" s="1"/>
  <c r="G659" i="6"/>
  <c r="F659" i="6"/>
  <c r="J658" i="6"/>
  <c r="I658" i="6"/>
  <c r="H658" i="6"/>
  <c r="G658" i="6"/>
  <c r="F658" i="6"/>
  <c r="H657" i="6"/>
  <c r="G657" i="6"/>
  <c r="I657" i="6" s="1"/>
  <c r="F657" i="6"/>
  <c r="H656" i="6"/>
  <c r="G656" i="6"/>
  <c r="J656" i="6" s="1"/>
  <c r="F656" i="6"/>
  <c r="H655" i="6"/>
  <c r="G655" i="6"/>
  <c r="F655" i="6"/>
  <c r="I654" i="6"/>
  <c r="H654" i="6"/>
  <c r="G654" i="6"/>
  <c r="J654" i="6" s="1"/>
  <c r="F654" i="6"/>
  <c r="J653" i="6"/>
  <c r="I653" i="6"/>
  <c r="H653" i="6"/>
  <c r="G653" i="6"/>
  <c r="F653" i="6"/>
  <c r="H652" i="6"/>
  <c r="G652" i="6"/>
  <c r="F652" i="6"/>
  <c r="I651" i="6"/>
  <c r="H651" i="6"/>
  <c r="G651" i="6"/>
  <c r="F651" i="6"/>
  <c r="J651" i="6" s="1"/>
  <c r="H650" i="6"/>
  <c r="G650" i="6"/>
  <c r="F650" i="6"/>
  <c r="H649" i="6"/>
  <c r="G649" i="6"/>
  <c r="F649" i="6"/>
  <c r="J648" i="6"/>
  <c r="I648" i="6"/>
  <c r="H648" i="6"/>
  <c r="G648" i="6"/>
  <c r="F648" i="6"/>
  <c r="H647" i="6"/>
  <c r="G647" i="6"/>
  <c r="I647" i="6" s="1"/>
  <c r="F647" i="6"/>
  <c r="J647" i="6" s="1"/>
  <c r="H646" i="6"/>
  <c r="G646" i="6"/>
  <c r="J646" i="6" s="1"/>
  <c r="F646" i="6"/>
  <c r="H645" i="6"/>
  <c r="G645" i="6"/>
  <c r="F645" i="6"/>
  <c r="H644" i="6"/>
  <c r="G644" i="6"/>
  <c r="F644" i="6"/>
  <c r="J643" i="6"/>
  <c r="I643" i="6"/>
  <c r="H643" i="6"/>
  <c r="G643" i="6"/>
  <c r="F643" i="6"/>
  <c r="H642" i="6"/>
  <c r="G642" i="6"/>
  <c r="I642" i="6" s="1"/>
  <c r="F642" i="6"/>
  <c r="J642" i="6" s="1"/>
  <c r="H641" i="6"/>
  <c r="G641" i="6"/>
  <c r="F641" i="6"/>
  <c r="J641" i="6" s="1"/>
  <c r="H640" i="6"/>
  <c r="G640" i="6"/>
  <c r="F640" i="6"/>
  <c r="H639" i="6"/>
  <c r="G639" i="6"/>
  <c r="J639" i="6" s="1"/>
  <c r="F639" i="6"/>
  <c r="J638" i="6"/>
  <c r="I638" i="6"/>
  <c r="H638" i="6"/>
  <c r="G638" i="6"/>
  <c r="F638" i="6"/>
  <c r="H637" i="6"/>
  <c r="G637" i="6"/>
  <c r="I637" i="6" s="1"/>
  <c r="F637" i="6"/>
  <c r="J637" i="6" s="1"/>
  <c r="I636" i="6"/>
  <c r="H636" i="6"/>
  <c r="G636" i="6"/>
  <c r="F636" i="6"/>
  <c r="H635" i="6"/>
  <c r="J635" i="6" s="1"/>
  <c r="G635" i="6"/>
  <c r="F635" i="6"/>
  <c r="H634" i="6"/>
  <c r="G634" i="6"/>
  <c r="J634" i="6" s="1"/>
  <c r="F634" i="6"/>
  <c r="J633" i="6"/>
  <c r="I633" i="6"/>
  <c r="H633" i="6"/>
  <c r="G633" i="6"/>
  <c r="F633" i="6"/>
  <c r="H632" i="6"/>
  <c r="G632" i="6"/>
  <c r="I632" i="6" s="1"/>
  <c r="F632" i="6"/>
  <c r="J632" i="6" s="1"/>
  <c r="H631" i="6"/>
  <c r="G631" i="6"/>
  <c r="J631" i="6" s="1"/>
  <c r="F631" i="6"/>
  <c r="H630" i="6"/>
  <c r="G630" i="6"/>
  <c r="F630" i="6"/>
  <c r="I629" i="6"/>
  <c r="H629" i="6"/>
  <c r="G629" i="6"/>
  <c r="J629" i="6" s="1"/>
  <c r="F629" i="6"/>
  <c r="J628" i="6"/>
  <c r="I628" i="6"/>
  <c r="H628" i="6"/>
  <c r="G628" i="6"/>
  <c r="F628" i="6"/>
  <c r="H627" i="6"/>
  <c r="G627" i="6"/>
  <c r="F627" i="6"/>
  <c r="H626" i="6"/>
  <c r="G626" i="6"/>
  <c r="J626" i="6" s="1"/>
  <c r="F626" i="6"/>
  <c r="J625" i="6"/>
  <c r="I625" i="6"/>
  <c r="H625" i="6"/>
  <c r="G625" i="6"/>
  <c r="F625" i="6"/>
  <c r="H624" i="6"/>
  <c r="G624" i="6"/>
  <c r="I624" i="6" s="1"/>
  <c r="F624" i="6"/>
  <c r="J624" i="6" s="1"/>
  <c r="H623" i="6"/>
  <c r="G623" i="6"/>
  <c r="J623" i="6" s="1"/>
  <c r="F623" i="6"/>
  <c r="H622" i="6"/>
  <c r="G622" i="6"/>
  <c r="F622" i="6"/>
  <c r="I621" i="6"/>
  <c r="H621" i="6"/>
  <c r="G621" i="6"/>
  <c r="J621" i="6" s="1"/>
  <c r="F621" i="6"/>
  <c r="J620" i="6"/>
  <c r="I620" i="6"/>
  <c r="H620" i="6"/>
  <c r="G620" i="6"/>
  <c r="F620" i="6"/>
  <c r="H619" i="6"/>
  <c r="G619" i="6"/>
  <c r="F619" i="6"/>
  <c r="H618" i="6"/>
  <c r="G618" i="6"/>
  <c r="J618" i="6" s="1"/>
  <c r="F618" i="6"/>
  <c r="J617" i="6"/>
  <c r="I617" i="6"/>
  <c r="H617" i="6"/>
  <c r="G617" i="6"/>
  <c r="F617" i="6"/>
  <c r="H616" i="6"/>
  <c r="G616" i="6"/>
  <c r="I616" i="6" s="1"/>
  <c r="F616" i="6"/>
  <c r="J616" i="6" s="1"/>
  <c r="H615" i="6"/>
  <c r="G615" i="6"/>
  <c r="J615" i="6" s="1"/>
  <c r="F615" i="6"/>
  <c r="H614" i="6"/>
  <c r="G614" i="6"/>
  <c r="F614" i="6"/>
  <c r="I613" i="6"/>
  <c r="H613" i="6"/>
  <c r="G613" i="6"/>
  <c r="J613" i="6" s="1"/>
  <c r="F613" i="6"/>
  <c r="J612" i="6"/>
  <c r="I612" i="6"/>
  <c r="H612" i="6"/>
  <c r="G612" i="6"/>
  <c r="F612" i="6"/>
  <c r="H611" i="6"/>
  <c r="G611" i="6"/>
  <c r="F611" i="6"/>
  <c r="H610" i="6"/>
  <c r="G610" i="6"/>
  <c r="J610" i="6" s="1"/>
  <c r="F610" i="6"/>
  <c r="J609" i="6"/>
  <c r="I609" i="6"/>
  <c r="H609" i="6"/>
  <c r="G609" i="6"/>
  <c r="F609" i="6"/>
  <c r="H608" i="6"/>
  <c r="G608" i="6"/>
  <c r="I608" i="6" s="1"/>
  <c r="F608" i="6"/>
  <c r="J608" i="6" s="1"/>
  <c r="H607" i="6"/>
  <c r="G607" i="6"/>
  <c r="J607" i="6" s="1"/>
  <c r="F607" i="6"/>
  <c r="H606" i="6"/>
  <c r="G606" i="6"/>
  <c r="F606" i="6"/>
  <c r="I605" i="6"/>
  <c r="H605" i="6"/>
  <c r="G605" i="6"/>
  <c r="J605" i="6" s="1"/>
  <c r="F605" i="6"/>
  <c r="J604" i="6"/>
  <c r="I604" i="6"/>
  <c r="H604" i="6"/>
  <c r="G604" i="6"/>
  <c r="F604" i="6"/>
  <c r="H603" i="6"/>
  <c r="G603" i="6"/>
  <c r="F603" i="6"/>
  <c r="H602" i="6"/>
  <c r="G602" i="6"/>
  <c r="J602" i="6" s="1"/>
  <c r="F602" i="6"/>
  <c r="J601" i="6"/>
  <c r="I601" i="6"/>
  <c r="H601" i="6"/>
  <c r="G601" i="6"/>
  <c r="F601" i="6"/>
  <c r="H600" i="6"/>
  <c r="G600" i="6"/>
  <c r="I600" i="6" s="1"/>
  <c r="F600" i="6"/>
  <c r="J600" i="6" s="1"/>
  <c r="H599" i="6"/>
  <c r="G599" i="6"/>
  <c r="J599" i="6" s="1"/>
  <c r="F599" i="6"/>
  <c r="H598" i="6"/>
  <c r="G598" i="6"/>
  <c r="F598" i="6"/>
  <c r="I597" i="6"/>
  <c r="H597" i="6"/>
  <c r="G597" i="6"/>
  <c r="J597" i="6" s="1"/>
  <c r="F597" i="6"/>
  <c r="J596" i="6"/>
  <c r="I596" i="6"/>
  <c r="H596" i="6"/>
  <c r="G596" i="6"/>
  <c r="F596" i="6"/>
  <c r="H595" i="6"/>
  <c r="G595" i="6"/>
  <c r="F595" i="6"/>
  <c r="H594" i="6"/>
  <c r="G594" i="6"/>
  <c r="J594" i="6" s="1"/>
  <c r="F594" i="6"/>
  <c r="J593" i="6"/>
  <c r="I593" i="6"/>
  <c r="H593" i="6"/>
  <c r="G593" i="6"/>
  <c r="F593" i="6"/>
  <c r="H592" i="6"/>
  <c r="G592" i="6"/>
  <c r="I592" i="6" s="1"/>
  <c r="F592" i="6"/>
  <c r="J592" i="6" s="1"/>
  <c r="H591" i="6"/>
  <c r="G591" i="6"/>
  <c r="J591" i="6" s="1"/>
  <c r="F591" i="6"/>
  <c r="H590" i="6"/>
  <c r="G590" i="6"/>
  <c r="F590" i="6"/>
  <c r="I589" i="6"/>
  <c r="H589" i="6"/>
  <c r="G589" i="6"/>
  <c r="J589" i="6" s="1"/>
  <c r="F589" i="6"/>
  <c r="J588" i="6"/>
  <c r="I588" i="6"/>
  <c r="H588" i="6"/>
  <c r="G588" i="6"/>
  <c r="F588" i="6"/>
  <c r="H587" i="6"/>
  <c r="G587" i="6"/>
  <c r="F587" i="6"/>
  <c r="H586" i="6"/>
  <c r="G586" i="6"/>
  <c r="J586" i="6" s="1"/>
  <c r="F586" i="6"/>
  <c r="J585" i="6"/>
  <c r="I585" i="6"/>
  <c r="H585" i="6"/>
  <c r="G585" i="6"/>
  <c r="F585" i="6"/>
  <c r="H584" i="6"/>
  <c r="G584" i="6"/>
  <c r="I584" i="6" s="1"/>
  <c r="F584" i="6"/>
  <c r="J584" i="6" s="1"/>
  <c r="H583" i="6"/>
  <c r="G583" i="6"/>
  <c r="J583" i="6" s="1"/>
  <c r="F583" i="6"/>
  <c r="H582" i="6"/>
  <c r="G582" i="6"/>
  <c r="F582" i="6"/>
  <c r="I581" i="6"/>
  <c r="H581" i="6"/>
  <c r="G581" i="6"/>
  <c r="J581" i="6" s="1"/>
  <c r="F581" i="6"/>
  <c r="J580" i="6"/>
  <c r="I580" i="6"/>
  <c r="H580" i="6"/>
  <c r="G580" i="6"/>
  <c r="F580" i="6"/>
  <c r="H579" i="6"/>
  <c r="G579" i="6"/>
  <c r="F579" i="6"/>
  <c r="H578" i="6"/>
  <c r="G578" i="6"/>
  <c r="J578" i="6" s="1"/>
  <c r="F578" i="6"/>
  <c r="J577" i="6"/>
  <c r="I577" i="6"/>
  <c r="H577" i="6"/>
  <c r="G577" i="6"/>
  <c r="F577" i="6"/>
  <c r="H576" i="6"/>
  <c r="G576" i="6"/>
  <c r="I576" i="6" s="1"/>
  <c r="F576" i="6"/>
  <c r="J576" i="6" s="1"/>
  <c r="H575" i="6"/>
  <c r="G575" i="6"/>
  <c r="J575" i="6" s="1"/>
  <c r="F575" i="6"/>
  <c r="H574" i="6"/>
  <c r="G574" i="6"/>
  <c r="F574" i="6"/>
  <c r="I573" i="6"/>
  <c r="H573" i="6"/>
  <c r="G573" i="6"/>
  <c r="J573" i="6" s="1"/>
  <c r="F573" i="6"/>
  <c r="J572" i="6"/>
  <c r="I572" i="6"/>
  <c r="H572" i="6"/>
  <c r="G572" i="6"/>
  <c r="F572" i="6"/>
  <c r="H571" i="6"/>
  <c r="G571" i="6"/>
  <c r="F571" i="6"/>
  <c r="H570" i="6"/>
  <c r="G570" i="6"/>
  <c r="J570" i="6" s="1"/>
  <c r="F570" i="6"/>
  <c r="J569" i="6"/>
  <c r="I569" i="6"/>
  <c r="H569" i="6"/>
  <c r="G569" i="6"/>
  <c r="F569" i="6"/>
  <c r="H568" i="6"/>
  <c r="G568" i="6"/>
  <c r="I568" i="6" s="1"/>
  <c r="F568" i="6"/>
  <c r="J568" i="6" s="1"/>
  <c r="H567" i="6"/>
  <c r="G567" i="6"/>
  <c r="J567" i="6" s="1"/>
  <c r="F567" i="6"/>
  <c r="H566" i="6"/>
  <c r="G566" i="6"/>
  <c r="F566" i="6"/>
  <c r="I565" i="6"/>
  <c r="H565" i="6"/>
  <c r="G565" i="6"/>
  <c r="J565" i="6" s="1"/>
  <c r="F565" i="6"/>
  <c r="J564" i="6"/>
  <c r="I564" i="6"/>
  <c r="H564" i="6"/>
  <c r="G564" i="6"/>
  <c r="F564" i="6"/>
  <c r="H563" i="6"/>
  <c r="G563" i="6"/>
  <c r="F563" i="6"/>
  <c r="H562" i="6"/>
  <c r="G562" i="6"/>
  <c r="J562" i="6" s="1"/>
  <c r="F562" i="6"/>
  <c r="J561" i="6"/>
  <c r="I561" i="6"/>
  <c r="H561" i="6"/>
  <c r="G561" i="6"/>
  <c r="F561" i="6"/>
  <c r="H560" i="6"/>
  <c r="G560" i="6"/>
  <c r="I560" i="6" s="1"/>
  <c r="F560" i="6"/>
  <c r="J560" i="6" s="1"/>
  <c r="H559" i="6"/>
  <c r="G559" i="6"/>
  <c r="J559" i="6" s="1"/>
  <c r="F559" i="6"/>
  <c r="H558" i="6"/>
  <c r="G558" i="6"/>
  <c r="F558" i="6"/>
  <c r="I557" i="6"/>
  <c r="H557" i="6"/>
  <c r="G557" i="6"/>
  <c r="J557" i="6" s="1"/>
  <c r="F557" i="6"/>
  <c r="J556" i="6"/>
  <c r="I556" i="6"/>
  <c r="H556" i="6"/>
  <c r="G556" i="6"/>
  <c r="F556" i="6"/>
  <c r="H555" i="6"/>
  <c r="G555" i="6"/>
  <c r="F555" i="6"/>
  <c r="H554" i="6"/>
  <c r="G554" i="6"/>
  <c r="J554" i="6" s="1"/>
  <c r="F554" i="6"/>
  <c r="J553" i="6"/>
  <c r="I553" i="6"/>
  <c r="H553" i="6"/>
  <c r="G553" i="6"/>
  <c r="F553" i="6"/>
  <c r="H552" i="6"/>
  <c r="G552" i="6"/>
  <c r="I552" i="6" s="1"/>
  <c r="F552" i="6"/>
  <c r="J552" i="6" s="1"/>
  <c r="H551" i="6"/>
  <c r="G551" i="6"/>
  <c r="J551" i="6" s="1"/>
  <c r="F551" i="6"/>
  <c r="H550" i="6"/>
  <c r="G550" i="6"/>
  <c r="F550" i="6"/>
  <c r="I549" i="6"/>
  <c r="H549" i="6"/>
  <c r="G549" i="6"/>
  <c r="J549" i="6" s="1"/>
  <c r="F549" i="6"/>
  <c r="J548" i="6"/>
  <c r="I548" i="6"/>
  <c r="H548" i="6"/>
  <c r="G548" i="6"/>
  <c r="F548" i="6"/>
  <c r="H547" i="6"/>
  <c r="G547" i="6"/>
  <c r="F547" i="6"/>
  <c r="H546" i="6"/>
  <c r="G546" i="6"/>
  <c r="J546" i="6" s="1"/>
  <c r="F546" i="6"/>
  <c r="J545" i="6"/>
  <c r="I545" i="6"/>
  <c r="H545" i="6"/>
  <c r="G545" i="6"/>
  <c r="F545" i="6"/>
  <c r="H544" i="6"/>
  <c r="G544" i="6"/>
  <c r="I544" i="6" s="1"/>
  <c r="F544" i="6"/>
  <c r="J544" i="6" s="1"/>
  <c r="H543" i="6"/>
  <c r="G543" i="6"/>
  <c r="J543" i="6" s="1"/>
  <c r="F543" i="6"/>
  <c r="H542" i="6"/>
  <c r="G542" i="6"/>
  <c r="F542" i="6"/>
  <c r="I541" i="6"/>
  <c r="H541" i="6"/>
  <c r="G541" i="6"/>
  <c r="J541" i="6" s="1"/>
  <c r="F541" i="6"/>
  <c r="J540" i="6"/>
  <c r="I540" i="6"/>
  <c r="H540" i="6"/>
  <c r="G540" i="6"/>
  <c r="F540" i="6"/>
  <c r="H539" i="6"/>
  <c r="G539" i="6"/>
  <c r="F539" i="6"/>
  <c r="H538" i="6"/>
  <c r="G538" i="6"/>
  <c r="J538" i="6" s="1"/>
  <c r="F538" i="6"/>
  <c r="J537" i="6"/>
  <c r="I537" i="6"/>
  <c r="H537" i="6"/>
  <c r="G537" i="6"/>
  <c r="F537" i="6"/>
  <c r="H536" i="6"/>
  <c r="G536" i="6"/>
  <c r="I536" i="6" s="1"/>
  <c r="F536" i="6"/>
  <c r="J536" i="6" s="1"/>
  <c r="H535" i="6"/>
  <c r="G535" i="6"/>
  <c r="J535" i="6" s="1"/>
  <c r="F535" i="6"/>
  <c r="H534" i="6"/>
  <c r="G534" i="6"/>
  <c r="F534" i="6"/>
  <c r="I533" i="6"/>
  <c r="H533" i="6"/>
  <c r="G533" i="6"/>
  <c r="J533" i="6" s="1"/>
  <c r="F533" i="6"/>
  <c r="J532" i="6"/>
  <c r="I532" i="6"/>
  <c r="H532" i="6"/>
  <c r="G532" i="6"/>
  <c r="F532" i="6"/>
  <c r="H531" i="6"/>
  <c r="G531" i="6"/>
  <c r="F531" i="6"/>
  <c r="H530" i="6"/>
  <c r="G530" i="6"/>
  <c r="J530" i="6" s="1"/>
  <c r="F530" i="6"/>
  <c r="J529" i="6"/>
  <c r="I529" i="6"/>
  <c r="H529" i="6"/>
  <c r="G529" i="6"/>
  <c r="F529" i="6"/>
  <c r="H528" i="6"/>
  <c r="G528" i="6"/>
  <c r="I528" i="6" s="1"/>
  <c r="F528" i="6"/>
  <c r="J528" i="6" s="1"/>
  <c r="H527" i="6"/>
  <c r="G527" i="6"/>
  <c r="J527" i="6" s="1"/>
  <c r="F527" i="6"/>
  <c r="H526" i="6"/>
  <c r="G526" i="6"/>
  <c r="F526" i="6"/>
  <c r="I525" i="6"/>
  <c r="H525" i="6"/>
  <c r="G525" i="6"/>
  <c r="J525" i="6" s="1"/>
  <c r="F525" i="6"/>
  <c r="J524" i="6"/>
  <c r="I524" i="6"/>
  <c r="H524" i="6"/>
  <c r="G524" i="6"/>
  <c r="F524" i="6"/>
  <c r="H523" i="6"/>
  <c r="G523" i="6"/>
  <c r="F523" i="6"/>
  <c r="H522" i="6"/>
  <c r="G522" i="6"/>
  <c r="J522" i="6" s="1"/>
  <c r="F522" i="6"/>
  <c r="J521" i="6"/>
  <c r="I521" i="6"/>
  <c r="H521" i="6"/>
  <c r="G521" i="6"/>
  <c r="F521" i="6"/>
  <c r="H520" i="6"/>
  <c r="G520" i="6"/>
  <c r="I520" i="6" s="1"/>
  <c r="F520" i="6"/>
  <c r="J520" i="6" s="1"/>
  <c r="H519" i="6"/>
  <c r="G519" i="6"/>
  <c r="J519" i="6" s="1"/>
  <c r="F519" i="6"/>
  <c r="H518" i="6"/>
  <c r="G518" i="6"/>
  <c r="F518" i="6"/>
  <c r="I517" i="6"/>
  <c r="H517" i="6"/>
  <c r="G517" i="6"/>
  <c r="J517" i="6" s="1"/>
  <c r="F517" i="6"/>
  <c r="J516" i="6"/>
  <c r="I516" i="6"/>
  <c r="H516" i="6"/>
  <c r="G516" i="6"/>
  <c r="F516" i="6"/>
  <c r="H515" i="6"/>
  <c r="G515" i="6"/>
  <c r="F515" i="6"/>
  <c r="H514" i="6"/>
  <c r="G514" i="6"/>
  <c r="J514" i="6" s="1"/>
  <c r="F514" i="6"/>
  <c r="J513" i="6"/>
  <c r="I513" i="6"/>
  <c r="H513" i="6"/>
  <c r="G513" i="6"/>
  <c r="F513" i="6"/>
  <c r="H512" i="6"/>
  <c r="G512" i="6"/>
  <c r="I512" i="6" s="1"/>
  <c r="F512" i="6"/>
  <c r="J512" i="6" s="1"/>
  <c r="H511" i="6"/>
  <c r="G511" i="6"/>
  <c r="J511" i="6" s="1"/>
  <c r="F511" i="6"/>
  <c r="H510" i="6"/>
  <c r="G510" i="6"/>
  <c r="F510" i="6"/>
  <c r="I509" i="6"/>
  <c r="H509" i="6"/>
  <c r="G509" i="6"/>
  <c r="J509" i="6" s="1"/>
  <c r="F509" i="6"/>
  <c r="J508" i="6"/>
  <c r="I508" i="6"/>
  <c r="H508" i="6"/>
  <c r="G508" i="6"/>
  <c r="F508" i="6"/>
  <c r="H507" i="6"/>
  <c r="G507" i="6"/>
  <c r="F507" i="6"/>
  <c r="H506" i="6"/>
  <c r="G506" i="6"/>
  <c r="J506" i="6" s="1"/>
  <c r="F506" i="6"/>
  <c r="J505" i="6"/>
  <c r="I505" i="6"/>
  <c r="H505" i="6"/>
  <c r="G505" i="6"/>
  <c r="F505" i="6"/>
  <c r="H504" i="6"/>
  <c r="G504" i="6"/>
  <c r="I504" i="6" s="1"/>
  <c r="F504" i="6"/>
  <c r="J504" i="6" s="1"/>
  <c r="H503" i="6"/>
  <c r="G503" i="6"/>
  <c r="J503" i="6" s="1"/>
  <c r="F503" i="6"/>
  <c r="H502" i="6"/>
  <c r="G502" i="6"/>
  <c r="F502" i="6"/>
  <c r="I501" i="6"/>
  <c r="H501" i="6"/>
  <c r="G501" i="6"/>
  <c r="J501" i="6" s="1"/>
  <c r="F501" i="6"/>
  <c r="J500" i="6"/>
  <c r="I500" i="6"/>
  <c r="H500" i="6"/>
  <c r="G500" i="6"/>
  <c r="F500" i="6"/>
  <c r="H499" i="6"/>
  <c r="G499" i="6"/>
  <c r="F499" i="6"/>
  <c r="H498" i="6"/>
  <c r="G498" i="6"/>
  <c r="J498" i="6" s="1"/>
  <c r="F498" i="6"/>
  <c r="J497" i="6"/>
  <c r="I497" i="6"/>
  <c r="H497" i="6"/>
  <c r="G497" i="6"/>
  <c r="F497" i="6"/>
  <c r="H496" i="6"/>
  <c r="G496" i="6"/>
  <c r="I496" i="6" s="1"/>
  <c r="F496" i="6"/>
  <c r="J496" i="6" s="1"/>
  <c r="H495" i="6"/>
  <c r="G495" i="6"/>
  <c r="J495" i="6" s="1"/>
  <c r="F495" i="6"/>
  <c r="H494" i="6"/>
  <c r="G494" i="6"/>
  <c r="F494" i="6"/>
  <c r="I493" i="6"/>
  <c r="H493" i="6"/>
  <c r="G493" i="6"/>
  <c r="J493" i="6" s="1"/>
  <c r="F493" i="6"/>
  <c r="J492" i="6"/>
  <c r="I492" i="6"/>
  <c r="H492" i="6"/>
  <c r="G492" i="6"/>
  <c r="F492" i="6"/>
  <c r="H491" i="6"/>
  <c r="G491" i="6"/>
  <c r="F491" i="6"/>
  <c r="H490" i="6"/>
  <c r="G490" i="6"/>
  <c r="J490" i="6" s="1"/>
  <c r="F490" i="6"/>
  <c r="J489" i="6"/>
  <c r="I489" i="6"/>
  <c r="H489" i="6"/>
  <c r="G489" i="6"/>
  <c r="F489" i="6"/>
  <c r="H488" i="6"/>
  <c r="G488" i="6"/>
  <c r="I488" i="6" s="1"/>
  <c r="F488" i="6"/>
  <c r="J488" i="6" s="1"/>
  <c r="H487" i="6"/>
  <c r="G487" i="6"/>
  <c r="J487" i="6" s="1"/>
  <c r="F487" i="6"/>
  <c r="H486" i="6"/>
  <c r="G486" i="6"/>
  <c r="F486" i="6"/>
  <c r="I485" i="6"/>
  <c r="H485" i="6"/>
  <c r="G485" i="6"/>
  <c r="J485" i="6" s="1"/>
  <c r="F485" i="6"/>
  <c r="J484" i="6"/>
  <c r="I484" i="6"/>
  <c r="H484" i="6"/>
  <c r="G484" i="6"/>
  <c r="F484" i="6"/>
  <c r="H483" i="6"/>
  <c r="G483" i="6"/>
  <c r="F483" i="6"/>
  <c r="H482" i="6"/>
  <c r="G482" i="6"/>
  <c r="J482" i="6" s="1"/>
  <c r="F482" i="6"/>
  <c r="J481" i="6"/>
  <c r="I481" i="6"/>
  <c r="H481" i="6"/>
  <c r="G481" i="6"/>
  <c r="F481" i="6"/>
  <c r="H480" i="6"/>
  <c r="G480" i="6"/>
  <c r="J480" i="6" s="1"/>
  <c r="F480" i="6"/>
  <c r="H479" i="6"/>
  <c r="G479" i="6"/>
  <c r="J479" i="6" s="1"/>
  <c r="F479" i="6"/>
  <c r="H478" i="6"/>
  <c r="G478" i="6"/>
  <c r="F478" i="6"/>
  <c r="I477" i="6"/>
  <c r="H477" i="6"/>
  <c r="G477" i="6"/>
  <c r="J477" i="6" s="1"/>
  <c r="F477" i="6"/>
  <c r="J476" i="6"/>
  <c r="I476" i="6"/>
  <c r="H476" i="6"/>
  <c r="G476" i="6"/>
  <c r="F476" i="6"/>
  <c r="H475" i="6"/>
  <c r="G475" i="6"/>
  <c r="F475" i="6"/>
  <c r="H474" i="6"/>
  <c r="G474" i="6"/>
  <c r="J474" i="6" s="1"/>
  <c r="F474" i="6"/>
  <c r="J473" i="6"/>
  <c r="I473" i="6"/>
  <c r="H473" i="6"/>
  <c r="G473" i="6"/>
  <c r="F473" i="6"/>
  <c r="H472" i="6"/>
  <c r="G472" i="6"/>
  <c r="J472" i="6" s="1"/>
  <c r="F472" i="6"/>
  <c r="H471" i="6"/>
  <c r="G471" i="6"/>
  <c r="J471" i="6" s="1"/>
  <c r="F471" i="6"/>
  <c r="H470" i="6"/>
  <c r="G470" i="6"/>
  <c r="F470" i="6"/>
  <c r="I469" i="6"/>
  <c r="H469" i="6"/>
  <c r="G469" i="6"/>
  <c r="J469" i="6" s="1"/>
  <c r="F469" i="6"/>
  <c r="J468" i="6"/>
  <c r="I468" i="6"/>
  <c r="H468" i="6"/>
  <c r="G468" i="6"/>
  <c r="F468" i="6"/>
  <c r="H467" i="6"/>
  <c r="G467" i="6"/>
  <c r="F467" i="6"/>
  <c r="H466" i="6"/>
  <c r="G466" i="6"/>
  <c r="J466" i="6" s="1"/>
  <c r="F466" i="6"/>
  <c r="J465" i="6"/>
  <c r="I465" i="6"/>
  <c r="H465" i="6"/>
  <c r="G465" i="6"/>
  <c r="F465" i="6"/>
  <c r="H464" i="6"/>
  <c r="G464" i="6"/>
  <c r="J464" i="6" s="1"/>
  <c r="F464" i="6"/>
  <c r="H463" i="6"/>
  <c r="G463" i="6"/>
  <c r="J463" i="6" s="1"/>
  <c r="F463" i="6"/>
  <c r="H462" i="6"/>
  <c r="G462" i="6"/>
  <c r="F462" i="6"/>
  <c r="I461" i="6"/>
  <c r="H461" i="6"/>
  <c r="G461" i="6"/>
  <c r="J461" i="6" s="1"/>
  <c r="F461" i="6"/>
  <c r="J460" i="6"/>
  <c r="I460" i="6"/>
  <c r="H460" i="6"/>
  <c r="G460" i="6"/>
  <c r="F460" i="6"/>
  <c r="H459" i="6"/>
  <c r="G459" i="6"/>
  <c r="F459" i="6"/>
  <c r="H458" i="6"/>
  <c r="G458" i="6"/>
  <c r="J458" i="6" s="1"/>
  <c r="F458" i="6"/>
  <c r="J457" i="6"/>
  <c r="I457" i="6"/>
  <c r="H457" i="6"/>
  <c r="G457" i="6"/>
  <c r="F457" i="6"/>
  <c r="H456" i="6"/>
  <c r="G456" i="6"/>
  <c r="F456" i="6"/>
  <c r="H455" i="6"/>
  <c r="G455" i="6"/>
  <c r="J455" i="6" s="1"/>
  <c r="F455" i="6"/>
  <c r="H454" i="6"/>
  <c r="G454" i="6"/>
  <c r="F454" i="6"/>
  <c r="I453" i="6"/>
  <c r="H453" i="6"/>
  <c r="G453" i="6"/>
  <c r="J453" i="6" s="1"/>
  <c r="F453" i="6"/>
  <c r="J452" i="6"/>
  <c r="I452" i="6"/>
  <c r="H452" i="6"/>
  <c r="G452" i="6"/>
  <c r="F452" i="6"/>
  <c r="H451" i="6"/>
  <c r="G451" i="6"/>
  <c r="F451" i="6"/>
  <c r="H450" i="6"/>
  <c r="G450" i="6"/>
  <c r="J450" i="6" s="1"/>
  <c r="F450" i="6"/>
  <c r="J449" i="6"/>
  <c r="I449" i="6"/>
  <c r="H449" i="6"/>
  <c r="G449" i="6"/>
  <c r="F449" i="6"/>
  <c r="H448" i="6"/>
  <c r="G448" i="6"/>
  <c r="F448" i="6"/>
  <c r="H447" i="6"/>
  <c r="G447" i="6"/>
  <c r="J447" i="6" s="1"/>
  <c r="F447" i="6"/>
  <c r="H446" i="6"/>
  <c r="G446" i="6"/>
  <c r="F446" i="6"/>
  <c r="I445" i="6"/>
  <c r="H445" i="6"/>
  <c r="G445" i="6"/>
  <c r="J445" i="6" s="1"/>
  <c r="F445" i="6"/>
  <c r="J444" i="6"/>
  <c r="I444" i="6"/>
  <c r="H444" i="6"/>
  <c r="G444" i="6"/>
  <c r="F444" i="6"/>
  <c r="H443" i="6"/>
  <c r="G443" i="6"/>
  <c r="F443" i="6"/>
  <c r="H442" i="6"/>
  <c r="G442" i="6"/>
  <c r="J442" i="6" s="1"/>
  <c r="F442" i="6"/>
  <c r="J441" i="6"/>
  <c r="I441" i="6"/>
  <c r="H441" i="6"/>
  <c r="G441" i="6"/>
  <c r="F441" i="6"/>
  <c r="H440" i="6"/>
  <c r="G440" i="6"/>
  <c r="F440" i="6"/>
  <c r="H439" i="6"/>
  <c r="G439" i="6"/>
  <c r="J439" i="6" s="1"/>
  <c r="F439" i="6"/>
  <c r="H438" i="6"/>
  <c r="G438" i="6"/>
  <c r="F438" i="6"/>
  <c r="I437" i="6"/>
  <c r="H437" i="6"/>
  <c r="G437" i="6"/>
  <c r="J437" i="6" s="1"/>
  <c r="F437" i="6"/>
  <c r="J436" i="6"/>
  <c r="I436" i="6"/>
  <c r="H436" i="6"/>
  <c r="G436" i="6"/>
  <c r="F436" i="6"/>
  <c r="H435" i="6"/>
  <c r="G435" i="6"/>
  <c r="F435" i="6"/>
  <c r="H434" i="6"/>
  <c r="G434" i="6"/>
  <c r="J434" i="6" s="1"/>
  <c r="F434" i="6"/>
  <c r="J433" i="6"/>
  <c r="I433" i="6"/>
  <c r="H433" i="6"/>
  <c r="G433" i="6"/>
  <c r="F433" i="6"/>
  <c r="H432" i="6"/>
  <c r="G432" i="6"/>
  <c r="F432" i="6"/>
  <c r="H431" i="6"/>
  <c r="G431" i="6"/>
  <c r="J431" i="6" s="1"/>
  <c r="F431" i="6"/>
  <c r="H430" i="6"/>
  <c r="G430" i="6"/>
  <c r="F430" i="6"/>
  <c r="I429" i="6"/>
  <c r="H429" i="6"/>
  <c r="G429" i="6"/>
  <c r="J429" i="6" s="1"/>
  <c r="F429" i="6"/>
  <c r="J428" i="6"/>
  <c r="I428" i="6"/>
  <c r="H428" i="6"/>
  <c r="G428" i="6"/>
  <c r="F428" i="6"/>
  <c r="H427" i="6"/>
  <c r="G427" i="6"/>
  <c r="F427" i="6"/>
  <c r="H426" i="6"/>
  <c r="G426" i="6"/>
  <c r="J426" i="6" s="1"/>
  <c r="F426" i="6"/>
  <c r="J425" i="6"/>
  <c r="I425" i="6"/>
  <c r="H425" i="6"/>
  <c r="G425" i="6"/>
  <c r="F425" i="6"/>
  <c r="H424" i="6"/>
  <c r="G424" i="6"/>
  <c r="F424" i="6"/>
  <c r="H423" i="6"/>
  <c r="G423" i="6"/>
  <c r="J423" i="6" s="1"/>
  <c r="F423" i="6"/>
  <c r="H422" i="6"/>
  <c r="G422" i="6"/>
  <c r="F422" i="6"/>
  <c r="I421" i="6"/>
  <c r="H421" i="6"/>
  <c r="G421" i="6"/>
  <c r="J421" i="6" s="1"/>
  <c r="F421" i="6"/>
  <c r="J420" i="6"/>
  <c r="I420" i="6"/>
  <c r="H420" i="6"/>
  <c r="G420" i="6"/>
  <c r="F420" i="6"/>
  <c r="H419" i="6"/>
  <c r="G419" i="6"/>
  <c r="F419" i="6"/>
  <c r="H418" i="6"/>
  <c r="G418" i="6"/>
  <c r="J418" i="6" s="1"/>
  <c r="F418" i="6"/>
  <c r="J417" i="6"/>
  <c r="I417" i="6"/>
  <c r="H417" i="6"/>
  <c r="G417" i="6"/>
  <c r="F417" i="6"/>
  <c r="H416" i="6"/>
  <c r="G416" i="6"/>
  <c r="J416" i="6" s="1"/>
  <c r="F416" i="6"/>
  <c r="H415" i="6"/>
  <c r="G415" i="6"/>
  <c r="J415" i="6" s="1"/>
  <c r="F415" i="6"/>
  <c r="H414" i="6"/>
  <c r="G414" i="6"/>
  <c r="F414" i="6"/>
  <c r="I413" i="6"/>
  <c r="H413" i="6"/>
  <c r="G413" i="6"/>
  <c r="J413" i="6" s="1"/>
  <c r="F413" i="6"/>
  <c r="J412" i="6"/>
  <c r="I412" i="6"/>
  <c r="H412" i="6"/>
  <c r="G412" i="6"/>
  <c r="F412" i="6"/>
  <c r="H411" i="6"/>
  <c r="G411" i="6"/>
  <c r="F411" i="6"/>
  <c r="H410" i="6"/>
  <c r="G410" i="6"/>
  <c r="J410" i="6" s="1"/>
  <c r="F410" i="6"/>
  <c r="J409" i="6"/>
  <c r="I409" i="6"/>
  <c r="H409" i="6"/>
  <c r="G409" i="6"/>
  <c r="F409" i="6"/>
  <c r="H408" i="6"/>
  <c r="G408" i="6"/>
  <c r="J408" i="6" s="1"/>
  <c r="F408" i="6"/>
  <c r="H407" i="6"/>
  <c r="G407" i="6"/>
  <c r="J407" i="6" s="1"/>
  <c r="F407" i="6"/>
  <c r="H406" i="6"/>
  <c r="G406" i="6"/>
  <c r="F406" i="6"/>
  <c r="I405" i="6"/>
  <c r="H405" i="6"/>
  <c r="G405" i="6"/>
  <c r="J405" i="6" s="1"/>
  <c r="F405" i="6"/>
  <c r="J404" i="6"/>
  <c r="I404" i="6"/>
  <c r="H404" i="6"/>
  <c r="G404" i="6"/>
  <c r="F404" i="6"/>
  <c r="H403" i="6"/>
  <c r="G403" i="6"/>
  <c r="F403" i="6"/>
  <c r="H402" i="6"/>
  <c r="G402" i="6"/>
  <c r="J402" i="6" s="1"/>
  <c r="F402" i="6"/>
  <c r="J401" i="6"/>
  <c r="I401" i="6"/>
  <c r="H401" i="6"/>
  <c r="G401" i="6"/>
  <c r="F401" i="6"/>
  <c r="H400" i="6"/>
  <c r="G400" i="6"/>
  <c r="J400" i="6" s="1"/>
  <c r="F400" i="6"/>
  <c r="H399" i="6"/>
  <c r="G399" i="6"/>
  <c r="J399" i="6" s="1"/>
  <c r="F399" i="6"/>
  <c r="H398" i="6"/>
  <c r="G398" i="6"/>
  <c r="F398" i="6"/>
  <c r="I397" i="6"/>
  <c r="H397" i="6"/>
  <c r="G397" i="6"/>
  <c r="J397" i="6" s="1"/>
  <c r="F397" i="6"/>
  <c r="J396" i="6"/>
  <c r="I396" i="6"/>
  <c r="H396" i="6"/>
  <c r="G396" i="6"/>
  <c r="F396" i="6"/>
  <c r="H395" i="6"/>
  <c r="G395" i="6"/>
  <c r="F395" i="6"/>
  <c r="H394" i="6"/>
  <c r="G394" i="6"/>
  <c r="J394" i="6" s="1"/>
  <c r="F394" i="6"/>
  <c r="J393" i="6"/>
  <c r="I393" i="6"/>
  <c r="H393" i="6"/>
  <c r="G393" i="6"/>
  <c r="F393" i="6"/>
  <c r="H392" i="6"/>
  <c r="G392" i="6"/>
  <c r="F392" i="6"/>
  <c r="H391" i="6"/>
  <c r="G391" i="6"/>
  <c r="J391" i="6" s="1"/>
  <c r="F391" i="6"/>
  <c r="H390" i="6"/>
  <c r="G390" i="6"/>
  <c r="F390" i="6"/>
  <c r="I389" i="6"/>
  <c r="H389" i="6"/>
  <c r="G389" i="6"/>
  <c r="J389" i="6" s="1"/>
  <c r="F389" i="6"/>
  <c r="J388" i="6"/>
  <c r="I388" i="6"/>
  <c r="H388" i="6"/>
  <c r="G388" i="6"/>
  <c r="F388" i="6"/>
  <c r="H387" i="6"/>
  <c r="G387" i="6"/>
  <c r="F387" i="6"/>
  <c r="H386" i="6"/>
  <c r="G386" i="6"/>
  <c r="J386" i="6" s="1"/>
  <c r="F386" i="6"/>
  <c r="J385" i="6"/>
  <c r="I385" i="6"/>
  <c r="H385" i="6"/>
  <c r="G385" i="6"/>
  <c r="F385" i="6"/>
  <c r="H384" i="6"/>
  <c r="G384" i="6"/>
  <c r="F384" i="6"/>
  <c r="H383" i="6"/>
  <c r="G383" i="6"/>
  <c r="J383" i="6" s="1"/>
  <c r="F383" i="6"/>
  <c r="H382" i="6"/>
  <c r="G382" i="6"/>
  <c r="F382" i="6"/>
  <c r="I381" i="6"/>
  <c r="H381" i="6"/>
  <c r="G381" i="6"/>
  <c r="J381" i="6" s="1"/>
  <c r="F381" i="6"/>
  <c r="J380" i="6"/>
  <c r="I380" i="6"/>
  <c r="H380" i="6"/>
  <c r="G380" i="6"/>
  <c r="F380" i="6"/>
  <c r="H379" i="6"/>
  <c r="G379" i="6"/>
  <c r="F379" i="6"/>
  <c r="H378" i="6"/>
  <c r="G378" i="6"/>
  <c r="J378" i="6" s="1"/>
  <c r="F378" i="6"/>
  <c r="J377" i="6"/>
  <c r="I377" i="6"/>
  <c r="H377" i="6"/>
  <c r="G377" i="6"/>
  <c r="F377" i="6"/>
  <c r="H376" i="6"/>
  <c r="G376" i="6"/>
  <c r="J376" i="6" s="1"/>
  <c r="F376" i="6"/>
  <c r="H375" i="6"/>
  <c r="G375" i="6"/>
  <c r="J375" i="6" s="1"/>
  <c r="F375" i="6"/>
  <c r="H374" i="6"/>
  <c r="G374" i="6"/>
  <c r="F374" i="6"/>
  <c r="I373" i="6"/>
  <c r="H373" i="6"/>
  <c r="G373" i="6"/>
  <c r="J373" i="6" s="1"/>
  <c r="F373" i="6"/>
  <c r="J372" i="6"/>
  <c r="I372" i="6"/>
  <c r="H372" i="6"/>
  <c r="G372" i="6"/>
  <c r="F372" i="6"/>
  <c r="H371" i="6"/>
  <c r="G371" i="6"/>
  <c r="F371" i="6"/>
  <c r="H370" i="6"/>
  <c r="G370" i="6"/>
  <c r="J370" i="6" s="1"/>
  <c r="F370" i="6"/>
  <c r="J369" i="6"/>
  <c r="I369" i="6"/>
  <c r="H369" i="6"/>
  <c r="G369" i="6"/>
  <c r="F369" i="6"/>
  <c r="H368" i="6"/>
  <c r="G368" i="6"/>
  <c r="F368" i="6"/>
  <c r="H367" i="6"/>
  <c r="G367" i="6"/>
  <c r="J367" i="6" s="1"/>
  <c r="F367" i="6"/>
  <c r="H366" i="6"/>
  <c r="G366" i="6"/>
  <c r="F366" i="6"/>
  <c r="I365" i="6"/>
  <c r="H365" i="6"/>
  <c r="G365" i="6"/>
  <c r="J365" i="6" s="1"/>
  <c r="F365" i="6"/>
  <c r="J364" i="6"/>
  <c r="I364" i="6"/>
  <c r="H364" i="6"/>
  <c r="G364" i="6"/>
  <c r="F364" i="6"/>
  <c r="H363" i="6"/>
  <c r="G363" i="6"/>
  <c r="F363" i="6"/>
  <c r="H362" i="6"/>
  <c r="G362" i="6"/>
  <c r="J362" i="6" s="1"/>
  <c r="F362" i="6"/>
  <c r="J361" i="6"/>
  <c r="I361" i="6"/>
  <c r="H361" i="6"/>
  <c r="G361" i="6"/>
  <c r="F361" i="6"/>
  <c r="H360" i="6"/>
  <c r="G360" i="6"/>
  <c r="F360" i="6"/>
  <c r="H359" i="6"/>
  <c r="G359" i="6"/>
  <c r="J359" i="6" s="1"/>
  <c r="F359" i="6"/>
  <c r="I358" i="6"/>
  <c r="H358" i="6"/>
  <c r="J358" i="6" s="1"/>
  <c r="G358" i="6"/>
  <c r="F358" i="6"/>
  <c r="I357" i="6"/>
  <c r="H357" i="6"/>
  <c r="G357" i="6"/>
  <c r="F357" i="6"/>
  <c r="J356" i="6"/>
  <c r="I356" i="6"/>
  <c r="H356" i="6"/>
  <c r="G356" i="6"/>
  <c r="F356" i="6"/>
  <c r="H355" i="6"/>
  <c r="G355" i="6"/>
  <c r="F355" i="6"/>
  <c r="H354" i="6"/>
  <c r="G354" i="6"/>
  <c r="J354" i="6" s="1"/>
  <c r="F354" i="6"/>
  <c r="J353" i="6"/>
  <c r="I353" i="6"/>
  <c r="H353" i="6"/>
  <c r="G353" i="6"/>
  <c r="F353" i="6"/>
  <c r="H352" i="6"/>
  <c r="G352" i="6"/>
  <c r="F352" i="6"/>
  <c r="H351" i="6"/>
  <c r="G351" i="6"/>
  <c r="J351" i="6" s="1"/>
  <c r="F351" i="6"/>
  <c r="H350" i="6"/>
  <c r="J350" i="6" s="1"/>
  <c r="G350" i="6"/>
  <c r="F350" i="6"/>
  <c r="I349" i="6"/>
  <c r="H349" i="6"/>
  <c r="G349" i="6"/>
  <c r="F349" i="6"/>
  <c r="J348" i="6"/>
  <c r="I348" i="6"/>
  <c r="H348" i="6"/>
  <c r="G348" i="6"/>
  <c r="F348" i="6"/>
  <c r="H347" i="6"/>
  <c r="G347" i="6"/>
  <c r="F347" i="6"/>
  <c r="H346" i="6"/>
  <c r="G346" i="6"/>
  <c r="J346" i="6" s="1"/>
  <c r="F346" i="6"/>
  <c r="J345" i="6"/>
  <c r="I345" i="6"/>
  <c r="H345" i="6"/>
  <c r="G345" i="6"/>
  <c r="F345" i="6"/>
  <c r="H344" i="6"/>
  <c r="G344" i="6"/>
  <c r="F344" i="6"/>
  <c r="H343" i="6"/>
  <c r="G343" i="6"/>
  <c r="J343" i="6" s="1"/>
  <c r="F343" i="6"/>
  <c r="H342" i="6"/>
  <c r="J342" i="6" s="1"/>
  <c r="G342" i="6"/>
  <c r="F342" i="6"/>
  <c r="I341" i="6"/>
  <c r="H341" i="6"/>
  <c r="G341" i="6"/>
  <c r="J341" i="6" s="1"/>
  <c r="F341" i="6"/>
  <c r="J340" i="6"/>
  <c r="I340" i="6"/>
  <c r="H340" i="6"/>
  <c r="G340" i="6"/>
  <c r="F340" i="6"/>
  <c r="H339" i="6"/>
  <c r="G339" i="6"/>
  <c r="F339" i="6"/>
  <c r="H338" i="6"/>
  <c r="G338" i="6"/>
  <c r="J338" i="6" s="1"/>
  <c r="F338" i="6"/>
  <c r="J337" i="6"/>
  <c r="I337" i="6"/>
  <c r="H337" i="6"/>
  <c r="G337" i="6"/>
  <c r="F337" i="6"/>
  <c r="H336" i="6"/>
  <c r="G336" i="6"/>
  <c r="F336" i="6"/>
  <c r="H335" i="6"/>
  <c r="G335" i="6"/>
  <c r="F335" i="6"/>
  <c r="I334" i="6"/>
  <c r="H334" i="6"/>
  <c r="J334" i="6" s="1"/>
  <c r="G334" i="6"/>
  <c r="F334" i="6"/>
  <c r="I333" i="6"/>
  <c r="H333" i="6"/>
  <c r="G333" i="6"/>
  <c r="F333" i="6"/>
  <c r="J332" i="6"/>
  <c r="I332" i="6"/>
  <c r="H332" i="6"/>
  <c r="G332" i="6"/>
  <c r="F332" i="6"/>
  <c r="H331" i="6"/>
  <c r="G331" i="6"/>
  <c r="F331" i="6"/>
  <c r="H330" i="6"/>
  <c r="G330" i="6"/>
  <c r="F330" i="6"/>
  <c r="J329" i="6"/>
  <c r="I329" i="6"/>
  <c r="H329" i="6"/>
  <c r="G329" i="6"/>
  <c r="F329" i="6"/>
  <c r="H328" i="6"/>
  <c r="G328" i="6"/>
  <c r="I328" i="6" s="1"/>
  <c r="F328" i="6"/>
  <c r="H327" i="6"/>
  <c r="G327" i="6"/>
  <c r="F327" i="6"/>
  <c r="I326" i="6"/>
  <c r="H326" i="6"/>
  <c r="J326" i="6" s="1"/>
  <c r="G326" i="6"/>
  <c r="F326" i="6"/>
  <c r="I325" i="6"/>
  <c r="H325" i="6"/>
  <c r="G325" i="6"/>
  <c r="F325" i="6"/>
  <c r="I324" i="6"/>
  <c r="H324" i="6"/>
  <c r="G324" i="6"/>
  <c r="F324" i="6"/>
  <c r="J324" i="6" s="1"/>
  <c r="H323" i="6"/>
  <c r="G323" i="6"/>
  <c r="F323" i="6"/>
  <c r="H322" i="6"/>
  <c r="G322" i="6"/>
  <c r="F322" i="6"/>
  <c r="J321" i="6"/>
  <c r="I321" i="6"/>
  <c r="H321" i="6"/>
  <c r="G321" i="6"/>
  <c r="F321" i="6"/>
  <c r="J320" i="6"/>
  <c r="H320" i="6"/>
  <c r="G320" i="6"/>
  <c r="I320" i="6" s="1"/>
  <c r="F320" i="6"/>
  <c r="H319" i="6"/>
  <c r="G319" i="6"/>
  <c r="F319" i="6"/>
  <c r="H318" i="6"/>
  <c r="J318" i="6" s="1"/>
  <c r="G318" i="6"/>
  <c r="F318" i="6"/>
  <c r="I317" i="6"/>
  <c r="H317" i="6"/>
  <c r="G317" i="6"/>
  <c r="F317" i="6"/>
  <c r="J316" i="6"/>
  <c r="I316" i="6"/>
  <c r="H316" i="6"/>
  <c r="G316" i="6"/>
  <c r="F316" i="6"/>
  <c r="H315" i="6"/>
  <c r="G315" i="6"/>
  <c r="F315" i="6"/>
  <c r="H314" i="6"/>
  <c r="G314" i="6"/>
  <c r="J314" i="6" s="1"/>
  <c r="F314" i="6"/>
  <c r="J313" i="6"/>
  <c r="I313" i="6"/>
  <c r="H313" i="6"/>
  <c r="G313" i="6"/>
  <c r="F313" i="6"/>
  <c r="J312" i="6"/>
  <c r="H312" i="6"/>
  <c r="G312" i="6"/>
  <c r="I312" i="6" s="1"/>
  <c r="F312" i="6"/>
  <c r="H311" i="6"/>
  <c r="G311" i="6"/>
  <c r="F311" i="6"/>
  <c r="H310" i="6"/>
  <c r="J310" i="6" s="1"/>
  <c r="G310" i="6"/>
  <c r="F310" i="6"/>
  <c r="I309" i="6"/>
  <c r="H309" i="6"/>
  <c r="G309" i="6"/>
  <c r="J309" i="6" s="1"/>
  <c r="F309" i="6"/>
  <c r="J308" i="6"/>
  <c r="I308" i="6"/>
  <c r="H308" i="6"/>
  <c r="G308" i="6"/>
  <c r="F308" i="6"/>
  <c r="H307" i="6"/>
  <c r="G307" i="6"/>
  <c r="F307" i="6"/>
  <c r="H306" i="6"/>
  <c r="G306" i="6"/>
  <c r="J306" i="6" s="1"/>
  <c r="F306" i="6"/>
  <c r="J305" i="6"/>
  <c r="I305" i="6"/>
  <c r="H305" i="6"/>
  <c r="G305" i="6"/>
  <c r="F305" i="6"/>
  <c r="H304" i="6"/>
  <c r="G304" i="6"/>
  <c r="I304" i="6" s="1"/>
  <c r="F304" i="6"/>
  <c r="H303" i="6"/>
  <c r="G303" i="6"/>
  <c r="F303" i="6"/>
  <c r="H302" i="6"/>
  <c r="J302" i="6" s="1"/>
  <c r="G302" i="6"/>
  <c r="F302" i="6"/>
  <c r="I301" i="6"/>
  <c r="H301" i="6"/>
  <c r="G301" i="6"/>
  <c r="F301" i="6"/>
  <c r="I300" i="6"/>
  <c r="H300" i="6"/>
  <c r="G300" i="6"/>
  <c r="F300" i="6"/>
  <c r="J300" i="6" s="1"/>
  <c r="H299" i="6"/>
  <c r="G299" i="6"/>
  <c r="F299" i="6"/>
  <c r="H298" i="6"/>
  <c r="G298" i="6"/>
  <c r="J298" i="6" s="1"/>
  <c r="F298" i="6"/>
  <c r="J297" i="6"/>
  <c r="I297" i="6"/>
  <c r="H297" i="6"/>
  <c r="G297" i="6"/>
  <c r="F297" i="6"/>
  <c r="H296" i="6"/>
  <c r="G296" i="6"/>
  <c r="I296" i="6" s="1"/>
  <c r="F296" i="6"/>
  <c r="H295" i="6"/>
  <c r="G295" i="6"/>
  <c r="F295" i="6"/>
  <c r="I294" i="6"/>
  <c r="H294" i="6"/>
  <c r="J294" i="6" s="1"/>
  <c r="G294" i="6"/>
  <c r="F294" i="6"/>
  <c r="I293" i="6"/>
  <c r="H293" i="6"/>
  <c r="G293" i="6"/>
  <c r="F293" i="6"/>
  <c r="I292" i="6"/>
  <c r="H292" i="6"/>
  <c r="G292" i="6"/>
  <c r="F292" i="6"/>
  <c r="J292" i="6" s="1"/>
  <c r="H291" i="6"/>
  <c r="G291" i="6"/>
  <c r="F291" i="6"/>
  <c r="H290" i="6"/>
  <c r="G290" i="6"/>
  <c r="F290" i="6"/>
  <c r="J289" i="6"/>
  <c r="I289" i="6"/>
  <c r="H289" i="6"/>
  <c r="G289" i="6"/>
  <c r="F289" i="6"/>
  <c r="H288" i="6"/>
  <c r="G288" i="6"/>
  <c r="I288" i="6" s="1"/>
  <c r="F288" i="6"/>
  <c r="J288" i="6" s="1"/>
  <c r="H287" i="6"/>
  <c r="G287" i="6"/>
  <c r="F287" i="6"/>
  <c r="H286" i="6"/>
  <c r="J286" i="6" s="1"/>
  <c r="G286" i="6"/>
  <c r="F286" i="6"/>
  <c r="I285" i="6"/>
  <c r="H285" i="6"/>
  <c r="G285" i="6"/>
  <c r="F285" i="6"/>
  <c r="I284" i="6"/>
  <c r="H284" i="6"/>
  <c r="G284" i="6"/>
  <c r="F284" i="6"/>
  <c r="J284" i="6" s="1"/>
  <c r="H283" i="6"/>
  <c r="G283" i="6"/>
  <c r="F283" i="6"/>
  <c r="H282" i="6"/>
  <c r="G282" i="6"/>
  <c r="J282" i="6" s="1"/>
  <c r="F282" i="6"/>
  <c r="J281" i="6"/>
  <c r="I281" i="6"/>
  <c r="H281" i="6"/>
  <c r="G281" i="6"/>
  <c r="F281" i="6"/>
  <c r="H280" i="6"/>
  <c r="G280" i="6"/>
  <c r="I280" i="6" s="1"/>
  <c r="F280" i="6"/>
  <c r="J280" i="6" s="1"/>
  <c r="H279" i="6"/>
  <c r="G279" i="6"/>
  <c r="F279" i="6"/>
  <c r="I278" i="6"/>
  <c r="H278" i="6"/>
  <c r="J278" i="6" s="1"/>
  <c r="G278" i="6"/>
  <c r="F278" i="6"/>
  <c r="I277" i="6"/>
  <c r="H277" i="6"/>
  <c r="G277" i="6"/>
  <c r="J277" i="6" s="1"/>
  <c r="F277" i="6"/>
  <c r="J276" i="6"/>
  <c r="I276" i="6"/>
  <c r="H276" i="6"/>
  <c r="G276" i="6"/>
  <c r="F276" i="6"/>
  <c r="H275" i="6"/>
  <c r="G275" i="6"/>
  <c r="F275" i="6"/>
  <c r="H274" i="6"/>
  <c r="G274" i="6"/>
  <c r="F274" i="6"/>
  <c r="J273" i="6"/>
  <c r="I273" i="6"/>
  <c r="H273" i="6"/>
  <c r="G273" i="6"/>
  <c r="F273" i="6"/>
  <c r="J272" i="6"/>
  <c r="H272" i="6"/>
  <c r="G272" i="6"/>
  <c r="I272" i="6" s="1"/>
  <c r="F272" i="6"/>
  <c r="H271" i="6"/>
  <c r="G271" i="6"/>
  <c r="F271" i="6"/>
  <c r="H270" i="6"/>
  <c r="J270" i="6" s="1"/>
  <c r="G270" i="6"/>
  <c r="F270" i="6"/>
  <c r="I269" i="6"/>
  <c r="H269" i="6"/>
  <c r="G269" i="6"/>
  <c r="F269" i="6"/>
  <c r="J268" i="6"/>
  <c r="I268" i="6"/>
  <c r="H268" i="6"/>
  <c r="G268" i="6"/>
  <c r="F268" i="6"/>
  <c r="H267" i="6"/>
  <c r="G267" i="6"/>
  <c r="F267" i="6"/>
  <c r="H266" i="6"/>
  <c r="G266" i="6"/>
  <c r="J266" i="6" s="1"/>
  <c r="F266" i="6"/>
  <c r="J265" i="6"/>
  <c r="I265" i="6"/>
  <c r="H265" i="6"/>
  <c r="G265" i="6"/>
  <c r="F265" i="6"/>
  <c r="H264" i="6"/>
  <c r="G264" i="6"/>
  <c r="I264" i="6" s="1"/>
  <c r="F264" i="6"/>
  <c r="H263" i="6"/>
  <c r="G263" i="6"/>
  <c r="F263" i="6"/>
  <c r="I262" i="6"/>
  <c r="H262" i="6"/>
  <c r="J262" i="6" s="1"/>
  <c r="G262" i="6"/>
  <c r="F262" i="6"/>
  <c r="I261" i="6"/>
  <c r="H261" i="6"/>
  <c r="G261" i="6"/>
  <c r="F261" i="6"/>
  <c r="J260" i="6"/>
  <c r="I260" i="6"/>
  <c r="H260" i="6"/>
  <c r="G260" i="6"/>
  <c r="F260" i="6"/>
  <c r="H259" i="6"/>
  <c r="G259" i="6"/>
  <c r="F259" i="6"/>
  <c r="H258" i="6"/>
  <c r="G258" i="6"/>
  <c r="F258" i="6"/>
  <c r="J257" i="6"/>
  <c r="I257" i="6"/>
  <c r="H257" i="6"/>
  <c r="G257" i="6"/>
  <c r="F257" i="6"/>
  <c r="H256" i="6"/>
  <c r="G256" i="6"/>
  <c r="I256" i="6" s="1"/>
  <c r="F256" i="6"/>
  <c r="H255" i="6"/>
  <c r="G255" i="6"/>
  <c r="F255" i="6"/>
  <c r="H254" i="6"/>
  <c r="J254" i="6" s="1"/>
  <c r="G254" i="6"/>
  <c r="F254" i="6"/>
  <c r="I253" i="6"/>
  <c r="H253" i="6"/>
  <c r="G253" i="6"/>
  <c r="F253" i="6"/>
  <c r="J252" i="6"/>
  <c r="I252" i="6"/>
  <c r="H252" i="6"/>
  <c r="G252" i="6"/>
  <c r="F252" i="6"/>
  <c r="I251" i="6"/>
  <c r="H251" i="6"/>
  <c r="G251" i="6"/>
  <c r="J251" i="6" s="1"/>
  <c r="F251" i="6"/>
  <c r="H250" i="6"/>
  <c r="G250" i="6"/>
  <c r="F250" i="6"/>
  <c r="J249" i="6"/>
  <c r="I249" i="6"/>
  <c r="H249" i="6"/>
  <c r="G249" i="6"/>
  <c r="F249" i="6"/>
  <c r="H248" i="6"/>
  <c r="G248" i="6"/>
  <c r="I248" i="6" s="1"/>
  <c r="F248" i="6"/>
  <c r="H247" i="6"/>
  <c r="G247" i="6"/>
  <c r="F247" i="6"/>
  <c r="J246" i="6"/>
  <c r="I246" i="6"/>
  <c r="H246" i="6"/>
  <c r="G246" i="6"/>
  <c r="F246" i="6"/>
  <c r="H245" i="6"/>
  <c r="G245" i="6"/>
  <c r="F245" i="6"/>
  <c r="J244" i="6"/>
  <c r="I244" i="6"/>
  <c r="H244" i="6"/>
  <c r="G244" i="6"/>
  <c r="F244" i="6"/>
  <c r="H243" i="6"/>
  <c r="G243" i="6"/>
  <c r="J243" i="6" s="1"/>
  <c r="F243" i="6"/>
  <c r="H242" i="6"/>
  <c r="G242" i="6"/>
  <c r="J242" i="6" s="1"/>
  <c r="F242" i="6"/>
  <c r="J241" i="6"/>
  <c r="I241" i="6"/>
  <c r="H241" i="6"/>
  <c r="G241" i="6"/>
  <c r="F241" i="6"/>
  <c r="H240" i="6"/>
  <c r="G240" i="6"/>
  <c r="F240" i="6"/>
  <c r="H239" i="6"/>
  <c r="G239" i="6"/>
  <c r="F239" i="6"/>
  <c r="H238" i="6"/>
  <c r="J238" i="6" s="1"/>
  <c r="G238" i="6"/>
  <c r="F238" i="6"/>
  <c r="H237" i="6"/>
  <c r="G237" i="6"/>
  <c r="F237" i="6"/>
  <c r="J236" i="6"/>
  <c r="I236" i="6"/>
  <c r="H236" i="6"/>
  <c r="G236" i="6"/>
  <c r="F236" i="6"/>
  <c r="H235" i="6"/>
  <c r="G235" i="6"/>
  <c r="J235" i="6" s="1"/>
  <c r="F235" i="6"/>
  <c r="H234" i="6"/>
  <c r="G234" i="6"/>
  <c r="F234" i="6"/>
  <c r="J233" i="6"/>
  <c r="I233" i="6"/>
  <c r="H233" i="6"/>
  <c r="G233" i="6"/>
  <c r="F233" i="6"/>
  <c r="J232" i="6"/>
  <c r="H232" i="6"/>
  <c r="G232" i="6"/>
  <c r="I232" i="6" s="1"/>
  <c r="F232" i="6"/>
  <c r="H231" i="6"/>
  <c r="G231" i="6"/>
  <c r="F231" i="6"/>
  <c r="I230" i="6"/>
  <c r="H230" i="6"/>
  <c r="J230" i="6" s="1"/>
  <c r="G230" i="6"/>
  <c r="F230" i="6"/>
  <c r="H229" i="6"/>
  <c r="G229" i="6"/>
  <c r="J229" i="6" s="1"/>
  <c r="F229" i="6"/>
  <c r="J228" i="6"/>
  <c r="I228" i="6"/>
  <c r="H228" i="6"/>
  <c r="G228" i="6"/>
  <c r="F228" i="6"/>
  <c r="H227" i="6"/>
  <c r="I227" i="6" s="1"/>
  <c r="G227" i="6"/>
  <c r="F227" i="6"/>
  <c r="H226" i="6"/>
  <c r="G226" i="6"/>
  <c r="F226" i="6"/>
  <c r="J225" i="6"/>
  <c r="I225" i="6"/>
  <c r="H225" i="6"/>
  <c r="G225" i="6"/>
  <c r="F225" i="6"/>
  <c r="J224" i="6"/>
  <c r="H224" i="6"/>
  <c r="G224" i="6"/>
  <c r="F224" i="6"/>
  <c r="H223" i="6"/>
  <c r="G223" i="6"/>
  <c r="F223" i="6"/>
  <c r="J222" i="6"/>
  <c r="H222" i="6"/>
  <c r="I222" i="6" s="1"/>
  <c r="G222" i="6"/>
  <c r="F222" i="6"/>
  <c r="I221" i="6"/>
  <c r="H221" i="6"/>
  <c r="G221" i="6"/>
  <c r="F221" i="6"/>
  <c r="I220" i="6"/>
  <c r="H220" i="6"/>
  <c r="G220" i="6"/>
  <c r="F220" i="6"/>
  <c r="J220" i="6" s="1"/>
  <c r="H219" i="6"/>
  <c r="G219" i="6"/>
  <c r="J219" i="6" s="1"/>
  <c r="F219" i="6"/>
  <c r="H218" i="6"/>
  <c r="G218" i="6"/>
  <c r="F218" i="6"/>
  <c r="J217" i="6"/>
  <c r="I217" i="6"/>
  <c r="H217" i="6"/>
  <c r="G217" i="6"/>
  <c r="F217" i="6"/>
  <c r="H216" i="6"/>
  <c r="G216" i="6"/>
  <c r="I216" i="6" s="1"/>
  <c r="F216" i="6"/>
  <c r="J216" i="6" s="1"/>
  <c r="H215" i="6"/>
  <c r="G215" i="6"/>
  <c r="F215" i="6"/>
  <c r="J214" i="6"/>
  <c r="I214" i="6"/>
  <c r="H214" i="6"/>
  <c r="G214" i="6"/>
  <c r="F214" i="6"/>
  <c r="H213" i="6"/>
  <c r="G213" i="6"/>
  <c r="J213" i="6" s="1"/>
  <c r="F213" i="6"/>
  <c r="I212" i="6"/>
  <c r="H212" i="6"/>
  <c r="G212" i="6"/>
  <c r="F212" i="6"/>
  <c r="J212" i="6" s="1"/>
  <c r="H211" i="6"/>
  <c r="G211" i="6"/>
  <c r="F211" i="6"/>
  <c r="H210" i="6"/>
  <c r="G210" i="6"/>
  <c r="F210" i="6"/>
  <c r="J209" i="6"/>
  <c r="I209" i="6"/>
  <c r="H209" i="6"/>
  <c r="G209" i="6"/>
  <c r="F209" i="6"/>
  <c r="H208" i="6"/>
  <c r="G208" i="6"/>
  <c r="I208" i="6" s="1"/>
  <c r="F208" i="6"/>
  <c r="H207" i="6"/>
  <c r="G207" i="6"/>
  <c r="F207" i="6"/>
  <c r="H206" i="6"/>
  <c r="J206" i="6" s="1"/>
  <c r="G206" i="6"/>
  <c r="F206" i="6"/>
  <c r="H205" i="6"/>
  <c r="G205" i="6"/>
  <c r="J205" i="6" s="1"/>
  <c r="F205" i="6"/>
  <c r="I204" i="6"/>
  <c r="H204" i="6"/>
  <c r="G204" i="6"/>
  <c r="F204" i="6"/>
  <c r="J204" i="6" s="1"/>
  <c r="I203" i="6"/>
  <c r="H203" i="6"/>
  <c r="G203" i="6"/>
  <c r="F203" i="6"/>
  <c r="H202" i="6"/>
  <c r="G202" i="6"/>
  <c r="F202" i="6"/>
  <c r="J201" i="6"/>
  <c r="I201" i="6"/>
  <c r="H201" i="6"/>
  <c r="G201" i="6"/>
  <c r="F201" i="6"/>
  <c r="H200" i="6"/>
  <c r="G200" i="6"/>
  <c r="I200" i="6" s="1"/>
  <c r="F200" i="6"/>
  <c r="H199" i="6"/>
  <c r="G199" i="6"/>
  <c r="F199" i="6"/>
  <c r="H198" i="6"/>
  <c r="J198" i="6" s="1"/>
  <c r="G198" i="6"/>
  <c r="F198" i="6"/>
  <c r="I197" i="6"/>
  <c r="H197" i="6"/>
  <c r="G197" i="6"/>
  <c r="J197" i="6" s="1"/>
  <c r="F197" i="6"/>
  <c r="I196" i="6"/>
  <c r="H196" i="6"/>
  <c r="G196" i="6"/>
  <c r="F196" i="6"/>
  <c r="J196" i="6" s="1"/>
  <c r="I195" i="6"/>
  <c r="H195" i="6"/>
  <c r="G195" i="6"/>
  <c r="F195" i="6"/>
  <c r="H194" i="6"/>
  <c r="G194" i="6"/>
  <c r="J194" i="6" s="1"/>
  <c r="F194" i="6"/>
  <c r="J193" i="6"/>
  <c r="I193" i="6"/>
  <c r="H193" i="6"/>
  <c r="G193" i="6"/>
  <c r="F193" i="6"/>
  <c r="H192" i="6"/>
  <c r="J192" i="6" s="1"/>
  <c r="G192" i="6"/>
  <c r="F192" i="6"/>
  <c r="H191" i="6"/>
  <c r="G191" i="6"/>
  <c r="F191" i="6"/>
  <c r="H190" i="6"/>
  <c r="J190" i="6" s="1"/>
  <c r="G190" i="6"/>
  <c r="F190" i="6"/>
  <c r="I189" i="6"/>
  <c r="H189" i="6"/>
  <c r="G189" i="6"/>
  <c r="F189" i="6"/>
  <c r="J188" i="6"/>
  <c r="I188" i="6"/>
  <c r="H188" i="6"/>
  <c r="G188" i="6"/>
  <c r="F188" i="6"/>
  <c r="I187" i="6"/>
  <c r="H187" i="6"/>
  <c r="G187" i="6"/>
  <c r="J187" i="6" s="1"/>
  <c r="F187" i="6"/>
  <c r="H186" i="6"/>
  <c r="G186" i="6"/>
  <c r="F186" i="6"/>
  <c r="J185" i="6"/>
  <c r="I185" i="6"/>
  <c r="H185" i="6"/>
  <c r="G185" i="6"/>
  <c r="F185" i="6"/>
  <c r="H184" i="6"/>
  <c r="G184" i="6"/>
  <c r="I184" i="6" s="1"/>
  <c r="F184" i="6"/>
  <c r="H183" i="6"/>
  <c r="G183" i="6"/>
  <c r="F183" i="6"/>
  <c r="J182" i="6"/>
  <c r="I182" i="6"/>
  <c r="H182" i="6"/>
  <c r="G182" i="6"/>
  <c r="F182" i="6"/>
  <c r="I181" i="6"/>
  <c r="H181" i="6"/>
  <c r="G181" i="6"/>
  <c r="F181" i="6"/>
  <c r="J180" i="6"/>
  <c r="I180" i="6"/>
  <c r="H180" i="6"/>
  <c r="G180" i="6"/>
  <c r="F180" i="6"/>
  <c r="H179" i="6"/>
  <c r="G179" i="6"/>
  <c r="F179" i="6"/>
  <c r="H178" i="6"/>
  <c r="G178" i="6"/>
  <c r="J178" i="6" s="1"/>
  <c r="F178" i="6"/>
  <c r="H177" i="6"/>
  <c r="J177" i="6" s="1"/>
  <c r="G177" i="6"/>
  <c r="F177" i="6"/>
  <c r="H176" i="6"/>
  <c r="G176" i="6"/>
  <c r="F176" i="6"/>
  <c r="H175" i="6"/>
  <c r="G175" i="6"/>
  <c r="I175" i="6" s="1"/>
  <c r="F175" i="6"/>
  <c r="I174" i="6"/>
  <c r="H174" i="6"/>
  <c r="G174" i="6"/>
  <c r="J174" i="6" s="1"/>
  <c r="F174" i="6"/>
  <c r="H173" i="6"/>
  <c r="G173" i="6"/>
  <c r="J173" i="6" s="1"/>
  <c r="F173" i="6"/>
  <c r="J172" i="6"/>
  <c r="I172" i="6"/>
  <c r="H172" i="6"/>
  <c r="G172" i="6"/>
  <c r="F172" i="6"/>
  <c r="H171" i="6"/>
  <c r="G171" i="6"/>
  <c r="I171" i="6" s="1"/>
  <c r="F171" i="6"/>
  <c r="H170" i="6"/>
  <c r="G170" i="6"/>
  <c r="F170" i="6"/>
  <c r="J169" i="6"/>
  <c r="I169" i="6"/>
  <c r="H169" i="6"/>
  <c r="G169" i="6"/>
  <c r="F169" i="6"/>
  <c r="H168" i="6"/>
  <c r="G168" i="6"/>
  <c r="J168" i="6" s="1"/>
  <c r="F168" i="6"/>
  <c r="H167" i="6"/>
  <c r="G167" i="6"/>
  <c r="I167" i="6" s="1"/>
  <c r="F167" i="6"/>
  <c r="H166" i="6"/>
  <c r="G166" i="6"/>
  <c r="J166" i="6" s="1"/>
  <c r="F166" i="6"/>
  <c r="I165" i="6"/>
  <c r="H165" i="6"/>
  <c r="G165" i="6"/>
  <c r="F165" i="6"/>
  <c r="I164" i="6"/>
  <c r="H164" i="6"/>
  <c r="G164" i="6"/>
  <c r="F164" i="6"/>
  <c r="J164" i="6" s="1"/>
  <c r="I163" i="6"/>
  <c r="H163" i="6"/>
  <c r="G163" i="6"/>
  <c r="F163" i="6"/>
  <c r="J163" i="6" s="1"/>
  <c r="H162" i="6"/>
  <c r="G162" i="6"/>
  <c r="F162" i="6"/>
  <c r="J161" i="6"/>
  <c r="I161" i="6"/>
  <c r="H161" i="6"/>
  <c r="G161" i="6"/>
  <c r="F161" i="6"/>
  <c r="H160" i="6"/>
  <c r="J160" i="6" s="1"/>
  <c r="G160" i="6"/>
  <c r="I160" i="6" s="1"/>
  <c r="F160" i="6"/>
  <c r="H159" i="6"/>
  <c r="G159" i="6"/>
  <c r="I159" i="6" s="1"/>
  <c r="F159" i="6"/>
  <c r="I158" i="6"/>
  <c r="H158" i="6"/>
  <c r="G158" i="6"/>
  <c r="J158" i="6" s="1"/>
  <c r="F158" i="6"/>
  <c r="H157" i="6"/>
  <c r="G157" i="6"/>
  <c r="J157" i="6" s="1"/>
  <c r="F157" i="6"/>
  <c r="J156" i="6"/>
  <c r="I156" i="6"/>
  <c r="H156" i="6"/>
  <c r="G156" i="6"/>
  <c r="F156" i="6"/>
  <c r="H155" i="6"/>
  <c r="G155" i="6"/>
  <c r="I155" i="6" s="1"/>
  <c r="F155" i="6"/>
  <c r="H154" i="6"/>
  <c r="G154" i="6"/>
  <c r="F154" i="6"/>
  <c r="J153" i="6"/>
  <c r="I153" i="6"/>
  <c r="H153" i="6"/>
  <c r="G153" i="6"/>
  <c r="F153" i="6"/>
  <c r="H152" i="6"/>
  <c r="G152" i="6"/>
  <c r="J152" i="6" s="1"/>
  <c r="F152" i="6"/>
  <c r="H151" i="6"/>
  <c r="G151" i="6"/>
  <c r="I151" i="6" s="1"/>
  <c r="F151" i="6"/>
  <c r="H150" i="6"/>
  <c r="G150" i="6"/>
  <c r="J150" i="6" s="1"/>
  <c r="F150" i="6"/>
  <c r="I149" i="6"/>
  <c r="H149" i="6"/>
  <c r="G149" i="6"/>
  <c r="F149" i="6"/>
  <c r="I148" i="6"/>
  <c r="H148" i="6"/>
  <c r="G148" i="6"/>
  <c r="F148" i="6"/>
  <c r="J148" i="6" s="1"/>
  <c r="I147" i="6"/>
  <c r="H147" i="6"/>
  <c r="G147" i="6"/>
  <c r="F147" i="6"/>
  <c r="J147" i="6" s="1"/>
  <c r="H146" i="6"/>
  <c r="G146" i="6"/>
  <c r="F146" i="6"/>
  <c r="J145" i="6"/>
  <c r="I145" i="6"/>
  <c r="H145" i="6"/>
  <c r="G145" i="6"/>
  <c r="F145" i="6"/>
  <c r="H144" i="6"/>
  <c r="J144" i="6" s="1"/>
  <c r="G144" i="6"/>
  <c r="I144" i="6" s="1"/>
  <c r="F144" i="6"/>
  <c r="H143" i="6"/>
  <c r="G143" i="6"/>
  <c r="I143" i="6" s="1"/>
  <c r="F143" i="6"/>
  <c r="I142" i="6"/>
  <c r="H142" i="6"/>
  <c r="G142" i="6"/>
  <c r="J142" i="6" s="1"/>
  <c r="F142" i="6"/>
  <c r="H141" i="6"/>
  <c r="G141" i="6"/>
  <c r="J141" i="6" s="1"/>
  <c r="F141" i="6"/>
  <c r="J140" i="6"/>
  <c r="I140" i="6"/>
  <c r="H140" i="6"/>
  <c r="G140" i="6"/>
  <c r="F140" i="6"/>
  <c r="H139" i="6"/>
  <c r="G139" i="6"/>
  <c r="I139" i="6" s="1"/>
  <c r="F139" i="6"/>
  <c r="H138" i="6"/>
  <c r="G138" i="6"/>
  <c r="F138" i="6"/>
  <c r="J137" i="6"/>
  <c r="I137" i="6"/>
  <c r="H137" i="6"/>
  <c r="G137" i="6"/>
  <c r="F137" i="6"/>
  <c r="H136" i="6"/>
  <c r="G136" i="6"/>
  <c r="J136" i="6" s="1"/>
  <c r="F136" i="6"/>
  <c r="H135" i="6"/>
  <c r="G135" i="6"/>
  <c r="I135" i="6" s="1"/>
  <c r="F135" i="6"/>
  <c r="H134" i="6"/>
  <c r="G134" i="6"/>
  <c r="J134" i="6" s="1"/>
  <c r="F134" i="6"/>
  <c r="I133" i="6"/>
  <c r="H133" i="6"/>
  <c r="G133" i="6"/>
  <c r="F133" i="6"/>
  <c r="I132" i="6"/>
  <c r="H132" i="6"/>
  <c r="G132" i="6"/>
  <c r="F132" i="6"/>
  <c r="J132" i="6" s="1"/>
  <c r="I131" i="6"/>
  <c r="H131" i="6"/>
  <c r="G131" i="6"/>
  <c r="F131" i="6"/>
  <c r="J131" i="6" s="1"/>
  <c r="H130" i="6"/>
  <c r="G130" i="6"/>
  <c r="F130" i="6"/>
  <c r="I129" i="6"/>
  <c r="H129" i="6"/>
  <c r="G129" i="6"/>
  <c r="F129" i="6"/>
  <c r="J129" i="6" s="1"/>
  <c r="H128" i="6"/>
  <c r="J128" i="6" s="1"/>
  <c r="G128" i="6"/>
  <c r="I128" i="6" s="1"/>
  <c r="F128" i="6"/>
  <c r="H127" i="6"/>
  <c r="G127" i="6"/>
  <c r="I127" i="6" s="1"/>
  <c r="F127" i="6"/>
  <c r="I126" i="6"/>
  <c r="H126" i="6"/>
  <c r="G126" i="6"/>
  <c r="J126" i="6" s="1"/>
  <c r="F126" i="6"/>
  <c r="H125" i="6"/>
  <c r="I125" i="6" s="1"/>
  <c r="G125" i="6"/>
  <c r="J125" i="6" s="1"/>
  <c r="F125" i="6"/>
  <c r="I124" i="6"/>
  <c r="H124" i="6"/>
  <c r="G124" i="6"/>
  <c r="F124" i="6"/>
  <c r="J124" i="6" s="1"/>
  <c r="H123" i="6"/>
  <c r="J123" i="6" s="1"/>
  <c r="G123" i="6"/>
  <c r="I123" i="6" s="1"/>
  <c r="F123" i="6"/>
  <c r="H122" i="6"/>
  <c r="G122" i="6"/>
  <c r="F122" i="6"/>
  <c r="I121" i="6"/>
  <c r="H121" i="6"/>
  <c r="J121" i="6" s="1"/>
  <c r="G121" i="6"/>
  <c r="F121" i="6"/>
  <c r="H120" i="6"/>
  <c r="J120" i="6" s="1"/>
  <c r="G120" i="6"/>
  <c r="F120" i="6"/>
  <c r="J119" i="6"/>
  <c r="H119" i="6"/>
  <c r="G119" i="6"/>
  <c r="F119" i="6"/>
  <c r="H118" i="6"/>
  <c r="G118" i="6"/>
  <c r="I118" i="6" s="1"/>
  <c r="F118" i="6"/>
  <c r="H117" i="6"/>
  <c r="G117" i="6"/>
  <c r="J117" i="6" s="1"/>
  <c r="F117" i="6"/>
  <c r="I116" i="6"/>
  <c r="H116" i="6"/>
  <c r="G116" i="6"/>
  <c r="J116" i="6" s="1"/>
  <c r="F116" i="6"/>
  <c r="H115" i="6"/>
  <c r="J115" i="6" s="1"/>
  <c r="G115" i="6"/>
  <c r="F115" i="6"/>
  <c r="I114" i="6"/>
  <c r="H114" i="6"/>
  <c r="G114" i="6"/>
  <c r="F114" i="6"/>
  <c r="J113" i="6"/>
  <c r="I113" i="6"/>
  <c r="H113" i="6"/>
  <c r="G113" i="6"/>
  <c r="F113" i="6"/>
  <c r="H112" i="6"/>
  <c r="G112" i="6"/>
  <c r="J112" i="6" s="1"/>
  <c r="F112" i="6"/>
  <c r="I111" i="6"/>
  <c r="H111" i="6"/>
  <c r="G111" i="6"/>
  <c r="J111" i="6" s="1"/>
  <c r="F111" i="6"/>
  <c r="I110" i="6"/>
  <c r="H110" i="6"/>
  <c r="G110" i="6"/>
  <c r="J110" i="6" s="1"/>
  <c r="F110" i="6"/>
  <c r="I109" i="6"/>
  <c r="H109" i="6"/>
  <c r="G109" i="6"/>
  <c r="F109" i="6"/>
  <c r="J109" i="6" s="1"/>
  <c r="H108" i="6"/>
  <c r="J108" i="6" s="1"/>
  <c r="G108" i="6"/>
  <c r="I108" i="6" s="1"/>
  <c r="F108" i="6"/>
  <c r="H107" i="6"/>
  <c r="G107" i="6"/>
  <c r="J107" i="6" s="1"/>
  <c r="F107" i="6"/>
  <c r="J106" i="6"/>
  <c r="I106" i="6"/>
  <c r="H106" i="6"/>
  <c r="G106" i="6"/>
  <c r="F106" i="6"/>
  <c r="H105" i="6"/>
  <c r="G105" i="6"/>
  <c r="I105" i="6" s="1"/>
  <c r="F105" i="6"/>
  <c r="H104" i="6"/>
  <c r="G104" i="6"/>
  <c r="J104" i="6" s="1"/>
  <c r="F104" i="6"/>
  <c r="I103" i="6"/>
  <c r="H103" i="6"/>
  <c r="G103" i="6"/>
  <c r="J103" i="6" s="1"/>
  <c r="F103" i="6"/>
  <c r="I102" i="6"/>
  <c r="H102" i="6"/>
  <c r="G102" i="6"/>
  <c r="J102" i="6" s="1"/>
  <c r="F102" i="6"/>
  <c r="I101" i="6"/>
  <c r="H101" i="6"/>
  <c r="G101" i="6"/>
  <c r="F101" i="6"/>
  <c r="J101" i="6" s="1"/>
  <c r="H100" i="6"/>
  <c r="J100" i="6" s="1"/>
  <c r="G100" i="6"/>
  <c r="I100" i="6" s="1"/>
  <c r="F100" i="6"/>
  <c r="H99" i="6"/>
  <c r="G99" i="6"/>
  <c r="J99" i="6" s="1"/>
  <c r="F99" i="6"/>
  <c r="J98" i="6"/>
  <c r="I98" i="6"/>
  <c r="H98" i="6"/>
  <c r="G98" i="6"/>
  <c r="F98" i="6"/>
  <c r="H97" i="6"/>
  <c r="G97" i="6"/>
  <c r="I97" i="6" s="1"/>
  <c r="F97" i="6"/>
  <c r="H96" i="6"/>
  <c r="G96" i="6"/>
  <c r="J96" i="6" s="1"/>
  <c r="F96" i="6"/>
  <c r="I95" i="6"/>
  <c r="H95" i="6"/>
  <c r="G95" i="6"/>
  <c r="J95" i="6" s="1"/>
  <c r="F95" i="6"/>
  <c r="I94" i="6"/>
  <c r="H94" i="6"/>
  <c r="G94" i="6"/>
  <c r="J94" i="6" s="1"/>
  <c r="F94" i="6"/>
  <c r="I93" i="6"/>
  <c r="H93" i="6"/>
  <c r="G93" i="6"/>
  <c r="F93" i="6"/>
  <c r="J93" i="6" s="1"/>
  <c r="H92" i="6"/>
  <c r="J92" i="6" s="1"/>
  <c r="G92" i="6"/>
  <c r="I92" i="6" s="1"/>
  <c r="F92" i="6"/>
  <c r="H91" i="6"/>
  <c r="G91" i="6"/>
  <c r="J91" i="6" s="1"/>
  <c r="F91" i="6"/>
  <c r="J90" i="6"/>
  <c r="I90" i="6"/>
  <c r="H90" i="6"/>
  <c r="G90" i="6"/>
  <c r="F90" i="6"/>
  <c r="H89" i="6"/>
  <c r="G89" i="6"/>
  <c r="I89" i="6" s="1"/>
  <c r="F89" i="6"/>
  <c r="H88" i="6"/>
  <c r="G88" i="6"/>
  <c r="J88" i="6" s="1"/>
  <c r="F88" i="6"/>
  <c r="I87" i="6"/>
  <c r="H87" i="6"/>
  <c r="G87" i="6"/>
  <c r="J87" i="6" s="1"/>
  <c r="F87" i="6"/>
  <c r="I86" i="6"/>
  <c r="H86" i="6"/>
  <c r="G86" i="6"/>
  <c r="J86" i="6" s="1"/>
  <c r="F86" i="6"/>
  <c r="I85" i="6"/>
  <c r="H85" i="6"/>
  <c r="G85" i="6"/>
  <c r="F85" i="6"/>
  <c r="J85" i="6" s="1"/>
  <c r="H84" i="6"/>
  <c r="J84" i="6" s="1"/>
  <c r="G84" i="6"/>
  <c r="I84" i="6" s="1"/>
  <c r="F84" i="6"/>
  <c r="H83" i="6"/>
  <c r="G83" i="6"/>
  <c r="J83" i="6" s="1"/>
  <c r="F83" i="6"/>
  <c r="J82" i="6"/>
  <c r="H82" i="6"/>
  <c r="I82" i="6" s="1"/>
  <c r="G82" i="6"/>
  <c r="F82" i="6"/>
  <c r="H81" i="6"/>
  <c r="G81" i="6"/>
  <c r="I81" i="6" s="1"/>
  <c r="F81" i="6"/>
  <c r="J80" i="6"/>
  <c r="H80" i="6"/>
  <c r="G80" i="6"/>
  <c r="I80" i="6" s="1"/>
  <c r="F80" i="6"/>
  <c r="I79" i="6"/>
  <c r="H79" i="6"/>
  <c r="G79" i="6"/>
  <c r="J79" i="6" s="1"/>
  <c r="F79" i="6"/>
  <c r="I78" i="6"/>
  <c r="H78" i="6"/>
  <c r="G78" i="6"/>
  <c r="J78" i="6" s="1"/>
  <c r="F78" i="6"/>
  <c r="I77" i="6"/>
  <c r="H77" i="6"/>
  <c r="G77" i="6"/>
  <c r="F77" i="6"/>
  <c r="J77" i="6" s="1"/>
  <c r="H76" i="6"/>
  <c r="J76" i="6" s="1"/>
  <c r="G76" i="6"/>
  <c r="I76" i="6" s="1"/>
  <c r="F76" i="6"/>
  <c r="H75" i="6"/>
  <c r="G75" i="6"/>
  <c r="J75" i="6" s="1"/>
  <c r="F75" i="6"/>
  <c r="J74" i="6"/>
  <c r="H74" i="6"/>
  <c r="I74" i="6" s="1"/>
  <c r="G74" i="6"/>
  <c r="F74" i="6"/>
  <c r="H73" i="6"/>
  <c r="G73" i="6"/>
  <c r="I73" i="6" s="1"/>
  <c r="F73" i="6"/>
  <c r="J72" i="6"/>
  <c r="H72" i="6"/>
  <c r="G72" i="6"/>
  <c r="I72" i="6" s="1"/>
  <c r="F72" i="6"/>
  <c r="I71" i="6"/>
  <c r="H71" i="6"/>
  <c r="G71" i="6"/>
  <c r="F71" i="6"/>
  <c r="I70" i="6"/>
  <c r="H70" i="6"/>
  <c r="G70" i="6"/>
  <c r="J70" i="6" s="1"/>
  <c r="F70" i="6"/>
  <c r="E20" i="8" s="1"/>
  <c r="I69" i="6"/>
  <c r="H69" i="6"/>
  <c r="G69" i="6"/>
  <c r="F69" i="6"/>
  <c r="H68" i="6"/>
  <c r="D18" i="8" s="1"/>
  <c r="G68" i="6"/>
  <c r="F68" i="6"/>
  <c r="E18" i="8" s="1"/>
  <c r="J67" i="6"/>
  <c r="H67" i="6"/>
  <c r="G67" i="6"/>
  <c r="I67" i="6" s="1"/>
  <c r="F67" i="6"/>
  <c r="J66" i="6"/>
  <c r="H66" i="6"/>
  <c r="D16" i="8" s="1"/>
  <c r="G66" i="6"/>
  <c r="F66" i="6"/>
  <c r="H65" i="6"/>
  <c r="G65" i="6"/>
  <c r="I65" i="6" s="1"/>
  <c r="F65" i="6"/>
  <c r="J64" i="6"/>
  <c r="I64" i="6"/>
  <c r="H64" i="6"/>
  <c r="G64" i="6"/>
  <c r="F64" i="6"/>
  <c r="H63" i="6"/>
  <c r="G63" i="6"/>
  <c r="I63" i="6" s="1"/>
  <c r="F63" i="6"/>
  <c r="E15" i="8" s="1"/>
  <c r="I62" i="6"/>
  <c r="H62" i="6"/>
  <c r="G62" i="6"/>
  <c r="J62" i="6" s="1"/>
  <c r="F62" i="6"/>
  <c r="E14" i="8" s="1"/>
  <c r="I61" i="6"/>
  <c r="H61" i="6"/>
  <c r="J61" i="6" s="1"/>
  <c r="G61" i="6"/>
  <c r="F61" i="6"/>
  <c r="H60" i="6"/>
  <c r="G60" i="6"/>
  <c r="J60" i="6" s="1"/>
  <c r="F60" i="6"/>
  <c r="J59" i="6"/>
  <c r="H59" i="6"/>
  <c r="G59" i="6"/>
  <c r="I59" i="6" s="1"/>
  <c r="F59" i="6"/>
  <c r="H58" i="6"/>
  <c r="G58" i="6"/>
  <c r="I58" i="6" s="1"/>
  <c r="F58" i="6"/>
  <c r="H57" i="6"/>
  <c r="G57" i="6"/>
  <c r="I57" i="6" s="1"/>
  <c r="F57" i="6"/>
  <c r="J56" i="6"/>
  <c r="I56" i="6"/>
  <c r="H56" i="6"/>
  <c r="G56" i="6"/>
  <c r="F56" i="6"/>
  <c r="H55" i="6"/>
  <c r="G55" i="6"/>
  <c r="J55" i="6" s="1"/>
  <c r="F55" i="6"/>
  <c r="I54" i="6"/>
  <c r="H54" i="6"/>
  <c r="G54" i="6"/>
  <c r="J54" i="6" s="1"/>
  <c r="F54" i="6"/>
  <c r="I53" i="6"/>
  <c r="H53" i="6"/>
  <c r="J53" i="6" s="1"/>
  <c r="G53" i="6"/>
  <c r="F53" i="6"/>
  <c r="H52" i="6"/>
  <c r="G52" i="6"/>
  <c r="J52" i="6" s="1"/>
  <c r="F52" i="6"/>
  <c r="J51" i="6"/>
  <c r="H51" i="6"/>
  <c r="G51" i="6"/>
  <c r="I51" i="6" s="1"/>
  <c r="F51" i="6"/>
  <c r="H50" i="6"/>
  <c r="G50" i="6"/>
  <c r="I50" i="6" s="1"/>
  <c r="F50" i="6"/>
  <c r="H49" i="6"/>
  <c r="G49" i="6"/>
  <c r="I49" i="6" s="1"/>
  <c r="F49" i="6"/>
  <c r="J48" i="6"/>
  <c r="I48" i="6"/>
  <c r="H48" i="6"/>
  <c r="G48" i="6"/>
  <c r="F48" i="6"/>
  <c r="H47" i="6"/>
  <c r="G47" i="6"/>
  <c r="J47" i="6" s="1"/>
  <c r="F47" i="6"/>
  <c r="I46" i="6"/>
  <c r="H46" i="6"/>
  <c r="G46" i="6"/>
  <c r="J46" i="6" s="1"/>
  <c r="F46" i="6"/>
  <c r="I45" i="6"/>
  <c r="H45" i="6"/>
  <c r="J45" i="6" s="1"/>
  <c r="G45" i="6"/>
  <c r="F45" i="6"/>
  <c r="H44" i="6"/>
  <c r="G44" i="6"/>
  <c r="J44" i="6" s="1"/>
  <c r="F44" i="6"/>
  <c r="J43" i="6"/>
  <c r="H43" i="6"/>
  <c r="G43" i="6"/>
  <c r="I43" i="6" s="1"/>
  <c r="F43" i="6"/>
  <c r="H42" i="6"/>
  <c r="G42" i="6"/>
  <c r="I42" i="6" s="1"/>
  <c r="F42" i="6"/>
  <c r="H41" i="6"/>
  <c r="G41" i="6"/>
  <c r="I41" i="6" s="1"/>
  <c r="F41" i="6"/>
  <c r="J40" i="6"/>
  <c r="I40" i="6"/>
  <c r="H40" i="6"/>
  <c r="G40" i="6"/>
  <c r="F40" i="6"/>
  <c r="H39" i="6"/>
  <c r="G39" i="6"/>
  <c r="J39" i="6" s="1"/>
  <c r="F39" i="6"/>
  <c r="I38" i="6"/>
  <c r="H38" i="6"/>
  <c r="G38" i="6"/>
  <c r="J38" i="6" s="1"/>
  <c r="F38" i="6"/>
  <c r="I37" i="6"/>
  <c r="H37" i="6"/>
  <c r="J37" i="6" s="1"/>
  <c r="G37" i="6"/>
  <c r="F37" i="6"/>
  <c r="H36" i="6"/>
  <c r="G36" i="6"/>
  <c r="J36" i="6" s="1"/>
  <c r="F36" i="6"/>
  <c r="J35" i="6"/>
  <c r="H35" i="6"/>
  <c r="G35" i="6"/>
  <c r="I35" i="6" s="1"/>
  <c r="F35" i="6"/>
  <c r="H34" i="6"/>
  <c r="G34" i="6"/>
  <c r="I34" i="6" s="1"/>
  <c r="F34" i="6"/>
  <c r="H33" i="6"/>
  <c r="G33" i="6"/>
  <c r="I33" i="6" s="1"/>
  <c r="F33" i="6"/>
  <c r="J32" i="6"/>
  <c r="I32" i="6"/>
  <c r="H32" i="6"/>
  <c r="G32" i="6"/>
  <c r="F32" i="6"/>
  <c r="H31" i="6"/>
  <c r="G31" i="6"/>
  <c r="J31" i="6" s="1"/>
  <c r="F31" i="6"/>
  <c r="I30" i="6"/>
  <c r="H30" i="6"/>
  <c r="G30" i="6"/>
  <c r="J30" i="6" s="1"/>
  <c r="F30" i="6"/>
  <c r="I29" i="6"/>
  <c r="H29" i="6"/>
  <c r="J29" i="6" s="1"/>
  <c r="G29" i="6"/>
  <c r="F29" i="6"/>
  <c r="H28" i="6"/>
  <c r="G28" i="6"/>
  <c r="J28" i="6" s="1"/>
  <c r="F28" i="6"/>
  <c r="J27" i="6"/>
  <c r="H27" i="6"/>
  <c r="G27" i="6"/>
  <c r="I27" i="6" s="1"/>
  <c r="F27" i="6"/>
  <c r="H26" i="6"/>
  <c r="G26" i="6"/>
  <c r="I26" i="6" s="1"/>
  <c r="F26" i="6"/>
  <c r="H25" i="6"/>
  <c r="G25" i="6"/>
  <c r="I25" i="6" s="1"/>
  <c r="F25" i="6"/>
  <c r="J24" i="6"/>
  <c r="I24" i="6"/>
  <c r="H24" i="6"/>
  <c r="G24" i="6"/>
  <c r="F24" i="6"/>
  <c r="H23" i="6"/>
  <c r="G23" i="6"/>
  <c r="J23" i="6" s="1"/>
  <c r="F23" i="6"/>
  <c r="H22" i="6"/>
  <c r="I22" i="6" s="1"/>
  <c r="G22" i="6"/>
  <c r="J22" i="6" s="1"/>
  <c r="F22" i="6"/>
  <c r="I21" i="6"/>
  <c r="H21" i="6"/>
  <c r="J21" i="6" s="1"/>
  <c r="G21" i="6"/>
  <c r="F21" i="6"/>
  <c r="H20" i="6"/>
  <c r="G20" i="6"/>
  <c r="J20" i="6" s="1"/>
  <c r="F20" i="6"/>
  <c r="J19" i="6"/>
  <c r="H19" i="6"/>
  <c r="G19" i="6"/>
  <c r="I19" i="6" s="1"/>
  <c r="F19" i="6"/>
  <c r="H18" i="6"/>
  <c r="G18" i="6"/>
  <c r="I18" i="6" s="1"/>
  <c r="F18" i="6"/>
  <c r="H17" i="6"/>
  <c r="G17" i="6"/>
  <c r="I17" i="6" s="1"/>
  <c r="F17" i="6"/>
  <c r="J16" i="6"/>
  <c r="I16" i="6"/>
  <c r="H16" i="6"/>
  <c r="G16" i="6"/>
  <c r="F16" i="6"/>
  <c r="H15" i="6"/>
  <c r="G15" i="6"/>
  <c r="J15" i="6" s="1"/>
  <c r="F15" i="6"/>
  <c r="H14" i="6"/>
  <c r="I14" i="6" s="1"/>
  <c r="G14" i="6"/>
  <c r="J14" i="6" s="1"/>
  <c r="F14" i="6"/>
  <c r="I13" i="6"/>
  <c r="H13" i="6"/>
  <c r="J13" i="6" s="1"/>
  <c r="G13" i="6"/>
  <c r="F13" i="6"/>
  <c r="H12" i="6"/>
  <c r="J12" i="6" s="1"/>
  <c r="G12" i="6"/>
  <c r="I12" i="6" s="1"/>
  <c r="F12" i="6"/>
  <c r="J11" i="6"/>
  <c r="H11" i="6"/>
  <c r="G11" i="6"/>
  <c r="I11" i="6" s="1"/>
  <c r="F11" i="6"/>
  <c r="H10" i="6"/>
  <c r="G10" i="6"/>
  <c r="I10" i="6" s="1"/>
  <c r="F10" i="6"/>
  <c r="H9" i="6"/>
  <c r="G9" i="6"/>
  <c r="J9" i="6" s="1"/>
  <c r="F9" i="6"/>
  <c r="J8" i="6"/>
  <c r="I8" i="6"/>
  <c r="H8" i="6"/>
  <c r="G8" i="6"/>
  <c r="F8" i="6"/>
  <c r="H7" i="6"/>
  <c r="G7" i="6"/>
  <c r="J7" i="6" s="1"/>
  <c r="F7" i="6"/>
  <c r="H6" i="6"/>
  <c r="G6" i="6"/>
  <c r="J6" i="6" s="1"/>
  <c r="F6" i="6"/>
  <c r="I5" i="6"/>
  <c r="H5" i="6"/>
  <c r="G5" i="6"/>
  <c r="F5" i="6"/>
  <c r="H4" i="6"/>
  <c r="D22" i="8" s="1"/>
  <c r="G4" i="6"/>
  <c r="F4" i="6"/>
  <c r="E22" i="8" s="1"/>
  <c r="J3" i="6"/>
  <c r="H3" i="6"/>
  <c r="G3" i="6"/>
  <c r="I3" i="6" s="1"/>
  <c r="F3" i="6"/>
  <c r="H2" i="6"/>
  <c r="D25" i="8" s="1"/>
  <c r="G2" i="6"/>
  <c r="J2" i="6" s="1"/>
  <c r="F2" i="6"/>
  <c r="E24" i="8" l="1"/>
  <c r="I7" i="6"/>
  <c r="J10" i="6"/>
  <c r="I15" i="6"/>
  <c r="J18" i="6"/>
  <c r="I23" i="6"/>
  <c r="J26" i="6"/>
  <c r="I31" i="6"/>
  <c r="J34" i="6"/>
  <c r="I39" i="6"/>
  <c r="J42" i="6"/>
  <c r="I47" i="6"/>
  <c r="J50" i="6"/>
  <c r="I55" i="6"/>
  <c r="J58" i="6"/>
  <c r="D24" i="8"/>
  <c r="I9" i="6"/>
  <c r="J17" i="6"/>
  <c r="D17" i="8"/>
  <c r="J73" i="6"/>
  <c r="J81" i="6"/>
  <c r="J89" i="6"/>
  <c r="J97" i="6"/>
  <c r="J105" i="6"/>
  <c r="I115" i="6"/>
  <c r="J118" i="6"/>
  <c r="I120" i="6"/>
  <c r="J122" i="6"/>
  <c r="J139" i="6"/>
  <c r="J155" i="6"/>
  <c r="J171" i="6"/>
  <c r="J179" i="6"/>
  <c r="I190" i="6"/>
  <c r="J202" i="6"/>
  <c r="J231" i="6"/>
  <c r="I231" i="6"/>
  <c r="J237" i="6"/>
  <c r="I254" i="6"/>
  <c r="J267" i="6"/>
  <c r="I267" i="6"/>
  <c r="J269" i="6"/>
  <c r="J271" i="6"/>
  <c r="I271" i="6"/>
  <c r="I318" i="6"/>
  <c r="J331" i="6"/>
  <c r="I331" i="6"/>
  <c r="J333" i="6"/>
  <c r="J335" i="6"/>
  <c r="I335" i="6"/>
  <c r="J363" i="6"/>
  <c r="I363" i="6"/>
  <c r="J422" i="6"/>
  <c r="I422" i="6"/>
  <c r="J427" i="6"/>
  <c r="I427" i="6"/>
  <c r="J486" i="6"/>
  <c r="I486" i="6"/>
  <c r="J491" i="6"/>
  <c r="I491" i="6"/>
  <c r="J550" i="6"/>
  <c r="I550" i="6"/>
  <c r="J555" i="6"/>
  <c r="I555" i="6"/>
  <c r="J614" i="6"/>
  <c r="I614" i="6"/>
  <c r="J619" i="6"/>
  <c r="I619" i="6"/>
  <c r="E23" i="8"/>
  <c r="I6" i="6"/>
  <c r="J25" i="6"/>
  <c r="J33" i="6"/>
  <c r="J41" i="6"/>
  <c r="J49" i="6"/>
  <c r="J57" i="6"/>
  <c r="J65" i="6"/>
  <c r="E19" i="8"/>
  <c r="E25" i="8"/>
  <c r="C23" i="8"/>
  <c r="B23" i="8"/>
  <c r="E16" i="8"/>
  <c r="B19" i="8"/>
  <c r="C19" i="8"/>
  <c r="I75" i="6"/>
  <c r="I83" i="6"/>
  <c r="I91" i="6"/>
  <c r="I99" i="6"/>
  <c r="I107" i="6"/>
  <c r="I134" i="6"/>
  <c r="I141" i="6"/>
  <c r="I150" i="6"/>
  <c r="I157" i="6"/>
  <c r="I166" i="6"/>
  <c r="I173" i="6"/>
  <c r="J181" i="6"/>
  <c r="I198" i="6"/>
  <c r="J200" i="6"/>
  <c r="J210" i="6"/>
  <c r="I229" i="6"/>
  <c r="I235" i="6"/>
  <c r="J239" i="6"/>
  <c r="I239" i="6"/>
  <c r="J245" i="6"/>
  <c r="J259" i="6"/>
  <c r="I259" i="6"/>
  <c r="J261" i="6"/>
  <c r="J263" i="6"/>
  <c r="I263" i="6"/>
  <c r="J304" i="6"/>
  <c r="I310" i="6"/>
  <c r="J323" i="6"/>
  <c r="I323" i="6"/>
  <c r="J325" i="6"/>
  <c r="J327" i="6"/>
  <c r="I327" i="6"/>
  <c r="J344" i="6"/>
  <c r="I344" i="6"/>
  <c r="J392" i="6"/>
  <c r="J398" i="6"/>
  <c r="I398" i="6"/>
  <c r="J403" i="6"/>
  <c r="I403" i="6"/>
  <c r="J456" i="6"/>
  <c r="J462" i="6"/>
  <c r="I462" i="6"/>
  <c r="J467" i="6"/>
  <c r="I467" i="6"/>
  <c r="J526" i="6"/>
  <c r="I526" i="6"/>
  <c r="J531" i="6"/>
  <c r="I531" i="6"/>
  <c r="J590" i="6"/>
  <c r="I590" i="6"/>
  <c r="J595" i="6"/>
  <c r="I595" i="6"/>
  <c r="J662" i="6"/>
  <c r="I662" i="6"/>
  <c r="C25" i="8"/>
  <c r="B25" i="8"/>
  <c r="D23" i="8"/>
  <c r="C16" i="8"/>
  <c r="B16" i="8"/>
  <c r="D19" i="8"/>
  <c r="E21" i="8"/>
  <c r="I88" i="6"/>
  <c r="I96" i="6"/>
  <c r="I104" i="6"/>
  <c r="I112" i="6"/>
  <c r="J114" i="6"/>
  <c r="I117" i="6"/>
  <c r="I119" i="6"/>
  <c r="I122" i="6"/>
  <c r="J127" i="6"/>
  <c r="I136" i="6"/>
  <c r="J138" i="6"/>
  <c r="I138" i="6"/>
  <c r="J143" i="6"/>
  <c r="I152" i="6"/>
  <c r="J154" i="6"/>
  <c r="I154" i="6"/>
  <c r="J159" i="6"/>
  <c r="I168" i="6"/>
  <c r="J170" i="6"/>
  <c r="I170" i="6"/>
  <c r="J175" i="6"/>
  <c r="I177" i="6"/>
  <c r="I179" i="6"/>
  <c r="J183" i="6"/>
  <c r="I183" i="6"/>
  <c r="J189" i="6"/>
  <c r="J195" i="6"/>
  <c r="I206" i="6"/>
  <c r="J208" i="6"/>
  <c r="J218" i="6"/>
  <c r="I224" i="6"/>
  <c r="I237" i="6"/>
  <c r="I243" i="6"/>
  <c r="J247" i="6"/>
  <c r="I247" i="6"/>
  <c r="J253" i="6"/>
  <c r="J255" i="6"/>
  <c r="I255" i="6"/>
  <c r="J290" i="6"/>
  <c r="J296" i="6"/>
  <c r="I302" i="6"/>
  <c r="J315" i="6"/>
  <c r="I315" i="6"/>
  <c r="J317" i="6"/>
  <c r="J319" i="6"/>
  <c r="I319" i="6"/>
  <c r="I350" i="6"/>
  <c r="J355" i="6"/>
  <c r="I355" i="6"/>
  <c r="J357" i="6"/>
  <c r="J368" i="6"/>
  <c r="J374" i="6"/>
  <c r="I374" i="6"/>
  <c r="J379" i="6"/>
  <c r="I379" i="6"/>
  <c r="J432" i="6"/>
  <c r="J438" i="6"/>
  <c r="I438" i="6"/>
  <c r="J443" i="6"/>
  <c r="I443" i="6"/>
  <c r="J502" i="6"/>
  <c r="I502" i="6"/>
  <c r="J507" i="6"/>
  <c r="I507" i="6"/>
  <c r="J566" i="6"/>
  <c r="I566" i="6"/>
  <c r="J571" i="6"/>
  <c r="I571" i="6"/>
  <c r="J630" i="6"/>
  <c r="I630" i="6"/>
  <c r="J655" i="6"/>
  <c r="I655" i="6"/>
  <c r="J133" i="6"/>
  <c r="J149" i="6"/>
  <c r="J165" i="6"/>
  <c r="J191" i="6"/>
  <c r="I191" i="6"/>
  <c r="J203" i="6"/>
  <c r="J226" i="6"/>
  <c r="I245" i="6"/>
  <c r="J307" i="6"/>
  <c r="I307" i="6"/>
  <c r="J311" i="6"/>
  <c r="I311" i="6"/>
  <c r="J336" i="6"/>
  <c r="I336" i="6"/>
  <c r="J414" i="6"/>
  <c r="I414" i="6"/>
  <c r="J419" i="6"/>
  <c r="I419" i="6"/>
  <c r="J478" i="6"/>
  <c r="I478" i="6"/>
  <c r="J483" i="6"/>
  <c r="I483" i="6"/>
  <c r="J542" i="6"/>
  <c r="I542" i="6"/>
  <c r="J547" i="6"/>
  <c r="I547" i="6"/>
  <c r="J606" i="6"/>
  <c r="I606" i="6"/>
  <c r="J611" i="6"/>
  <c r="I611" i="6"/>
  <c r="B15" i="8"/>
  <c r="C15" i="8"/>
  <c r="B21" i="8"/>
  <c r="C21" i="8"/>
  <c r="I2" i="6"/>
  <c r="C22" i="8"/>
  <c r="B22" i="8"/>
  <c r="J5" i="6"/>
  <c r="D15" i="8"/>
  <c r="I66" i="6"/>
  <c r="C18" i="8"/>
  <c r="B18" i="8"/>
  <c r="J69" i="6"/>
  <c r="D21" i="8"/>
  <c r="I176" i="6"/>
  <c r="J199" i="6"/>
  <c r="I199" i="6"/>
  <c r="J211" i="6"/>
  <c r="J234" i="6"/>
  <c r="I240" i="6"/>
  <c r="J274" i="6"/>
  <c r="I286" i="6"/>
  <c r="J299" i="6"/>
  <c r="I299" i="6"/>
  <c r="J301" i="6"/>
  <c r="J303" i="6"/>
  <c r="I303" i="6"/>
  <c r="I342" i="6"/>
  <c r="J347" i="6"/>
  <c r="I347" i="6"/>
  <c r="J349" i="6"/>
  <c r="J384" i="6"/>
  <c r="J390" i="6"/>
  <c r="I390" i="6"/>
  <c r="J395" i="6"/>
  <c r="I395" i="6"/>
  <c r="J448" i="6"/>
  <c r="J454" i="6"/>
  <c r="I454" i="6"/>
  <c r="J459" i="6"/>
  <c r="I459" i="6"/>
  <c r="J518" i="6"/>
  <c r="I518" i="6"/>
  <c r="J523" i="6"/>
  <c r="I523" i="6"/>
  <c r="J582" i="6"/>
  <c r="I582" i="6"/>
  <c r="J587" i="6"/>
  <c r="I587" i="6"/>
  <c r="J640" i="6"/>
  <c r="I640" i="6"/>
  <c r="J291" i="6"/>
  <c r="I291" i="6"/>
  <c r="J293" i="6"/>
  <c r="J295" i="6"/>
  <c r="I295" i="6"/>
  <c r="J330" i="6"/>
  <c r="J360" i="6"/>
  <c r="I360" i="6"/>
  <c r="J366" i="6"/>
  <c r="I366" i="6"/>
  <c r="J371" i="6"/>
  <c r="I371" i="6"/>
  <c r="J424" i="6"/>
  <c r="J430" i="6"/>
  <c r="I430" i="6"/>
  <c r="J435" i="6"/>
  <c r="I435" i="6"/>
  <c r="J494" i="6"/>
  <c r="I494" i="6"/>
  <c r="J499" i="6"/>
  <c r="I499" i="6"/>
  <c r="J558" i="6"/>
  <c r="I558" i="6"/>
  <c r="J563" i="6"/>
  <c r="I563" i="6"/>
  <c r="J622" i="6"/>
  <c r="I622" i="6"/>
  <c r="J627" i="6"/>
  <c r="I627" i="6"/>
  <c r="J207" i="6"/>
  <c r="I207" i="6"/>
  <c r="I4" i="6"/>
  <c r="C24" i="8"/>
  <c r="B24" i="8"/>
  <c r="I20" i="6"/>
  <c r="I28" i="6"/>
  <c r="I36" i="6"/>
  <c r="I44" i="6"/>
  <c r="I52" i="6"/>
  <c r="I60" i="6"/>
  <c r="C14" i="8"/>
  <c r="B14" i="8"/>
  <c r="J63" i="6"/>
  <c r="E17" i="8"/>
  <c r="I68" i="6"/>
  <c r="C20" i="8"/>
  <c r="B20" i="8"/>
  <c r="J71" i="6"/>
  <c r="J130" i="6"/>
  <c r="I130" i="6"/>
  <c r="J135" i="6"/>
  <c r="J146" i="6"/>
  <c r="I146" i="6"/>
  <c r="J151" i="6"/>
  <c r="J162" i="6"/>
  <c r="I162" i="6"/>
  <c r="J167" i="6"/>
  <c r="J176" i="6"/>
  <c r="J186" i="6"/>
  <c r="I192" i="6"/>
  <c r="I205" i="6"/>
  <c r="I211" i="6"/>
  <c r="J215" i="6"/>
  <c r="I215" i="6"/>
  <c r="J221" i="6"/>
  <c r="J227" i="6"/>
  <c r="I238" i="6"/>
  <c r="J240" i="6"/>
  <c r="J250" i="6"/>
  <c r="J258" i="6"/>
  <c r="J264" i="6"/>
  <c r="I270" i="6"/>
  <c r="J283" i="6"/>
  <c r="I283" i="6"/>
  <c r="J285" i="6"/>
  <c r="J287" i="6"/>
  <c r="I287" i="6"/>
  <c r="J322" i="6"/>
  <c r="J328" i="6"/>
  <c r="J339" i="6"/>
  <c r="I339" i="6"/>
  <c r="J406" i="6"/>
  <c r="I406" i="6"/>
  <c r="J411" i="6"/>
  <c r="I411" i="6"/>
  <c r="J470" i="6"/>
  <c r="I470" i="6"/>
  <c r="J475" i="6"/>
  <c r="I475" i="6"/>
  <c r="J534" i="6"/>
  <c r="I534" i="6"/>
  <c r="J539" i="6"/>
  <c r="I539" i="6"/>
  <c r="J598" i="6"/>
  <c r="I598" i="6"/>
  <c r="J603" i="6"/>
  <c r="I603" i="6"/>
  <c r="J645" i="6"/>
  <c r="I645" i="6"/>
  <c r="J4" i="6"/>
  <c r="B10" i="8" s="1"/>
  <c r="D14" i="8"/>
  <c r="B17" i="8"/>
  <c r="C17" i="8"/>
  <c r="J68" i="6"/>
  <c r="D20" i="8"/>
  <c r="J184" i="6"/>
  <c r="I213" i="6"/>
  <c r="I219" i="6"/>
  <c r="J223" i="6"/>
  <c r="I223" i="6"/>
  <c r="J248" i="6"/>
  <c r="J256" i="6"/>
  <c r="J275" i="6"/>
  <c r="I275" i="6"/>
  <c r="J279" i="6"/>
  <c r="I279" i="6"/>
  <c r="J352" i="6"/>
  <c r="I352" i="6"/>
  <c r="J382" i="6"/>
  <c r="I382" i="6"/>
  <c r="J387" i="6"/>
  <c r="I387" i="6"/>
  <c r="J440" i="6"/>
  <c r="J446" i="6"/>
  <c r="I446" i="6"/>
  <c r="J451" i="6"/>
  <c r="I451" i="6"/>
  <c r="J510" i="6"/>
  <c r="I510" i="6"/>
  <c r="J515" i="6"/>
  <c r="I515" i="6"/>
  <c r="J574" i="6"/>
  <c r="I574" i="6"/>
  <c r="J579" i="6"/>
  <c r="I579" i="6"/>
  <c r="J650" i="6"/>
  <c r="I650" i="6"/>
  <c r="J718" i="6"/>
  <c r="I718" i="6"/>
  <c r="J742" i="6"/>
  <c r="I742" i="6"/>
  <c r="J844" i="6"/>
  <c r="I844" i="6"/>
  <c r="J855" i="6"/>
  <c r="I855" i="6"/>
  <c r="J908" i="6"/>
  <c r="I908" i="6"/>
  <c r="J919" i="6"/>
  <c r="I919" i="6"/>
  <c r="J972" i="6"/>
  <c r="I972" i="6"/>
  <c r="J983" i="6"/>
  <c r="I983" i="6"/>
  <c r="J1027" i="6"/>
  <c r="I1027" i="6"/>
  <c r="I1070" i="6"/>
  <c r="J1070" i="6"/>
  <c r="J1119" i="6"/>
  <c r="I1119" i="6"/>
  <c r="J1141" i="6"/>
  <c r="I1141" i="6"/>
  <c r="J1338" i="6"/>
  <c r="I1338" i="6"/>
  <c r="J652" i="6"/>
  <c r="J692" i="6"/>
  <c r="J705" i="6"/>
  <c r="I705" i="6"/>
  <c r="I722" i="6"/>
  <c r="J726" i="6"/>
  <c r="I726" i="6"/>
  <c r="J734" i="6"/>
  <c r="I734" i="6"/>
  <c r="I738" i="6"/>
  <c r="I759" i="6"/>
  <c r="J761" i="6"/>
  <c r="J788" i="6"/>
  <c r="J798" i="6"/>
  <c r="I798" i="6"/>
  <c r="I802" i="6"/>
  <c r="J809" i="6"/>
  <c r="J820" i="6"/>
  <c r="I820" i="6"/>
  <c r="J831" i="6"/>
  <c r="I831" i="6"/>
  <c r="I866" i="6"/>
  <c r="J873" i="6"/>
  <c r="J884" i="6"/>
  <c r="I884" i="6"/>
  <c r="J895" i="6"/>
  <c r="I895" i="6"/>
  <c r="I930" i="6"/>
  <c r="J937" i="6"/>
  <c r="J948" i="6"/>
  <c r="I948" i="6"/>
  <c r="J959" i="6"/>
  <c r="I959" i="6"/>
  <c r="I994" i="6"/>
  <c r="J1001" i="6"/>
  <c r="J1012" i="6"/>
  <c r="I1012" i="6"/>
  <c r="J1059" i="6"/>
  <c r="I1059" i="6"/>
  <c r="I1151" i="6"/>
  <c r="J1151" i="6"/>
  <c r="J1230" i="6"/>
  <c r="I1230" i="6"/>
  <c r="I1239" i="6"/>
  <c r="J1239" i="6"/>
  <c r="I1398" i="6"/>
  <c r="J1398" i="6"/>
  <c r="I635" i="6"/>
  <c r="I667" i="6"/>
  <c r="I672" i="6"/>
  <c r="J676" i="6"/>
  <c r="I679" i="6"/>
  <c r="I690" i="6"/>
  <c r="I703" i="6"/>
  <c r="J707" i="6"/>
  <c r="I724" i="6"/>
  <c r="I732" i="6"/>
  <c r="J755" i="6"/>
  <c r="J767" i="6"/>
  <c r="J790" i="6"/>
  <c r="I790" i="6"/>
  <c r="I794" i="6"/>
  <c r="I796" i="6"/>
  <c r="J807" i="6"/>
  <c r="I807" i="6"/>
  <c r="I842" i="6"/>
  <c r="J860" i="6"/>
  <c r="I860" i="6"/>
  <c r="J871" i="6"/>
  <c r="I871" i="6"/>
  <c r="I906" i="6"/>
  <c r="J924" i="6"/>
  <c r="I924" i="6"/>
  <c r="J935" i="6"/>
  <c r="I935" i="6"/>
  <c r="I970" i="6"/>
  <c r="J977" i="6"/>
  <c r="J988" i="6"/>
  <c r="I988" i="6"/>
  <c r="J999" i="6"/>
  <c r="I999" i="6"/>
  <c r="J1017" i="6"/>
  <c r="I1017" i="6"/>
  <c r="I1025" i="6"/>
  <c r="I1032" i="6"/>
  <c r="J1032" i="6"/>
  <c r="J1034" i="6"/>
  <c r="J1044" i="6"/>
  <c r="I1044" i="6"/>
  <c r="J1127" i="6"/>
  <c r="I1127" i="6"/>
  <c r="J1210" i="6"/>
  <c r="I1210" i="6"/>
  <c r="I368" i="6"/>
  <c r="I376" i="6"/>
  <c r="I384" i="6"/>
  <c r="I392" i="6"/>
  <c r="I400" i="6"/>
  <c r="I408" i="6"/>
  <c r="I416" i="6"/>
  <c r="I424" i="6"/>
  <c r="I432" i="6"/>
  <c r="I440" i="6"/>
  <c r="I448" i="6"/>
  <c r="I456" i="6"/>
  <c r="I464" i="6"/>
  <c r="I472" i="6"/>
  <c r="I480" i="6"/>
  <c r="J644" i="6"/>
  <c r="I649" i="6"/>
  <c r="I652" i="6"/>
  <c r="J657" i="6"/>
  <c r="J681" i="6"/>
  <c r="J683" i="6"/>
  <c r="I692" i="6"/>
  <c r="I696" i="6"/>
  <c r="J700" i="6"/>
  <c r="J713" i="6"/>
  <c r="I713" i="6"/>
  <c r="I743" i="6"/>
  <c r="J745" i="6"/>
  <c r="J759" i="6"/>
  <c r="J772" i="6"/>
  <c r="J782" i="6"/>
  <c r="I782" i="6"/>
  <c r="I786" i="6"/>
  <c r="I788" i="6"/>
  <c r="J836" i="6"/>
  <c r="I836" i="6"/>
  <c r="J847" i="6"/>
  <c r="I847" i="6"/>
  <c r="J900" i="6"/>
  <c r="I900" i="6"/>
  <c r="J911" i="6"/>
  <c r="I911" i="6"/>
  <c r="I946" i="6"/>
  <c r="J964" i="6"/>
  <c r="I964" i="6"/>
  <c r="J975" i="6"/>
  <c r="I975" i="6"/>
  <c r="I1010" i="6"/>
  <c r="J1037" i="6"/>
  <c r="I1037" i="6"/>
  <c r="J1049" i="6"/>
  <c r="I1049" i="6"/>
  <c r="I1102" i="6"/>
  <c r="J1102" i="6"/>
  <c r="J1149" i="6"/>
  <c r="I1149" i="6"/>
  <c r="J1201" i="6"/>
  <c r="I1201" i="6"/>
  <c r="J721" i="6"/>
  <c r="I721" i="6"/>
  <c r="J774" i="6"/>
  <c r="I774" i="6"/>
  <c r="J812" i="6"/>
  <c r="I812" i="6"/>
  <c r="J823" i="6"/>
  <c r="I823" i="6"/>
  <c r="J876" i="6"/>
  <c r="I876" i="6"/>
  <c r="J887" i="6"/>
  <c r="I887" i="6"/>
  <c r="J940" i="6"/>
  <c r="I940" i="6"/>
  <c r="J951" i="6"/>
  <c r="I951" i="6"/>
  <c r="J1004" i="6"/>
  <c r="I1004" i="6"/>
  <c r="J1015" i="6"/>
  <c r="I1015" i="6"/>
  <c r="J1125" i="6"/>
  <c r="I1125" i="6"/>
  <c r="J1135" i="6"/>
  <c r="I1135" i="6"/>
  <c r="J1294" i="6"/>
  <c r="I1294" i="6"/>
  <c r="I1303" i="6"/>
  <c r="J1303" i="6"/>
  <c r="I178" i="6"/>
  <c r="I186" i="6"/>
  <c r="I194" i="6"/>
  <c r="I202" i="6"/>
  <c r="I210" i="6"/>
  <c r="I218" i="6"/>
  <c r="I226" i="6"/>
  <c r="I234" i="6"/>
  <c r="I242" i="6"/>
  <c r="I250" i="6"/>
  <c r="I258" i="6"/>
  <c r="I266" i="6"/>
  <c r="I274" i="6"/>
  <c r="I282" i="6"/>
  <c r="I290" i="6"/>
  <c r="I298" i="6"/>
  <c r="I306" i="6"/>
  <c r="I314" i="6"/>
  <c r="I322" i="6"/>
  <c r="I330" i="6"/>
  <c r="I338" i="6"/>
  <c r="I346" i="6"/>
  <c r="I354" i="6"/>
  <c r="I362" i="6"/>
  <c r="I370" i="6"/>
  <c r="I378" i="6"/>
  <c r="I386" i="6"/>
  <c r="I394" i="6"/>
  <c r="I402" i="6"/>
  <c r="I410" i="6"/>
  <c r="I418" i="6"/>
  <c r="I426" i="6"/>
  <c r="I434" i="6"/>
  <c r="I442" i="6"/>
  <c r="I450" i="6"/>
  <c r="I458" i="6"/>
  <c r="I466" i="6"/>
  <c r="I474" i="6"/>
  <c r="I482" i="6"/>
  <c r="I490" i="6"/>
  <c r="I498" i="6"/>
  <c r="I506" i="6"/>
  <c r="I514" i="6"/>
  <c r="I522" i="6"/>
  <c r="I530" i="6"/>
  <c r="I538" i="6"/>
  <c r="I546" i="6"/>
  <c r="I554" i="6"/>
  <c r="I562" i="6"/>
  <c r="I570" i="6"/>
  <c r="I578" i="6"/>
  <c r="I586" i="6"/>
  <c r="I594" i="6"/>
  <c r="I602" i="6"/>
  <c r="I610" i="6"/>
  <c r="I618" i="6"/>
  <c r="I626" i="6"/>
  <c r="I634" i="6"/>
  <c r="J636" i="6"/>
  <c r="I639" i="6"/>
  <c r="I641" i="6"/>
  <c r="I644" i="6"/>
  <c r="J649" i="6"/>
  <c r="I661" i="6"/>
  <c r="I666" i="6"/>
  <c r="J668" i="6"/>
  <c r="I671" i="6"/>
  <c r="I673" i="6"/>
  <c r="I678" i="6"/>
  <c r="I680" i="6"/>
  <c r="J689" i="6"/>
  <c r="I689" i="6"/>
  <c r="I700" i="6"/>
  <c r="I704" i="6"/>
  <c r="J708" i="6"/>
  <c r="I719" i="6"/>
  <c r="J723" i="6"/>
  <c r="J729" i="6"/>
  <c r="J731" i="6"/>
  <c r="J743" i="6"/>
  <c r="J756" i="6"/>
  <c r="J766" i="6"/>
  <c r="I766" i="6"/>
  <c r="I770" i="6"/>
  <c r="I772" i="6"/>
  <c r="I791" i="6"/>
  <c r="J793" i="6"/>
  <c r="J795" i="6"/>
  <c r="I834" i="6"/>
  <c r="J841" i="6"/>
  <c r="J852" i="6"/>
  <c r="I852" i="6"/>
  <c r="J863" i="6"/>
  <c r="I863" i="6"/>
  <c r="I898" i="6"/>
  <c r="J905" i="6"/>
  <c r="J916" i="6"/>
  <c r="I916" i="6"/>
  <c r="J927" i="6"/>
  <c r="I927" i="6"/>
  <c r="I962" i="6"/>
  <c r="J969" i="6"/>
  <c r="J980" i="6"/>
  <c r="I980" i="6"/>
  <c r="J991" i="6"/>
  <c r="I991" i="6"/>
  <c r="J1022" i="6"/>
  <c r="I1022" i="6"/>
  <c r="J1042" i="6"/>
  <c r="I1042" i="6"/>
  <c r="J1047" i="6"/>
  <c r="I1047" i="6"/>
  <c r="J1087" i="6"/>
  <c r="I1087" i="6"/>
  <c r="J1274" i="6"/>
  <c r="I1274" i="6"/>
  <c r="I343" i="6"/>
  <c r="I351" i="6"/>
  <c r="I359" i="6"/>
  <c r="I367" i="6"/>
  <c r="I375" i="6"/>
  <c r="I383" i="6"/>
  <c r="I391" i="6"/>
  <c r="I399" i="6"/>
  <c r="I407" i="6"/>
  <c r="I415" i="6"/>
  <c r="I423" i="6"/>
  <c r="I431" i="6"/>
  <c r="I439" i="6"/>
  <c r="I447" i="6"/>
  <c r="I455" i="6"/>
  <c r="I463" i="6"/>
  <c r="I471" i="6"/>
  <c r="I479" i="6"/>
  <c r="I487" i="6"/>
  <c r="I495" i="6"/>
  <c r="I503" i="6"/>
  <c r="I511" i="6"/>
  <c r="I519" i="6"/>
  <c r="I527" i="6"/>
  <c r="I535" i="6"/>
  <c r="I543" i="6"/>
  <c r="I551" i="6"/>
  <c r="I559" i="6"/>
  <c r="I567" i="6"/>
  <c r="I575" i="6"/>
  <c r="I583" i="6"/>
  <c r="I591" i="6"/>
  <c r="I599" i="6"/>
  <c r="I607" i="6"/>
  <c r="I615" i="6"/>
  <c r="I623" i="6"/>
  <c r="I631" i="6"/>
  <c r="I646" i="6"/>
  <c r="I656" i="6"/>
  <c r="J684" i="6"/>
  <c r="I687" i="6"/>
  <c r="J691" i="6"/>
  <c r="J702" i="6"/>
  <c r="I727" i="6"/>
  <c r="J735" i="6"/>
  <c r="J758" i="6"/>
  <c r="I758" i="6"/>
  <c r="I764" i="6"/>
  <c r="J787" i="6"/>
  <c r="J799" i="6"/>
  <c r="J828" i="6"/>
  <c r="I828" i="6"/>
  <c r="J839" i="6"/>
  <c r="I839" i="6"/>
  <c r="J892" i="6"/>
  <c r="I892" i="6"/>
  <c r="J903" i="6"/>
  <c r="I903" i="6"/>
  <c r="J956" i="6"/>
  <c r="I956" i="6"/>
  <c r="J967" i="6"/>
  <c r="I967" i="6"/>
  <c r="J1054" i="6"/>
  <c r="I1054" i="6"/>
  <c r="J1133" i="6"/>
  <c r="I1133" i="6"/>
  <c r="J1143" i="6"/>
  <c r="I1143" i="6"/>
  <c r="J1166" i="6"/>
  <c r="I1166" i="6"/>
  <c r="I1175" i="6"/>
  <c r="J1175" i="6"/>
  <c r="J660" i="6"/>
  <c r="I665" i="6"/>
  <c r="J697" i="6"/>
  <c r="I697" i="6"/>
  <c r="J716" i="6"/>
  <c r="J750" i="6"/>
  <c r="I750" i="6"/>
  <c r="I754" i="6"/>
  <c r="I756" i="6"/>
  <c r="I775" i="6"/>
  <c r="J777" i="6"/>
  <c r="J791" i="6"/>
  <c r="J804" i="6"/>
  <c r="I804" i="6"/>
  <c r="J815" i="6"/>
  <c r="I815" i="6"/>
  <c r="I850" i="6"/>
  <c r="J857" i="6"/>
  <c r="J868" i="6"/>
  <c r="I868" i="6"/>
  <c r="J879" i="6"/>
  <c r="I879" i="6"/>
  <c r="I914" i="6"/>
  <c r="J921" i="6"/>
  <c r="J932" i="6"/>
  <c r="I932" i="6"/>
  <c r="J943" i="6"/>
  <c r="I943" i="6"/>
  <c r="I978" i="6"/>
  <c r="J985" i="6"/>
  <c r="J996" i="6"/>
  <c r="I996" i="6"/>
  <c r="J1007" i="6"/>
  <c r="I1007" i="6"/>
  <c r="I1020" i="6"/>
  <c r="J1029" i="6"/>
  <c r="I1064" i="6"/>
  <c r="J1068" i="6"/>
  <c r="J1081" i="6"/>
  <c r="I1081" i="6"/>
  <c r="I1096" i="6"/>
  <c r="J1100" i="6"/>
  <c r="J1113" i="6"/>
  <c r="I1113" i="6"/>
  <c r="J1161" i="6"/>
  <c r="I1161" i="6"/>
  <c r="J1170" i="6"/>
  <c r="I1170" i="6"/>
  <c r="J1190" i="6"/>
  <c r="I1190" i="6"/>
  <c r="J1225" i="6"/>
  <c r="I1225" i="6"/>
  <c r="J1234" i="6"/>
  <c r="I1234" i="6"/>
  <c r="J1254" i="6"/>
  <c r="I1254" i="6"/>
  <c r="J1265" i="6"/>
  <c r="J1298" i="6"/>
  <c r="I1298" i="6"/>
  <c r="J1318" i="6"/>
  <c r="I1318" i="6"/>
  <c r="J1329" i="6"/>
  <c r="I1384" i="6"/>
  <c r="J1384" i="6"/>
  <c r="J1404" i="6"/>
  <c r="I1404" i="6"/>
  <c r="J1409" i="6"/>
  <c r="I1409" i="6"/>
  <c r="J1420" i="6"/>
  <c r="I1420" i="6"/>
  <c r="J1425" i="6"/>
  <c r="I1425" i="6"/>
  <c r="J1441" i="6"/>
  <c r="I1441" i="6"/>
  <c r="J1457" i="6"/>
  <c r="I1457" i="6"/>
  <c r="J1468" i="6"/>
  <c r="I1468" i="6"/>
  <c r="J1473" i="6"/>
  <c r="I1473" i="6"/>
  <c r="J1484" i="6"/>
  <c r="I1484" i="6"/>
  <c r="J1489" i="6"/>
  <c r="I1489" i="6"/>
  <c r="J1500" i="6"/>
  <c r="I1500" i="6"/>
  <c r="J1505" i="6"/>
  <c r="I1505" i="6"/>
  <c r="J1516" i="6"/>
  <c r="I1516" i="6"/>
  <c r="J1521" i="6"/>
  <c r="I1521" i="6"/>
  <c r="J1532" i="6"/>
  <c r="I1532" i="6"/>
  <c r="I1068" i="6"/>
  <c r="I1072" i="6"/>
  <c r="J1076" i="6"/>
  <c r="I1085" i="6"/>
  <c r="J1089" i="6"/>
  <c r="I1089" i="6"/>
  <c r="J1091" i="6"/>
  <c r="I1100" i="6"/>
  <c r="I1104" i="6"/>
  <c r="J1108" i="6"/>
  <c r="I1117" i="6"/>
  <c r="J1121" i="6"/>
  <c r="I1121" i="6"/>
  <c r="J1129" i="6"/>
  <c r="I1129" i="6"/>
  <c r="J1137" i="6"/>
  <c r="I1137" i="6"/>
  <c r="J1145" i="6"/>
  <c r="I1145" i="6"/>
  <c r="J1171" i="6"/>
  <c r="J1177" i="6"/>
  <c r="I1177" i="6"/>
  <c r="J1180" i="6"/>
  <c r="J1186" i="6"/>
  <c r="I1186" i="6"/>
  <c r="J1199" i="6"/>
  <c r="J1206" i="6"/>
  <c r="I1206" i="6"/>
  <c r="J1235" i="6"/>
  <c r="J1241" i="6"/>
  <c r="I1241" i="6"/>
  <c r="J1244" i="6"/>
  <c r="J1250" i="6"/>
  <c r="I1250" i="6"/>
  <c r="J1263" i="6"/>
  <c r="J1270" i="6"/>
  <c r="I1270" i="6"/>
  <c r="J1281" i="6"/>
  <c r="J1299" i="6"/>
  <c r="J1308" i="6"/>
  <c r="J1314" i="6"/>
  <c r="I1314" i="6"/>
  <c r="J1327" i="6"/>
  <c r="J1334" i="6"/>
  <c r="I1334" i="6"/>
  <c r="J1345" i="6"/>
  <c r="J1162" i="6"/>
  <c r="I1162" i="6"/>
  <c r="J1182" i="6"/>
  <c r="I1182" i="6"/>
  <c r="J1217" i="6"/>
  <c r="I1217" i="6"/>
  <c r="J1226" i="6"/>
  <c r="I1226" i="6"/>
  <c r="J1246" i="6"/>
  <c r="I1246" i="6"/>
  <c r="J1290" i="6"/>
  <c r="I1290" i="6"/>
  <c r="J1310" i="6"/>
  <c r="I1310" i="6"/>
  <c r="I1376" i="6"/>
  <c r="J1376" i="6"/>
  <c r="I729" i="6"/>
  <c r="I737" i="6"/>
  <c r="I745" i="6"/>
  <c r="I753" i="6"/>
  <c r="I761" i="6"/>
  <c r="I769" i="6"/>
  <c r="I777" i="6"/>
  <c r="I785" i="6"/>
  <c r="I793" i="6"/>
  <c r="I801" i="6"/>
  <c r="I809" i="6"/>
  <c r="I817" i="6"/>
  <c r="I825" i="6"/>
  <c r="I833" i="6"/>
  <c r="I841" i="6"/>
  <c r="I849" i="6"/>
  <c r="I857" i="6"/>
  <c r="I865" i="6"/>
  <c r="I873" i="6"/>
  <c r="I881" i="6"/>
  <c r="I889" i="6"/>
  <c r="I897" i="6"/>
  <c r="I905" i="6"/>
  <c r="I913" i="6"/>
  <c r="I921" i="6"/>
  <c r="I929" i="6"/>
  <c r="I937" i="6"/>
  <c r="I945" i="6"/>
  <c r="I953" i="6"/>
  <c r="I961" i="6"/>
  <c r="I969" i="6"/>
  <c r="I977" i="6"/>
  <c r="I985" i="6"/>
  <c r="I993" i="6"/>
  <c r="I1001" i="6"/>
  <c r="I1009" i="6"/>
  <c r="I1029" i="6"/>
  <c r="I1034" i="6"/>
  <c r="I1039" i="6"/>
  <c r="I1061" i="6"/>
  <c r="J1065" i="6"/>
  <c r="I1065" i="6"/>
  <c r="J1067" i="6"/>
  <c r="I1076" i="6"/>
  <c r="I1080" i="6"/>
  <c r="J1084" i="6"/>
  <c r="I1093" i="6"/>
  <c r="J1097" i="6"/>
  <c r="I1097" i="6"/>
  <c r="J1099" i="6"/>
  <c r="I1108" i="6"/>
  <c r="I1112" i="6"/>
  <c r="J1116" i="6"/>
  <c r="J1187" i="6"/>
  <c r="J1193" i="6"/>
  <c r="I1193" i="6"/>
  <c r="J1196" i="6"/>
  <c r="J1202" i="6"/>
  <c r="I1202" i="6"/>
  <c r="J1215" i="6"/>
  <c r="J1222" i="6"/>
  <c r="I1222" i="6"/>
  <c r="J1251" i="6"/>
  <c r="J1260" i="6"/>
  <c r="J1266" i="6"/>
  <c r="I1266" i="6"/>
  <c r="J1279" i="6"/>
  <c r="J1286" i="6"/>
  <c r="I1286" i="6"/>
  <c r="J1297" i="6"/>
  <c r="J1315" i="6"/>
  <c r="J1324" i="6"/>
  <c r="J1330" i="6"/>
  <c r="I1330" i="6"/>
  <c r="J1343" i="6"/>
  <c r="I1350" i="6"/>
  <c r="J1350" i="6"/>
  <c r="I806" i="6"/>
  <c r="I814" i="6"/>
  <c r="I822" i="6"/>
  <c r="I830" i="6"/>
  <c r="I838" i="6"/>
  <c r="I846" i="6"/>
  <c r="I854" i="6"/>
  <c r="I862" i="6"/>
  <c r="I870" i="6"/>
  <c r="I878" i="6"/>
  <c r="I886" i="6"/>
  <c r="I894" i="6"/>
  <c r="I902" i="6"/>
  <c r="I910" i="6"/>
  <c r="I918" i="6"/>
  <c r="I926" i="6"/>
  <c r="I934" i="6"/>
  <c r="I942" i="6"/>
  <c r="I950" i="6"/>
  <c r="I958" i="6"/>
  <c r="I966" i="6"/>
  <c r="I974" i="6"/>
  <c r="I982" i="6"/>
  <c r="I990" i="6"/>
  <c r="I998" i="6"/>
  <c r="I1006" i="6"/>
  <c r="I1014" i="6"/>
  <c r="I1016" i="6"/>
  <c r="I1019" i="6"/>
  <c r="J1024" i="6"/>
  <c r="I1036" i="6"/>
  <c r="I1041" i="6"/>
  <c r="J1043" i="6"/>
  <c r="I1046" i="6"/>
  <c r="I1048" i="6"/>
  <c r="I1051" i="6"/>
  <c r="J1056" i="6"/>
  <c r="I1063" i="6"/>
  <c r="J1078" i="6"/>
  <c r="I1095" i="6"/>
  <c r="J1110" i="6"/>
  <c r="J1124" i="6"/>
  <c r="J1132" i="6"/>
  <c r="J1140" i="6"/>
  <c r="I1152" i="6"/>
  <c r="J1154" i="6"/>
  <c r="I1154" i="6"/>
  <c r="J1158" i="6"/>
  <c r="J1169" i="6"/>
  <c r="I1169" i="6"/>
  <c r="J1178" i="6"/>
  <c r="I1178" i="6"/>
  <c r="J1191" i="6"/>
  <c r="J1198" i="6"/>
  <c r="I1198" i="6"/>
  <c r="J1233" i="6"/>
  <c r="I1233" i="6"/>
  <c r="J1242" i="6"/>
  <c r="I1242" i="6"/>
  <c r="J1255" i="6"/>
  <c r="J1262" i="6"/>
  <c r="I1262" i="6"/>
  <c r="J1273" i="6"/>
  <c r="J1306" i="6"/>
  <c r="I1306" i="6"/>
  <c r="J1319" i="6"/>
  <c r="J1326" i="6"/>
  <c r="I1326" i="6"/>
  <c r="J1337" i="6"/>
  <c r="J1352" i="6"/>
  <c r="J1359" i="6"/>
  <c r="I1359" i="6"/>
  <c r="I1392" i="6"/>
  <c r="J1392" i="6"/>
  <c r="J1073" i="6"/>
  <c r="I1073" i="6"/>
  <c r="J1105" i="6"/>
  <c r="I1105" i="6"/>
  <c r="J1174" i="6"/>
  <c r="I1174" i="6"/>
  <c r="J1209" i="6"/>
  <c r="I1209" i="6"/>
  <c r="J1218" i="6"/>
  <c r="I1218" i="6"/>
  <c r="J1238" i="6"/>
  <c r="I1238" i="6"/>
  <c r="J1282" i="6"/>
  <c r="I1282" i="6"/>
  <c r="J1302" i="6"/>
  <c r="I1302" i="6"/>
  <c r="J1346" i="6"/>
  <c r="I1346" i="6"/>
  <c r="I1368" i="6"/>
  <c r="J1368" i="6"/>
  <c r="J1016" i="6"/>
  <c r="J1035" i="6"/>
  <c r="I1040" i="6"/>
  <c r="I1043" i="6"/>
  <c r="J1048" i="6"/>
  <c r="J1086" i="6"/>
  <c r="J1118" i="6"/>
  <c r="J1122" i="6"/>
  <c r="J1126" i="6"/>
  <c r="J1130" i="6"/>
  <c r="J1134" i="6"/>
  <c r="J1138" i="6"/>
  <c r="J1142" i="6"/>
  <c r="J1146" i="6"/>
  <c r="J1150" i="6"/>
  <c r="J1155" i="6"/>
  <c r="J1179" i="6"/>
  <c r="J1185" i="6"/>
  <c r="I1185" i="6"/>
  <c r="J1188" i="6"/>
  <c r="J1194" i="6"/>
  <c r="I1194" i="6"/>
  <c r="J1207" i="6"/>
  <c r="J1214" i="6"/>
  <c r="I1214" i="6"/>
  <c r="J1243" i="6"/>
  <c r="J1249" i="6"/>
  <c r="I1249" i="6"/>
  <c r="J1252" i="6"/>
  <c r="J1258" i="6"/>
  <c r="I1258" i="6"/>
  <c r="J1271" i="6"/>
  <c r="J1278" i="6"/>
  <c r="I1278" i="6"/>
  <c r="J1289" i="6"/>
  <c r="J1307" i="6"/>
  <c r="J1316" i="6"/>
  <c r="J1322" i="6"/>
  <c r="I1322" i="6"/>
  <c r="J1335" i="6"/>
  <c r="J1342" i="6"/>
  <c r="I1342" i="6"/>
  <c r="J1357" i="6"/>
  <c r="I1357" i="6"/>
  <c r="I1362" i="6"/>
  <c r="J1362" i="6"/>
  <c r="J1414" i="6"/>
  <c r="J1430" i="6"/>
  <c r="J1446" i="6"/>
  <c r="J1462" i="6"/>
  <c r="J1478" i="6"/>
  <c r="J1494" i="6"/>
  <c r="J1510" i="6"/>
  <c r="J1526" i="6"/>
  <c r="J1364" i="6"/>
  <c r="J1372" i="6"/>
  <c r="J1380" i="6"/>
  <c r="J1388" i="6"/>
  <c r="J1400" i="6"/>
  <c r="I1400" i="6"/>
  <c r="I1153" i="6"/>
  <c r="J1401" i="6"/>
  <c r="I1401" i="6"/>
  <c r="J1412" i="6"/>
  <c r="I1412" i="6"/>
  <c r="J1417" i="6"/>
  <c r="I1417" i="6"/>
  <c r="J1428" i="6"/>
  <c r="I1428" i="6"/>
  <c r="J1433" i="6"/>
  <c r="I1433" i="6"/>
  <c r="J1449" i="6"/>
  <c r="I1449" i="6"/>
  <c r="J1465" i="6"/>
  <c r="I1465" i="6"/>
  <c r="J1476" i="6"/>
  <c r="I1476" i="6"/>
  <c r="J1481" i="6"/>
  <c r="I1481" i="6"/>
  <c r="J1492" i="6"/>
  <c r="I1492" i="6"/>
  <c r="J1497" i="6"/>
  <c r="I1497" i="6"/>
  <c r="J1508" i="6"/>
  <c r="I1508" i="6"/>
  <c r="J1513" i="6"/>
  <c r="I1513" i="6"/>
  <c r="J1524" i="6"/>
  <c r="I1524" i="6"/>
  <c r="J1529" i="6"/>
  <c r="I1529" i="6"/>
  <c r="J1361" i="6"/>
  <c r="I1361" i="6"/>
  <c r="J1397" i="6"/>
  <c r="I1397" i="6"/>
  <c r="J1406" i="6"/>
  <c r="J1422" i="6"/>
  <c r="J1438" i="6"/>
  <c r="J1454" i="6"/>
  <c r="J1470" i="6"/>
  <c r="J1486" i="6"/>
  <c r="J1502" i="6"/>
  <c r="J1518" i="6"/>
  <c r="J1534" i="6"/>
  <c r="I1163" i="6"/>
  <c r="I1171" i="6"/>
  <c r="I1179" i="6"/>
  <c r="I1187" i="6"/>
  <c r="I1195" i="6"/>
  <c r="I1203" i="6"/>
  <c r="I1211" i="6"/>
  <c r="I1219" i="6"/>
  <c r="I1227" i="6"/>
  <c r="I1235" i="6"/>
  <c r="I1243" i="6"/>
  <c r="I1251" i="6"/>
  <c r="I1259" i="6"/>
  <c r="I1267" i="6"/>
  <c r="I1275" i="6"/>
  <c r="I1283" i="6"/>
  <c r="I1291" i="6"/>
  <c r="I1299" i="6"/>
  <c r="I1307" i="6"/>
  <c r="I1315" i="6"/>
  <c r="I1323" i="6"/>
  <c r="I1331" i="6"/>
  <c r="I1339" i="6"/>
  <c r="I1347" i="6"/>
  <c r="I1352" i="6"/>
  <c r="J1369" i="6"/>
  <c r="I1369" i="6"/>
  <c r="J1377" i="6"/>
  <c r="I1377" i="6"/>
  <c r="J1385" i="6"/>
  <c r="I1385" i="6"/>
  <c r="J1393" i="6"/>
  <c r="I1393" i="6"/>
  <c r="J1354" i="6"/>
  <c r="I1358" i="6"/>
  <c r="I1365" i="6"/>
  <c r="I1373" i="6"/>
  <c r="I1381" i="6"/>
  <c r="I1389" i="6"/>
  <c r="J1436" i="6"/>
  <c r="J1452" i="6"/>
  <c r="I1556" i="6"/>
  <c r="I1645" i="6"/>
  <c r="J1710" i="6"/>
  <c r="I1710" i="6"/>
  <c r="J1729" i="6"/>
  <c r="I1537" i="6"/>
  <c r="I1545" i="6"/>
  <c r="I1553" i="6"/>
  <c r="I1561" i="6"/>
  <c r="I1569" i="6"/>
  <c r="I1577" i="6"/>
  <c r="I1585" i="6"/>
  <c r="I1593" i="6"/>
  <c r="I1601" i="6"/>
  <c r="I1609" i="6"/>
  <c r="I1617" i="6"/>
  <c r="I1625" i="6"/>
  <c r="I1633" i="6"/>
  <c r="J1638" i="6"/>
  <c r="J1647" i="6"/>
  <c r="J1655" i="6"/>
  <c r="J1663" i="6"/>
  <c r="J1680" i="6"/>
  <c r="I1680" i="6"/>
  <c r="J1685" i="6"/>
  <c r="I1685" i="6"/>
  <c r="J1696" i="6"/>
  <c r="I1696" i="6"/>
  <c r="J1701" i="6"/>
  <c r="I1701" i="6"/>
  <c r="J1734" i="6"/>
  <c r="I1734" i="6"/>
  <c r="I1406" i="6"/>
  <c r="I1414" i="6"/>
  <c r="I1422" i="6"/>
  <c r="I1430" i="6"/>
  <c r="I1438" i="6"/>
  <c r="I1446" i="6"/>
  <c r="I1454" i="6"/>
  <c r="I1462" i="6"/>
  <c r="I1470" i="6"/>
  <c r="I1478" i="6"/>
  <c r="I1486" i="6"/>
  <c r="I1494" i="6"/>
  <c r="I1502" i="6"/>
  <c r="I1510" i="6"/>
  <c r="I1518" i="6"/>
  <c r="I1526" i="6"/>
  <c r="I1534" i="6"/>
  <c r="I1542" i="6"/>
  <c r="I1550" i="6"/>
  <c r="I1558" i="6"/>
  <c r="I1566" i="6"/>
  <c r="I1574" i="6"/>
  <c r="I1582" i="6"/>
  <c r="I1590" i="6"/>
  <c r="I1598" i="6"/>
  <c r="I1606" i="6"/>
  <c r="I1614" i="6"/>
  <c r="I1622" i="6"/>
  <c r="I1630" i="6"/>
  <c r="I1635" i="6"/>
  <c r="I1642" i="6"/>
  <c r="J1644" i="6"/>
  <c r="J1650" i="6"/>
  <c r="J1652" i="6"/>
  <c r="J1658" i="6"/>
  <c r="J1660" i="6"/>
  <c r="J1666" i="6"/>
  <c r="J1668" i="6"/>
  <c r="J1678" i="6"/>
  <c r="J1690" i="6"/>
  <c r="J1694" i="6"/>
  <c r="J1713" i="6"/>
  <c r="J1681" i="6"/>
  <c r="J1718" i="6"/>
  <c r="I1718" i="6"/>
  <c r="I1408" i="6"/>
  <c r="I1416" i="6"/>
  <c r="I1424" i="6"/>
  <c r="I1488" i="6"/>
  <c r="I1496" i="6"/>
  <c r="I1504" i="6"/>
  <c r="I1512" i="6"/>
  <c r="I1520" i="6"/>
  <c r="I1632" i="6"/>
  <c r="I1405" i="6"/>
  <c r="I1413" i="6"/>
  <c r="I1421" i="6"/>
  <c r="I1429" i="6"/>
  <c r="I1437" i="6"/>
  <c r="I1445" i="6"/>
  <c r="I1453" i="6"/>
  <c r="I1461" i="6"/>
  <c r="I1469" i="6"/>
  <c r="I1477" i="6"/>
  <c r="I1485" i="6"/>
  <c r="I1493" i="6"/>
  <c r="I1501" i="6"/>
  <c r="I1509" i="6"/>
  <c r="I1517" i="6"/>
  <c r="I1525" i="6"/>
  <c r="I1533" i="6"/>
  <c r="I1541" i="6"/>
  <c r="I1549" i="6"/>
  <c r="I1557" i="6"/>
  <c r="I1565" i="6"/>
  <c r="I1573" i="6"/>
  <c r="I1581" i="6"/>
  <c r="I1589" i="6"/>
  <c r="I1597" i="6"/>
  <c r="I1605" i="6"/>
  <c r="I1613" i="6"/>
  <c r="I1621" i="6"/>
  <c r="I1629" i="6"/>
  <c r="I1634" i="6"/>
  <c r="I1639" i="6"/>
  <c r="J1641" i="6"/>
  <c r="I1641" i="6"/>
  <c r="J1646" i="6"/>
  <c r="J1648" i="6"/>
  <c r="J1654" i="6"/>
  <c r="J1656" i="6"/>
  <c r="J1662" i="6"/>
  <c r="J1664" i="6"/>
  <c r="J1688" i="6"/>
  <c r="I1688" i="6"/>
  <c r="J1693" i="6"/>
  <c r="I1693" i="6"/>
  <c r="J1721" i="6"/>
  <c r="J1673" i="6"/>
  <c r="I1677" i="6"/>
  <c r="J1682" i="6"/>
  <c r="J1686" i="6"/>
  <c r="J1702" i="6"/>
  <c r="J1726" i="6"/>
  <c r="I1726" i="6"/>
  <c r="J1665" i="6"/>
  <c r="J1689" i="6"/>
  <c r="J1705" i="6"/>
  <c r="J1896" i="6"/>
  <c r="I1896" i="6"/>
  <c r="J1928" i="6"/>
  <c r="I1928" i="6"/>
  <c r="J1980" i="6"/>
  <c r="I1980" i="6"/>
  <c r="J2000" i="6"/>
  <c r="I2000" i="6"/>
  <c r="J2121" i="6"/>
  <c r="I2121" i="6"/>
  <c r="J2149" i="6"/>
  <c r="I2149" i="6"/>
  <c r="J2240" i="6"/>
  <c r="I2240" i="6"/>
  <c r="I1649" i="6"/>
  <c r="I1657" i="6"/>
  <c r="I1665" i="6"/>
  <c r="I1673" i="6"/>
  <c r="I1681" i="6"/>
  <c r="I1689" i="6"/>
  <c r="I1697" i="6"/>
  <c r="I1705" i="6"/>
  <c r="I1713" i="6"/>
  <c r="I1721" i="6"/>
  <c r="I1729" i="6"/>
  <c r="I1737" i="6"/>
  <c r="I1745" i="6"/>
  <c r="I1753" i="6"/>
  <c r="I1761" i="6"/>
  <c r="I1769" i="6"/>
  <c r="I1777" i="6"/>
  <c r="I1785" i="6"/>
  <c r="I1793" i="6"/>
  <c r="I1801" i="6"/>
  <c r="I1809" i="6"/>
  <c r="I1817" i="6"/>
  <c r="I1825" i="6"/>
  <c r="I1830" i="6"/>
  <c r="J1837" i="6"/>
  <c r="I1862" i="6"/>
  <c r="I1876" i="6"/>
  <c r="I1892" i="6"/>
  <c r="J1918" i="6"/>
  <c r="J1939" i="6"/>
  <c r="J1950" i="6"/>
  <c r="J1956" i="6"/>
  <c r="I1956" i="6"/>
  <c r="J1976" i="6"/>
  <c r="I1976" i="6"/>
  <c r="J2005" i="6"/>
  <c r="J2014" i="6"/>
  <c r="J2020" i="6"/>
  <c r="I2020" i="6"/>
  <c r="J2040" i="6"/>
  <c r="I2040" i="6"/>
  <c r="I2088" i="6"/>
  <c r="J2088" i="6"/>
  <c r="I2104" i="6"/>
  <c r="J2104" i="6"/>
  <c r="J2164" i="6"/>
  <c r="I2164" i="6"/>
  <c r="J2227" i="6"/>
  <c r="I2227" i="6"/>
  <c r="I1742" i="6"/>
  <c r="I1750" i="6"/>
  <c r="I1758" i="6"/>
  <c r="I1766" i="6"/>
  <c r="I1774" i="6"/>
  <c r="I1782" i="6"/>
  <c r="I1790" i="6"/>
  <c r="I1798" i="6"/>
  <c r="I1806" i="6"/>
  <c r="I1814" i="6"/>
  <c r="I1822" i="6"/>
  <c r="I1847" i="6"/>
  <c r="I1857" i="6"/>
  <c r="I1871" i="6"/>
  <c r="I1878" i="6"/>
  <c r="I1887" i="6"/>
  <c r="J1901" i="6"/>
  <c r="J1907" i="6"/>
  <c r="J1920" i="6"/>
  <c r="I1920" i="6"/>
  <c r="I1924" i="6"/>
  <c r="J1933" i="6"/>
  <c r="J1952" i="6"/>
  <c r="I1952" i="6"/>
  <c r="I1963" i="6"/>
  <c r="J1981" i="6"/>
  <c r="J1990" i="6"/>
  <c r="J1996" i="6"/>
  <c r="I1996" i="6"/>
  <c r="J2009" i="6"/>
  <c r="J2016" i="6"/>
  <c r="I2016" i="6"/>
  <c r="J2027" i="6"/>
  <c r="J2045" i="6"/>
  <c r="J2073" i="6"/>
  <c r="I2115" i="6"/>
  <c r="J2117" i="6"/>
  <c r="I2117" i="6"/>
  <c r="J2132" i="6"/>
  <c r="I2132" i="6"/>
  <c r="J1972" i="6"/>
  <c r="I1972" i="6"/>
  <c r="J1992" i="6"/>
  <c r="I1992" i="6"/>
  <c r="J2036" i="6"/>
  <c r="I2036" i="6"/>
  <c r="J2056" i="6"/>
  <c r="I2056" i="6"/>
  <c r="I1704" i="6"/>
  <c r="I1712" i="6"/>
  <c r="I1720" i="6"/>
  <c r="I1728" i="6"/>
  <c r="I1736" i="6"/>
  <c r="I1744" i="6"/>
  <c r="I1752" i="6"/>
  <c r="I1760" i="6"/>
  <c r="I1768" i="6"/>
  <c r="I1776" i="6"/>
  <c r="I1784" i="6"/>
  <c r="I1792" i="6"/>
  <c r="I1800" i="6"/>
  <c r="I1808" i="6"/>
  <c r="I1816" i="6"/>
  <c r="I1824" i="6"/>
  <c r="I1844" i="6"/>
  <c r="I1849" i="6"/>
  <c r="J1870" i="6"/>
  <c r="J1877" i="6"/>
  <c r="J1886" i="6"/>
  <c r="J1899" i="6"/>
  <c r="J1912" i="6"/>
  <c r="I1912" i="6"/>
  <c r="I1916" i="6"/>
  <c r="J1925" i="6"/>
  <c r="J1931" i="6"/>
  <c r="J1944" i="6"/>
  <c r="I1944" i="6"/>
  <c r="I1948" i="6"/>
  <c r="J1961" i="6"/>
  <c r="J1968" i="6"/>
  <c r="I1968" i="6"/>
  <c r="I1979" i="6"/>
  <c r="J1997" i="6"/>
  <c r="J2006" i="6"/>
  <c r="J2012" i="6"/>
  <c r="I2012" i="6"/>
  <c r="J2025" i="6"/>
  <c r="J2032" i="6"/>
  <c r="I2032" i="6"/>
  <c r="J2043" i="6"/>
  <c r="J2071" i="6"/>
  <c r="I2071" i="6"/>
  <c r="I1709" i="6"/>
  <c r="I1717" i="6"/>
  <c r="I1725" i="6"/>
  <c r="I1733" i="6"/>
  <c r="I1741" i="6"/>
  <c r="I1749" i="6"/>
  <c r="I1757" i="6"/>
  <c r="I1765" i="6"/>
  <c r="I1773" i="6"/>
  <c r="I1781" i="6"/>
  <c r="I1789" i="6"/>
  <c r="I1797" i="6"/>
  <c r="I1805" i="6"/>
  <c r="I1813" i="6"/>
  <c r="I1821" i="6"/>
  <c r="I1829" i="6"/>
  <c r="J1834" i="6"/>
  <c r="I1846" i="6"/>
  <c r="I1851" i="6"/>
  <c r="I1856" i="6"/>
  <c r="I1861" i="6"/>
  <c r="J1866" i="6"/>
  <c r="J1875" i="6"/>
  <c r="J1882" i="6"/>
  <c r="J1897" i="6"/>
  <c r="I1910" i="6"/>
  <c r="I1921" i="6"/>
  <c r="I1923" i="6"/>
  <c r="J1929" i="6"/>
  <c r="I1942" i="6"/>
  <c r="J1955" i="6"/>
  <c r="J1988" i="6"/>
  <c r="I1988" i="6"/>
  <c r="J2001" i="6"/>
  <c r="J2008" i="6"/>
  <c r="I2008" i="6"/>
  <c r="J2019" i="6"/>
  <c r="J2076" i="6"/>
  <c r="J2185" i="6"/>
  <c r="I2185" i="6"/>
  <c r="I1836" i="6"/>
  <c r="J1904" i="6"/>
  <c r="I1904" i="6"/>
  <c r="J1936" i="6"/>
  <c r="I1936" i="6"/>
  <c r="J1964" i="6"/>
  <c r="I1964" i="6"/>
  <c r="J1984" i="6"/>
  <c r="I1984" i="6"/>
  <c r="J2028" i="6"/>
  <c r="I2028" i="6"/>
  <c r="J2048" i="6"/>
  <c r="I2048" i="6"/>
  <c r="J2061" i="6"/>
  <c r="I2061" i="6"/>
  <c r="J2153" i="6"/>
  <c r="I2153" i="6"/>
  <c r="J2166" i="6"/>
  <c r="J2259" i="6"/>
  <c r="I2259" i="6"/>
  <c r="J1845" i="6"/>
  <c r="I1850" i="6"/>
  <c r="I1853" i="6"/>
  <c r="J1858" i="6"/>
  <c r="I1867" i="6"/>
  <c r="I1874" i="6"/>
  <c r="I1883" i="6"/>
  <c r="I1890" i="6"/>
  <c r="J1894" i="6"/>
  <c r="I1902" i="6"/>
  <c r="I1913" i="6"/>
  <c r="I1915" i="6"/>
  <c r="J1921" i="6"/>
  <c r="J1926" i="6"/>
  <c r="I1934" i="6"/>
  <c r="I1945" i="6"/>
  <c r="J1947" i="6"/>
  <c r="J1953" i="6"/>
  <c r="J1960" i="6"/>
  <c r="I1960" i="6"/>
  <c r="I1971" i="6"/>
  <c r="J1989" i="6"/>
  <c r="J1998" i="6"/>
  <c r="J2004" i="6"/>
  <c r="I2004" i="6"/>
  <c r="J2017" i="6"/>
  <c r="J2024" i="6"/>
  <c r="I2024" i="6"/>
  <c r="J2035" i="6"/>
  <c r="J2053" i="6"/>
  <c r="J2097" i="6"/>
  <c r="I2097" i="6"/>
  <c r="J2110" i="6"/>
  <c r="J2134" i="6"/>
  <c r="I2179" i="6"/>
  <c r="J2181" i="6"/>
  <c r="I2181" i="6"/>
  <c r="J2297" i="6"/>
  <c r="I2297" i="6"/>
  <c r="I2359" i="6"/>
  <c r="J2359" i="6"/>
  <c r="J2530" i="6"/>
  <c r="I2530" i="6"/>
  <c r="I1939" i="6"/>
  <c r="I1947" i="6"/>
  <c r="I1955" i="6"/>
  <c r="I1995" i="6"/>
  <c r="I2003" i="6"/>
  <c r="I2011" i="6"/>
  <c r="I2019" i="6"/>
  <c r="I2027" i="6"/>
  <c r="I2035" i="6"/>
  <c r="I2043" i="6"/>
  <c r="I2076" i="6"/>
  <c r="I2081" i="6"/>
  <c r="J2083" i="6"/>
  <c r="I2095" i="6"/>
  <c r="J2099" i="6"/>
  <c r="J2123" i="6"/>
  <c r="I2134" i="6"/>
  <c r="J2136" i="6"/>
  <c r="I2136" i="6"/>
  <c r="J2155" i="6"/>
  <c r="I2166" i="6"/>
  <c r="J2168" i="6"/>
  <c r="I2168" i="6"/>
  <c r="J2187" i="6"/>
  <c r="J2219" i="6"/>
  <c r="J2229" i="6"/>
  <c r="I2229" i="6"/>
  <c r="J2261" i="6"/>
  <c r="I2261" i="6"/>
  <c r="I2272" i="6"/>
  <c r="I2293" i="6"/>
  <c r="I2295" i="6"/>
  <c r="I2342" i="6"/>
  <c r="J2342" i="6"/>
  <c r="I2406" i="6"/>
  <c r="J2406" i="6"/>
  <c r="I2435" i="6"/>
  <c r="J2435" i="6"/>
  <c r="I2451" i="6"/>
  <c r="J2451" i="6"/>
  <c r="I2467" i="6"/>
  <c r="J2467" i="6"/>
  <c r="I2483" i="6"/>
  <c r="J2483" i="6"/>
  <c r="J2125" i="6"/>
  <c r="I2125" i="6"/>
  <c r="J2157" i="6"/>
  <c r="I2157" i="6"/>
  <c r="J2189" i="6"/>
  <c r="I2189" i="6"/>
  <c r="J2193" i="6"/>
  <c r="J2195" i="6"/>
  <c r="J2201" i="6"/>
  <c r="J2203" i="6"/>
  <c r="J2209" i="6"/>
  <c r="J2211" i="6"/>
  <c r="J2217" i="6"/>
  <c r="J2221" i="6"/>
  <c r="I2221" i="6"/>
  <c r="J2234" i="6"/>
  <c r="J2245" i="6"/>
  <c r="J2251" i="6"/>
  <c r="I2251" i="6"/>
  <c r="J2257" i="6"/>
  <c r="I2257" i="6"/>
  <c r="J2266" i="6"/>
  <c r="J2277" i="6"/>
  <c r="J2283" i="6"/>
  <c r="I2283" i="6"/>
  <c r="J2331" i="6"/>
  <c r="I2331" i="6"/>
  <c r="J2357" i="6"/>
  <c r="I2357" i="6"/>
  <c r="I2368" i="6"/>
  <c r="J2395" i="6"/>
  <c r="I2395" i="6"/>
  <c r="J2075" i="6"/>
  <c r="J2112" i="6"/>
  <c r="I2112" i="6"/>
  <c r="J2144" i="6"/>
  <c r="I2144" i="6"/>
  <c r="J2176" i="6"/>
  <c r="I2176" i="6"/>
  <c r="J2197" i="6"/>
  <c r="I2197" i="6"/>
  <c r="J2205" i="6"/>
  <c r="I2205" i="6"/>
  <c r="J2213" i="6"/>
  <c r="I2213" i="6"/>
  <c r="J2311" i="6"/>
  <c r="I2311" i="6"/>
  <c r="I2318" i="6"/>
  <c r="J2318" i="6"/>
  <c r="J2338" i="6"/>
  <c r="I2338" i="6"/>
  <c r="J2402" i="6"/>
  <c r="I2402" i="6"/>
  <c r="I2431" i="6"/>
  <c r="J2431" i="6"/>
  <c r="I2447" i="6"/>
  <c r="J2447" i="6"/>
  <c r="I2463" i="6"/>
  <c r="J2463" i="6"/>
  <c r="I2479" i="6"/>
  <c r="J2479" i="6"/>
  <c r="J2495" i="6"/>
  <c r="I2495" i="6"/>
  <c r="I2085" i="6"/>
  <c r="I2096" i="6"/>
  <c r="I2101" i="6"/>
  <c r="I2129" i="6"/>
  <c r="J2133" i="6"/>
  <c r="I2133" i="6"/>
  <c r="I2161" i="6"/>
  <c r="J2165" i="6"/>
  <c r="I2165" i="6"/>
  <c r="I2193" i="6"/>
  <c r="I2195" i="6"/>
  <c r="I2201" i="6"/>
  <c r="I2203" i="6"/>
  <c r="I2209" i="6"/>
  <c r="I2211" i="6"/>
  <c r="I2217" i="6"/>
  <c r="I2230" i="6"/>
  <c r="J2230" i="6"/>
  <c r="J2239" i="6"/>
  <c r="I2262" i="6"/>
  <c r="J2262" i="6"/>
  <c r="J2271" i="6"/>
  <c r="J2300" i="6"/>
  <c r="J2304" i="6"/>
  <c r="I2304" i="6"/>
  <c r="J2309" i="6"/>
  <c r="I2309" i="6"/>
  <c r="I2327" i="6"/>
  <c r="J2327" i="6"/>
  <c r="I2391" i="6"/>
  <c r="J2391" i="6"/>
  <c r="I2103" i="6"/>
  <c r="J2107" i="6"/>
  <c r="I2118" i="6"/>
  <c r="J2120" i="6"/>
  <c r="I2120" i="6"/>
  <c r="I2131" i="6"/>
  <c r="J2139" i="6"/>
  <c r="I2150" i="6"/>
  <c r="J2152" i="6"/>
  <c r="I2152" i="6"/>
  <c r="I2163" i="6"/>
  <c r="J2171" i="6"/>
  <c r="I2182" i="6"/>
  <c r="J2184" i="6"/>
  <c r="I2184" i="6"/>
  <c r="I2290" i="6"/>
  <c r="J2290" i="6"/>
  <c r="I2374" i="6"/>
  <c r="J2374" i="6"/>
  <c r="J2376" i="6"/>
  <c r="I2427" i="6"/>
  <c r="J2427" i="6"/>
  <c r="I2443" i="6"/>
  <c r="J2443" i="6"/>
  <c r="I2459" i="6"/>
  <c r="J2459" i="6"/>
  <c r="I2475" i="6"/>
  <c r="J2475" i="6"/>
  <c r="I2491" i="6"/>
  <c r="J2491" i="6"/>
  <c r="I2044" i="6"/>
  <c r="I2052" i="6"/>
  <c r="I2082" i="6"/>
  <c r="I2089" i="6"/>
  <c r="J2093" i="6"/>
  <c r="J2109" i="6"/>
  <c r="I2109" i="6"/>
  <c r="J2141" i="6"/>
  <c r="I2141" i="6"/>
  <c r="J2173" i="6"/>
  <c r="I2173" i="6"/>
  <c r="I2198" i="6"/>
  <c r="I2206" i="6"/>
  <c r="I2214" i="6"/>
  <c r="J2224" i="6"/>
  <c r="I2242" i="6"/>
  <c r="I2274" i="6"/>
  <c r="J2316" i="6"/>
  <c r="I2316" i="6"/>
  <c r="J2325" i="6"/>
  <c r="I2325" i="6"/>
  <c r="I2336" i="6"/>
  <c r="J2363" i="6"/>
  <c r="I2363" i="6"/>
  <c r="J2389" i="6"/>
  <c r="I2389" i="6"/>
  <c r="I2400" i="6"/>
  <c r="J2059" i="6"/>
  <c r="I2064" i="6"/>
  <c r="I2067" i="6"/>
  <c r="J2072" i="6"/>
  <c r="I2091" i="6"/>
  <c r="J2115" i="6"/>
  <c r="J2128" i="6"/>
  <c r="I2128" i="6"/>
  <c r="J2147" i="6"/>
  <c r="J2160" i="6"/>
  <c r="I2160" i="6"/>
  <c r="J2179" i="6"/>
  <c r="J2192" i="6"/>
  <c r="J2200" i="6"/>
  <c r="J2208" i="6"/>
  <c r="J2216" i="6"/>
  <c r="J2244" i="6"/>
  <c r="J2276" i="6"/>
  <c r="J2288" i="6"/>
  <c r="I2288" i="6"/>
  <c r="J2299" i="6"/>
  <c r="I2299" i="6"/>
  <c r="J2370" i="6"/>
  <c r="I2370" i="6"/>
  <c r="J2385" i="6"/>
  <c r="I2423" i="6"/>
  <c r="J2423" i="6"/>
  <c r="I2439" i="6"/>
  <c r="J2439" i="6"/>
  <c r="I2455" i="6"/>
  <c r="J2455" i="6"/>
  <c r="I2471" i="6"/>
  <c r="J2471" i="6"/>
  <c r="I2487" i="6"/>
  <c r="J2487" i="6"/>
  <c r="J2522" i="6"/>
  <c r="I2522" i="6"/>
  <c r="J2249" i="6"/>
  <c r="I2254" i="6"/>
  <c r="J2281" i="6"/>
  <c r="J2329" i="6"/>
  <c r="J2346" i="6"/>
  <c r="I2346" i="6"/>
  <c r="J2361" i="6"/>
  <c r="J2378" i="6"/>
  <c r="I2378" i="6"/>
  <c r="J2393" i="6"/>
  <c r="J2410" i="6"/>
  <c r="I2410" i="6"/>
  <c r="J2514" i="6"/>
  <c r="I2514" i="6"/>
  <c r="J2518" i="6"/>
  <c r="J2506" i="6"/>
  <c r="I2506" i="6"/>
  <c r="J2535" i="6"/>
  <c r="I2535" i="6"/>
  <c r="I2192" i="6"/>
  <c r="I2200" i="6"/>
  <c r="I2208" i="6"/>
  <c r="I2216" i="6"/>
  <c r="I2224" i="6"/>
  <c r="I2234" i="6"/>
  <c r="I2239" i="6"/>
  <c r="J2241" i="6"/>
  <c r="I2244" i="6"/>
  <c r="I2246" i="6"/>
  <c r="I2249" i="6"/>
  <c r="J2254" i="6"/>
  <c r="I2266" i="6"/>
  <c r="I2271" i="6"/>
  <c r="J2273" i="6"/>
  <c r="I2276" i="6"/>
  <c r="I2278" i="6"/>
  <c r="I2281" i="6"/>
  <c r="I2320" i="6"/>
  <c r="J2337" i="6"/>
  <c r="J2354" i="6"/>
  <c r="I2354" i="6"/>
  <c r="J2369" i="6"/>
  <c r="J2386" i="6"/>
  <c r="I2386" i="6"/>
  <c r="J2401" i="6"/>
  <c r="J2418" i="6"/>
  <c r="I2418" i="6"/>
  <c r="J2498" i="6"/>
  <c r="I2498" i="6"/>
  <c r="J2527" i="6"/>
  <c r="I2527" i="6"/>
  <c r="J2539" i="6"/>
  <c r="J2306" i="6"/>
  <c r="I2313" i="6"/>
  <c r="I2315" i="6"/>
  <c r="J2322" i="6"/>
  <c r="I2333" i="6"/>
  <c r="J2335" i="6"/>
  <c r="I2339" i="6"/>
  <c r="J2350" i="6"/>
  <c r="I2365" i="6"/>
  <c r="J2367" i="6"/>
  <c r="I2371" i="6"/>
  <c r="J2382" i="6"/>
  <c r="I2397" i="6"/>
  <c r="J2399" i="6"/>
  <c r="I2403" i="6"/>
  <c r="J2414" i="6"/>
  <c r="J2422" i="6"/>
  <c r="I2422" i="6"/>
  <c r="J2426" i="6"/>
  <c r="I2426" i="6"/>
  <c r="J2430" i="6"/>
  <c r="I2430" i="6"/>
  <c r="J2434" i="6"/>
  <c r="I2434" i="6"/>
  <c r="J2438" i="6"/>
  <c r="I2438" i="6"/>
  <c r="J2442" i="6"/>
  <c r="I2442" i="6"/>
  <c r="J2446" i="6"/>
  <c r="I2446" i="6"/>
  <c r="J2450" i="6"/>
  <c r="I2450" i="6"/>
  <c r="J2454" i="6"/>
  <c r="I2454" i="6"/>
  <c r="J2458" i="6"/>
  <c r="I2458" i="6"/>
  <c r="J2462" i="6"/>
  <c r="I2462" i="6"/>
  <c r="J2466" i="6"/>
  <c r="I2466" i="6"/>
  <c r="J2470" i="6"/>
  <c r="I2470" i="6"/>
  <c r="J2474" i="6"/>
  <c r="I2474" i="6"/>
  <c r="J2478" i="6"/>
  <c r="I2478" i="6"/>
  <c r="J2482" i="6"/>
  <c r="I2482" i="6"/>
  <c r="J2486" i="6"/>
  <c r="I2486" i="6"/>
  <c r="J2490" i="6"/>
  <c r="I2490" i="6"/>
  <c r="J2519" i="6"/>
  <c r="I2519" i="6"/>
  <c r="J2531" i="6"/>
  <c r="J2233" i="6"/>
  <c r="I2238" i="6"/>
  <c r="I2241" i="6"/>
  <c r="J2246" i="6"/>
  <c r="J2265" i="6"/>
  <c r="I2270" i="6"/>
  <c r="I2273" i="6"/>
  <c r="J2278" i="6"/>
  <c r="J2330" i="6"/>
  <c r="I2330" i="6"/>
  <c r="J2345" i="6"/>
  <c r="J2362" i="6"/>
  <c r="I2362" i="6"/>
  <c r="J2377" i="6"/>
  <c r="J2394" i="6"/>
  <c r="I2394" i="6"/>
  <c r="J2511" i="6"/>
  <c r="I2511" i="6"/>
  <c r="J2523" i="6"/>
  <c r="J2289" i="6"/>
  <c r="I2298" i="6"/>
  <c r="J2305" i="6"/>
  <c r="I2314" i="6"/>
  <c r="I2317" i="6"/>
  <c r="J2321" i="6"/>
  <c r="J2326" i="6"/>
  <c r="I2334" i="6"/>
  <c r="I2341" i="6"/>
  <c r="J2349" i="6"/>
  <c r="J2358" i="6"/>
  <c r="I2366" i="6"/>
  <c r="I2373" i="6"/>
  <c r="J2381" i="6"/>
  <c r="J2390" i="6"/>
  <c r="I2398" i="6"/>
  <c r="I2405" i="6"/>
  <c r="J2407" i="6"/>
  <c r="J2413" i="6"/>
  <c r="J2503" i="6"/>
  <c r="I2503" i="6"/>
  <c r="J2509" i="6"/>
  <c r="J2515" i="6"/>
  <c r="J2538" i="6"/>
  <c r="I2538" i="6"/>
  <c r="I2494" i="6"/>
  <c r="I2502" i="6"/>
  <c r="I2510" i="6"/>
  <c r="I2518" i="6"/>
  <c r="I2526" i="6"/>
  <c r="I2534" i="6"/>
  <c r="B9" i="8" l="1"/>
</calcChain>
</file>

<file path=xl/sharedStrings.xml><?xml version="1.0" encoding="utf-8"?>
<sst xmlns="http://schemas.openxmlformats.org/spreadsheetml/2006/main" count="3825" uniqueCount="438">
  <si>
    <t>Question #</t>
  </si>
  <si>
    <t>Question</t>
  </si>
  <si>
    <t>Create a calculation to compute the Availability %. Ensure the logic includes handling for missing or error values (such as nulls or #N/A) and format the final result as a percentage.</t>
  </si>
  <si>
    <t>Create calculations to determine and display the Service and Band for each User by month. Use appropriate lookup or relationship-based logic to return the correct values.</t>
  </si>
  <si>
    <t>Create a calculation that returns TRUE or FALSE to indicate whether a User belongs to Service A and has a Band 3 classification. Apply conditional logic to evaluate both criteria.</t>
  </si>
  <si>
    <t>Create a formula or measure to calculate both the Average and Median Availability % for the year 2025, filtered to include only Service B and Users in Band 3 and Band 5.</t>
  </si>
  <si>
    <t>Create a dynamic table or summary view that displays Availability % by month for 2025, which can be controlled using filters or slicers for both Band and Service. Accompany this with an appropriate visual to enable clear and interactive comparison across Bands and Services.</t>
  </si>
  <si>
    <t>Operational Area</t>
  </si>
  <si>
    <t>User</t>
  </si>
  <si>
    <t>FTE</t>
  </si>
  <si>
    <t>Band</t>
  </si>
  <si>
    <t>Start Date (US Format)</t>
  </si>
  <si>
    <t>Start Date (UK Format)</t>
  </si>
  <si>
    <t>Service A</t>
  </si>
  <si>
    <t>User1000</t>
  </si>
  <si>
    <t>Band 3</t>
  </si>
  <si>
    <t>12/1/2025</t>
  </si>
  <si>
    <t>User1001</t>
  </si>
  <si>
    <t>Band 5</t>
  </si>
  <si>
    <t>9/22/2025</t>
  </si>
  <si>
    <t>Service B</t>
  </si>
  <si>
    <t>User1002</t>
  </si>
  <si>
    <t>10/6/2025</t>
  </si>
  <si>
    <t>Service C</t>
  </si>
  <si>
    <t>User1003</t>
  </si>
  <si>
    <t>Band 4</t>
  </si>
  <si>
    <t>User1004</t>
  </si>
  <si>
    <t>9/15/2025</t>
  </si>
  <si>
    <t>User1005</t>
  </si>
  <si>
    <t>User1006</t>
  </si>
  <si>
    <t>11/3/2025</t>
  </si>
  <si>
    <t>User1007</t>
  </si>
  <si>
    <t>User1008</t>
  </si>
  <si>
    <t>User1009</t>
  </si>
  <si>
    <t>10/1/2025</t>
  </si>
  <si>
    <t>User1010</t>
  </si>
  <si>
    <t>12/2/2025</t>
  </si>
  <si>
    <t>User1011</t>
  </si>
  <si>
    <t>User1012</t>
  </si>
  <si>
    <t>User1013</t>
  </si>
  <si>
    <t>11/10/2025</t>
  </si>
  <si>
    <t>User1014</t>
  </si>
  <si>
    <t>User1015</t>
  </si>
  <si>
    <t>12/8/2025</t>
  </si>
  <si>
    <t>User1016</t>
  </si>
  <si>
    <t>User1017</t>
  </si>
  <si>
    <t>User1018</t>
  </si>
  <si>
    <t>8/27/2024</t>
  </si>
  <si>
    <t>User1019</t>
  </si>
  <si>
    <t>10/21/2024</t>
  </si>
  <si>
    <t>User1020</t>
  </si>
  <si>
    <t>User1021</t>
  </si>
  <si>
    <t>8/19/2024</t>
  </si>
  <si>
    <t>User1022</t>
  </si>
  <si>
    <t>6/17/2024</t>
  </si>
  <si>
    <t>User1023</t>
  </si>
  <si>
    <t>6/10/2024</t>
  </si>
  <si>
    <t>Service D</t>
  </si>
  <si>
    <t>User1024</t>
  </si>
  <si>
    <t>10/2/2023</t>
  </si>
  <si>
    <t>User1025</t>
  </si>
  <si>
    <t>User1026</t>
  </si>
  <si>
    <t>User1027</t>
  </si>
  <si>
    <t>User1028</t>
  </si>
  <si>
    <t>7/22/2024</t>
  </si>
  <si>
    <t>User1029</t>
  </si>
  <si>
    <t>1/1/2024</t>
  </si>
  <si>
    <t>User1030</t>
  </si>
  <si>
    <t>11/1/2023</t>
  </si>
  <si>
    <t>User1031</t>
  </si>
  <si>
    <t>9/4/2023</t>
  </si>
  <si>
    <t>User1032</t>
  </si>
  <si>
    <t>11/4/2024</t>
  </si>
  <si>
    <t>User1033</t>
  </si>
  <si>
    <t>2/24/2025</t>
  </si>
  <si>
    <t>User1034</t>
  </si>
  <si>
    <t>5/8/2024</t>
  </si>
  <si>
    <t>User1035</t>
  </si>
  <si>
    <t>User1036</t>
  </si>
  <si>
    <t>3/10/2025</t>
  </si>
  <si>
    <t>User1037</t>
  </si>
  <si>
    <t>User1038</t>
  </si>
  <si>
    <t>User1039</t>
  </si>
  <si>
    <t>User1040</t>
  </si>
  <si>
    <t>4/2/2024</t>
  </si>
  <si>
    <t>User1041</t>
  </si>
  <si>
    <t>User1042</t>
  </si>
  <si>
    <t>8/20/2024</t>
  </si>
  <si>
    <t>User1043</t>
  </si>
  <si>
    <t>8/26/2024</t>
  </si>
  <si>
    <t>User1044</t>
  </si>
  <si>
    <t>4/1/2024</t>
  </si>
  <si>
    <t>User1045</t>
  </si>
  <si>
    <t>4/29/2024</t>
  </si>
  <si>
    <t>User1046</t>
  </si>
  <si>
    <t>User1047</t>
  </si>
  <si>
    <t>User1048</t>
  </si>
  <si>
    <t>User1049</t>
  </si>
  <si>
    <t>1/1/2025</t>
  </si>
  <si>
    <t>User1050</t>
  </si>
  <si>
    <t>3/11/2024</t>
  </si>
  <si>
    <t>User1051</t>
  </si>
  <si>
    <t>User1052</t>
  </si>
  <si>
    <t>User1053</t>
  </si>
  <si>
    <t>4/1/2023</t>
  </si>
  <si>
    <t>User1054</t>
  </si>
  <si>
    <t>User1055</t>
  </si>
  <si>
    <t>3/18/2024</t>
  </si>
  <si>
    <t>User1056</t>
  </si>
  <si>
    <t>4/8/2024</t>
  </si>
  <si>
    <t>User1057</t>
  </si>
  <si>
    <t>User1058</t>
  </si>
  <si>
    <t>11/7/2024</t>
  </si>
  <si>
    <t>User1059</t>
  </si>
  <si>
    <t>User1060</t>
  </si>
  <si>
    <t>User1061</t>
  </si>
  <si>
    <t>User1062</t>
  </si>
  <si>
    <t>User1063</t>
  </si>
  <si>
    <t>User1064</t>
  </si>
  <si>
    <t>User1065</t>
  </si>
  <si>
    <t>User1066</t>
  </si>
  <si>
    <t>4/11/2023</t>
  </si>
  <si>
    <t>User1067</t>
  </si>
  <si>
    <t>3/13/2023</t>
  </si>
  <si>
    <t>User1068</t>
  </si>
  <si>
    <t>User1069</t>
  </si>
  <si>
    <t>4/16/2024</t>
  </si>
  <si>
    <t>User1070</t>
  </si>
  <si>
    <t>User1071</t>
  </si>
  <si>
    <t>User1072</t>
  </si>
  <si>
    <t>6/13/2024</t>
  </si>
  <si>
    <t>User1073</t>
  </si>
  <si>
    <t>User1074</t>
  </si>
  <si>
    <t>3/3/2025</t>
  </si>
  <si>
    <t>User1075</t>
  </si>
  <si>
    <t>User1076</t>
  </si>
  <si>
    <t>7/15/2024</t>
  </si>
  <si>
    <t>User1077</t>
  </si>
  <si>
    <t>User1078</t>
  </si>
  <si>
    <t>5/1/2024</t>
  </si>
  <si>
    <t>User1079</t>
  </si>
  <si>
    <t>2/17/2025</t>
  </si>
  <si>
    <t>User1080</t>
  </si>
  <si>
    <t>User1081</t>
  </si>
  <si>
    <t>User1082</t>
  </si>
  <si>
    <t>User1083</t>
  </si>
  <si>
    <t>User1084</t>
  </si>
  <si>
    <t>User1085</t>
  </si>
  <si>
    <t>3/24/2025</t>
  </si>
  <si>
    <t>User1086</t>
  </si>
  <si>
    <t>User1087</t>
  </si>
  <si>
    <t>User1088</t>
  </si>
  <si>
    <t>User1089</t>
  </si>
  <si>
    <t>User1090</t>
  </si>
  <si>
    <t>User1091</t>
  </si>
  <si>
    <t>User1092</t>
  </si>
  <si>
    <t>User1093</t>
  </si>
  <si>
    <t>User1094</t>
  </si>
  <si>
    <t>User1095</t>
  </si>
  <si>
    <t>User1096</t>
  </si>
  <si>
    <t>User1097</t>
  </si>
  <si>
    <t>User1098</t>
  </si>
  <si>
    <t>5/9/2023</t>
  </si>
  <si>
    <t>User1099</t>
  </si>
  <si>
    <t>User1100</t>
  </si>
  <si>
    <t>3/1/2024</t>
  </si>
  <si>
    <t>User1101</t>
  </si>
  <si>
    <t>5/13/2024</t>
  </si>
  <si>
    <t>User1102</t>
  </si>
  <si>
    <t>User1103</t>
  </si>
  <si>
    <t>User1104</t>
  </si>
  <si>
    <t>User1105</t>
  </si>
  <si>
    <t>User1106</t>
  </si>
  <si>
    <t>User1107</t>
  </si>
  <si>
    <t>5/26/2025</t>
  </si>
  <si>
    <t>User1108</t>
  </si>
  <si>
    <t>User1109</t>
  </si>
  <si>
    <t>5/21/2025</t>
  </si>
  <si>
    <t>User1110</t>
  </si>
  <si>
    <t>User1111</t>
  </si>
  <si>
    <t>6/2/2025</t>
  </si>
  <si>
    <t>User1112</t>
  </si>
  <si>
    <t>User1113</t>
  </si>
  <si>
    <t>User1114</t>
  </si>
  <si>
    <t>User1115</t>
  </si>
  <si>
    <t>3/1/2023</t>
  </si>
  <si>
    <t>User1116</t>
  </si>
  <si>
    <t>User1117</t>
  </si>
  <si>
    <t>User1118</t>
  </si>
  <si>
    <t>5/7/2024</t>
  </si>
  <si>
    <t>User1119</t>
  </si>
  <si>
    <t>7/18/2024</t>
  </si>
  <si>
    <t>User1120</t>
  </si>
  <si>
    <t>User1121</t>
  </si>
  <si>
    <t>User1122</t>
  </si>
  <si>
    <t>User1123</t>
  </si>
  <si>
    <t>User1124</t>
  </si>
  <si>
    <t>User1125</t>
  </si>
  <si>
    <t>User1126</t>
  </si>
  <si>
    <t>User1127</t>
  </si>
  <si>
    <t>User1128</t>
  </si>
  <si>
    <t>User1129</t>
  </si>
  <si>
    <t>User1130</t>
  </si>
  <si>
    <t>User1131</t>
  </si>
  <si>
    <t>12/9/2024</t>
  </si>
  <si>
    <t>User1132</t>
  </si>
  <si>
    <t>User1133</t>
  </si>
  <si>
    <t>User1134</t>
  </si>
  <si>
    <t>9/16/2024</t>
  </si>
  <si>
    <t>User1135</t>
  </si>
  <si>
    <t>User1136</t>
  </si>
  <si>
    <t>User1137</t>
  </si>
  <si>
    <t>User1138</t>
  </si>
  <si>
    <t>User1139</t>
  </si>
  <si>
    <t>User1140</t>
  </si>
  <si>
    <t>User1141</t>
  </si>
  <si>
    <t>User1142</t>
  </si>
  <si>
    <t>User1143</t>
  </si>
  <si>
    <t>User1144</t>
  </si>
  <si>
    <t>4/9/2024</t>
  </si>
  <si>
    <t>User1145</t>
  </si>
  <si>
    <t>User1146</t>
  </si>
  <si>
    <t>User1147</t>
  </si>
  <si>
    <t>User1148</t>
  </si>
  <si>
    <t>User1149</t>
  </si>
  <si>
    <t>User1150</t>
  </si>
  <si>
    <t>2/5/2024</t>
  </si>
  <si>
    <t>User1151</t>
  </si>
  <si>
    <t>User1152</t>
  </si>
  <si>
    <t>User1153</t>
  </si>
  <si>
    <t>User1154</t>
  </si>
  <si>
    <t>User1155</t>
  </si>
  <si>
    <t>4/3/2023</t>
  </si>
  <si>
    <t>User1156</t>
  </si>
  <si>
    <t>User1157</t>
  </si>
  <si>
    <t>7/1/2024</t>
  </si>
  <si>
    <t>User1158</t>
  </si>
  <si>
    <t>User1159</t>
  </si>
  <si>
    <t>User1160</t>
  </si>
  <si>
    <t>User1161</t>
  </si>
  <si>
    <t>3/12/2024</t>
  </si>
  <si>
    <t>User1162</t>
  </si>
  <si>
    <t>User1163</t>
  </si>
  <si>
    <t>User1164</t>
  </si>
  <si>
    <t>User1165</t>
  </si>
  <si>
    <t>7/21/2025</t>
  </si>
  <si>
    <t>User1166</t>
  </si>
  <si>
    <t>User1167</t>
  </si>
  <si>
    <t>User1168</t>
  </si>
  <si>
    <t>User1169</t>
  </si>
  <si>
    <t>User1170</t>
  </si>
  <si>
    <t>User1171</t>
  </si>
  <si>
    <t>User1172</t>
  </si>
  <si>
    <t>User1173</t>
  </si>
  <si>
    <t>User1174</t>
  </si>
  <si>
    <t>User1175</t>
  </si>
  <si>
    <t>User1176</t>
  </si>
  <si>
    <t>User1177</t>
  </si>
  <si>
    <t>8/1/2024</t>
  </si>
  <si>
    <t>User1178</t>
  </si>
  <si>
    <t>User1179</t>
  </si>
  <si>
    <t>User1180</t>
  </si>
  <si>
    <t>User1181</t>
  </si>
  <si>
    <t>User1182</t>
  </si>
  <si>
    <t>User1183</t>
  </si>
  <si>
    <t>User1184</t>
  </si>
  <si>
    <t>User1185</t>
  </si>
  <si>
    <t>10/1/2024</t>
  </si>
  <si>
    <t>User1186</t>
  </si>
  <si>
    <t>User1187</t>
  </si>
  <si>
    <t>User1188</t>
  </si>
  <si>
    <t>User1189</t>
  </si>
  <si>
    <t>User1190</t>
  </si>
  <si>
    <t>User1191</t>
  </si>
  <si>
    <t>User1192</t>
  </si>
  <si>
    <t>User1193</t>
  </si>
  <si>
    <t>User1194</t>
  </si>
  <si>
    <t>User1195</t>
  </si>
  <si>
    <t>4/13/2023</t>
  </si>
  <si>
    <t>User1196</t>
  </si>
  <si>
    <t>User1197</t>
  </si>
  <si>
    <t>User1198</t>
  </si>
  <si>
    <t>User1199</t>
  </si>
  <si>
    <t>User1200</t>
  </si>
  <si>
    <t>User1201</t>
  </si>
  <si>
    <t>User1202</t>
  </si>
  <si>
    <t>4/3/2024</t>
  </si>
  <si>
    <t>User1203</t>
  </si>
  <si>
    <t>User1204</t>
  </si>
  <si>
    <t>User1205</t>
  </si>
  <si>
    <t>User1206</t>
  </si>
  <si>
    <t>User1207</t>
  </si>
  <si>
    <t>User1208</t>
  </si>
  <si>
    <t>User1209</t>
  </si>
  <si>
    <t>User1210</t>
  </si>
  <si>
    <t>User1211</t>
  </si>
  <si>
    <t>User1212</t>
  </si>
  <si>
    <t>User1213</t>
  </si>
  <si>
    <t>User1214</t>
  </si>
  <si>
    <t>5/23/2024</t>
  </si>
  <si>
    <t>User1215</t>
  </si>
  <si>
    <t>7/20/2024</t>
  </si>
  <si>
    <t>User1216</t>
  </si>
  <si>
    <t>User1217</t>
  </si>
  <si>
    <t>User1218</t>
  </si>
  <si>
    <t>User1219</t>
  </si>
  <si>
    <t>User1220</t>
  </si>
  <si>
    <t>4/15/2024</t>
  </si>
  <si>
    <t>User1221</t>
  </si>
  <si>
    <t>User1222</t>
  </si>
  <si>
    <t>User1223</t>
  </si>
  <si>
    <t>5/19/2025</t>
  </si>
  <si>
    <t>User1224</t>
  </si>
  <si>
    <t>User1225</t>
  </si>
  <si>
    <t>User1226</t>
  </si>
  <si>
    <t>4/22/2024</t>
  </si>
  <si>
    <t>User1227</t>
  </si>
  <si>
    <t>User1228</t>
  </si>
  <si>
    <t>User1229</t>
  </si>
  <si>
    <t>6/3/2024</t>
  </si>
  <si>
    <t>User1230</t>
  </si>
  <si>
    <t>User1231</t>
  </si>
  <si>
    <t>User1232</t>
  </si>
  <si>
    <t>User1233</t>
  </si>
  <si>
    <t>User1234</t>
  </si>
  <si>
    <t>User1235</t>
  </si>
  <si>
    <t>User1236</t>
  </si>
  <si>
    <t>User1237</t>
  </si>
  <si>
    <t>User1238</t>
  </si>
  <si>
    <t>User1239</t>
  </si>
  <si>
    <t>User1240</t>
  </si>
  <si>
    <t>9/9/2024</t>
  </si>
  <si>
    <t>User1241</t>
  </si>
  <si>
    <t>User1242</t>
  </si>
  <si>
    <t>User1243</t>
  </si>
  <si>
    <t>User1244</t>
  </si>
  <si>
    <t>User1245</t>
  </si>
  <si>
    <t>User1246</t>
  </si>
  <si>
    <t>User1247</t>
  </si>
  <si>
    <t>User1248</t>
  </si>
  <si>
    <t>User1249</t>
  </si>
  <si>
    <t>User1250</t>
  </si>
  <si>
    <t>User1251</t>
  </si>
  <si>
    <t>User1252</t>
  </si>
  <si>
    <t>User1253</t>
  </si>
  <si>
    <t>User1254</t>
  </si>
  <si>
    <t>User1255</t>
  </si>
  <si>
    <t>User1256</t>
  </si>
  <si>
    <t>User1257</t>
  </si>
  <si>
    <t>User1258</t>
  </si>
  <si>
    <t>11/11/2024</t>
  </si>
  <si>
    <t>User1259</t>
  </si>
  <si>
    <t>User1260</t>
  </si>
  <si>
    <t>User1261</t>
  </si>
  <si>
    <t>User1262</t>
  </si>
  <si>
    <t>User1263</t>
  </si>
  <si>
    <t>User1264</t>
  </si>
  <si>
    <t>User1265</t>
  </si>
  <si>
    <t>User1266</t>
  </si>
  <si>
    <t>User1267</t>
  </si>
  <si>
    <t>User1268</t>
  </si>
  <si>
    <t>User1269</t>
  </si>
  <si>
    <t>User1270</t>
  </si>
  <si>
    <t>User1271</t>
  </si>
  <si>
    <t>User1272</t>
  </si>
  <si>
    <t>User1273</t>
  </si>
  <si>
    <t>10/5/2025</t>
  </si>
  <si>
    <t>User1274</t>
  </si>
  <si>
    <t>1/5/2026</t>
  </si>
  <si>
    <t>User1275</t>
  </si>
  <si>
    <t>User1276</t>
  </si>
  <si>
    <t>User1277</t>
  </si>
  <si>
    <t>User1278</t>
  </si>
  <si>
    <t>User1279</t>
  </si>
  <si>
    <t>User1280</t>
  </si>
  <si>
    <t>User1281</t>
  </si>
  <si>
    <t>12/25/2025</t>
  </si>
  <si>
    <t>User1282</t>
  </si>
  <si>
    <t>User1283</t>
  </si>
  <si>
    <t>User1284</t>
  </si>
  <si>
    <t>User1285</t>
  </si>
  <si>
    <t>User1286</t>
  </si>
  <si>
    <t>User1287</t>
  </si>
  <si>
    <t>User1288</t>
  </si>
  <si>
    <t>User1289</t>
  </si>
  <si>
    <t>1/19/2026</t>
  </si>
  <si>
    <t>User1290</t>
  </si>
  <si>
    <t>User1291</t>
  </si>
  <si>
    <t>User1292</t>
  </si>
  <si>
    <t>User1293</t>
  </si>
  <si>
    <t>User1294</t>
  </si>
  <si>
    <t>User1295</t>
  </si>
  <si>
    <t>User1296</t>
  </si>
  <si>
    <t>User1297</t>
  </si>
  <si>
    <t>User1298</t>
  </si>
  <si>
    <t>User1299</t>
  </si>
  <si>
    <t>User1300</t>
  </si>
  <si>
    <t>User1301</t>
  </si>
  <si>
    <t>User1302</t>
  </si>
  <si>
    <t>User1303</t>
  </si>
  <si>
    <t>User1304</t>
  </si>
  <si>
    <t>User1305</t>
  </si>
  <si>
    <t>User1306</t>
  </si>
  <si>
    <t>User1307</t>
  </si>
  <si>
    <t>User1308</t>
  </si>
  <si>
    <t>Reporting Month</t>
  </si>
  <si>
    <t>Contracted Hours</t>
  </si>
  <si>
    <t>Available Hours</t>
  </si>
  <si>
    <t>Occupied Hours</t>
  </si>
  <si>
    <t>Service</t>
  </si>
  <si>
    <t>Service A &amp; Band 3</t>
  </si>
  <si>
    <t>Solution / Evidence</t>
  </si>
  <si>
    <t>Performance Data!F2:F2540 – error-safe Available Hours ÷ Contracted Hours; formatted as %.</t>
  </si>
  <si>
    <t>Performance Data!G:H – INDEX/MATCH lookup from Users for Service and Band.</t>
  </si>
  <si>
    <t>Performance Data!I:I – AND(Service="Service A", Band="Band 3").</t>
  </si>
  <si>
    <t>Performance Data!J:J + Summary!A7:C10 – conditional helper enables Average and Median for 2025, Service B, Bands 3 &amp; 5.</t>
  </si>
  <si>
    <t>Summary!A12:E25 + line chart – dynamic monthly view controlled by Service/Band dropdown filters.</t>
  </si>
  <si>
    <t>Availability %</t>
  </si>
  <si>
    <t>Q4 Eligible Availability %</t>
  </si>
  <si>
    <t>Data Analyst Practical Test – Solution Summary</t>
  </si>
  <si>
    <t>Service filter</t>
  </si>
  <si>
    <t>How to use</t>
  </si>
  <si>
    <t>Change the yellow dropdowns to filter the 2025 monthly view.</t>
  </si>
  <si>
    <t>Band filter</t>
  </si>
  <si>
    <t>Comparison</t>
  </si>
  <si>
    <t>Chart compares the selected combination with Service, Band and Overall averages.</t>
  </si>
  <si>
    <t>Question 4 – 2025 Service B, Band 3 &amp; Band 5</t>
  </si>
  <si>
    <t>Metric</t>
  </si>
  <si>
    <t>Result</t>
  </si>
  <si>
    <t>QA check</t>
  </si>
  <si>
    <t>Average Availability %</t>
  </si>
  <si>
    <t>Median Availability %</t>
  </si>
  <si>
    <t>Question 5 – Dynamic 2025 Monthly Availability View</t>
  </si>
  <si>
    <t>Month</t>
  </si>
  <si>
    <t>Selected Service + Band</t>
  </si>
  <si>
    <t>Selected Service (all Bands)</t>
  </si>
  <si>
    <t>Selected Band (all Services)</t>
  </si>
  <si>
    <t>Overall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</si>
</sst>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Aptos Narrow"/>
    </font>
    <font>
      <b/>
      <sz val="12"/>
      <name val="Arial"/>
    </font>
    <font>
      <sz val="12"/>
      <name val="Arial"/>
    </font>
    <font>
      <sz val="11"/>
      <name val="Aptos Narrow"/>
    </font>
    <font>
      <b/>
      <sz val="16"/>
      <color rgb="FFFFFFFF"/>
      <name val="Aptos Narrow"/>
    </font>
    <font>
      <b/>
      <sz val="11"/>
      <name val="Aptos Narrow"/>
    </font>
    <font>
      <i/>
      <sz val="11"/>
      <name val="Aptos Narrow"/>
    </font>
    <font>
      <b/>
      <sz val="11"/>
      <color rgb="FFFFFFFF"/>
      <name val="Aptos Narrow"/>
    </font>
    <font>
      <b/>
      <sz val="12"/>
      <color rgb="FFFFFFFF"/>
      <name val="Arial"/>
    </font>
  </fonts>
  <fills count="10">
    <fill>
      <patternFill patternType="none"/>
    </fill>
    <fill>
      <patternFill patternType="gray125"/>
    </fill>
    <fill>
      <patternFill patternType="solid">
        <fgColor theme="0" tint="-4.9989318521683403E-2"/>
        <bgColor indexed="65"/>
      </patternFill>
    </fill>
    <fill>
      <patternFill patternType="solid">
        <fgColor theme="0" tint="-0.249977111117893"/>
        <bgColor indexed="65"/>
      </patternFill>
    </fill>
    <fill>
      <patternFill patternType="solid">
        <fgColor rgb="FFEAF2F8"/>
      </patternFill>
    </fill>
    <fill>
      <patternFill patternType="solid">
        <fgColor rgb="FF1F4E78"/>
      </patternFill>
    </fill>
    <fill>
      <patternFill patternType="solid">
        <fgColor rgb="FFFFF2CC"/>
      </patternFill>
    </fill>
    <fill>
      <patternFill patternType="solid">
        <fgColor rgb="FFD9EAF7"/>
      </patternFill>
    </fill>
    <fill>
      <patternFill patternType="solid">
        <fgColor rgb="FFD9E1F2"/>
      </patternFill>
    </fill>
    <fill>
      <patternFill patternType="solid">
        <fgColor rgb="FFF2F2F2"/>
      </patternFill>
    </fill>
  </fills>
  <borders count="11">
    <border>
      <left/>
      <right/>
      <top/>
      <bottom/>
      <diagonal/>
    </border>
    <border>
      <left/>
      <right/>
      <top/>
      <bottom style="thin">
        <color auto="1"/>
      </bottom>
      <diagonal/>
    </border>
    <border>
      <left/>
      <right/>
      <top/>
      <bottom style="thin">
        <color rgb="FF7F8C8D"/>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s>
  <cellStyleXfs count="2">
    <xf numFmtId="0" fontId="0" fillId="0" borderId="0"/>
    <xf numFmtId="9" fontId="3" fillId="0" borderId="0" applyFont="0" applyFill="0" applyBorder="0" applyAlignment="0" applyProtection="0"/>
  </cellStyleXfs>
  <cellXfs count="47">
    <xf numFmtId="0" fontId="0" fillId="0" borderId="0" xfId="0"/>
    <xf numFmtId="0" fontId="2" fillId="0" borderId="0" xfId="0" applyFont="1"/>
    <xf numFmtId="0" fontId="1" fillId="0" borderId="0" xfId="0" applyFont="1" applyAlignment="1">
      <alignment vertical="top" wrapText="1"/>
    </xf>
    <xf numFmtId="0" fontId="2" fillId="0" borderId="0" xfId="0" applyFont="1" applyAlignment="1">
      <alignment vertical="center" wrapText="1"/>
    </xf>
    <xf numFmtId="0" fontId="2" fillId="0" borderId="0" xfId="0" applyFont="1" applyAlignment="1">
      <alignment vertical="center"/>
    </xf>
    <xf numFmtId="0" fontId="1" fillId="0" borderId="0" xfId="0" applyFont="1" applyAlignment="1">
      <alignment horizontal="left" vertical="top"/>
    </xf>
    <xf numFmtId="0" fontId="2" fillId="0" borderId="0" xfId="0" applyFont="1" applyAlignment="1">
      <alignment horizontal="left" vertical="center"/>
    </xf>
    <xf numFmtId="0" fontId="1" fillId="0" borderId="1" xfId="0" applyFont="1" applyBorder="1" applyAlignment="1">
      <alignment horizontal="left"/>
    </xf>
    <xf numFmtId="0" fontId="2" fillId="0" borderId="0" xfId="0" applyFont="1" applyAlignment="1">
      <alignment horizontal="left"/>
    </xf>
    <xf numFmtId="2" fontId="2" fillId="0" borderId="0" xfId="0" applyNumberFormat="1" applyFont="1" applyAlignment="1">
      <alignment horizontal="left"/>
    </xf>
    <xf numFmtId="0" fontId="2" fillId="2" borderId="0" xfId="0" applyFont="1" applyFill="1" applyAlignment="1">
      <alignment horizontal="left" vertical="center"/>
    </xf>
    <xf numFmtId="0" fontId="2" fillId="2" borderId="0" xfId="0" applyFont="1" applyFill="1" applyAlignment="1">
      <alignment vertical="center" wrapText="1"/>
    </xf>
    <xf numFmtId="2" fontId="1" fillId="0" borderId="1" xfId="0" applyNumberFormat="1" applyFont="1" applyBorder="1" applyAlignment="1">
      <alignment horizontal="left"/>
    </xf>
    <xf numFmtId="14" fontId="1" fillId="0" borderId="1" xfId="0" applyNumberFormat="1" applyFont="1" applyBorder="1" applyAlignment="1">
      <alignment horizontal="left"/>
    </xf>
    <xf numFmtId="14" fontId="2" fillId="0" borderId="0" xfId="0" applyNumberFormat="1" applyFont="1" applyAlignment="1">
      <alignment horizontal="left"/>
    </xf>
    <xf numFmtId="14" fontId="0" fillId="0" borderId="0" xfId="0" applyNumberFormat="1" applyAlignment="1">
      <alignment horizontal="left"/>
    </xf>
    <xf numFmtId="2" fontId="0" fillId="0" borderId="0" xfId="0" applyNumberFormat="1" applyAlignment="1">
      <alignment horizontal="left"/>
    </xf>
    <xf numFmtId="2" fontId="0" fillId="0" borderId="0" xfId="0" applyNumberFormat="1"/>
    <xf numFmtId="0" fontId="1" fillId="0" borderId="1" xfId="0" applyFont="1" applyBorder="1" applyAlignment="1">
      <alignment horizontal="center"/>
    </xf>
    <xf numFmtId="0" fontId="2" fillId="0" borderId="0" xfId="0" applyFont="1" applyAlignment="1">
      <alignment horizontal="center"/>
    </xf>
    <xf numFmtId="17" fontId="2" fillId="0" borderId="0" xfId="0" applyNumberFormat="1" applyFont="1" applyAlignment="1">
      <alignment horizontal="center"/>
    </xf>
    <xf numFmtId="2" fontId="2" fillId="0" borderId="0" xfId="0" applyNumberFormat="1" applyFont="1" applyAlignment="1">
      <alignment horizontal="center"/>
    </xf>
    <xf numFmtId="1" fontId="2" fillId="0" borderId="0" xfId="0" applyNumberFormat="1" applyFont="1" applyAlignment="1">
      <alignment horizontal="center"/>
    </xf>
    <xf numFmtId="0" fontId="0" fillId="3" borderId="0" xfId="0" applyFill="1"/>
    <xf numFmtId="0" fontId="2" fillId="3" borderId="0" xfId="0" applyFont="1" applyFill="1"/>
    <xf numFmtId="0" fontId="2" fillId="3" borderId="0" xfId="0" applyFont="1" applyFill="1" applyAlignment="1">
      <alignment vertical="center"/>
    </xf>
    <xf numFmtId="1" fontId="2" fillId="3" borderId="0" xfId="0" applyNumberFormat="1" applyFont="1" applyFill="1" applyAlignment="1">
      <alignment horizontal="center"/>
    </xf>
    <xf numFmtId="10" fontId="2" fillId="0" borderId="0" xfId="0" applyNumberFormat="1" applyFont="1" applyAlignment="1">
      <alignment horizontal="center"/>
    </xf>
    <xf numFmtId="0" fontId="1" fillId="4" borderId="2" xfId="0" applyFont="1" applyFill="1" applyBorder="1" applyAlignment="1">
      <alignment horizontal="center" vertical="center"/>
    </xf>
    <xf numFmtId="0" fontId="5" fillId="0" borderId="0" xfId="0" applyFont="1"/>
    <xf numFmtId="0" fontId="5" fillId="6" borderId="0" xfId="0" applyFont="1" applyFill="1" applyAlignment="1">
      <alignment horizontal="center"/>
    </xf>
    <xf numFmtId="0" fontId="0" fillId="0" borderId="0" xfId="0" applyAlignment="1">
      <alignment wrapText="1"/>
    </xf>
    <xf numFmtId="0" fontId="5" fillId="8" borderId="0" xfId="0" applyFont="1" applyFill="1" applyAlignment="1">
      <alignment horizontal="center"/>
    </xf>
    <xf numFmtId="10" fontId="0" fillId="0" borderId="0" xfId="0" applyNumberFormat="1"/>
    <xf numFmtId="10" fontId="6" fillId="9" borderId="0" xfId="0" applyNumberFormat="1" applyFont="1" applyFill="1"/>
    <xf numFmtId="0" fontId="7" fillId="5" borderId="3" xfId="0" applyFont="1" applyFill="1" applyBorder="1" applyAlignment="1">
      <alignment horizontal="center" wrapText="1"/>
    </xf>
    <xf numFmtId="0" fontId="7" fillId="5" borderId="4" xfId="0" applyFont="1" applyFill="1" applyBorder="1" applyAlignment="1">
      <alignment horizontal="center" wrapText="1"/>
    </xf>
    <xf numFmtId="0" fontId="7" fillId="5" borderId="5" xfId="0" applyFont="1" applyFill="1" applyBorder="1" applyAlignment="1">
      <alignment horizontal="center" wrapText="1"/>
    </xf>
    <xf numFmtId="17" fontId="0" fillId="0" borderId="6" xfId="0" applyNumberFormat="1" applyBorder="1"/>
    <xf numFmtId="10" fontId="0" fillId="0" borderId="7" xfId="0" applyNumberFormat="1" applyBorder="1"/>
    <xf numFmtId="17" fontId="0" fillId="0" borderId="8" xfId="0" applyNumberFormat="1" applyBorder="1"/>
    <xf numFmtId="10" fontId="0" fillId="0" borderId="9" xfId="0" applyNumberFormat="1" applyBorder="1"/>
    <xf numFmtId="10" fontId="0" fillId="0" borderId="10" xfId="0" applyNumberFormat="1" applyBorder="1"/>
    <xf numFmtId="0" fontId="8" fillId="5" borderId="0" xfId="0" applyFont="1" applyFill="1" applyAlignment="1">
      <alignment wrapText="1"/>
    </xf>
    <xf numFmtId="14" fontId="5" fillId="9" borderId="2" xfId="0" applyNumberFormat="1" applyFont="1" applyFill="1" applyBorder="1" applyAlignment="1">
      <alignment horizontal="center" wrapText="1"/>
    </xf>
    <xf numFmtId="0" fontId="4" fillId="5" borderId="0" xfId="0" applyFont="1" applyFill="1" applyAlignment="1">
      <alignment horizontal="left" vertical="center"/>
    </xf>
    <xf numFmtId="0" fontId="5" fillId="7" borderId="0" xfId="0" applyFont="1" applyFill="1"/>
  </cellXfs>
  <cellStyles count="2">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GB"/>
              <a:t>2025 Availability % – Interactive Comparison</a:t>
            </a:r>
          </a:p>
        </c:rich>
      </c:tx>
      <c:overlay val="1"/>
    </c:title>
    <c:autoTitleDeleted val="0"/>
    <c:plotArea>
      <c:layout/>
      <c:lineChart>
        <c:grouping val="standard"/>
        <c:varyColors val="1"/>
        <c:ser>
          <c:idx val="0"/>
          <c:order val="0"/>
          <c:tx>
            <c:v>Selected Service + Band</c:v>
          </c:tx>
          <c:marker>
            <c:symbol val="none"/>
          </c:marker>
          <c:cat>
            <c:numRef>
              <c:f>Summary!$A$14:$A$25</c:f>
              <c:numCache>
                <c:formatCode>mmm\-yy</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f>Summary!$B$14:$B$25</c:f>
              <c:numCache>
                <c:formatCode>0.00%</c:formatCode>
                <c:ptCount val="12"/>
                <c:pt idx="0">
                  <c:v>0.75928771605207956</c:v>
                </c:pt>
                <c:pt idx="1">
                  <c:v>0.84255615337559775</c:v>
                </c:pt>
                <c:pt idx="2">
                  <c:v>0.82654334957025799</c:v>
                </c:pt>
                <c:pt idx="3">
                  <c:v>0.76809349952732286</c:v>
                </c:pt>
                <c:pt idx="4">
                  <c:v>0.79266896107337292</c:v>
                </c:pt>
                <c:pt idx="5">
                  <c:v>0.8081265078341201</c:v>
                </c:pt>
                <c:pt idx="6">
                  <c:v>0.82427948005213425</c:v>
                </c:pt>
                <c:pt idx="7">
                  <c:v>0.68192506792142848</c:v>
                </c:pt>
                <c:pt idx="8">
                  <c:v>0.8239801995972208</c:v>
                </c:pt>
                <c:pt idx="9">
                  <c:v>0.83337759095795616</c:v>
                </c:pt>
                <c:pt idx="10">
                  <c:v>0.81157368618618619</c:v>
                </c:pt>
                <c:pt idx="11">
                  <c:v>0.61082405500738823</c:v>
                </c:pt>
              </c:numCache>
            </c:numRef>
          </c:val>
          <c:smooth val="1"/>
          <c:extLst>
            <c:ext xmlns:c16="http://schemas.microsoft.com/office/drawing/2014/chart" uri="{C3380CC4-5D6E-409C-BE32-E72D297353CC}">
              <c16:uniqueId val="{00000000-9E93-4506-9475-7989CC6519E1}"/>
            </c:ext>
          </c:extLst>
        </c:ser>
        <c:ser>
          <c:idx val="1"/>
          <c:order val="1"/>
          <c:tx>
            <c:v>Selected Service (all Bands)</c:v>
          </c:tx>
          <c:marker>
            <c:symbol val="none"/>
          </c:marker>
          <c:cat>
            <c:numRef>
              <c:f>Summary!$A$14:$A$25</c:f>
              <c:numCache>
                <c:formatCode>mmm\-yy</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f>Summary!$C$14:$C$25</c:f>
              <c:numCache>
                <c:formatCode>0.00%</c:formatCode>
                <c:ptCount val="12"/>
                <c:pt idx="0">
                  <c:v>0.77309565938487501</c:v>
                </c:pt>
                <c:pt idx="1">
                  <c:v>0.8470119271814186</c:v>
                </c:pt>
                <c:pt idx="2">
                  <c:v>0.83431386127721685</c:v>
                </c:pt>
                <c:pt idx="3">
                  <c:v>0.77075158979857972</c:v>
                </c:pt>
                <c:pt idx="4">
                  <c:v>0.79120837159473534</c:v>
                </c:pt>
                <c:pt idx="5">
                  <c:v>0.81422626551548105</c:v>
                </c:pt>
                <c:pt idx="6">
                  <c:v>0.83296931088807513</c:v>
                </c:pt>
                <c:pt idx="7">
                  <c:v>0.69405743790750163</c:v>
                </c:pt>
                <c:pt idx="8">
                  <c:v>0.79914676074676083</c:v>
                </c:pt>
                <c:pt idx="9">
                  <c:v>0.84885712851012096</c:v>
                </c:pt>
                <c:pt idx="10">
                  <c:v>0.8397616516516514</c:v>
                </c:pt>
                <c:pt idx="11">
                  <c:v>0.65276837925965836</c:v>
                </c:pt>
              </c:numCache>
            </c:numRef>
          </c:val>
          <c:smooth val="1"/>
          <c:extLst>
            <c:ext xmlns:c16="http://schemas.microsoft.com/office/drawing/2014/chart" uri="{C3380CC4-5D6E-409C-BE32-E72D297353CC}">
              <c16:uniqueId val="{00000001-9E93-4506-9475-7989CC6519E1}"/>
            </c:ext>
          </c:extLst>
        </c:ser>
        <c:ser>
          <c:idx val="2"/>
          <c:order val="2"/>
          <c:tx>
            <c:v>Selected Band (all Services)</c:v>
          </c:tx>
          <c:marker>
            <c:symbol val="none"/>
          </c:marker>
          <c:cat>
            <c:numRef>
              <c:f>Summary!$A$14:$A$25</c:f>
              <c:numCache>
                <c:formatCode>mmm\-yy</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f>Summary!$D$14:$D$25</c:f>
              <c:numCache>
                <c:formatCode>0.00%</c:formatCode>
                <c:ptCount val="12"/>
                <c:pt idx="0">
                  <c:v>0.81852115820844284</c:v>
                </c:pt>
                <c:pt idx="1">
                  <c:v>0.84907991687255691</c:v>
                </c:pt>
                <c:pt idx="2">
                  <c:v>0.86245260304717852</c:v>
                </c:pt>
                <c:pt idx="3">
                  <c:v>0.784875355539983</c:v>
                </c:pt>
                <c:pt idx="4">
                  <c:v>0.79929210839191689</c:v>
                </c:pt>
                <c:pt idx="5">
                  <c:v>0.82929172868029211</c:v>
                </c:pt>
                <c:pt idx="6">
                  <c:v>0.82270958075402623</c:v>
                </c:pt>
                <c:pt idx="7">
                  <c:v>0.73998420791036401</c:v>
                </c:pt>
                <c:pt idx="8">
                  <c:v>0.84124520629198152</c:v>
                </c:pt>
                <c:pt idx="9">
                  <c:v>0.83130563792080481</c:v>
                </c:pt>
                <c:pt idx="10">
                  <c:v>0.84183397035908814</c:v>
                </c:pt>
                <c:pt idx="11">
                  <c:v>0.67611746804031225</c:v>
                </c:pt>
              </c:numCache>
            </c:numRef>
          </c:val>
          <c:smooth val="1"/>
          <c:extLst>
            <c:ext xmlns:c16="http://schemas.microsoft.com/office/drawing/2014/chart" uri="{C3380CC4-5D6E-409C-BE32-E72D297353CC}">
              <c16:uniqueId val="{00000002-9E93-4506-9475-7989CC6519E1}"/>
            </c:ext>
          </c:extLst>
        </c:ser>
        <c:ser>
          <c:idx val="3"/>
          <c:order val="3"/>
          <c:tx>
            <c:v>Overall</c:v>
          </c:tx>
          <c:marker>
            <c:symbol val="none"/>
          </c:marker>
          <c:cat>
            <c:numRef>
              <c:f>Summary!$A$14:$A$25</c:f>
              <c:numCache>
                <c:formatCode>mmm\-yy</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f>Summary!$E$14:$E$25</c:f>
              <c:numCache>
                <c:formatCode>0.00%</c:formatCode>
                <c:ptCount val="12"/>
                <c:pt idx="0">
                  <c:v>0.82911242810553243</c:v>
                </c:pt>
                <c:pt idx="1">
                  <c:v>0.8626872464023031</c:v>
                </c:pt>
                <c:pt idx="2">
                  <c:v>0.87112123289559162</c:v>
                </c:pt>
                <c:pt idx="3">
                  <c:v>0.79714362971829966</c:v>
                </c:pt>
                <c:pt idx="4">
                  <c:v>0.80328970294574398</c:v>
                </c:pt>
                <c:pt idx="5">
                  <c:v>0.83772507081324976</c:v>
                </c:pt>
                <c:pt idx="6">
                  <c:v>0.83208414744561954</c:v>
                </c:pt>
                <c:pt idx="7">
                  <c:v>0.74722373730036629</c:v>
                </c:pt>
                <c:pt idx="8">
                  <c:v>0.8426788531282654</c:v>
                </c:pt>
                <c:pt idx="9">
                  <c:v>0.8424772614514523</c:v>
                </c:pt>
                <c:pt idx="10">
                  <c:v>0.85216421717245472</c:v>
                </c:pt>
                <c:pt idx="11">
                  <c:v>0.70461420489374627</c:v>
                </c:pt>
              </c:numCache>
            </c:numRef>
          </c:val>
          <c:smooth val="1"/>
          <c:extLst>
            <c:ext xmlns:c16="http://schemas.microsoft.com/office/drawing/2014/chart" uri="{C3380CC4-5D6E-409C-BE32-E72D297353CC}">
              <c16:uniqueId val="{00000003-9E93-4506-9475-7989CC6519E1}"/>
            </c:ext>
          </c:extLst>
        </c:ser>
        <c:dLbls>
          <c:showLegendKey val="0"/>
          <c:showVal val="0"/>
          <c:showCatName val="0"/>
          <c:showSerName val="0"/>
          <c:showPercent val="0"/>
          <c:showBubbleSize val="0"/>
        </c:dLbls>
        <c:smooth val="0"/>
        <c:axId val="48650112"/>
        <c:axId val="48672768"/>
      </c:lineChart>
      <c:dateAx>
        <c:axId val="48650112"/>
        <c:scaling>
          <c:orientation val="minMax"/>
        </c:scaling>
        <c:delete val="0"/>
        <c:axPos val="b"/>
        <c:majorGridlines>
          <c:spPr>
            <a:ln w="9525">
              <a:solidFill>
                <a:srgbClr val="CCCCCC"/>
              </a:solidFill>
              <a:prstDash val="dash"/>
            </a:ln>
          </c:spPr>
        </c:majorGridlines>
        <c:numFmt formatCode="mmm\-yy" sourceLinked="0"/>
        <c:majorTickMark val="none"/>
        <c:minorTickMark val="none"/>
        <c:tickLblPos val="nextTo"/>
        <c:txPr>
          <a:bodyPr anchorCtr="1"/>
          <a:lstStyle/>
          <a:p>
            <a:pPr>
              <a:defRPr sz="675"/>
            </a:pPr>
            <a:endParaRPr lang="en-US"/>
          </a:p>
        </c:txPr>
        <c:crossAx val="48672768"/>
        <c:crosses val="autoZero"/>
        <c:auto val="1"/>
        <c:lblOffset val="100"/>
        <c:baseTimeUnit val="months"/>
      </c:date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675"/>
            </a:pPr>
            <a:endParaRPr lang="en-U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6</xdr:row>
      <xdr:rowOff>0</xdr:rowOff>
    </xdr:from>
    <xdr:to>
      <xdr:col>14</xdr:col>
      <xdr:colOff>0</xdr:colOff>
      <xdr:row>24</xdr:row>
      <xdr:rowOff>0</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showGridLines="0" workbookViewId="0"/>
  </sheetViews>
  <sheetFormatPr defaultColWidth="9" defaultRowHeight="15"/>
  <cols>
    <col min="1" max="1" width="2.7109375" style="23" customWidth="1"/>
    <col min="2" max="2" width="15.7109375" style="23" customWidth="1"/>
    <col min="3" max="3" width="97.5703125" style="23" customWidth="1"/>
    <col min="4" max="4" width="44" style="23" customWidth="1"/>
    <col min="5" max="16384" width="9" style="23"/>
  </cols>
  <sheetData>
    <row r="1" spans="1:4" ht="15.75">
      <c r="A1"/>
      <c r="B1" s="22"/>
      <c r="C1" s="22"/>
      <c r="D1"/>
    </row>
    <row r="2" spans="1:4" s="24" customFormat="1" ht="15.75">
      <c r="A2" s="1"/>
      <c r="B2" s="5" t="s">
        <v>0</v>
      </c>
      <c r="C2" s="2" t="s">
        <v>1</v>
      </c>
      <c r="D2" s="43" t="s">
        <v>411</v>
      </c>
    </row>
    <row r="3" spans="1:4" s="25" customFormat="1" ht="45" customHeight="1">
      <c r="A3" s="4"/>
      <c r="B3" s="10">
        <v>1</v>
      </c>
      <c r="C3" s="11" t="s">
        <v>2</v>
      </c>
      <c r="D3" s="3" t="s">
        <v>412</v>
      </c>
    </row>
    <row r="4" spans="1:4" s="25" customFormat="1" ht="45" customHeight="1">
      <c r="A4" s="4"/>
      <c r="B4" s="6">
        <v>2</v>
      </c>
      <c r="C4" s="3" t="s">
        <v>3</v>
      </c>
      <c r="D4" s="3" t="s">
        <v>413</v>
      </c>
    </row>
    <row r="5" spans="1:4" s="25" customFormat="1" ht="45" customHeight="1">
      <c r="A5" s="4"/>
      <c r="B5" s="10">
        <v>3</v>
      </c>
      <c r="C5" s="11" t="s">
        <v>4</v>
      </c>
      <c r="D5" s="3" t="s">
        <v>414</v>
      </c>
    </row>
    <row r="6" spans="1:4" s="25" customFormat="1" ht="45" customHeight="1">
      <c r="A6" s="4"/>
      <c r="B6" s="6">
        <v>4</v>
      </c>
      <c r="C6" s="3" t="s">
        <v>5</v>
      </c>
      <c r="D6" s="3" t="s">
        <v>415</v>
      </c>
    </row>
    <row r="7" spans="1:4" s="25" customFormat="1" ht="45" customHeight="1">
      <c r="A7" s="4"/>
      <c r="B7" s="10">
        <v>5</v>
      </c>
      <c r="C7" s="11" t="s">
        <v>6</v>
      </c>
      <c r="D7" s="3" t="s">
        <v>416</v>
      </c>
    </row>
    <row r="8" spans="1:4" ht="15.75">
      <c r="A8"/>
      <c r="B8" s="22"/>
      <c r="C8" s="22"/>
      <c r="D8"/>
    </row>
    <row r="9" spans="1:4" ht="15.75">
      <c r="B9" s="26"/>
      <c r="C9" s="2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373"/>
  <sheetViews>
    <sheetView workbookViewId="0"/>
  </sheetViews>
  <sheetFormatPr defaultRowHeight="15.75"/>
  <cols>
    <col min="1" max="4" width="26.28515625" style="8" customWidth="1"/>
    <col min="5" max="5" width="26.28515625" style="9" customWidth="1"/>
    <col min="6" max="6" width="26.28515625" style="14" customWidth="1"/>
    <col min="7" max="7" width="26.28515625" style="17" customWidth="1"/>
  </cols>
  <sheetData>
    <row r="1" spans="1:6">
      <c r="A1" s="7" t="s">
        <v>7</v>
      </c>
      <c r="B1" s="7" t="s">
        <v>8</v>
      </c>
      <c r="C1" s="7" t="s">
        <v>9</v>
      </c>
      <c r="D1" s="7" t="s">
        <v>10</v>
      </c>
      <c r="E1" s="12" t="s">
        <v>11</v>
      </c>
      <c r="F1" s="13" t="s">
        <v>12</v>
      </c>
    </row>
    <row r="2" spans="1:6">
      <c r="A2" s="8" t="s">
        <v>13</v>
      </c>
      <c r="B2" s="8" t="s">
        <v>14</v>
      </c>
      <c r="C2" s="8">
        <v>1</v>
      </c>
      <c r="D2" s="8" t="s">
        <v>15</v>
      </c>
      <c r="E2" s="9" t="s">
        <v>16</v>
      </c>
      <c r="F2" s="14">
        <v>45992</v>
      </c>
    </row>
    <row r="3" spans="1:6">
      <c r="A3" s="8" t="s">
        <v>13</v>
      </c>
      <c r="B3" s="8" t="s">
        <v>17</v>
      </c>
      <c r="C3" s="8">
        <v>1</v>
      </c>
      <c r="D3" s="8" t="s">
        <v>18</v>
      </c>
      <c r="E3" s="9" t="s">
        <v>19</v>
      </c>
      <c r="F3" s="14">
        <v>45922</v>
      </c>
    </row>
    <row r="4" spans="1:6">
      <c r="A4" s="8" t="s">
        <v>20</v>
      </c>
      <c r="B4" s="8" t="s">
        <v>21</v>
      </c>
      <c r="C4" s="8">
        <v>0.79999999999999993</v>
      </c>
      <c r="D4" s="8" t="s">
        <v>15</v>
      </c>
      <c r="E4" s="9" t="s">
        <v>22</v>
      </c>
      <c r="F4" s="14">
        <v>45936</v>
      </c>
    </row>
    <row r="5" spans="1:6">
      <c r="A5" s="8" t="s">
        <v>23</v>
      </c>
      <c r="B5" s="8" t="s">
        <v>24</v>
      </c>
      <c r="C5" s="8">
        <v>1</v>
      </c>
      <c r="D5" s="8" t="s">
        <v>25</v>
      </c>
      <c r="E5" s="9" t="s">
        <v>16</v>
      </c>
      <c r="F5" s="14">
        <v>45992</v>
      </c>
    </row>
    <row r="6" spans="1:6">
      <c r="A6" s="8" t="s">
        <v>13</v>
      </c>
      <c r="B6" s="8" t="s">
        <v>26</v>
      </c>
      <c r="C6" s="8">
        <v>1</v>
      </c>
      <c r="D6" s="8" t="s">
        <v>18</v>
      </c>
      <c r="E6" s="9" t="s">
        <v>27</v>
      </c>
      <c r="F6" s="14">
        <v>45915</v>
      </c>
    </row>
    <row r="7" spans="1:6">
      <c r="A7" s="8" t="s">
        <v>20</v>
      </c>
      <c r="B7" s="8" t="s">
        <v>28</v>
      </c>
      <c r="C7" s="8">
        <v>1</v>
      </c>
      <c r="D7" s="8" t="s">
        <v>15</v>
      </c>
      <c r="E7" s="9" t="s">
        <v>22</v>
      </c>
      <c r="F7" s="14">
        <v>45936</v>
      </c>
    </row>
    <row r="8" spans="1:6">
      <c r="A8" s="8" t="s">
        <v>20</v>
      </c>
      <c r="B8" s="8" t="s">
        <v>29</v>
      </c>
      <c r="C8" s="8">
        <v>1</v>
      </c>
      <c r="D8" s="8" t="s">
        <v>18</v>
      </c>
      <c r="E8" s="9" t="s">
        <v>30</v>
      </c>
      <c r="F8" s="14">
        <v>45964</v>
      </c>
    </row>
    <row r="9" spans="1:6">
      <c r="A9" s="8" t="s">
        <v>20</v>
      </c>
      <c r="B9" s="8" t="s">
        <v>31</v>
      </c>
      <c r="C9" s="8">
        <v>1</v>
      </c>
      <c r="D9" s="8" t="s">
        <v>15</v>
      </c>
      <c r="E9" s="9" t="s">
        <v>22</v>
      </c>
      <c r="F9" s="14">
        <v>45936</v>
      </c>
    </row>
    <row r="10" spans="1:6">
      <c r="A10" s="8" t="s">
        <v>13</v>
      </c>
      <c r="B10" s="8" t="s">
        <v>32</v>
      </c>
      <c r="C10" s="8">
        <v>1</v>
      </c>
      <c r="D10" s="8" t="s">
        <v>15</v>
      </c>
      <c r="E10" s="9" t="s">
        <v>16</v>
      </c>
      <c r="F10" s="14">
        <v>45992</v>
      </c>
    </row>
    <row r="11" spans="1:6">
      <c r="A11" s="8" t="s">
        <v>20</v>
      </c>
      <c r="B11" s="8" t="s">
        <v>33</v>
      </c>
      <c r="C11" s="8">
        <v>1</v>
      </c>
      <c r="D11" s="8" t="s">
        <v>15</v>
      </c>
      <c r="E11" s="9" t="s">
        <v>34</v>
      </c>
      <c r="F11" s="14">
        <v>45931</v>
      </c>
    </row>
    <row r="12" spans="1:6">
      <c r="A12" s="8" t="s">
        <v>13</v>
      </c>
      <c r="B12" s="8" t="s">
        <v>35</v>
      </c>
      <c r="C12" s="8">
        <v>0.89999999999999991</v>
      </c>
      <c r="D12" s="8" t="s">
        <v>15</v>
      </c>
      <c r="E12" s="9" t="s">
        <v>36</v>
      </c>
      <c r="F12" s="14">
        <v>45993</v>
      </c>
    </row>
    <row r="13" spans="1:6">
      <c r="A13" s="8" t="s">
        <v>13</v>
      </c>
      <c r="B13" s="8" t="s">
        <v>37</v>
      </c>
      <c r="C13" s="8">
        <v>0.81081081081081086</v>
      </c>
      <c r="D13" s="8" t="s">
        <v>15</v>
      </c>
      <c r="E13" s="9" t="s">
        <v>27</v>
      </c>
      <c r="F13" s="14">
        <v>45915</v>
      </c>
    </row>
    <row r="14" spans="1:6">
      <c r="A14" s="8" t="s">
        <v>20</v>
      </c>
      <c r="B14" s="8" t="s">
        <v>38</v>
      </c>
      <c r="C14" s="8">
        <v>1</v>
      </c>
      <c r="D14" s="8" t="s">
        <v>15</v>
      </c>
      <c r="E14" s="9" t="s">
        <v>16</v>
      </c>
      <c r="F14" s="14">
        <v>45992</v>
      </c>
    </row>
    <row r="15" spans="1:6">
      <c r="A15" s="8" t="s">
        <v>20</v>
      </c>
      <c r="B15" s="8" t="s">
        <v>39</v>
      </c>
      <c r="C15" s="8">
        <v>1</v>
      </c>
      <c r="D15" s="8" t="s">
        <v>15</v>
      </c>
      <c r="E15" s="9" t="s">
        <v>40</v>
      </c>
      <c r="F15" s="14">
        <v>45971</v>
      </c>
    </row>
    <row r="16" spans="1:6">
      <c r="A16" s="8" t="s">
        <v>20</v>
      </c>
      <c r="B16" s="8" t="s">
        <v>41</v>
      </c>
      <c r="C16" s="8">
        <v>1</v>
      </c>
      <c r="D16" s="8" t="s">
        <v>18</v>
      </c>
      <c r="E16" s="9" t="s">
        <v>30</v>
      </c>
      <c r="F16" s="14">
        <v>45964</v>
      </c>
    </row>
    <row r="17" spans="1:6">
      <c r="A17" s="8" t="s">
        <v>23</v>
      </c>
      <c r="B17" s="8" t="s">
        <v>42</v>
      </c>
      <c r="C17" s="8">
        <v>1</v>
      </c>
      <c r="D17" s="8" t="s">
        <v>25</v>
      </c>
      <c r="E17" s="9" t="s">
        <v>43</v>
      </c>
      <c r="F17" s="14">
        <v>45999</v>
      </c>
    </row>
    <row r="18" spans="1:6">
      <c r="A18" s="8" t="s">
        <v>13</v>
      </c>
      <c r="B18" s="8" t="s">
        <v>44</v>
      </c>
      <c r="C18" s="8">
        <v>1</v>
      </c>
      <c r="D18" s="8" t="s">
        <v>18</v>
      </c>
      <c r="E18" s="9" t="s">
        <v>19</v>
      </c>
      <c r="F18" s="14">
        <v>45922</v>
      </c>
    </row>
    <row r="19" spans="1:6">
      <c r="A19" s="8" t="s">
        <v>13</v>
      </c>
      <c r="B19" s="8" t="s">
        <v>45</v>
      </c>
      <c r="C19" s="8">
        <v>0.81081081081081086</v>
      </c>
      <c r="D19" s="8" t="s">
        <v>15</v>
      </c>
      <c r="E19" s="9" t="s">
        <v>36</v>
      </c>
      <c r="F19" s="14">
        <v>45993</v>
      </c>
    </row>
    <row r="20" spans="1:6">
      <c r="A20" s="8" t="s">
        <v>13</v>
      </c>
      <c r="B20" s="8" t="s">
        <v>46</v>
      </c>
      <c r="C20" s="8">
        <v>1</v>
      </c>
      <c r="D20" s="8" t="s">
        <v>15</v>
      </c>
      <c r="E20" s="9" t="s">
        <v>47</v>
      </c>
      <c r="F20" s="14">
        <v>45531</v>
      </c>
    </row>
    <row r="21" spans="1:6">
      <c r="A21" s="8" t="s">
        <v>20</v>
      </c>
      <c r="B21" s="8" t="s">
        <v>48</v>
      </c>
      <c r="C21" s="8">
        <v>1</v>
      </c>
      <c r="D21" s="8" t="s">
        <v>15</v>
      </c>
      <c r="E21" s="9" t="s">
        <v>49</v>
      </c>
      <c r="F21" s="14">
        <v>45586</v>
      </c>
    </row>
    <row r="22" spans="1:6">
      <c r="A22" s="8" t="s">
        <v>20</v>
      </c>
      <c r="B22" s="8" t="s">
        <v>50</v>
      </c>
      <c r="C22" s="8">
        <v>1</v>
      </c>
      <c r="D22" s="8" t="s">
        <v>18</v>
      </c>
      <c r="E22" s="9" t="s">
        <v>19</v>
      </c>
      <c r="F22" s="14">
        <v>45922</v>
      </c>
    </row>
    <row r="23" spans="1:6">
      <c r="A23" s="8" t="s">
        <v>13</v>
      </c>
      <c r="B23" s="8" t="s">
        <v>51</v>
      </c>
      <c r="C23" s="8">
        <v>1</v>
      </c>
      <c r="D23" s="8" t="s">
        <v>15</v>
      </c>
      <c r="E23" s="9" t="s">
        <v>52</v>
      </c>
      <c r="F23" s="14">
        <v>45523</v>
      </c>
    </row>
    <row r="24" spans="1:6">
      <c r="A24" s="8" t="s">
        <v>13</v>
      </c>
      <c r="B24" s="8" t="s">
        <v>53</v>
      </c>
      <c r="C24" s="8">
        <v>1</v>
      </c>
      <c r="D24" s="8" t="s">
        <v>15</v>
      </c>
      <c r="E24" s="9" t="s">
        <v>54</v>
      </c>
      <c r="F24" s="14">
        <v>45460</v>
      </c>
    </row>
    <row r="25" spans="1:6">
      <c r="A25" s="8" t="s">
        <v>13</v>
      </c>
      <c r="B25" s="8" t="s">
        <v>55</v>
      </c>
      <c r="C25" s="8">
        <v>1</v>
      </c>
      <c r="D25" s="8" t="s">
        <v>15</v>
      </c>
      <c r="E25" s="9" t="s">
        <v>56</v>
      </c>
      <c r="F25" s="14">
        <v>45453</v>
      </c>
    </row>
    <row r="26" spans="1:6">
      <c r="A26" s="8" t="s">
        <v>57</v>
      </c>
      <c r="B26" s="8" t="s">
        <v>58</v>
      </c>
      <c r="C26" s="8">
        <v>1</v>
      </c>
      <c r="D26" s="8" t="s">
        <v>15</v>
      </c>
      <c r="E26" s="9" t="s">
        <v>59</v>
      </c>
      <c r="F26" s="14">
        <v>45201</v>
      </c>
    </row>
    <row r="27" spans="1:6">
      <c r="A27" s="8" t="s">
        <v>13</v>
      </c>
      <c r="B27" s="8" t="s">
        <v>60</v>
      </c>
      <c r="C27" s="8">
        <v>1</v>
      </c>
      <c r="D27" s="8" t="s">
        <v>15</v>
      </c>
      <c r="E27" s="9" t="s">
        <v>54</v>
      </c>
      <c r="F27" s="14">
        <v>45460</v>
      </c>
    </row>
    <row r="28" spans="1:6">
      <c r="A28" s="8" t="s">
        <v>23</v>
      </c>
      <c r="B28" s="8" t="s">
        <v>61</v>
      </c>
      <c r="C28" s="8">
        <v>1</v>
      </c>
      <c r="D28" s="8" t="s">
        <v>15</v>
      </c>
      <c r="E28" s="9" t="s">
        <v>19</v>
      </c>
      <c r="F28" s="14">
        <v>45922</v>
      </c>
    </row>
    <row r="29" spans="1:6">
      <c r="A29" s="8" t="s">
        <v>20</v>
      </c>
      <c r="B29" s="8" t="s">
        <v>62</v>
      </c>
      <c r="C29" s="8">
        <v>0.6</v>
      </c>
      <c r="D29" s="8" t="s">
        <v>15</v>
      </c>
      <c r="E29" s="9" t="s">
        <v>49</v>
      </c>
      <c r="F29" s="14">
        <v>45586</v>
      </c>
    </row>
    <row r="30" spans="1:6">
      <c r="A30" s="8" t="s">
        <v>13</v>
      </c>
      <c r="B30" s="8" t="s">
        <v>63</v>
      </c>
      <c r="C30" s="8">
        <v>1</v>
      </c>
      <c r="D30" s="8" t="s">
        <v>15</v>
      </c>
      <c r="E30" s="9" t="s">
        <v>64</v>
      </c>
      <c r="F30" s="14">
        <v>45495</v>
      </c>
    </row>
    <row r="31" spans="1:6">
      <c r="A31" s="8" t="s">
        <v>20</v>
      </c>
      <c r="B31" s="8" t="s">
        <v>65</v>
      </c>
      <c r="C31" s="8">
        <v>1</v>
      </c>
      <c r="D31" s="8" t="s">
        <v>15</v>
      </c>
      <c r="E31" s="9" t="s">
        <v>66</v>
      </c>
      <c r="F31" s="14">
        <v>45292</v>
      </c>
    </row>
    <row r="32" spans="1:6">
      <c r="A32" s="8" t="s">
        <v>57</v>
      </c>
      <c r="B32" s="8" t="s">
        <v>67</v>
      </c>
      <c r="C32" s="8">
        <v>1</v>
      </c>
      <c r="D32" s="8" t="s">
        <v>15</v>
      </c>
      <c r="E32" s="9" t="s">
        <v>68</v>
      </c>
      <c r="F32" s="14">
        <v>45231</v>
      </c>
    </row>
    <row r="33" spans="1:6">
      <c r="A33" s="8" t="s">
        <v>57</v>
      </c>
      <c r="B33" s="8" t="s">
        <v>69</v>
      </c>
      <c r="C33" s="8">
        <v>1</v>
      </c>
      <c r="D33" s="8" t="s">
        <v>15</v>
      </c>
      <c r="E33" s="9" t="s">
        <v>70</v>
      </c>
      <c r="F33" s="14">
        <v>45173</v>
      </c>
    </row>
    <row r="34" spans="1:6">
      <c r="A34" s="8" t="s">
        <v>57</v>
      </c>
      <c r="B34" s="8" t="s">
        <v>71</v>
      </c>
      <c r="C34" s="8">
        <v>1</v>
      </c>
      <c r="D34" s="8" t="s">
        <v>15</v>
      </c>
      <c r="E34" s="9" t="s">
        <v>72</v>
      </c>
      <c r="F34" s="14">
        <v>45600</v>
      </c>
    </row>
    <row r="35" spans="1:6">
      <c r="A35" s="8" t="s">
        <v>20</v>
      </c>
      <c r="B35" s="8" t="s">
        <v>73</v>
      </c>
      <c r="C35" s="8">
        <v>1</v>
      </c>
      <c r="D35" s="8" t="s">
        <v>15</v>
      </c>
      <c r="E35" s="9" t="s">
        <v>74</v>
      </c>
      <c r="F35" s="14">
        <v>45712</v>
      </c>
    </row>
    <row r="36" spans="1:6">
      <c r="A36" s="8" t="s">
        <v>20</v>
      </c>
      <c r="B36" s="8" t="s">
        <v>75</v>
      </c>
      <c r="C36" s="8">
        <v>1</v>
      </c>
      <c r="D36" s="8" t="s">
        <v>15</v>
      </c>
      <c r="E36" s="9" t="s">
        <v>76</v>
      </c>
      <c r="F36" s="14">
        <v>45420</v>
      </c>
    </row>
    <row r="37" spans="1:6">
      <c r="A37" s="8" t="s">
        <v>20</v>
      </c>
      <c r="B37" s="8" t="s">
        <v>77</v>
      </c>
      <c r="C37" s="8">
        <v>1</v>
      </c>
      <c r="D37" s="8" t="s">
        <v>15</v>
      </c>
      <c r="E37" s="9" t="s">
        <v>66</v>
      </c>
      <c r="F37" s="14">
        <v>45292</v>
      </c>
    </row>
    <row r="38" spans="1:6">
      <c r="A38" s="8" t="s">
        <v>20</v>
      </c>
      <c r="B38" s="8" t="s">
        <v>78</v>
      </c>
      <c r="C38" s="8">
        <v>1</v>
      </c>
      <c r="D38" s="8" t="s">
        <v>15</v>
      </c>
      <c r="E38" s="9" t="s">
        <v>79</v>
      </c>
      <c r="F38" s="14">
        <v>45726</v>
      </c>
    </row>
    <row r="39" spans="1:6">
      <c r="A39" s="8" t="s">
        <v>23</v>
      </c>
      <c r="B39" s="8" t="s">
        <v>80</v>
      </c>
      <c r="C39" s="8">
        <v>0.6</v>
      </c>
      <c r="D39" s="8" t="s">
        <v>18</v>
      </c>
      <c r="E39" s="9" t="s">
        <v>66</v>
      </c>
      <c r="F39" s="14">
        <v>45292</v>
      </c>
    </row>
    <row r="40" spans="1:6">
      <c r="A40" s="8" t="s">
        <v>13</v>
      </c>
      <c r="B40" s="8" t="s">
        <v>81</v>
      </c>
      <c r="C40" s="8">
        <v>1</v>
      </c>
      <c r="D40" s="8" t="s">
        <v>15</v>
      </c>
      <c r="E40" s="9" t="s">
        <v>52</v>
      </c>
      <c r="F40" s="14">
        <v>45523</v>
      </c>
    </row>
    <row r="41" spans="1:6">
      <c r="A41" s="8" t="s">
        <v>20</v>
      </c>
      <c r="B41" s="8" t="s">
        <v>82</v>
      </c>
      <c r="C41" s="8">
        <v>1</v>
      </c>
      <c r="D41" s="8" t="s">
        <v>15</v>
      </c>
      <c r="E41" s="9" t="s">
        <v>49</v>
      </c>
      <c r="F41" s="14">
        <v>45586</v>
      </c>
    </row>
    <row r="42" spans="1:6">
      <c r="A42" s="8" t="s">
        <v>13</v>
      </c>
      <c r="B42" s="8" t="s">
        <v>83</v>
      </c>
      <c r="C42" s="8">
        <v>1</v>
      </c>
      <c r="D42" s="8" t="s">
        <v>18</v>
      </c>
      <c r="E42" s="9" t="s">
        <v>84</v>
      </c>
      <c r="F42" s="14">
        <v>45384</v>
      </c>
    </row>
    <row r="43" spans="1:6">
      <c r="A43" s="8" t="s">
        <v>20</v>
      </c>
      <c r="B43" s="8" t="s">
        <v>85</v>
      </c>
      <c r="C43" s="8">
        <v>1</v>
      </c>
      <c r="D43" s="8" t="s">
        <v>18</v>
      </c>
      <c r="E43" s="9" t="s">
        <v>19</v>
      </c>
      <c r="F43" s="14">
        <v>45922</v>
      </c>
    </row>
    <row r="44" spans="1:6">
      <c r="A44" s="8" t="s">
        <v>13</v>
      </c>
      <c r="B44" s="8" t="s">
        <v>86</v>
      </c>
      <c r="C44" s="8">
        <v>1</v>
      </c>
      <c r="D44" s="8" t="s">
        <v>15</v>
      </c>
      <c r="E44" s="9" t="s">
        <v>87</v>
      </c>
      <c r="F44" s="14">
        <v>45524</v>
      </c>
    </row>
    <row r="45" spans="1:6">
      <c r="A45" s="8" t="s">
        <v>13</v>
      </c>
      <c r="B45" s="8" t="s">
        <v>88</v>
      </c>
      <c r="C45" s="8">
        <v>1</v>
      </c>
      <c r="D45" s="8" t="s">
        <v>18</v>
      </c>
      <c r="E45" s="9" t="s">
        <v>89</v>
      </c>
      <c r="F45" s="14">
        <v>45530</v>
      </c>
    </row>
    <row r="46" spans="1:6">
      <c r="A46" s="8" t="s">
        <v>20</v>
      </c>
      <c r="B46" s="8" t="s">
        <v>90</v>
      </c>
      <c r="C46" s="8">
        <v>1</v>
      </c>
      <c r="D46" s="8" t="s">
        <v>15</v>
      </c>
      <c r="E46" s="9" t="s">
        <v>91</v>
      </c>
      <c r="F46" s="14">
        <v>45383</v>
      </c>
    </row>
    <row r="47" spans="1:6">
      <c r="A47" s="8" t="s">
        <v>13</v>
      </c>
      <c r="B47" s="8" t="s">
        <v>92</v>
      </c>
      <c r="C47" s="8">
        <v>1</v>
      </c>
      <c r="D47" s="8" t="s">
        <v>18</v>
      </c>
      <c r="E47" s="9" t="s">
        <v>93</v>
      </c>
      <c r="F47" s="14">
        <v>45411</v>
      </c>
    </row>
    <row r="48" spans="1:6">
      <c r="A48" s="8" t="s">
        <v>20</v>
      </c>
      <c r="B48" s="8" t="s">
        <v>94</v>
      </c>
      <c r="C48" s="8">
        <v>1</v>
      </c>
      <c r="D48" s="8" t="s">
        <v>15</v>
      </c>
      <c r="E48" s="9" t="s">
        <v>66</v>
      </c>
      <c r="F48" s="14">
        <v>45292</v>
      </c>
    </row>
    <row r="49" spans="1:6">
      <c r="A49" s="8" t="s">
        <v>23</v>
      </c>
      <c r="B49" s="8" t="s">
        <v>95</v>
      </c>
      <c r="C49" s="8">
        <v>1</v>
      </c>
      <c r="D49" s="8" t="s">
        <v>25</v>
      </c>
      <c r="E49" s="9" t="s">
        <v>66</v>
      </c>
      <c r="F49" s="14">
        <v>45292</v>
      </c>
    </row>
    <row r="50" spans="1:6">
      <c r="A50" s="8" t="s">
        <v>13</v>
      </c>
      <c r="B50" s="8" t="s">
        <v>96</v>
      </c>
      <c r="C50" s="8">
        <v>1</v>
      </c>
      <c r="D50" s="8" t="s">
        <v>15</v>
      </c>
      <c r="E50" s="9" t="s">
        <v>64</v>
      </c>
      <c r="F50" s="14">
        <v>45495</v>
      </c>
    </row>
    <row r="51" spans="1:6">
      <c r="A51" s="8" t="s">
        <v>57</v>
      </c>
      <c r="B51" s="8" t="s">
        <v>97</v>
      </c>
      <c r="C51" s="8">
        <v>1</v>
      </c>
      <c r="D51" s="8" t="s">
        <v>15</v>
      </c>
      <c r="E51" s="9" t="s">
        <v>98</v>
      </c>
      <c r="F51" s="14">
        <v>45658</v>
      </c>
    </row>
    <row r="52" spans="1:6">
      <c r="A52" s="8" t="s">
        <v>20</v>
      </c>
      <c r="B52" s="8" t="s">
        <v>99</v>
      </c>
      <c r="C52" s="8">
        <v>1</v>
      </c>
      <c r="D52" s="8" t="s">
        <v>18</v>
      </c>
      <c r="E52" s="9" t="s">
        <v>100</v>
      </c>
      <c r="F52" s="14">
        <v>45362</v>
      </c>
    </row>
    <row r="53" spans="1:6">
      <c r="A53" s="8" t="s">
        <v>13</v>
      </c>
      <c r="B53" s="8" t="s">
        <v>101</v>
      </c>
      <c r="C53" s="8">
        <v>1</v>
      </c>
      <c r="D53" s="8" t="s">
        <v>18</v>
      </c>
      <c r="E53" s="9" t="s">
        <v>84</v>
      </c>
      <c r="F53" s="14">
        <v>45384</v>
      </c>
    </row>
    <row r="54" spans="1:6">
      <c r="A54" s="8" t="s">
        <v>20</v>
      </c>
      <c r="B54" s="8" t="s">
        <v>102</v>
      </c>
      <c r="C54" s="8">
        <v>1</v>
      </c>
      <c r="D54" s="8" t="s">
        <v>18</v>
      </c>
      <c r="E54" s="9" t="s">
        <v>19</v>
      </c>
      <c r="F54" s="14">
        <v>45922</v>
      </c>
    </row>
    <row r="55" spans="1:6">
      <c r="A55" s="8" t="s">
        <v>13</v>
      </c>
      <c r="B55" s="8" t="s">
        <v>103</v>
      </c>
      <c r="C55" s="8">
        <v>1</v>
      </c>
      <c r="D55" s="8" t="s">
        <v>18</v>
      </c>
      <c r="E55" s="9" t="s">
        <v>104</v>
      </c>
      <c r="F55" s="14">
        <v>45017</v>
      </c>
    </row>
    <row r="56" spans="1:6">
      <c r="A56" s="8" t="s">
        <v>13</v>
      </c>
      <c r="B56" s="8" t="s">
        <v>105</v>
      </c>
      <c r="C56" s="8">
        <v>1</v>
      </c>
      <c r="D56" s="8" t="s">
        <v>18</v>
      </c>
      <c r="E56" s="9" t="s">
        <v>100</v>
      </c>
      <c r="F56" s="14">
        <v>45362</v>
      </c>
    </row>
    <row r="57" spans="1:6">
      <c r="A57" s="8" t="s">
        <v>13</v>
      </c>
      <c r="B57" s="8" t="s">
        <v>106</v>
      </c>
      <c r="C57" s="8">
        <v>1</v>
      </c>
      <c r="D57" s="8" t="s">
        <v>18</v>
      </c>
      <c r="E57" s="9" t="s">
        <v>107</v>
      </c>
      <c r="F57" s="14">
        <v>45369</v>
      </c>
    </row>
    <row r="58" spans="1:6">
      <c r="A58" s="8" t="s">
        <v>13</v>
      </c>
      <c r="B58" s="8" t="s">
        <v>108</v>
      </c>
      <c r="C58" s="8">
        <v>1</v>
      </c>
      <c r="D58" s="8" t="s">
        <v>18</v>
      </c>
      <c r="E58" s="9" t="s">
        <v>109</v>
      </c>
      <c r="F58" s="14">
        <v>45390</v>
      </c>
    </row>
    <row r="59" spans="1:6">
      <c r="A59" s="8" t="s">
        <v>20</v>
      </c>
      <c r="B59" s="8" t="s">
        <v>110</v>
      </c>
      <c r="C59" s="8">
        <v>1</v>
      </c>
      <c r="D59" s="8" t="s">
        <v>15</v>
      </c>
      <c r="E59" s="9" t="s">
        <v>49</v>
      </c>
      <c r="F59" s="14">
        <v>45586</v>
      </c>
    </row>
    <row r="60" spans="1:6">
      <c r="A60" s="8" t="s">
        <v>20</v>
      </c>
      <c r="B60" s="8" t="s">
        <v>111</v>
      </c>
      <c r="C60" s="8">
        <v>1</v>
      </c>
      <c r="D60" s="8" t="s">
        <v>15</v>
      </c>
      <c r="E60" s="9" t="s">
        <v>112</v>
      </c>
      <c r="F60" s="14">
        <v>45603</v>
      </c>
    </row>
    <row r="61" spans="1:6">
      <c r="A61" s="8" t="s">
        <v>13</v>
      </c>
      <c r="B61" s="8" t="s">
        <v>113</v>
      </c>
      <c r="C61" s="8">
        <v>1</v>
      </c>
      <c r="D61" s="8" t="s">
        <v>15</v>
      </c>
      <c r="E61" s="9" t="s">
        <v>52</v>
      </c>
      <c r="F61" s="14">
        <v>45523</v>
      </c>
    </row>
    <row r="62" spans="1:6">
      <c r="A62" s="8" t="s">
        <v>57</v>
      </c>
      <c r="B62" s="8" t="s">
        <v>114</v>
      </c>
      <c r="C62" s="8">
        <v>1</v>
      </c>
      <c r="D62" s="8" t="s">
        <v>15</v>
      </c>
      <c r="E62" s="9" t="s">
        <v>72</v>
      </c>
      <c r="F62" s="14">
        <v>45600</v>
      </c>
    </row>
    <row r="63" spans="1:6">
      <c r="A63" s="8" t="s">
        <v>20</v>
      </c>
      <c r="B63" s="8" t="s">
        <v>115</v>
      </c>
      <c r="C63" s="8">
        <v>1</v>
      </c>
      <c r="D63" s="8" t="s">
        <v>15</v>
      </c>
      <c r="E63" s="9" t="s">
        <v>49</v>
      </c>
      <c r="F63" s="14">
        <v>45586</v>
      </c>
    </row>
    <row r="64" spans="1:6">
      <c r="A64" s="8" t="s">
        <v>13</v>
      </c>
      <c r="B64" s="8" t="s">
        <v>116</v>
      </c>
      <c r="C64" s="8">
        <v>1</v>
      </c>
      <c r="D64" s="8" t="s">
        <v>18</v>
      </c>
      <c r="E64" s="9" t="s">
        <v>84</v>
      </c>
      <c r="F64" s="14">
        <v>45384</v>
      </c>
    </row>
    <row r="65" spans="1:6">
      <c r="A65" s="8" t="s">
        <v>13</v>
      </c>
      <c r="B65" s="8" t="s">
        <v>117</v>
      </c>
      <c r="C65" s="8">
        <v>0.8648648648648648</v>
      </c>
      <c r="D65" s="8" t="s">
        <v>15</v>
      </c>
      <c r="E65" s="9" t="s">
        <v>64</v>
      </c>
      <c r="F65" s="14">
        <v>45495</v>
      </c>
    </row>
    <row r="66" spans="1:6">
      <c r="A66" s="8" t="s">
        <v>20</v>
      </c>
      <c r="B66" s="8" t="s">
        <v>118</v>
      </c>
      <c r="C66" s="8">
        <v>1</v>
      </c>
      <c r="D66" s="8" t="s">
        <v>15</v>
      </c>
      <c r="E66" s="9" t="s">
        <v>74</v>
      </c>
      <c r="F66" s="14">
        <v>45712</v>
      </c>
    </row>
    <row r="67" spans="1:6">
      <c r="A67" s="8" t="s">
        <v>20</v>
      </c>
      <c r="B67" s="8" t="s">
        <v>119</v>
      </c>
      <c r="C67" s="8">
        <v>1</v>
      </c>
      <c r="D67" s="8" t="s">
        <v>18</v>
      </c>
      <c r="E67" s="9" t="s">
        <v>100</v>
      </c>
      <c r="F67" s="14">
        <v>45362</v>
      </c>
    </row>
    <row r="68" spans="1:6">
      <c r="A68" s="8" t="s">
        <v>20</v>
      </c>
      <c r="B68" s="8" t="s">
        <v>120</v>
      </c>
      <c r="C68" s="8">
        <v>1</v>
      </c>
      <c r="D68" s="8" t="s">
        <v>15</v>
      </c>
      <c r="E68" s="9" t="s">
        <v>121</v>
      </c>
      <c r="F68" s="14">
        <v>45027</v>
      </c>
    </row>
    <row r="69" spans="1:6">
      <c r="A69" s="8" t="s">
        <v>20</v>
      </c>
      <c r="B69" s="8" t="s">
        <v>122</v>
      </c>
      <c r="C69" s="8">
        <v>1</v>
      </c>
      <c r="D69" s="8" t="s">
        <v>15</v>
      </c>
      <c r="E69" s="9" t="s">
        <v>123</v>
      </c>
      <c r="F69" s="14">
        <v>44998</v>
      </c>
    </row>
    <row r="70" spans="1:6">
      <c r="A70" s="8" t="s">
        <v>13</v>
      </c>
      <c r="B70" s="8" t="s">
        <v>124</v>
      </c>
      <c r="C70" s="8">
        <v>1</v>
      </c>
      <c r="D70" s="8" t="s">
        <v>15</v>
      </c>
      <c r="E70" s="9" t="s">
        <v>54</v>
      </c>
      <c r="F70" s="14">
        <v>45460</v>
      </c>
    </row>
    <row r="71" spans="1:6">
      <c r="A71" s="8" t="s">
        <v>13</v>
      </c>
      <c r="B71" s="8" t="s">
        <v>125</v>
      </c>
      <c r="C71" s="8">
        <v>0.80000000000000016</v>
      </c>
      <c r="D71" s="8" t="s">
        <v>18</v>
      </c>
      <c r="E71" s="9" t="s">
        <v>126</v>
      </c>
      <c r="F71" s="14">
        <v>45398</v>
      </c>
    </row>
    <row r="72" spans="1:6">
      <c r="A72" s="8" t="s">
        <v>20</v>
      </c>
      <c r="B72" s="8" t="s">
        <v>127</v>
      </c>
      <c r="C72" s="8">
        <v>1</v>
      </c>
      <c r="D72" s="8" t="s">
        <v>15</v>
      </c>
      <c r="E72" s="9" t="s">
        <v>49</v>
      </c>
      <c r="F72" s="14">
        <v>45586</v>
      </c>
    </row>
    <row r="73" spans="1:6">
      <c r="A73" s="8" t="s">
        <v>13</v>
      </c>
      <c r="B73" s="8" t="s">
        <v>128</v>
      </c>
      <c r="C73" s="8">
        <v>1</v>
      </c>
      <c r="D73" s="8" t="s">
        <v>15</v>
      </c>
      <c r="E73" s="9" t="s">
        <v>54</v>
      </c>
      <c r="F73" s="14">
        <v>45460</v>
      </c>
    </row>
    <row r="74" spans="1:6">
      <c r="A74" s="8" t="s">
        <v>13</v>
      </c>
      <c r="B74" s="8" t="s">
        <v>129</v>
      </c>
      <c r="C74" s="8">
        <v>1</v>
      </c>
      <c r="D74" s="8" t="s">
        <v>15</v>
      </c>
      <c r="E74" s="9" t="s">
        <v>130</v>
      </c>
      <c r="F74" s="14">
        <v>45456</v>
      </c>
    </row>
    <row r="75" spans="1:6">
      <c r="A75" s="8" t="s">
        <v>13</v>
      </c>
      <c r="B75" s="8" t="s">
        <v>131</v>
      </c>
      <c r="C75" s="8">
        <v>1</v>
      </c>
      <c r="D75" s="8" t="s">
        <v>15</v>
      </c>
      <c r="E75" s="9" t="s">
        <v>56</v>
      </c>
      <c r="F75" s="14">
        <v>45453</v>
      </c>
    </row>
    <row r="76" spans="1:6">
      <c r="A76" s="8" t="s">
        <v>20</v>
      </c>
      <c r="B76" s="8" t="s">
        <v>132</v>
      </c>
      <c r="C76" s="8">
        <v>1</v>
      </c>
      <c r="D76" s="8" t="s">
        <v>15</v>
      </c>
      <c r="E76" s="9" t="s">
        <v>133</v>
      </c>
      <c r="F76" s="14">
        <v>45719</v>
      </c>
    </row>
    <row r="77" spans="1:6">
      <c r="A77" s="8" t="s">
        <v>20</v>
      </c>
      <c r="B77" s="8" t="s">
        <v>134</v>
      </c>
      <c r="C77" s="8">
        <v>1</v>
      </c>
      <c r="D77" s="8" t="s">
        <v>15</v>
      </c>
      <c r="E77" s="9" t="s">
        <v>74</v>
      </c>
      <c r="F77" s="14">
        <v>45712</v>
      </c>
    </row>
    <row r="78" spans="1:6">
      <c r="A78" s="8" t="s">
        <v>13</v>
      </c>
      <c r="B78" s="8" t="s">
        <v>135</v>
      </c>
      <c r="C78" s="8">
        <v>1</v>
      </c>
      <c r="D78" s="8" t="s">
        <v>15</v>
      </c>
      <c r="E78" s="9" t="s">
        <v>136</v>
      </c>
      <c r="F78" s="14">
        <v>45488</v>
      </c>
    </row>
    <row r="79" spans="1:6">
      <c r="A79" s="8" t="s">
        <v>20</v>
      </c>
      <c r="B79" s="8" t="s">
        <v>137</v>
      </c>
      <c r="C79" s="8">
        <v>1</v>
      </c>
      <c r="D79" s="8" t="s">
        <v>15</v>
      </c>
      <c r="E79" s="9" t="s">
        <v>49</v>
      </c>
      <c r="F79" s="14">
        <v>45586</v>
      </c>
    </row>
    <row r="80" spans="1:6">
      <c r="A80" s="8" t="s">
        <v>13</v>
      </c>
      <c r="B80" s="8" t="s">
        <v>138</v>
      </c>
      <c r="C80" s="8">
        <v>1</v>
      </c>
      <c r="D80" s="8" t="s">
        <v>18</v>
      </c>
      <c r="E80" s="9" t="s">
        <v>139</v>
      </c>
      <c r="F80" s="14">
        <v>45413</v>
      </c>
    </row>
    <row r="81" spans="1:6">
      <c r="A81" s="8" t="s">
        <v>13</v>
      </c>
      <c r="B81" s="8" t="s">
        <v>140</v>
      </c>
      <c r="C81" s="8">
        <v>0.79999999999999993</v>
      </c>
      <c r="D81" s="8" t="s">
        <v>15</v>
      </c>
      <c r="E81" s="9" t="s">
        <v>141</v>
      </c>
      <c r="F81" s="14">
        <v>45705</v>
      </c>
    </row>
    <row r="82" spans="1:6">
      <c r="A82" s="8" t="s">
        <v>23</v>
      </c>
      <c r="B82" s="8" t="s">
        <v>142</v>
      </c>
      <c r="C82" s="8">
        <v>0.79999999999999993</v>
      </c>
      <c r="D82" s="8" t="s">
        <v>25</v>
      </c>
      <c r="E82" s="9" t="s">
        <v>66</v>
      </c>
      <c r="F82" s="14">
        <v>45292</v>
      </c>
    </row>
    <row r="83" spans="1:6">
      <c r="A83" s="8" t="s">
        <v>23</v>
      </c>
      <c r="B83" s="8" t="s">
        <v>143</v>
      </c>
      <c r="C83" s="8">
        <v>1</v>
      </c>
      <c r="D83" s="8" t="s">
        <v>15</v>
      </c>
      <c r="E83" s="9" t="s">
        <v>66</v>
      </c>
      <c r="F83" s="14">
        <v>45292</v>
      </c>
    </row>
    <row r="84" spans="1:6">
      <c r="A84" s="8" t="s">
        <v>20</v>
      </c>
      <c r="B84" s="8" t="s">
        <v>144</v>
      </c>
      <c r="C84" s="8">
        <v>1</v>
      </c>
      <c r="D84" s="8" t="s">
        <v>18</v>
      </c>
      <c r="E84" s="9" t="s">
        <v>100</v>
      </c>
      <c r="F84" s="14">
        <v>45362</v>
      </c>
    </row>
    <row r="85" spans="1:6">
      <c r="A85" s="8" t="s">
        <v>57</v>
      </c>
      <c r="B85" s="8" t="s">
        <v>145</v>
      </c>
      <c r="C85" s="8">
        <v>1</v>
      </c>
      <c r="D85" s="8" t="s">
        <v>15</v>
      </c>
      <c r="E85" s="9" t="s">
        <v>72</v>
      </c>
      <c r="F85" s="14">
        <v>45600</v>
      </c>
    </row>
    <row r="86" spans="1:6">
      <c r="A86" s="8" t="s">
        <v>57</v>
      </c>
      <c r="B86" s="8" t="s">
        <v>146</v>
      </c>
      <c r="C86" s="8">
        <v>1</v>
      </c>
      <c r="D86" s="8" t="s">
        <v>15</v>
      </c>
      <c r="E86" s="9" t="s">
        <v>59</v>
      </c>
      <c r="F86" s="14">
        <v>45201</v>
      </c>
    </row>
    <row r="87" spans="1:6">
      <c r="A87" s="8" t="s">
        <v>20</v>
      </c>
      <c r="B87" s="8" t="s">
        <v>147</v>
      </c>
      <c r="C87" s="8">
        <v>1</v>
      </c>
      <c r="D87" s="8" t="s">
        <v>18</v>
      </c>
      <c r="E87" s="9" t="s">
        <v>148</v>
      </c>
      <c r="F87" s="14">
        <v>45740</v>
      </c>
    </row>
    <row r="88" spans="1:6">
      <c r="A88" s="8" t="s">
        <v>57</v>
      </c>
      <c r="B88" s="8" t="s">
        <v>149</v>
      </c>
      <c r="C88" s="8">
        <v>1</v>
      </c>
      <c r="D88" s="8" t="s">
        <v>15</v>
      </c>
      <c r="E88" s="9" t="s">
        <v>59</v>
      </c>
      <c r="F88" s="14">
        <v>45201</v>
      </c>
    </row>
    <row r="89" spans="1:6">
      <c r="A89" s="8" t="s">
        <v>13</v>
      </c>
      <c r="B89" s="8" t="s">
        <v>150</v>
      </c>
      <c r="C89" s="8">
        <v>1</v>
      </c>
      <c r="D89" s="8" t="s">
        <v>15</v>
      </c>
      <c r="E89" s="9" t="s">
        <v>52</v>
      </c>
      <c r="F89" s="14">
        <v>45523</v>
      </c>
    </row>
    <row r="90" spans="1:6">
      <c r="A90" s="8" t="s">
        <v>20</v>
      </c>
      <c r="B90" s="8" t="s">
        <v>151</v>
      </c>
      <c r="C90" s="8">
        <v>1</v>
      </c>
      <c r="D90" s="8" t="s">
        <v>18</v>
      </c>
      <c r="E90" s="9" t="s">
        <v>19</v>
      </c>
      <c r="F90" s="14">
        <v>45922</v>
      </c>
    </row>
    <row r="91" spans="1:6">
      <c r="A91" s="8" t="s">
        <v>23</v>
      </c>
      <c r="B91" s="8" t="s">
        <v>152</v>
      </c>
      <c r="C91" s="8">
        <v>1</v>
      </c>
      <c r="D91" s="8" t="s">
        <v>15</v>
      </c>
      <c r="E91" s="9" t="s">
        <v>66</v>
      </c>
      <c r="F91" s="14">
        <v>45292</v>
      </c>
    </row>
    <row r="92" spans="1:6">
      <c r="A92" s="8" t="s">
        <v>23</v>
      </c>
      <c r="B92" s="8" t="s">
        <v>153</v>
      </c>
      <c r="C92" s="8">
        <v>1</v>
      </c>
      <c r="D92" s="8" t="s">
        <v>15</v>
      </c>
      <c r="E92" s="9" t="s">
        <v>66</v>
      </c>
      <c r="F92" s="14">
        <v>45292</v>
      </c>
    </row>
    <row r="93" spans="1:6">
      <c r="A93" s="8" t="s">
        <v>13</v>
      </c>
      <c r="B93" s="8" t="s">
        <v>154</v>
      </c>
      <c r="C93" s="8">
        <v>1</v>
      </c>
      <c r="D93" s="8" t="s">
        <v>15</v>
      </c>
      <c r="E93" s="9" t="s">
        <v>56</v>
      </c>
      <c r="F93" s="14">
        <v>45453</v>
      </c>
    </row>
    <row r="94" spans="1:6">
      <c r="A94" s="8" t="s">
        <v>13</v>
      </c>
      <c r="B94" s="8" t="s">
        <v>155</v>
      </c>
      <c r="C94" s="8">
        <v>1</v>
      </c>
      <c r="D94" s="8" t="s">
        <v>15</v>
      </c>
      <c r="E94" s="9" t="s">
        <v>54</v>
      </c>
      <c r="F94" s="14">
        <v>45460</v>
      </c>
    </row>
    <row r="95" spans="1:6">
      <c r="A95" s="8" t="s">
        <v>13</v>
      </c>
      <c r="B95" s="8" t="s">
        <v>156</v>
      </c>
      <c r="C95" s="8">
        <v>1</v>
      </c>
      <c r="D95" s="8" t="s">
        <v>15</v>
      </c>
      <c r="E95" s="9" t="s">
        <v>64</v>
      </c>
      <c r="F95" s="14">
        <v>45495</v>
      </c>
    </row>
    <row r="96" spans="1:6">
      <c r="A96" s="8" t="s">
        <v>13</v>
      </c>
      <c r="B96" s="8" t="s">
        <v>157</v>
      </c>
      <c r="C96" s="8">
        <v>1</v>
      </c>
      <c r="D96" s="8" t="s">
        <v>18</v>
      </c>
      <c r="E96" s="9" t="s">
        <v>84</v>
      </c>
      <c r="F96" s="14">
        <v>45384</v>
      </c>
    </row>
    <row r="97" spans="1:6">
      <c r="A97" s="8" t="s">
        <v>13</v>
      </c>
      <c r="B97" s="8" t="s">
        <v>158</v>
      </c>
      <c r="C97" s="8">
        <v>1</v>
      </c>
      <c r="D97" s="8" t="s">
        <v>18</v>
      </c>
      <c r="E97" s="9" t="s">
        <v>84</v>
      </c>
      <c r="F97" s="14">
        <v>45384</v>
      </c>
    </row>
    <row r="98" spans="1:6">
      <c r="A98" s="8" t="s">
        <v>20</v>
      </c>
      <c r="B98" s="8" t="s">
        <v>159</v>
      </c>
      <c r="C98" s="8">
        <v>1</v>
      </c>
      <c r="D98" s="8" t="s">
        <v>18</v>
      </c>
      <c r="E98" s="9" t="s">
        <v>74</v>
      </c>
      <c r="F98" s="14">
        <v>45712</v>
      </c>
    </row>
    <row r="99" spans="1:6">
      <c r="A99" s="8" t="s">
        <v>13</v>
      </c>
      <c r="B99" s="8" t="s">
        <v>160</v>
      </c>
      <c r="C99" s="8">
        <v>1</v>
      </c>
      <c r="D99" s="8" t="s">
        <v>18</v>
      </c>
      <c r="E99" s="9" t="s">
        <v>100</v>
      </c>
      <c r="F99" s="14">
        <v>45362</v>
      </c>
    </row>
    <row r="100" spans="1:6">
      <c r="A100" s="8" t="s">
        <v>20</v>
      </c>
      <c r="B100" s="8" t="s">
        <v>161</v>
      </c>
      <c r="C100" s="8">
        <v>1</v>
      </c>
      <c r="D100" s="8" t="s">
        <v>15</v>
      </c>
      <c r="E100" s="9" t="s">
        <v>162</v>
      </c>
      <c r="F100" s="14">
        <v>45055</v>
      </c>
    </row>
    <row r="101" spans="1:6">
      <c r="A101" s="8" t="s">
        <v>23</v>
      </c>
      <c r="B101" s="8" t="s">
        <v>163</v>
      </c>
      <c r="C101" s="8">
        <v>1</v>
      </c>
      <c r="D101" s="8" t="s">
        <v>18</v>
      </c>
      <c r="E101" s="9" t="s">
        <v>66</v>
      </c>
      <c r="F101" s="14">
        <v>45292</v>
      </c>
    </row>
    <row r="102" spans="1:6">
      <c r="A102" s="8" t="s">
        <v>20</v>
      </c>
      <c r="B102" s="8" t="s">
        <v>164</v>
      </c>
      <c r="C102" s="8">
        <v>1</v>
      </c>
      <c r="D102" s="8" t="s">
        <v>18</v>
      </c>
      <c r="E102" s="9" t="s">
        <v>165</v>
      </c>
      <c r="F102" s="14">
        <v>45352</v>
      </c>
    </row>
    <row r="103" spans="1:6">
      <c r="A103" s="8" t="s">
        <v>13</v>
      </c>
      <c r="B103" s="8" t="s">
        <v>166</v>
      </c>
      <c r="C103" s="8">
        <v>0.94000000000000017</v>
      </c>
      <c r="D103" s="8" t="s">
        <v>15</v>
      </c>
      <c r="E103" s="9" t="s">
        <v>167</v>
      </c>
      <c r="F103" s="14">
        <v>45425</v>
      </c>
    </row>
    <row r="104" spans="1:6">
      <c r="A104" s="8" t="s">
        <v>57</v>
      </c>
      <c r="B104" s="8" t="s">
        <v>168</v>
      </c>
      <c r="C104" s="8">
        <v>0.81081081081081086</v>
      </c>
      <c r="D104" s="8" t="s">
        <v>15</v>
      </c>
      <c r="E104" s="9" t="s">
        <v>98</v>
      </c>
      <c r="F104" s="14">
        <v>45658</v>
      </c>
    </row>
    <row r="105" spans="1:6">
      <c r="A105" s="8" t="s">
        <v>13</v>
      </c>
      <c r="B105" s="8" t="s">
        <v>169</v>
      </c>
      <c r="C105" s="8">
        <v>1</v>
      </c>
      <c r="D105" s="8" t="s">
        <v>18</v>
      </c>
      <c r="E105" s="9" t="s">
        <v>84</v>
      </c>
      <c r="F105" s="14">
        <v>45384</v>
      </c>
    </row>
    <row r="106" spans="1:6">
      <c r="A106" s="8" t="s">
        <v>13</v>
      </c>
      <c r="B106" s="8" t="s">
        <v>170</v>
      </c>
      <c r="C106" s="8">
        <v>1</v>
      </c>
      <c r="D106" s="8" t="s">
        <v>18</v>
      </c>
      <c r="E106" s="9" t="s">
        <v>100</v>
      </c>
      <c r="F106" s="14">
        <v>45362</v>
      </c>
    </row>
    <row r="107" spans="1:6">
      <c r="A107" s="8" t="s">
        <v>20</v>
      </c>
      <c r="B107" s="8" t="s">
        <v>171</v>
      </c>
      <c r="C107" s="8">
        <v>1</v>
      </c>
      <c r="D107" s="8" t="s">
        <v>15</v>
      </c>
      <c r="E107" s="9" t="s">
        <v>74</v>
      </c>
      <c r="F107" s="14">
        <v>45712</v>
      </c>
    </row>
    <row r="108" spans="1:6">
      <c r="A108" s="8" t="s">
        <v>57</v>
      </c>
      <c r="B108" s="8" t="s">
        <v>172</v>
      </c>
      <c r="C108" s="8">
        <v>1</v>
      </c>
      <c r="D108" s="8" t="s">
        <v>15</v>
      </c>
      <c r="E108" s="9" t="s">
        <v>59</v>
      </c>
      <c r="F108" s="14">
        <v>45201</v>
      </c>
    </row>
    <row r="109" spans="1:6">
      <c r="A109" s="8" t="s">
        <v>23</v>
      </c>
      <c r="B109" s="8" t="s">
        <v>173</v>
      </c>
      <c r="C109" s="8">
        <v>1</v>
      </c>
      <c r="D109" s="8" t="s">
        <v>15</v>
      </c>
      <c r="E109" s="9" t="s">
        <v>174</v>
      </c>
      <c r="F109" s="14">
        <v>45803</v>
      </c>
    </row>
    <row r="110" spans="1:6">
      <c r="A110" s="8" t="s">
        <v>20</v>
      </c>
      <c r="B110" s="8" t="s">
        <v>175</v>
      </c>
      <c r="C110" s="8">
        <v>1</v>
      </c>
      <c r="D110" s="8" t="s">
        <v>18</v>
      </c>
      <c r="E110" s="9" t="s">
        <v>136</v>
      </c>
      <c r="F110" s="14">
        <v>45488</v>
      </c>
    </row>
    <row r="111" spans="1:6">
      <c r="A111" s="8" t="s">
        <v>23</v>
      </c>
      <c r="B111" s="8" t="s">
        <v>176</v>
      </c>
      <c r="C111" s="8">
        <v>1</v>
      </c>
      <c r="D111" s="8" t="s">
        <v>15</v>
      </c>
      <c r="E111" s="9" t="s">
        <v>177</v>
      </c>
      <c r="F111" s="14">
        <v>45798</v>
      </c>
    </row>
    <row r="112" spans="1:6">
      <c r="A112" s="8" t="s">
        <v>13</v>
      </c>
      <c r="B112" s="8" t="s">
        <v>178</v>
      </c>
      <c r="C112" s="8">
        <v>0.79999999999999993</v>
      </c>
      <c r="D112" s="8" t="s">
        <v>15</v>
      </c>
      <c r="E112" s="9" t="s">
        <v>84</v>
      </c>
      <c r="F112" s="14">
        <v>45384</v>
      </c>
    </row>
    <row r="113" spans="1:6">
      <c r="A113" s="8" t="s">
        <v>23</v>
      </c>
      <c r="B113" s="8" t="s">
        <v>179</v>
      </c>
      <c r="C113" s="8">
        <v>1</v>
      </c>
      <c r="D113" s="8" t="s">
        <v>15</v>
      </c>
      <c r="E113" s="9" t="s">
        <v>180</v>
      </c>
      <c r="F113" s="14">
        <v>45810</v>
      </c>
    </row>
    <row r="114" spans="1:6">
      <c r="A114" s="8" t="s">
        <v>13</v>
      </c>
      <c r="B114" s="8" t="s">
        <v>181</v>
      </c>
      <c r="C114" s="8">
        <v>1</v>
      </c>
      <c r="D114" s="8" t="s">
        <v>18</v>
      </c>
      <c r="E114" s="9" t="s">
        <v>93</v>
      </c>
      <c r="F114" s="14">
        <v>45411</v>
      </c>
    </row>
    <row r="115" spans="1:6">
      <c r="A115" s="8" t="s">
        <v>13</v>
      </c>
      <c r="B115" s="8" t="s">
        <v>182</v>
      </c>
      <c r="C115" s="8">
        <v>1</v>
      </c>
      <c r="D115" s="8" t="s">
        <v>15</v>
      </c>
      <c r="E115" s="9" t="s">
        <v>84</v>
      </c>
      <c r="F115" s="14">
        <v>45384</v>
      </c>
    </row>
    <row r="116" spans="1:6">
      <c r="A116" s="8" t="s">
        <v>20</v>
      </c>
      <c r="B116" s="8" t="s">
        <v>183</v>
      </c>
      <c r="C116" s="8">
        <v>1</v>
      </c>
      <c r="D116" s="8" t="s">
        <v>18</v>
      </c>
      <c r="E116" s="9" t="s">
        <v>100</v>
      </c>
      <c r="F116" s="14">
        <v>45362</v>
      </c>
    </row>
    <row r="117" spans="1:6">
      <c r="A117" s="8" t="s">
        <v>20</v>
      </c>
      <c r="B117" s="8" t="s">
        <v>184</v>
      </c>
      <c r="C117" s="8">
        <v>1</v>
      </c>
      <c r="D117" s="8" t="s">
        <v>15</v>
      </c>
      <c r="E117" s="9" t="s">
        <v>185</v>
      </c>
      <c r="F117" s="14">
        <v>44986</v>
      </c>
    </row>
    <row r="118" spans="1:6">
      <c r="A118" s="8" t="s">
        <v>20</v>
      </c>
      <c r="B118" s="8" t="s">
        <v>186</v>
      </c>
      <c r="C118" s="8">
        <v>1</v>
      </c>
      <c r="D118" s="8" t="s">
        <v>18</v>
      </c>
      <c r="E118" s="9" t="s">
        <v>19</v>
      </c>
      <c r="F118" s="14">
        <v>45922</v>
      </c>
    </row>
    <row r="119" spans="1:6">
      <c r="A119" s="8" t="s">
        <v>13</v>
      </c>
      <c r="B119" s="8" t="s">
        <v>187</v>
      </c>
      <c r="C119" s="8">
        <v>1</v>
      </c>
      <c r="D119" s="8" t="s">
        <v>15</v>
      </c>
      <c r="E119" s="9" t="s">
        <v>56</v>
      </c>
      <c r="F119" s="14">
        <v>45453</v>
      </c>
    </row>
    <row r="120" spans="1:6">
      <c r="A120" s="8" t="s">
        <v>13</v>
      </c>
      <c r="B120" s="8" t="s">
        <v>188</v>
      </c>
      <c r="C120" s="8">
        <v>1</v>
      </c>
      <c r="D120" s="8" t="s">
        <v>15</v>
      </c>
      <c r="E120" s="9" t="s">
        <v>189</v>
      </c>
      <c r="F120" s="14">
        <v>45419</v>
      </c>
    </row>
    <row r="121" spans="1:6">
      <c r="A121" s="8" t="s">
        <v>13</v>
      </c>
      <c r="B121" s="8" t="s">
        <v>190</v>
      </c>
      <c r="C121" s="8">
        <v>1</v>
      </c>
      <c r="D121" s="8" t="s">
        <v>15</v>
      </c>
      <c r="E121" s="9" t="s">
        <v>191</v>
      </c>
      <c r="F121" s="14">
        <v>45491</v>
      </c>
    </row>
    <row r="122" spans="1:6">
      <c r="A122" s="8" t="s">
        <v>20</v>
      </c>
      <c r="B122" s="8" t="s">
        <v>192</v>
      </c>
      <c r="C122" s="8">
        <v>1</v>
      </c>
      <c r="D122" s="8" t="s">
        <v>15</v>
      </c>
      <c r="E122" s="9" t="s">
        <v>74</v>
      </c>
      <c r="F122" s="14">
        <v>45712</v>
      </c>
    </row>
    <row r="123" spans="1:6">
      <c r="A123" s="8" t="s">
        <v>20</v>
      </c>
      <c r="B123" s="8" t="s">
        <v>193</v>
      </c>
      <c r="C123" s="8">
        <v>1</v>
      </c>
      <c r="D123" s="8" t="s">
        <v>15</v>
      </c>
      <c r="E123" s="9" t="s">
        <v>130</v>
      </c>
      <c r="F123" s="14">
        <v>45456</v>
      </c>
    </row>
    <row r="124" spans="1:6">
      <c r="A124" s="8" t="s">
        <v>13</v>
      </c>
      <c r="B124" s="8" t="s">
        <v>194</v>
      </c>
      <c r="C124" s="8">
        <v>0.68918918918918926</v>
      </c>
      <c r="D124" s="8" t="s">
        <v>15</v>
      </c>
      <c r="E124" s="9" t="s">
        <v>167</v>
      </c>
      <c r="F124" s="14">
        <v>45425</v>
      </c>
    </row>
    <row r="125" spans="1:6">
      <c r="A125" s="8" t="s">
        <v>13</v>
      </c>
      <c r="B125" s="8" t="s">
        <v>195</v>
      </c>
      <c r="C125" s="8">
        <v>1</v>
      </c>
      <c r="D125" s="8" t="s">
        <v>15</v>
      </c>
      <c r="E125" s="9" t="s">
        <v>130</v>
      </c>
      <c r="F125" s="14">
        <v>45456</v>
      </c>
    </row>
    <row r="126" spans="1:6">
      <c r="A126" s="8" t="s">
        <v>13</v>
      </c>
      <c r="B126" s="8" t="s">
        <v>196</v>
      </c>
      <c r="C126" s="8">
        <v>1</v>
      </c>
      <c r="D126" s="8" t="s">
        <v>15</v>
      </c>
      <c r="E126" s="9" t="s">
        <v>74</v>
      </c>
      <c r="F126" s="14">
        <v>45712</v>
      </c>
    </row>
    <row r="127" spans="1:6">
      <c r="A127" s="8" t="s">
        <v>13</v>
      </c>
      <c r="B127" s="8" t="s">
        <v>197</v>
      </c>
      <c r="C127" s="8">
        <v>1</v>
      </c>
      <c r="D127" s="8" t="s">
        <v>15</v>
      </c>
      <c r="E127" s="9" t="s">
        <v>52</v>
      </c>
      <c r="F127" s="14">
        <v>45523</v>
      </c>
    </row>
    <row r="128" spans="1:6">
      <c r="A128" s="8" t="s">
        <v>13</v>
      </c>
      <c r="B128" s="8" t="s">
        <v>198</v>
      </c>
      <c r="C128" s="8">
        <v>1</v>
      </c>
      <c r="D128" s="8" t="s">
        <v>15</v>
      </c>
      <c r="E128" s="9" t="s">
        <v>84</v>
      </c>
      <c r="F128" s="14">
        <v>45384</v>
      </c>
    </row>
    <row r="129" spans="1:6">
      <c r="A129" s="8" t="s">
        <v>23</v>
      </c>
      <c r="B129" s="8" t="s">
        <v>199</v>
      </c>
      <c r="C129" s="8">
        <v>1</v>
      </c>
      <c r="D129" s="8" t="s">
        <v>18</v>
      </c>
      <c r="E129" s="9" t="s">
        <v>66</v>
      </c>
      <c r="F129" s="14">
        <v>45292</v>
      </c>
    </row>
    <row r="130" spans="1:6">
      <c r="A130" s="8" t="s">
        <v>57</v>
      </c>
      <c r="B130" s="8" t="s">
        <v>200</v>
      </c>
      <c r="C130" s="8">
        <v>1</v>
      </c>
      <c r="D130" s="8" t="s">
        <v>15</v>
      </c>
      <c r="E130" s="9" t="s">
        <v>72</v>
      </c>
      <c r="F130" s="14">
        <v>45600</v>
      </c>
    </row>
    <row r="131" spans="1:6">
      <c r="A131" s="8" t="s">
        <v>20</v>
      </c>
      <c r="B131" s="8" t="s">
        <v>201</v>
      </c>
      <c r="C131" s="8">
        <v>1</v>
      </c>
      <c r="D131" s="8" t="s">
        <v>15</v>
      </c>
      <c r="E131" s="9" t="s">
        <v>76</v>
      </c>
      <c r="F131" s="14">
        <v>45420</v>
      </c>
    </row>
    <row r="132" spans="1:6">
      <c r="A132" s="8" t="s">
        <v>13</v>
      </c>
      <c r="B132" s="8" t="s">
        <v>202</v>
      </c>
      <c r="C132" s="8">
        <v>1</v>
      </c>
      <c r="D132" s="8" t="s">
        <v>15</v>
      </c>
      <c r="E132" s="9" t="s">
        <v>130</v>
      </c>
      <c r="F132" s="14">
        <v>45456</v>
      </c>
    </row>
    <row r="133" spans="1:6">
      <c r="A133" s="8" t="s">
        <v>57</v>
      </c>
      <c r="B133" s="8" t="s">
        <v>203</v>
      </c>
      <c r="C133" s="8">
        <v>1</v>
      </c>
      <c r="D133" s="8" t="s">
        <v>15</v>
      </c>
      <c r="E133" s="9" t="s">
        <v>204</v>
      </c>
      <c r="F133" s="14">
        <v>45635</v>
      </c>
    </row>
    <row r="134" spans="1:6">
      <c r="A134" s="8" t="s">
        <v>13</v>
      </c>
      <c r="B134" s="8" t="s">
        <v>205</v>
      </c>
      <c r="C134" s="8">
        <v>1</v>
      </c>
      <c r="D134" s="8" t="s">
        <v>15</v>
      </c>
      <c r="E134" s="9" t="s">
        <v>56</v>
      </c>
      <c r="F134" s="14">
        <v>45453</v>
      </c>
    </row>
    <row r="135" spans="1:6">
      <c r="A135" s="8" t="s">
        <v>20</v>
      </c>
      <c r="B135" s="8" t="s">
        <v>206</v>
      </c>
      <c r="C135" s="8">
        <v>1</v>
      </c>
      <c r="D135" s="8" t="s">
        <v>15</v>
      </c>
      <c r="E135" s="9" t="s">
        <v>56</v>
      </c>
      <c r="F135" s="14">
        <v>45453</v>
      </c>
    </row>
    <row r="136" spans="1:6">
      <c r="A136" s="8" t="s">
        <v>20</v>
      </c>
      <c r="B136" s="8" t="s">
        <v>207</v>
      </c>
      <c r="C136" s="8">
        <v>1</v>
      </c>
      <c r="D136" s="8" t="s">
        <v>18</v>
      </c>
      <c r="E136" s="9" t="s">
        <v>208</v>
      </c>
      <c r="F136" s="14">
        <v>45551</v>
      </c>
    </row>
    <row r="137" spans="1:6">
      <c r="A137" s="8" t="s">
        <v>13</v>
      </c>
      <c r="B137" s="8" t="s">
        <v>209</v>
      </c>
      <c r="C137" s="8">
        <v>1</v>
      </c>
      <c r="D137" s="8" t="s">
        <v>18</v>
      </c>
      <c r="E137" s="9" t="s">
        <v>84</v>
      </c>
      <c r="F137" s="14">
        <v>45384</v>
      </c>
    </row>
    <row r="138" spans="1:6">
      <c r="A138" s="8" t="s">
        <v>13</v>
      </c>
      <c r="B138" s="8" t="s">
        <v>210</v>
      </c>
      <c r="C138" s="8">
        <v>0.64864864864864868</v>
      </c>
      <c r="D138" s="8" t="s">
        <v>15</v>
      </c>
      <c r="E138" s="9" t="s">
        <v>167</v>
      </c>
      <c r="F138" s="14">
        <v>45425</v>
      </c>
    </row>
    <row r="139" spans="1:6">
      <c r="A139" s="8" t="s">
        <v>13</v>
      </c>
      <c r="B139" s="8" t="s">
        <v>211</v>
      </c>
      <c r="C139" s="8">
        <v>0.6</v>
      </c>
      <c r="D139" s="8" t="s">
        <v>18</v>
      </c>
      <c r="E139" s="9" t="s">
        <v>100</v>
      </c>
      <c r="F139" s="14">
        <v>45362</v>
      </c>
    </row>
    <row r="140" spans="1:6">
      <c r="A140" s="8" t="s">
        <v>13</v>
      </c>
      <c r="B140" s="8" t="s">
        <v>212</v>
      </c>
      <c r="C140" s="8">
        <v>1</v>
      </c>
      <c r="D140" s="8" t="s">
        <v>15</v>
      </c>
      <c r="E140" s="9" t="s">
        <v>54</v>
      </c>
      <c r="F140" s="14">
        <v>45460</v>
      </c>
    </row>
    <row r="141" spans="1:6">
      <c r="A141" s="8" t="s">
        <v>20</v>
      </c>
      <c r="B141" s="8" t="s">
        <v>213</v>
      </c>
      <c r="C141" s="8">
        <v>1</v>
      </c>
      <c r="D141" s="8" t="s">
        <v>15</v>
      </c>
      <c r="E141" s="9" t="s">
        <v>66</v>
      </c>
      <c r="F141" s="14">
        <v>45292</v>
      </c>
    </row>
    <row r="142" spans="1:6">
      <c r="A142" s="8" t="s">
        <v>13</v>
      </c>
      <c r="B142" s="8" t="s">
        <v>214</v>
      </c>
      <c r="C142" s="8">
        <v>1</v>
      </c>
      <c r="D142" s="8" t="s">
        <v>15</v>
      </c>
      <c r="E142" s="9" t="s">
        <v>167</v>
      </c>
      <c r="F142" s="14">
        <v>45425</v>
      </c>
    </row>
    <row r="143" spans="1:6">
      <c r="A143" s="8" t="s">
        <v>13</v>
      </c>
      <c r="B143" s="8" t="s">
        <v>215</v>
      </c>
      <c r="C143" s="8">
        <v>1</v>
      </c>
      <c r="D143" s="8" t="s">
        <v>15</v>
      </c>
      <c r="E143" s="9" t="s">
        <v>47</v>
      </c>
      <c r="F143" s="14">
        <v>45531</v>
      </c>
    </row>
    <row r="144" spans="1:6">
      <c r="A144" s="8" t="s">
        <v>23</v>
      </c>
      <c r="B144" s="8" t="s">
        <v>216</v>
      </c>
      <c r="C144" s="8">
        <v>0.79999999999999993</v>
      </c>
      <c r="D144" s="8" t="s">
        <v>25</v>
      </c>
      <c r="E144" s="9" t="s">
        <v>66</v>
      </c>
      <c r="F144" s="14">
        <v>45292</v>
      </c>
    </row>
    <row r="145" spans="1:6">
      <c r="A145" s="8" t="s">
        <v>20</v>
      </c>
      <c r="B145" s="8" t="s">
        <v>217</v>
      </c>
      <c r="C145" s="8">
        <v>0.81081081081081086</v>
      </c>
      <c r="D145" s="8" t="s">
        <v>18</v>
      </c>
      <c r="E145" s="9" t="s">
        <v>19</v>
      </c>
      <c r="F145" s="14">
        <v>45922</v>
      </c>
    </row>
    <row r="146" spans="1:6">
      <c r="A146" s="8" t="s">
        <v>13</v>
      </c>
      <c r="B146" s="8" t="s">
        <v>218</v>
      </c>
      <c r="C146" s="8">
        <v>1</v>
      </c>
      <c r="D146" s="8" t="s">
        <v>18</v>
      </c>
      <c r="E146" s="9" t="s">
        <v>219</v>
      </c>
      <c r="F146" s="14">
        <v>45391</v>
      </c>
    </row>
    <row r="147" spans="1:6">
      <c r="A147" s="8" t="s">
        <v>13</v>
      </c>
      <c r="B147" s="8" t="s">
        <v>220</v>
      </c>
      <c r="C147" s="8">
        <v>0.91891891891891897</v>
      </c>
      <c r="D147" s="8" t="s">
        <v>15</v>
      </c>
      <c r="E147" s="9" t="s">
        <v>74</v>
      </c>
      <c r="F147" s="14">
        <v>45712</v>
      </c>
    </row>
    <row r="148" spans="1:6">
      <c r="A148" s="8" t="s">
        <v>13</v>
      </c>
      <c r="B148" s="8" t="s">
        <v>221</v>
      </c>
      <c r="C148" s="8">
        <v>1</v>
      </c>
      <c r="D148" s="8" t="s">
        <v>18</v>
      </c>
      <c r="E148" s="9" t="s">
        <v>84</v>
      </c>
      <c r="F148" s="14">
        <v>45384</v>
      </c>
    </row>
    <row r="149" spans="1:6">
      <c r="A149" s="8" t="s">
        <v>20</v>
      </c>
      <c r="B149" s="8" t="s">
        <v>222</v>
      </c>
      <c r="C149" s="8">
        <v>1</v>
      </c>
      <c r="D149" s="8" t="s">
        <v>15</v>
      </c>
      <c r="E149" s="9" t="s">
        <v>56</v>
      </c>
      <c r="F149" s="14">
        <v>45453</v>
      </c>
    </row>
    <row r="150" spans="1:6">
      <c r="A150" s="8" t="s">
        <v>13</v>
      </c>
      <c r="B150" s="8" t="s">
        <v>223</v>
      </c>
      <c r="C150" s="8">
        <v>1</v>
      </c>
      <c r="D150" s="8" t="s">
        <v>18</v>
      </c>
      <c r="E150" s="9" t="s">
        <v>84</v>
      </c>
      <c r="F150" s="14">
        <v>45384</v>
      </c>
    </row>
    <row r="151" spans="1:6">
      <c r="A151" s="8" t="s">
        <v>13</v>
      </c>
      <c r="B151" s="8" t="s">
        <v>224</v>
      </c>
      <c r="C151" s="8">
        <v>1</v>
      </c>
      <c r="D151" s="8" t="s">
        <v>15</v>
      </c>
      <c r="E151" s="9" t="s">
        <v>84</v>
      </c>
      <c r="F151" s="14">
        <v>45384</v>
      </c>
    </row>
    <row r="152" spans="1:6">
      <c r="A152" s="8" t="s">
        <v>13</v>
      </c>
      <c r="B152" s="8" t="s">
        <v>225</v>
      </c>
      <c r="C152" s="8">
        <v>0.86486486486486491</v>
      </c>
      <c r="D152" s="8" t="s">
        <v>15</v>
      </c>
      <c r="E152" s="9" t="s">
        <v>226</v>
      </c>
      <c r="F152" s="14">
        <v>45327</v>
      </c>
    </row>
    <row r="153" spans="1:6">
      <c r="A153" s="8" t="s">
        <v>23</v>
      </c>
      <c r="B153" s="8" t="s">
        <v>227</v>
      </c>
      <c r="C153" s="8">
        <v>1</v>
      </c>
      <c r="D153" s="8" t="s">
        <v>18</v>
      </c>
      <c r="E153" s="9" t="s">
        <v>66</v>
      </c>
      <c r="F153" s="14">
        <v>45292</v>
      </c>
    </row>
    <row r="154" spans="1:6">
      <c r="A154" s="8" t="s">
        <v>20</v>
      </c>
      <c r="B154" s="8" t="s">
        <v>228</v>
      </c>
      <c r="C154" s="8">
        <v>1</v>
      </c>
      <c r="D154" s="8" t="s">
        <v>15</v>
      </c>
      <c r="E154" s="9" t="s">
        <v>167</v>
      </c>
      <c r="F154" s="14">
        <v>45425</v>
      </c>
    </row>
    <row r="155" spans="1:6">
      <c r="A155" s="8" t="s">
        <v>13</v>
      </c>
      <c r="B155" s="8" t="s">
        <v>229</v>
      </c>
      <c r="C155" s="8">
        <v>1</v>
      </c>
      <c r="D155" s="8" t="s">
        <v>15</v>
      </c>
      <c r="E155" s="9" t="s">
        <v>136</v>
      </c>
      <c r="F155" s="14">
        <v>45488</v>
      </c>
    </row>
    <row r="156" spans="1:6">
      <c r="A156" s="8" t="s">
        <v>20</v>
      </c>
      <c r="B156" s="8" t="s">
        <v>230</v>
      </c>
      <c r="C156" s="8">
        <v>1</v>
      </c>
      <c r="D156" s="8" t="s">
        <v>15</v>
      </c>
      <c r="E156" s="9" t="s">
        <v>49</v>
      </c>
      <c r="F156" s="14">
        <v>45586</v>
      </c>
    </row>
    <row r="157" spans="1:6">
      <c r="A157" s="8" t="s">
        <v>20</v>
      </c>
      <c r="B157" s="8" t="s">
        <v>231</v>
      </c>
      <c r="C157" s="8">
        <v>1</v>
      </c>
      <c r="D157" s="8" t="s">
        <v>15</v>
      </c>
      <c r="E157" s="9" t="s">
        <v>232</v>
      </c>
      <c r="F157" s="14">
        <v>45019</v>
      </c>
    </row>
    <row r="158" spans="1:6">
      <c r="A158" s="8" t="s">
        <v>20</v>
      </c>
      <c r="B158" s="8" t="s">
        <v>233</v>
      </c>
      <c r="C158" s="8">
        <v>1</v>
      </c>
      <c r="D158" s="8" t="s">
        <v>18</v>
      </c>
      <c r="E158" s="9" t="s">
        <v>74</v>
      </c>
      <c r="F158" s="14">
        <v>45712</v>
      </c>
    </row>
    <row r="159" spans="1:6">
      <c r="A159" s="8" t="s">
        <v>13</v>
      </c>
      <c r="B159" s="8" t="s">
        <v>234</v>
      </c>
      <c r="C159" s="8">
        <v>1</v>
      </c>
      <c r="D159" s="8" t="s">
        <v>18</v>
      </c>
      <c r="E159" s="9" t="s">
        <v>235</v>
      </c>
      <c r="F159" s="14">
        <v>45474</v>
      </c>
    </row>
    <row r="160" spans="1:6">
      <c r="A160" s="8" t="s">
        <v>57</v>
      </c>
      <c r="B160" s="8" t="s">
        <v>236</v>
      </c>
      <c r="C160" s="8">
        <v>1</v>
      </c>
      <c r="D160" s="8" t="s">
        <v>15</v>
      </c>
      <c r="E160" s="9" t="s">
        <v>72</v>
      </c>
      <c r="F160" s="14">
        <v>45600</v>
      </c>
    </row>
    <row r="161" spans="1:6">
      <c r="A161" s="8" t="s">
        <v>20</v>
      </c>
      <c r="B161" s="8" t="s">
        <v>237</v>
      </c>
      <c r="C161" s="8">
        <v>1</v>
      </c>
      <c r="D161" s="8" t="s">
        <v>18</v>
      </c>
      <c r="E161" s="9" t="s">
        <v>19</v>
      </c>
      <c r="F161" s="14">
        <v>45922</v>
      </c>
    </row>
    <row r="162" spans="1:6">
      <c r="A162" s="8" t="s">
        <v>20</v>
      </c>
      <c r="B162" s="8" t="s">
        <v>238</v>
      </c>
      <c r="C162" s="8">
        <v>1</v>
      </c>
      <c r="D162" s="8" t="s">
        <v>18</v>
      </c>
      <c r="E162" s="9" t="s">
        <v>19</v>
      </c>
      <c r="F162" s="14">
        <v>45922</v>
      </c>
    </row>
    <row r="163" spans="1:6">
      <c r="A163" s="8" t="s">
        <v>13</v>
      </c>
      <c r="B163" s="8" t="s">
        <v>239</v>
      </c>
      <c r="C163" s="8">
        <v>1</v>
      </c>
      <c r="D163" s="8" t="s">
        <v>18</v>
      </c>
      <c r="E163" s="9" t="s">
        <v>240</v>
      </c>
      <c r="F163" s="14">
        <v>45363</v>
      </c>
    </row>
    <row r="164" spans="1:6">
      <c r="A164" s="8" t="s">
        <v>13</v>
      </c>
      <c r="B164" s="8" t="s">
        <v>241</v>
      </c>
      <c r="C164" s="8">
        <v>1</v>
      </c>
      <c r="D164" s="8" t="s">
        <v>15</v>
      </c>
      <c r="E164" s="9" t="s">
        <v>189</v>
      </c>
      <c r="F164" s="14">
        <v>45419</v>
      </c>
    </row>
    <row r="165" spans="1:6">
      <c r="A165" s="8" t="s">
        <v>23</v>
      </c>
      <c r="B165" s="8" t="s">
        <v>242</v>
      </c>
      <c r="C165" s="8">
        <v>1</v>
      </c>
      <c r="D165" s="8" t="s">
        <v>25</v>
      </c>
      <c r="E165" s="9" t="s">
        <v>66</v>
      </c>
      <c r="F165" s="14">
        <v>45292</v>
      </c>
    </row>
    <row r="166" spans="1:6">
      <c r="A166" s="8" t="s">
        <v>13</v>
      </c>
      <c r="B166" s="8" t="s">
        <v>243</v>
      </c>
      <c r="C166" s="8">
        <v>1</v>
      </c>
      <c r="D166" s="8" t="s">
        <v>18</v>
      </c>
      <c r="E166" s="9" t="s">
        <v>84</v>
      </c>
      <c r="F166" s="14">
        <v>45384</v>
      </c>
    </row>
    <row r="167" spans="1:6">
      <c r="A167" s="8" t="s">
        <v>57</v>
      </c>
      <c r="B167" s="8" t="s">
        <v>244</v>
      </c>
      <c r="C167" s="8">
        <v>1</v>
      </c>
      <c r="D167" s="8" t="s">
        <v>15</v>
      </c>
      <c r="E167" s="9" t="s">
        <v>245</v>
      </c>
      <c r="F167" s="14">
        <v>45859</v>
      </c>
    </row>
    <row r="168" spans="1:6">
      <c r="A168" s="8" t="s">
        <v>13</v>
      </c>
      <c r="B168" s="8" t="s">
        <v>246</v>
      </c>
      <c r="C168" s="8">
        <v>1</v>
      </c>
      <c r="D168" s="8" t="s">
        <v>18</v>
      </c>
      <c r="E168" s="9" t="s">
        <v>84</v>
      </c>
      <c r="F168" s="14">
        <v>45384</v>
      </c>
    </row>
    <row r="169" spans="1:6">
      <c r="A169" s="8" t="s">
        <v>20</v>
      </c>
      <c r="B169" s="8" t="s">
        <v>247</v>
      </c>
      <c r="C169" s="8">
        <v>1</v>
      </c>
      <c r="D169" s="8" t="s">
        <v>18</v>
      </c>
      <c r="E169" s="9" t="s">
        <v>84</v>
      </c>
      <c r="F169" s="14">
        <v>45384</v>
      </c>
    </row>
    <row r="170" spans="1:6">
      <c r="A170" s="8" t="s">
        <v>13</v>
      </c>
      <c r="B170" s="8" t="s">
        <v>248</v>
      </c>
      <c r="C170" s="8">
        <v>0.7</v>
      </c>
      <c r="D170" s="8" t="s">
        <v>18</v>
      </c>
      <c r="E170" s="9" t="s">
        <v>66</v>
      </c>
      <c r="F170" s="14">
        <v>45292</v>
      </c>
    </row>
    <row r="171" spans="1:6">
      <c r="A171" s="8" t="s">
        <v>13</v>
      </c>
      <c r="B171" s="8" t="s">
        <v>249</v>
      </c>
      <c r="C171" s="8">
        <v>1</v>
      </c>
      <c r="D171" s="8" t="s">
        <v>15</v>
      </c>
      <c r="E171" s="9" t="s">
        <v>56</v>
      </c>
      <c r="F171" s="14">
        <v>45453</v>
      </c>
    </row>
    <row r="172" spans="1:6">
      <c r="A172" s="8" t="s">
        <v>20</v>
      </c>
      <c r="B172" s="8" t="s">
        <v>250</v>
      </c>
      <c r="C172" s="8">
        <v>1</v>
      </c>
      <c r="D172" s="8" t="s">
        <v>15</v>
      </c>
      <c r="E172" s="9" t="s">
        <v>232</v>
      </c>
      <c r="F172" s="14">
        <v>45019</v>
      </c>
    </row>
    <row r="173" spans="1:6">
      <c r="A173" s="8" t="s">
        <v>20</v>
      </c>
      <c r="B173" s="8" t="s">
        <v>251</v>
      </c>
      <c r="C173" s="8">
        <v>1</v>
      </c>
      <c r="D173" s="8" t="s">
        <v>15</v>
      </c>
      <c r="E173" s="9" t="s">
        <v>66</v>
      </c>
      <c r="F173" s="14">
        <v>45292</v>
      </c>
    </row>
    <row r="174" spans="1:6">
      <c r="A174" s="8" t="s">
        <v>20</v>
      </c>
      <c r="B174" s="8" t="s">
        <v>252</v>
      </c>
      <c r="C174" s="8">
        <v>1</v>
      </c>
      <c r="D174" s="8" t="s">
        <v>15</v>
      </c>
      <c r="E174" s="9" t="s">
        <v>189</v>
      </c>
      <c r="F174" s="14">
        <v>45419</v>
      </c>
    </row>
    <row r="175" spans="1:6">
      <c r="A175" s="8" t="s">
        <v>20</v>
      </c>
      <c r="B175" s="8" t="s">
        <v>253</v>
      </c>
      <c r="C175" s="8">
        <v>1</v>
      </c>
      <c r="D175" s="8" t="s">
        <v>15</v>
      </c>
      <c r="E175" s="9" t="s">
        <v>49</v>
      </c>
      <c r="F175" s="14">
        <v>45586</v>
      </c>
    </row>
    <row r="176" spans="1:6">
      <c r="A176" s="8" t="s">
        <v>13</v>
      </c>
      <c r="B176" s="8" t="s">
        <v>254</v>
      </c>
      <c r="C176" s="8">
        <v>1</v>
      </c>
      <c r="D176" s="8" t="s">
        <v>15</v>
      </c>
      <c r="E176" s="9" t="s">
        <v>84</v>
      </c>
      <c r="F176" s="14">
        <v>45384</v>
      </c>
    </row>
    <row r="177" spans="1:6">
      <c r="A177" s="8" t="s">
        <v>57</v>
      </c>
      <c r="B177" s="8" t="s">
        <v>255</v>
      </c>
      <c r="C177" s="8">
        <v>1</v>
      </c>
      <c r="D177" s="8" t="s">
        <v>15</v>
      </c>
      <c r="E177" s="9" t="s">
        <v>72</v>
      </c>
      <c r="F177" s="14">
        <v>45600</v>
      </c>
    </row>
    <row r="178" spans="1:6">
      <c r="A178" s="8" t="s">
        <v>20</v>
      </c>
      <c r="B178" s="8" t="s">
        <v>256</v>
      </c>
      <c r="C178" s="8">
        <v>1</v>
      </c>
      <c r="D178" s="8" t="s">
        <v>15</v>
      </c>
      <c r="E178" s="9" t="s">
        <v>49</v>
      </c>
      <c r="F178" s="14">
        <v>45586</v>
      </c>
    </row>
    <row r="179" spans="1:6">
      <c r="A179" s="8" t="s">
        <v>13</v>
      </c>
      <c r="B179" s="8" t="s">
        <v>257</v>
      </c>
      <c r="C179" s="8">
        <v>1</v>
      </c>
      <c r="D179" s="8" t="s">
        <v>15</v>
      </c>
      <c r="E179" s="9" t="s">
        <v>258</v>
      </c>
      <c r="F179" s="14">
        <v>45505</v>
      </c>
    </row>
    <row r="180" spans="1:6">
      <c r="A180" s="8" t="s">
        <v>20</v>
      </c>
      <c r="B180" s="8" t="s">
        <v>259</v>
      </c>
      <c r="C180" s="8">
        <v>1</v>
      </c>
      <c r="D180" s="8" t="s">
        <v>15</v>
      </c>
      <c r="E180" s="9" t="s">
        <v>56</v>
      </c>
      <c r="F180" s="14">
        <v>45453</v>
      </c>
    </row>
    <row r="181" spans="1:6">
      <c r="A181" s="8" t="s">
        <v>57</v>
      </c>
      <c r="B181" s="8" t="s">
        <v>260</v>
      </c>
      <c r="C181" s="8">
        <v>1</v>
      </c>
      <c r="D181" s="8" t="s">
        <v>15</v>
      </c>
      <c r="E181" s="9" t="s">
        <v>98</v>
      </c>
      <c r="F181" s="14">
        <v>45658</v>
      </c>
    </row>
    <row r="182" spans="1:6">
      <c r="A182" s="8" t="s">
        <v>20</v>
      </c>
      <c r="B182" s="8" t="s">
        <v>261</v>
      </c>
      <c r="C182" s="8">
        <v>1</v>
      </c>
      <c r="D182" s="8" t="s">
        <v>15</v>
      </c>
      <c r="E182" s="9" t="s">
        <v>49</v>
      </c>
      <c r="F182" s="14">
        <v>45586</v>
      </c>
    </row>
    <row r="183" spans="1:6">
      <c r="A183" s="8" t="s">
        <v>20</v>
      </c>
      <c r="B183" s="8" t="s">
        <v>262</v>
      </c>
      <c r="C183" s="8">
        <v>1</v>
      </c>
      <c r="D183" s="8" t="s">
        <v>18</v>
      </c>
      <c r="E183" s="9" t="s">
        <v>84</v>
      </c>
      <c r="F183" s="14">
        <v>45384</v>
      </c>
    </row>
    <row r="184" spans="1:6">
      <c r="A184" s="8" t="s">
        <v>20</v>
      </c>
      <c r="B184" s="8" t="s">
        <v>263</v>
      </c>
      <c r="C184" s="8">
        <v>1</v>
      </c>
      <c r="D184" s="8" t="s">
        <v>18</v>
      </c>
      <c r="E184" s="9" t="s">
        <v>19</v>
      </c>
      <c r="F184" s="14">
        <v>45922</v>
      </c>
    </row>
    <row r="185" spans="1:6">
      <c r="A185" s="8" t="s">
        <v>13</v>
      </c>
      <c r="B185" s="8" t="s">
        <v>264</v>
      </c>
      <c r="C185" s="8">
        <v>1</v>
      </c>
      <c r="D185" s="8" t="s">
        <v>15</v>
      </c>
      <c r="E185" s="9" t="s">
        <v>64</v>
      </c>
      <c r="F185" s="14">
        <v>45495</v>
      </c>
    </row>
    <row r="186" spans="1:6">
      <c r="A186" s="8" t="s">
        <v>13</v>
      </c>
      <c r="B186" s="8" t="s">
        <v>265</v>
      </c>
      <c r="C186" s="8">
        <v>1</v>
      </c>
      <c r="D186" s="8" t="s">
        <v>15</v>
      </c>
      <c r="E186" s="9" t="s">
        <v>56</v>
      </c>
      <c r="F186" s="14">
        <v>45453</v>
      </c>
    </row>
    <row r="187" spans="1:6">
      <c r="A187" s="8" t="s">
        <v>20</v>
      </c>
      <c r="B187" s="8" t="s">
        <v>266</v>
      </c>
      <c r="C187" s="8">
        <v>1</v>
      </c>
      <c r="D187" s="8" t="s">
        <v>15</v>
      </c>
      <c r="E187" s="9" t="s">
        <v>267</v>
      </c>
      <c r="F187" s="14">
        <v>45566</v>
      </c>
    </row>
    <row r="188" spans="1:6">
      <c r="A188" s="8" t="s">
        <v>20</v>
      </c>
      <c r="B188" s="8" t="s">
        <v>268</v>
      </c>
      <c r="C188" s="8">
        <v>1</v>
      </c>
      <c r="D188" s="8" t="s">
        <v>15</v>
      </c>
      <c r="E188" s="9" t="s">
        <v>74</v>
      </c>
      <c r="F188" s="14">
        <v>45712</v>
      </c>
    </row>
    <row r="189" spans="1:6">
      <c r="A189" s="8" t="s">
        <v>23</v>
      </c>
      <c r="B189" s="8" t="s">
        <v>269</v>
      </c>
      <c r="C189" s="8">
        <v>1</v>
      </c>
      <c r="D189" s="8" t="s">
        <v>15</v>
      </c>
      <c r="E189" s="9" t="s">
        <v>180</v>
      </c>
      <c r="F189" s="14">
        <v>45810</v>
      </c>
    </row>
    <row r="190" spans="1:6">
      <c r="A190" s="8" t="s">
        <v>23</v>
      </c>
      <c r="B190" s="8" t="s">
        <v>270</v>
      </c>
      <c r="C190" s="8">
        <v>1</v>
      </c>
      <c r="D190" s="8" t="s">
        <v>25</v>
      </c>
      <c r="E190" s="9" t="s">
        <v>22</v>
      </c>
      <c r="F190" s="14">
        <v>45936</v>
      </c>
    </row>
    <row r="191" spans="1:6">
      <c r="A191" s="8" t="s">
        <v>13</v>
      </c>
      <c r="B191" s="8" t="s">
        <v>271</v>
      </c>
      <c r="C191" s="8">
        <v>1</v>
      </c>
      <c r="D191" s="8" t="s">
        <v>15</v>
      </c>
      <c r="E191" s="9" t="s">
        <v>56</v>
      </c>
      <c r="F191" s="14">
        <v>45453</v>
      </c>
    </row>
    <row r="192" spans="1:6">
      <c r="A192" s="8" t="s">
        <v>13</v>
      </c>
      <c r="B192" s="8" t="s">
        <v>272</v>
      </c>
      <c r="C192" s="8">
        <v>1</v>
      </c>
      <c r="D192" s="8" t="s">
        <v>18</v>
      </c>
      <c r="E192" s="9" t="s">
        <v>100</v>
      </c>
      <c r="F192" s="14">
        <v>45362</v>
      </c>
    </row>
    <row r="193" spans="1:6">
      <c r="A193" s="8" t="s">
        <v>13</v>
      </c>
      <c r="B193" s="8" t="s">
        <v>273</v>
      </c>
      <c r="C193" s="8">
        <v>1</v>
      </c>
      <c r="D193" s="8" t="s">
        <v>15</v>
      </c>
      <c r="E193" s="9" t="s">
        <v>64</v>
      </c>
      <c r="F193" s="14">
        <v>45495</v>
      </c>
    </row>
    <row r="194" spans="1:6">
      <c r="A194" s="8" t="s">
        <v>57</v>
      </c>
      <c r="B194" s="8" t="s">
        <v>274</v>
      </c>
      <c r="C194" s="8">
        <v>1</v>
      </c>
      <c r="D194" s="8" t="s">
        <v>15</v>
      </c>
      <c r="E194" s="9" t="s">
        <v>66</v>
      </c>
      <c r="F194" s="14">
        <v>45292</v>
      </c>
    </row>
    <row r="195" spans="1:6">
      <c r="A195" s="8" t="s">
        <v>23</v>
      </c>
      <c r="B195" s="8" t="s">
        <v>275</v>
      </c>
      <c r="C195" s="8">
        <v>0.81081081081081086</v>
      </c>
      <c r="D195" s="8" t="s">
        <v>25</v>
      </c>
      <c r="E195" s="9" t="s">
        <v>66</v>
      </c>
      <c r="F195" s="14">
        <v>45292</v>
      </c>
    </row>
    <row r="196" spans="1:6">
      <c r="A196" s="8" t="s">
        <v>20</v>
      </c>
      <c r="B196" s="8" t="s">
        <v>276</v>
      </c>
      <c r="C196" s="8">
        <v>1</v>
      </c>
      <c r="D196" s="8" t="s">
        <v>18</v>
      </c>
      <c r="E196" s="9" t="s">
        <v>91</v>
      </c>
      <c r="F196" s="14">
        <v>45383</v>
      </c>
    </row>
    <row r="197" spans="1:6">
      <c r="A197" s="8" t="s">
        <v>20</v>
      </c>
      <c r="B197" s="8" t="s">
        <v>277</v>
      </c>
      <c r="C197" s="8">
        <v>1</v>
      </c>
      <c r="D197" s="8" t="s">
        <v>15</v>
      </c>
      <c r="E197" s="9" t="s">
        <v>278</v>
      </c>
      <c r="F197" s="14">
        <v>45029</v>
      </c>
    </row>
    <row r="198" spans="1:6">
      <c r="A198" s="8" t="s">
        <v>20</v>
      </c>
      <c r="B198" s="8" t="s">
        <v>279</v>
      </c>
      <c r="C198" s="8">
        <v>1</v>
      </c>
      <c r="D198" s="8" t="s">
        <v>15</v>
      </c>
      <c r="E198" s="9" t="s">
        <v>49</v>
      </c>
      <c r="F198" s="14">
        <v>45586</v>
      </c>
    </row>
    <row r="199" spans="1:6">
      <c r="A199" s="8" t="s">
        <v>20</v>
      </c>
      <c r="B199" s="8" t="s">
        <v>280</v>
      </c>
      <c r="C199" s="8">
        <v>1</v>
      </c>
      <c r="D199" s="8" t="s">
        <v>15</v>
      </c>
      <c r="E199" s="9" t="s">
        <v>49</v>
      </c>
      <c r="F199" s="14">
        <v>45586</v>
      </c>
    </row>
    <row r="200" spans="1:6">
      <c r="A200" s="8" t="s">
        <v>20</v>
      </c>
      <c r="B200" s="8" t="s">
        <v>281</v>
      </c>
      <c r="C200" s="8">
        <v>1</v>
      </c>
      <c r="D200" s="8" t="s">
        <v>18</v>
      </c>
      <c r="E200" s="9" t="s">
        <v>19</v>
      </c>
      <c r="F200" s="14">
        <v>45922</v>
      </c>
    </row>
    <row r="201" spans="1:6">
      <c r="A201" s="8" t="s">
        <v>20</v>
      </c>
      <c r="B201" s="8" t="s">
        <v>282</v>
      </c>
      <c r="C201" s="8">
        <v>1</v>
      </c>
      <c r="D201" s="8" t="s">
        <v>15</v>
      </c>
      <c r="E201" s="9" t="s">
        <v>133</v>
      </c>
      <c r="F201" s="14">
        <v>45719</v>
      </c>
    </row>
    <row r="202" spans="1:6">
      <c r="A202" s="8" t="s">
        <v>20</v>
      </c>
      <c r="B202" s="8" t="s">
        <v>283</v>
      </c>
      <c r="C202" s="8">
        <v>1</v>
      </c>
      <c r="D202" s="8" t="s">
        <v>15</v>
      </c>
      <c r="E202" s="9" t="s">
        <v>49</v>
      </c>
      <c r="F202" s="14">
        <v>45586</v>
      </c>
    </row>
    <row r="203" spans="1:6">
      <c r="A203" s="8" t="s">
        <v>20</v>
      </c>
      <c r="B203" s="8" t="s">
        <v>284</v>
      </c>
      <c r="C203" s="8">
        <v>1</v>
      </c>
      <c r="D203" s="8" t="s">
        <v>18</v>
      </c>
      <c r="E203" s="9" t="s">
        <v>74</v>
      </c>
      <c r="F203" s="14">
        <v>45712</v>
      </c>
    </row>
    <row r="204" spans="1:6">
      <c r="A204" s="8" t="s">
        <v>13</v>
      </c>
      <c r="B204" s="8" t="s">
        <v>285</v>
      </c>
      <c r="C204" s="8">
        <v>1</v>
      </c>
      <c r="D204" s="8" t="s">
        <v>18</v>
      </c>
      <c r="E204" s="9" t="s">
        <v>286</v>
      </c>
      <c r="F204" s="14">
        <v>45385</v>
      </c>
    </row>
    <row r="205" spans="1:6">
      <c r="A205" s="8" t="s">
        <v>13</v>
      </c>
      <c r="B205" s="8" t="s">
        <v>287</v>
      </c>
      <c r="C205" s="8">
        <v>1</v>
      </c>
      <c r="D205" s="8" t="s">
        <v>15</v>
      </c>
      <c r="E205" s="9" t="s">
        <v>167</v>
      </c>
      <c r="F205" s="14">
        <v>45425</v>
      </c>
    </row>
    <row r="206" spans="1:6">
      <c r="A206" s="8" t="s">
        <v>13</v>
      </c>
      <c r="B206" s="8" t="s">
        <v>288</v>
      </c>
      <c r="C206" s="8">
        <v>1</v>
      </c>
      <c r="D206" s="8" t="s">
        <v>18</v>
      </c>
      <c r="E206" s="9" t="s">
        <v>84</v>
      </c>
      <c r="F206" s="14">
        <v>45384</v>
      </c>
    </row>
    <row r="207" spans="1:6">
      <c r="A207" s="8" t="s">
        <v>20</v>
      </c>
      <c r="B207" s="8" t="s">
        <v>289</v>
      </c>
      <c r="C207" s="8">
        <v>1</v>
      </c>
      <c r="D207" s="8" t="s">
        <v>15</v>
      </c>
      <c r="E207" s="9" t="s">
        <v>74</v>
      </c>
      <c r="F207" s="14">
        <v>45712</v>
      </c>
    </row>
    <row r="208" spans="1:6">
      <c r="A208" s="8" t="s">
        <v>20</v>
      </c>
      <c r="B208" s="8" t="s">
        <v>290</v>
      </c>
      <c r="C208" s="8">
        <v>1</v>
      </c>
      <c r="D208" s="8" t="s">
        <v>18</v>
      </c>
      <c r="E208" s="9" t="s">
        <v>91</v>
      </c>
      <c r="F208" s="14">
        <v>45383</v>
      </c>
    </row>
    <row r="209" spans="1:6">
      <c r="A209" s="8" t="s">
        <v>20</v>
      </c>
      <c r="B209" s="8" t="s">
        <v>291</v>
      </c>
      <c r="C209" s="8">
        <v>1</v>
      </c>
      <c r="D209" s="8" t="s">
        <v>15</v>
      </c>
      <c r="E209" s="9" t="s">
        <v>56</v>
      </c>
      <c r="F209" s="14">
        <v>45453</v>
      </c>
    </row>
    <row r="210" spans="1:6">
      <c r="A210" s="8" t="s">
        <v>13</v>
      </c>
      <c r="B210" s="8" t="s">
        <v>292</v>
      </c>
      <c r="C210" s="8">
        <v>0.80000000000000016</v>
      </c>
      <c r="D210" s="8" t="s">
        <v>18</v>
      </c>
      <c r="E210" s="9" t="s">
        <v>84</v>
      </c>
      <c r="F210" s="14">
        <v>45384</v>
      </c>
    </row>
    <row r="211" spans="1:6">
      <c r="A211" s="8" t="s">
        <v>23</v>
      </c>
      <c r="B211" s="8" t="s">
        <v>293</v>
      </c>
      <c r="C211" s="8">
        <v>0.6</v>
      </c>
      <c r="D211" s="8" t="s">
        <v>18</v>
      </c>
      <c r="E211" s="9" t="s">
        <v>66</v>
      </c>
      <c r="F211" s="14">
        <v>45292</v>
      </c>
    </row>
    <row r="212" spans="1:6">
      <c r="A212" s="8" t="s">
        <v>13</v>
      </c>
      <c r="B212" s="8" t="s">
        <v>294</v>
      </c>
      <c r="C212" s="8">
        <v>1</v>
      </c>
      <c r="D212" s="8" t="s">
        <v>15</v>
      </c>
      <c r="E212" s="9" t="s">
        <v>64</v>
      </c>
      <c r="F212" s="14">
        <v>45495</v>
      </c>
    </row>
    <row r="213" spans="1:6">
      <c r="A213" s="8" t="s">
        <v>13</v>
      </c>
      <c r="B213" s="8" t="s">
        <v>295</v>
      </c>
      <c r="C213" s="8">
        <v>1</v>
      </c>
      <c r="D213" s="8" t="s">
        <v>15</v>
      </c>
      <c r="E213" s="9" t="s">
        <v>84</v>
      </c>
      <c r="F213" s="14">
        <v>45384</v>
      </c>
    </row>
    <row r="214" spans="1:6">
      <c r="A214" s="8" t="s">
        <v>13</v>
      </c>
      <c r="B214" s="8" t="s">
        <v>296</v>
      </c>
      <c r="C214" s="8">
        <v>1</v>
      </c>
      <c r="D214" s="8" t="s">
        <v>15</v>
      </c>
      <c r="E214" s="9" t="s">
        <v>136</v>
      </c>
      <c r="F214" s="14">
        <v>45488</v>
      </c>
    </row>
    <row r="215" spans="1:6">
      <c r="A215" s="8" t="s">
        <v>13</v>
      </c>
      <c r="B215" s="8" t="s">
        <v>297</v>
      </c>
      <c r="C215" s="8">
        <v>1</v>
      </c>
      <c r="D215" s="8" t="s">
        <v>15</v>
      </c>
      <c r="E215" s="9" t="s">
        <v>56</v>
      </c>
      <c r="F215" s="14">
        <v>45453</v>
      </c>
    </row>
    <row r="216" spans="1:6">
      <c r="A216" s="8" t="s">
        <v>13</v>
      </c>
      <c r="B216" s="8" t="s">
        <v>298</v>
      </c>
      <c r="C216" s="8">
        <v>1</v>
      </c>
      <c r="D216" s="8" t="s">
        <v>18</v>
      </c>
      <c r="E216" s="9" t="s">
        <v>299</v>
      </c>
      <c r="F216" s="14">
        <v>45435</v>
      </c>
    </row>
    <row r="217" spans="1:6">
      <c r="A217" s="8" t="s">
        <v>13</v>
      </c>
      <c r="B217" s="8" t="s">
        <v>300</v>
      </c>
      <c r="C217" s="8">
        <v>1</v>
      </c>
      <c r="D217" s="8" t="s">
        <v>15</v>
      </c>
      <c r="E217" s="9" t="s">
        <v>301</v>
      </c>
      <c r="F217" s="14">
        <v>45493</v>
      </c>
    </row>
    <row r="218" spans="1:6">
      <c r="A218" s="8" t="s">
        <v>13</v>
      </c>
      <c r="B218" s="8" t="s">
        <v>302</v>
      </c>
      <c r="C218" s="8">
        <v>1</v>
      </c>
      <c r="D218" s="8" t="s">
        <v>15</v>
      </c>
      <c r="E218" s="9" t="s">
        <v>64</v>
      </c>
      <c r="F218" s="14">
        <v>45495</v>
      </c>
    </row>
    <row r="219" spans="1:6">
      <c r="A219" s="8" t="s">
        <v>13</v>
      </c>
      <c r="B219" s="8" t="s">
        <v>303</v>
      </c>
      <c r="C219" s="8">
        <v>1</v>
      </c>
      <c r="D219" s="8" t="s">
        <v>18</v>
      </c>
      <c r="E219" s="9" t="s">
        <v>84</v>
      </c>
      <c r="F219" s="14">
        <v>45384</v>
      </c>
    </row>
    <row r="220" spans="1:6">
      <c r="A220" s="8" t="s">
        <v>20</v>
      </c>
      <c r="B220" s="8" t="s">
        <v>304</v>
      </c>
      <c r="C220" s="8">
        <v>1</v>
      </c>
      <c r="D220" s="8" t="s">
        <v>15</v>
      </c>
      <c r="E220" s="9" t="s">
        <v>130</v>
      </c>
      <c r="F220" s="14">
        <v>45456</v>
      </c>
    </row>
    <row r="221" spans="1:6">
      <c r="A221" s="8" t="s">
        <v>13</v>
      </c>
      <c r="B221" s="8" t="s">
        <v>305</v>
      </c>
      <c r="C221" s="8">
        <v>1</v>
      </c>
      <c r="D221" s="8" t="s">
        <v>15</v>
      </c>
      <c r="E221" s="9" t="s">
        <v>84</v>
      </c>
      <c r="F221" s="14">
        <v>45384</v>
      </c>
    </row>
    <row r="222" spans="1:6">
      <c r="A222" s="8" t="s">
        <v>13</v>
      </c>
      <c r="B222" s="8" t="s">
        <v>306</v>
      </c>
      <c r="C222" s="8">
        <v>1</v>
      </c>
      <c r="D222" s="8" t="s">
        <v>18</v>
      </c>
      <c r="E222" s="9" t="s">
        <v>307</v>
      </c>
      <c r="F222" s="14">
        <v>45397</v>
      </c>
    </row>
    <row r="223" spans="1:6">
      <c r="A223" s="8" t="s">
        <v>20</v>
      </c>
      <c r="B223" s="8" t="s">
        <v>308</v>
      </c>
      <c r="C223" s="8">
        <v>1</v>
      </c>
      <c r="D223" s="8" t="s">
        <v>18</v>
      </c>
      <c r="E223" s="9" t="s">
        <v>19</v>
      </c>
      <c r="F223" s="14">
        <v>45922</v>
      </c>
    </row>
    <row r="224" spans="1:6">
      <c r="A224" s="8" t="s">
        <v>20</v>
      </c>
      <c r="B224" s="8" t="s">
        <v>309</v>
      </c>
      <c r="C224" s="8">
        <v>1</v>
      </c>
      <c r="D224" s="8" t="s">
        <v>15</v>
      </c>
      <c r="E224" s="9" t="s">
        <v>49</v>
      </c>
      <c r="F224" s="14">
        <v>45586</v>
      </c>
    </row>
    <row r="225" spans="1:6">
      <c r="A225" s="8" t="s">
        <v>20</v>
      </c>
      <c r="B225" s="8" t="s">
        <v>310</v>
      </c>
      <c r="C225" s="8">
        <v>1</v>
      </c>
      <c r="D225" s="8" t="s">
        <v>15</v>
      </c>
      <c r="E225" s="9" t="s">
        <v>311</v>
      </c>
      <c r="F225" s="14">
        <v>45796</v>
      </c>
    </row>
    <row r="226" spans="1:6">
      <c r="A226" s="8" t="s">
        <v>20</v>
      </c>
      <c r="B226" s="8" t="s">
        <v>312</v>
      </c>
      <c r="C226" s="8">
        <v>1</v>
      </c>
      <c r="D226" s="8" t="s">
        <v>15</v>
      </c>
      <c r="E226" s="9" t="s">
        <v>49</v>
      </c>
      <c r="F226" s="14">
        <v>45586</v>
      </c>
    </row>
    <row r="227" spans="1:6">
      <c r="A227" s="8" t="s">
        <v>20</v>
      </c>
      <c r="B227" s="8" t="s">
        <v>313</v>
      </c>
      <c r="C227" s="8">
        <v>1</v>
      </c>
      <c r="D227" s="8" t="s">
        <v>18</v>
      </c>
      <c r="E227" s="9" t="s">
        <v>74</v>
      </c>
      <c r="F227" s="14">
        <v>45712</v>
      </c>
    </row>
    <row r="228" spans="1:6">
      <c r="A228" s="8" t="s">
        <v>13</v>
      </c>
      <c r="B228" s="8" t="s">
        <v>314</v>
      </c>
      <c r="C228" s="8">
        <v>1</v>
      </c>
      <c r="D228" s="8" t="s">
        <v>18</v>
      </c>
      <c r="E228" s="9" t="s">
        <v>315</v>
      </c>
      <c r="F228" s="14">
        <v>45404</v>
      </c>
    </row>
    <row r="229" spans="1:6">
      <c r="A229" s="8" t="s">
        <v>13</v>
      </c>
      <c r="B229" s="8" t="s">
        <v>316</v>
      </c>
      <c r="C229" s="8">
        <v>1</v>
      </c>
      <c r="D229" s="8" t="s">
        <v>15</v>
      </c>
      <c r="E229" s="9" t="s">
        <v>56</v>
      </c>
      <c r="F229" s="14">
        <v>45453</v>
      </c>
    </row>
    <row r="230" spans="1:6">
      <c r="A230" s="8" t="s">
        <v>20</v>
      </c>
      <c r="B230" s="8" t="s">
        <v>317</v>
      </c>
      <c r="C230" s="8">
        <v>1</v>
      </c>
      <c r="D230" s="8" t="s">
        <v>15</v>
      </c>
      <c r="E230" s="9" t="s">
        <v>76</v>
      </c>
      <c r="F230" s="14">
        <v>45420</v>
      </c>
    </row>
    <row r="231" spans="1:6">
      <c r="A231" s="8" t="s">
        <v>13</v>
      </c>
      <c r="B231" s="8" t="s">
        <v>318</v>
      </c>
      <c r="C231" s="8">
        <v>1</v>
      </c>
      <c r="D231" s="8" t="s">
        <v>18</v>
      </c>
      <c r="E231" s="9" t="s">
        <v>319</v>
      </c>
      <c r="F231" s="14">
        <v>45446</v>
      </c>
    </row>
    <row r="232" spans="1:6">
      <c r="A232" s="8" t="s">
        <v>13</v>
      </c>
      <c r="B232" s="8" t="s">
        <v>320</v>
      </c>
      <c r="C232" s="8">
        <v>1</v>
      </c>
      <c r="D232" s="8" t="s">
        <v>15</v>
      </c>
      <c r="E232" s="9" t="s">
        <v>56</v>
      </c>
      <c r="F232" s="14">
        <v>45453</v>
      </c>
    </row>
    <row r="233" spans="1:6">
      <c r="A233" s="8" t="s">
        <v>20</v>
      </c>
      <c r="B233" s="8" t="s">
        <v>321</v>
      </c>
      <c r="C233" s="8">
        <v>0.60810810810810811</v>
      </c>
      <c r="D233" s="8" t="s">
        <v>15</v>
      </c>
      <c r="E233" s="9" t="s">
        <v>130</v>
      </c>
      <c r="F233" s="14">
        <v>45456</v>
      </c>
    </row>
    <row r="234" spans="1:6">
      <c r="A234" s="8" t="s">
        <v>23</v>
      </c>
      <c r="B234" s="8" t="s">
        <v>322</v>
      </c>
      <c r="C234" s="8">
        <v>1</v>
      </c>
      <c r="D234" s="8" t="s">
        <v>25</v>
      </c>
      <c r="E234" s="9" t="s">
        <v>66</v>
      </c>
      <c r="F234" s="14">
        <v>45292</v>
      </c>
    </row>
    <row r="235" spans="1:6">
      <c r="A235" s="8" t="s">
        <v>13</v>
      </c>
      <c r="B235" s="8" t="s">
        <v>323</v>
      </c>
      <c r="C235" s="8">
        <v>1</v>
      </c>
      <c r="D235" s="8" t="s">
        <v>15</v>
      </c>
      <c r="E235" s="9" t="s">
        <v>64</v>
      </c>
      <c r="F235" s="14">
        <v>45495</v>
      </c>
    </row>
    <row r="236" spans="1:6">
      <c r="A236" s="8" t="s">
        <v>20</v>
      </c>
      <c r="B236" s="8" t="s">
        <v>324</v>
      </c>
      <c r="C236" s="8">
        <v>1</v>
      </c>
      <c r="D236" s="8" t="s">
        <v>15</v>
      </c>
      <c r="E236" s="9" t="s">
        <v>121</v>
      </c>
      <c r="F236" s="14">
        <v>45027</v>
      </c>
    </row>
    <row r="237" spans="1:6">
      <c r="A237" s="8" t="s">
        <v>13</v>
      </c>
      <c r="B237" s="8" t="s">
        <v>325</v>
      </c>
      <c r="C237" s="8">
        <v>1</v>
      </c>
      <c r="D237" s="8" t="s">
        <v>15</v>
      </c>
      <c r="E237" s="9" t="s">
        <v>189</v>
      </c>
      <c r="F237" s="14">
        <v>45419</v>
      </c>
    </row>
    <row r="238" spans="1:6">
      <c r="A238" s="8" t="s">
        <v>20</v>
      </c>
      <c r="B238" s="8" t="s">
        <v>326</v>
      </c>
      <c r="C238" s="8">
        <v>1</v>
      </c>
      <c r="D238" s="8" t="s">
        <v>18</v>
      </c>
      <c r="E238" s="9" t="s">
        <v>148</v>
      </c>
      <c r="F238" s="14">
        <v>45740</v>
      </c>
    </row>
    <row r="239" spans="1:6">
      <c r="A239" s="8" t="s">
        <v>13</v>
      </c>
      <c r="B239" s="8" t="s">
        <v>327</v>
      </c>
      <c r="C239" s="8">
        <v>1</v>
      </c>
      <c r="D239" s="8" t="s">
        <v>15</v>
      </c>
      <c r="E239" s="9" t="s">
        <v>130</v>
      </c>
      <c r="F239" s="14">
        <v>45456</v>
      </c>
    </row>
    <row r="240" spans="1:6">
      <c r="A240" s="8" t="s">
        <v>20</v>
      </c>
      <c r="B240" s="8" t="s">
        <v>328</v>
      </c>
      <c r="C240" s="8">
        <v>1</v>
      </c>
      <c r="D240" s="8" t="s">
        <v>15</v>
      </c>
      <c r="E240" s="9" t="s">
        <v>79</v>
      </c>
      <c r="F240" s="14">
        <v>45726</v>
      </c>
    </row>
    <row r="241" spans="1:6">
      <c r="A241" s="8" t="s">
        <v>20</v>
      </c>
      <c r="B241" s="8" t="s">
        <v>329</v>
      </c>
      <c r="C241" s="8">
        <v>1</v>
      </c>
      <c r="D241" s="8" t="s">
        <v>15</v>
      </c>
      <c r="E241" s="9" t="s">
        <v>167</v>
      </c>
      <c r="F241" s="14">
        <v>45425</v>
      </c>
    </row>
    <row r="242" spans="1:6">
      <c r="A242" s="8" t="s">
        <v>20</v>
      </c>
      <c r="B242" s="8" t="s">
        <v>330</v>
      </c>
      <c r="C242" s="8">
        <v>1</v>
      </c>
      <c r="D242" s="8" t="s">
        <v>15</v>
      </c>
      <c r="E242" s="9" t="s">
        <v>331</v>
      </c>
      <c r="F242" s="14">
        <v>45544</v>
      </c>
    </row>
    <row r="243" spans="1:6">
      <c r="A243" s="8" t="s">
        <v>13</v>
      </c>
      <c r="B243" s="8" t="s">
        <v>332</v>
      </c>
      <c r="C243" s="8">
        <v>1</v>
      </c>
      <c r="D243" s="8" t="s">
        <v>15</v>
      </c>
      <c r="E243" s="9" t="s">
        <v>84</v>
      </c>
      <c r="F243" s="14">
        <v>45384</v>
      </c>
    </row>
    <row r="244" spans="1:6">
      <c r="A244" s="8" t="s">
        <v>13</v>
      </c>
      <c r="B244" s="8" t="s">
        <v>333</v>
      </c>
      <c r="C244" s="8">
        <v>1</v>
      </c>
      <c r="D244" s="8" t="s">
        <v>15</v>
      </c>
      <c r="E244" s="9" t="s">
        <v>74</v>
      </c>
      <c r="F244" s="14">
        <v>45712</v>
      </c>
    </row>
    <row r="245" spans="1:6">
      <c r="A245" s="8" t="s">
        <v>23</v>
      </c>
      <c r="B245" s="8" t="s">
        <v>334</v>
      </c>
      <c r="C245" s="8">
        <v>1</v>
      </c>
      <c r="D245" s="8" t="s">
        <v>18</v>
      </c>
      <c r="E245" s="9" t="s">
        <v>66</v>
      </c>
      <c r="F245" s="14">
        <v>45292</v>
      </c>
    </row>
    <row r="246" spans="1:6">
      <c r="A246" s="8" t="s">
        <v>13</v>
      </c>
      <c r="B246" s="8" t="s">
        <v>335</v>
      </c>
      <c r="C246" s="8">
        <v>1</v>
      </c>
      <c r="D246" s="8" t="s">
        <v>18</v>
      </c>
      <c r="E246" s="9" t="s">
        <v>84</v>
      </c>
      <c r="F246" s="14">
        <v>45384</v>
      </c>
    </row>
    <row r="247" spans="1:6">
      <c r="A247" s="8" t="s">
        <v>13</v>
      </c>
      <c r="B247" s="8" t="s">
        <v>336</v>
      </c>
      <c r="C247" s="8">
        <v>1</v>
      </c>
      <c r="D247" s="8" t="s">
        <v>15</v>
      </c>
      <c r="E247" s="9" t="s">
        <v>54</v>
      </c>
      <c r="F247" s="14">
        <v>45460</v>
      </c>
    </row>
    <row r="248" spans="1:6">
      <c r="A248" s="8" t="s">
        <v>23</v>
      </c>
      <c r="B248" s="8" t="s">
        <v>337</v>
      </c>
      <c r="C248" s="8">
        <v>1</v>
      </c>
      <c r="D248" s="8" t="s">
        <v>25</v>
      </c>
      <c r="E248" s="9" t="s">
        <v>66</v>
      </c>
      <c r="F248" s="14">
        <v>45292</v>
      </c>
    </row>
    <row r="249" spans="1:6">
      <c r="A249" s="8" t="s">
        <v>23</v>
      </c>
      <c r="B249" s="8" t="s">
        <v>338</v>
      </c>
      <c r="C249" s="8">
        <v>1</v>
      </c>
      <c r="D249" s="8" t="s">
        <v>25</v>
      </c>
      <c r="E249" s="9" t="s">
        <v>66</v>
      </c>
      <c r="F249" s="14">
        <v>45292</v>
      </c>
    </row>
    <row r="250" spans="1:6">
      <c r="A250" s="8" t="s">
        <v>23</v>
      </c>
      <c r="B250" s="8" t="s">
        <v>339</v>
      </c>
      <c r="C250" s="8">
        <v>1</v>
      </c>
      <c r="D250" s="8" t="s">
        <v>25</v>
      </c>
      <c r="E250" s="9" t="s">
        <v>66</v>
      </c>
      <c r="F250" s="14">
        <v>45292</v>
      </c>
    </row>
    <row r="251" spans="1:6">
      <c r="A251" s="8" t="s">
        <v>20</v>
      </c>
      <c r="B251" s="8" t="s">
        <v>340</v>
      </c>
      <c r="C251" s="8">
        <v>1</v>
      </c>
      <c r="D251" s="8" t="s">
        <v>18</v>
      </c>
      <c r="E251" s="9" t="s">
        <v>139</v>
      </c>
      <c r="F251" s="14">
        <v>45413</v>
      </c>
    </row>
    <row r="252" spans="1:6">
      <c r="A252" s="8" t="s">
        <v>13</v>
      </c>
      <c r="B252" s="8" t="s">
        <v>341</v>
      </c>
      <c r="C252" s="8">
        <v>1</v>
      </c>
      <c r="D252" s="8" t="s">
        <v>15</v>
      </c>
      <c r="E252" s="9" t="s">
        <v>258</v>
      </c>
      <c r="F252" s="14">
        <v>45505</v>
      </c>
    </row>
    <row r="253" spans="1:6">
      <c r="A253" s="8" t="s">
        <v>13</v>
      </c>
      <c r="B253" s="8" t="s">
        <v>342</v>
      </c>
      <c r="C253" s="8">
        <v>1</v>
      </c>
      <c r="D253" s="8" t="s">
        <v>18</v>
      </c>
      <c r="E253" s="9" t="s">
        <v>235</v>
      </c>
      <c r="F253" s="14">
        <v>45474</v>
      </c>
    </row>
    <row r="254" spans="1:6">
      <c r="A254" s="8" t="s">
        <v>20</v>
      </c>
      <c r="B254" s="8" t="s">
        <v>343</v>
      </c>
      <c r="C254" s="8">
        <v>1</v>
      </c>
      <c r="D254" s="8" t="s">
        <v>18</v>
      </c>
      <c r="E254" s="9" t="s">
        <v>139</v>
      </c>
      <c r="F254" s="14">
        <v>45413</v>
      </c>
    </row>
    <row r="255" spans="1:6">
      <c r="A255" s="8" t="s">
        <v>20</v>
      </c>
      <c r="B255" s="8" t="s">
        <v>344</v>
      </c>
      <c r="C255" s="8">
        <v>1</v>
      </c>
      <c r="D255" s="8" t="s">
        <v>15</v>
      </c>
      <c r="E255" s="9" t="s">
        <v>74</v>
      </c>
      <c r="F255" s="14">
        <v>45712</v>
      </c>
    </row>
    <row r="256" spans="1:6">
      <c r="A256" s="8" t="s">
        <v>13</v>
      </c>
      <c r="B256" s="8" t="s">
        <v>345</v>
      </c>
      <c r="C256" s="8">
        <v>1</v>
      </c>
      <c r="D256" s="8" t="s">
        <v>18</v>
      </c>
      <c r="E256" s="9" t="s">
        <v>100</v>
      </c>
      <c r="F256" s="14">
        <v>45362</v>
      </c>
    </row>
    <row r="257" spans="1:6">
      <c r="A257" s="8" t="s">
        <v>13</v>
      </c>
      <c r="B257" s="8" t="s">
        <v>346</v>
      </c>
      <c r="C257" s="8">
        <v>1</v>
      </c>
      <c r="D257" s="8" t="s">
        <v>18</v>
      </c>
      <c r="E257" s="9" t="s">
        <v>84</v>
      </c>
      <c r="F257" s="14">
        <v>45384</v>
      </c>
    </row>
    <row r="258" spans="1:6">
      <c r="A258" s="8" t="s">
        <v>13</v>
      </c>
      <c r="B258" s="8" t="s">
        <v>347</v>
      </c>
      <c r="C258" s="8">
        <v>1</v>
      </c>
      <c r="D258" s="8" t="s">
        <v>15</v>
      </c>
      <c r="E258" s="9" t="s">
        <v>319</v>
      </c>
      <c r="F258" s="14">
        <v>45446</v>
      </c>
    </row>
    <row r="259" spans="1:6">
      <c r="A259" s="8" t="s">
        <v>13</v>
      </c>
      <c r="B259" s="8" t="s">
        <v>348</v>
      </c>
      <c r="C259" s="8">
        <v>1</v>
      </c>
      <c r="D259" s="8" t="s">
        <v>15</v>
      </c>
      <c r="E259" s="9" t="s">
        <v>56</v>
      </c>
      <c r="F259" s="14">
        <v>45453</v>
      </c>
    </row>
    <row r="260" spans="1:6">
      <c r="A260" s="8" t="s">
        <v>57</v>
      </c>
      <c r="B260" s="8" t="s">
        <v>349</v>
      </c>
      <c r="C260" s="8">
        <v>1</v>
      </c>
      <c r="D260" s="8" t="s">
        <v>15</v>
      </c>
      <c r="E260" s="9" t="s">
        <v>350</v>
      </c>
      <c r="F260" s="14">
        <v>45607</v>
      </c>
    </row>
    <row r="261" spans="1:6">
      <c r="A261" s="8" t="s">
        <v>13</v>
      </c>
      <c r="B261" s="8" t="s">
        <v>351</v>
      </c>
      <c r="C261" s="8">
        <v>1</v>
      </c>
      <c r="D261" s="8" t="s">
        <v>15</v>
      </c>
      <c r="E261" s="9" t="s">
        <v>64</v>
      </c>
      <c r="F261" s="14">
        <v>45495</v>
      </c>
    </row>
    <row r="262" spans="1:6">
      <c r="A262" s="8" t="s">
        <v>13</v>
      </c>
      <c r="B262" s="8" t="s">
        <v>352</v>
      </c>
      <c r="C262" s="8">
        <v>1</v>
      </c>
      <c r="D262" s="8" t="s">
        <v>18</v>
      </c>
      <c r="E262" s="9" t="s">
        <v>84</v>
      </c>
      <c r="F262" s="14">
        <v>45384</v>
      </c>
    </row>
    <row r="263" spans="1:6">
      <c r="A263" s="8" t="s">
        <v>13</v>
      </c>
      <c r="B263" s="8" t="s">
        <v>353</v>
      </c>
      <c r="C263" s="8">
        <v>1</v>
      </c>
      <c r="D263" s="8" t="s">
        <v>18</v>
      </c>
      <c r="E263" s="9" t="s">
        <v>84</v>
      </c>
      <c r="F263" s="14">
        <v>45384</v>
      </c>
    </row>
    <row r="264" spans="1:6">
      <c r="A264" s="8" t="s">
        <v>20</v>
      </c>
      <c r="B264" s="8" t="s">
        <v>354</v>
      </c>
      <c r="C264" s="8">
        <v>1</v>
      </c>
      <c r="D264" s="8" t="s">
        <v>15</v>
      </c>
      <c r="E264" s="9" t="s">
        <v>30</v>
      </c>
      <c r="F264" s="14">
        <v>45964</v>
      </c>
    </row>
    <row r="265" spans="1:6">
      <c r="A265" s="8" t="s">
        <v>20</v>
      </c>
      <c r="B265" s="8" t="s">
        <v>355</v>
      </c>
      <c r="C265" s="8">
        <v>1</v>
      </c>
      <c r="D265" s="8" t="s">
        <v>15</v>
      </c>
      <c r="E265" s="9" t="s">
        <v>30</v>
      </c>
      <c r="F265" s="14">
        <v>45964</v>
      </c>
    </row>
    <row r="266" spans="1:6">
      <c r="A266" s="8" t="s">
        <v>20</v>
      </c>
      <c r="B266" s="8" t="s">
        <v>356</v>
      </c>
      <c r="C266" s="8">
        <v>1</v>
      </c>
      <c r="D266" s="8" t="s">
        <v>15</v>
      </c>
      <c r="E266" s="9" t="s">
        <v>30</v>
      </c>
      <c r="F266" s="14">
        <v>45964</v>
      </c>
    </row>
    <row r="267" spans="1:6">
      <c r="A267" s="8" t="s">
        <v>20</v>
      </c>
      <c r="B267" s="8" t="s">
        <v>357</v>
      </c>
      <c r="C267" s="8">
        <v>1</v>
      </c>
      <c r="D267" s="8" t="s">
        <v>15</v>
      </c>
      <c r="E267" s="9" t="s">
        <v>16</v>
      </c>
      <c r="F267" s="14">
        <v>45992</v>
      </c>
    </row>
    <row r="268" spans="1:6">
      <c r="A268" s="8" t="s">
        <v>20</v>
      </c>
      <c r="B268" s="8" t="s">
        <v>358</v>
      </c>
      <c r="C268" s="8">
        <v>1</v>
      </c>
      <c r="D268" s="8" t="s">
        <v>18</v>
      </c>
      <c r="E268" s="9" t="s">
        <v>30</v>
      </c>
      <c r="F268" s="14">
        <v>45964</v>
      </c>
    </row>
    <row r="269" spans="1:6">
      <c r="A269" s="8" t="s">
        <v>20</v>
      </c>
      <c r="B269" s="8" t="s">
        <v>359</v>
      </c>
      <c r="C269" s="8">
        <v>1</v>
      </c>
      <c r="D269" s="8" t="s">
        <v>15</v>
      </c>
      <c r="E269" s="9" t="s">
        <v>30</v>
      </c>
      <c r="F269" s="14">
        <v>45964</v>
      </c>
    </row>
    <row r="270" spans="1:6">
      <c r="A270" s="8" t="s">
        <v>20</v>
      </c>
      <c r="B270" s="8" t="s">
        <v>360</v>
      </c>
      <c r="C270" s="8">
        <v>1</v>
      </c>
      <c r="D270" s="8" t="s">
        <v>15</v>
      </c>
      <c r="E270" s="9" t="s">
        <v>30</v>
      </c>
      <c r="F270" s="14">
        <v>45964</v>
      </c>
    </row>
    <row r="271" spans="1:6">
      <c r="A271" s="8" t="s">
        <v>20</v>
      </c>
      <c r="B271" s="8" t="s">
        <v>361</v>
      </c>
      <c r="C271" s="8">
        <v>1</v>
      </c>
      <c r="D271" s="8" t="s">
        <v>15</v>
      </c>
      <c r="E271" s="9" t="s">
        <v>16</v>
      </c>
      <c r="F271" s="14">
        <v>45992</v>
      </c>
    </row>
    <row r="272" spans="1:6">
      <c r="A272" s="8" t="s">
        <v>13</v>
      </c>
      <c r="B272" s="8" t="s">
        <v>362</v>
      </c>
      <c r="C272" s="8">
        <v>1</v>
      </c>
      <c r="D272" s="8" t="s">
        <v>15</v>
      </c>
      <c r="E272" s="9" t="s">
        <v>30</v>
      </c>
      <c r="F272" s="14">
        <v>45964</v>
      </c>
    </row>
    <row r="273" spans="1:6">
      <c r="A273" s="8" t="s">
        <v>20</v>
      </c>
      <c r="B273" s="8" t="s">
        <v>363</v>
      </c>
      <c r="C273" s="8">
        <v>1</v>
      </c>
      <c r="D273" s="8" t="s">
        <v>15</v>
      </c>
      <c r="E273" s="9" t="s">
        <v>30</v>
      </c>
      <c r="F273" s="14">
        <v>45964</v>
      </c>
    </row>
    <row r="274" spans="1:6">
      <c r="A274" s="8" t="s">
        <v>13</v>
      </c>
      <c r="B274" s="8" t="s">
        <v>364</v>
      </c>
      <c r="C274" s="8">
        <v>1</v>
      </c>
      <c r="D274" s="8" t="s">
        <v>15</v>
      </c>
      <c r="E274" s="9" t="s">
        <v>30</v>
      </c>
      <c r="F274" s="14">
        <v>45964</v>
      </c>
    </row>
    <row r="275" spans="1:6">
      <c r="A275" s="8" t="s">
        <v>13</v>
      </c>
      <c r="B275" s="8" t="s">
        <v>365</v>
      </c>
      <c r="C275" s="8">
        <v>1</v>
      </c>
      <c r="D275" s="8" t="s">
        <v>15</v>
      </c>
      <c r="E275" s="9" t="s">
        <v>366</v>
      </c>
      <c r="F275" s="14">
        <v>45935</v>
      </c>
    </row>
    <row r="276" spans="1:6">
      <c r="A276" s="8" t="s">
        <v>20</v>
      </c>
      <c r="B276" s="8" t="s">
        <v>367</v>
      </c>
      <c r="C276" s="8">
        <v>1</v>
      </c>
      <c r="D276" s="8" t="s">
        <v>15</v>
      </c>
      <c r="E276" s="9" t="s">
        <v>368</v>
      </c>
      <c r="F276" s="14">
        <v>46027</v>
      </c>
    </row>
    <row r="277" spans="1:6">
      <c r="A277" s="8" t="s">
        <v>13</v>
      </c>
      <c r="B277" s="8" t="s">
        <v>369</v>
      </c>
      <c r="C277" s="8">
        <v>1</v>
      </c>
      <c r="D277" s="8" t="s">
        <v>15</v>
      </c>
      <c r="E277" s="9" t="s">
        <v>366</v>
      </c>
      <c r="F277" s="14">
        <v>45935</v>
      </c>
    </row>
    <row r="278" spans="1:6">
      <c r="A278" s="8" t="s">
        <v>20</v>
      </c>
      <c r="B278" s="8" t="s">
        <v>370</v>
      </c>
      <c r="C278" s="8">
        <v>1</v>
      </c>
      <c r="D278" s="8" t="s">
        <v>15</v>
      </c>
      <c r="E278" s="9" t="s">
        <v>368</v>
      </c>
      <c r="F278" s="14">
        <v>46027</v>
      </c>
    </row>
    <row r="279" spans="1:6">
      <c r="A279" s="8" t="s">
        <v>20</v>
      </c>
      <c r="B279" s="8" t="s">
        <v>371</v>
      </c>
      <c r="C279" s="8">
        <v>1</v>
      </c>
      <c r="D279" s="8" t="s">
        <v>15</v>
      </c>
      <c r="E279" s="9" t="s">
        <v>16</v>
      </c>
      <c r="F279" s="14">
        <v>45992</v>
      </c>
    </row>
    <row r="280" spans="1:6">
      <c r="A280" s="8" t="s">
        <v>20</v>
      </c>
      <c r="B280" s="8" t="s">
        <v>372</v>
      </c>
      <c r="C280" s="8">
        <v>1</v>
      </c>
      <c r="D280" s="8" t="s">
        <v>15</v>
      </c>
      <c r="E280" s="9" t="s">
        <v>30</v>
      </c>
      <c r="F280" s="14">
        <v>45964</v>
      </c>
    </row>
    <row r="281" spans="1:6">
      <c r="A281" s="8" t="s">
        <v>20</v>
      </c>
      <c r="B281" s="8" t="s">
        <v>373</v>
      </c>
      <c r="C281" s="8">
        <v>1</v>
      </c>
      <c r="D281" s="8" t="s">
        <v>15</v>
      </c>
      <c r="E281" s="9" t="s">
        <v>30</v>
      </c>
      <c r="F281" s="14">
        <v>45964</v>
      </c>
    </row>
    <row r="282" spans="1:6">
      <c r="A282" s="8" t="s">
        <v>20</v>
      </c>
      <c r="B282" s="8" t="s">
        <v>374</v>
      </c>
      <c r="C282" s="8">
        <v>1</v>
      </c>
      <c r="D282" s="8" t="s">
        <v>15</v>
      </c>
      <c r="E282" s="9" t="s">
        <v>16</v>
      </c>
      <c r="F282" s="14">
        <v>45992</v>
      </c>
    </row>
    <row r="283" spans="1:6">
      <c r="A283" s="8" t="s">
        <v>20</v>
      </c>
      <c r="B283" s="8" t="s">
        <v>375</v>
      </c>
      <c r="C283" s="8">
        <v>1</v>
      </c>
      <c r="D283" s="8" t="s">
        <v>15</v>
      </c>
      <c r="E283" s="9" t="s">
        <v>376</v>
      </c>
      <c r="F283" s="14">
        <v>46016</v>
      </c>
    </row>
    <row r="284" spans="1:6">
      <c r="A284" s="8" t="s">
        <v>13</v>
      </c>
      <c r="B284" s="8" t="s">
        <v>377</v>
      </c>
      <c r="C284" s="8">
        <v>1</v>
      </c>
      <c r="D284" s="8" t="s">
        <v>15</v>
      </c>
      <c r="E284" s="9" t="s">
        <v>30</v>
      </c>
      <c r="F284" s="14">
        <v>45964</v>
      </c>
    </row>
    <row r="285" spans="1:6">
      <c r="A285" s="8" t="s">
        <v>20</v>
      </c>
      <c r="B285" s="8" t="s">
        <v>378</v>
      </c>
      <c r="C285" s="8">
        <v>1</v>
      </c>
      <c r="D285" s="8" t="s">
        <v>15</v>
      </c>
      <c r="E285" s="9" t="s">
        <v>30</v>
      </c>
      <c r="F285" s="14">
        <v>45964</v>
      </c>
    </row>
    <row r="286" spans="1:6">
      <c r="A286" s="8" t="s">
        <v>20</v>
      </c>
      <c r="B286" s="8" t="s">
        <v>379</v>
      </c>
      <c r="C286" s="8">
        <v>1</v>
      </c>
      <c r="D286" s="8" t="s">
        <v>15</v>
      </c>
      <c r="E286" s="9" t="s">
        <v>30</v>
      </c>
      <c r="F286" s="14">
        <v>45964</v>
      </c>
    </row>
    <row r="287" spans="1:6">
      <c r="A287" s="8" t="s">
        <v>20</v>
      </c>
      <c r="B287" s="8" t="s">
        <v>380</v>
      </c>
      <c r="C287" s="8">
        <v>1</v>
      </c>
      <c r="D287" s="8" t="s">
        <v>15</v>
      </c>
      <c r="E287" s="9" t="s">
        <v>16</v>
      </c>
      <c r="F287" s="14">
        <v>45992</v>
      </c>
    </row>
    <row r="288" spans="1:6">
      <c r="A288" s="8" t="s">
        <v>13</v>
      </c>
      <c r="B288" s="8" t="s">
        <v>381</v>
      </c>
      <c r="C288" s="8">
        <v>1</v>
      </c>
      <c r="D288" s="8" t="s">
        <v>15</v>
      </c>
      <c r="E288" s="9" t="s">
        <v>43</v>
      </c>
      <c r="F288" s="14">
        <v>45999</v>
      </c>
    </row>
    <row r="289" spans="1:6">
      <c r="A289" s="8" t="s">
        <v>13</v>
      </c>
      <c r="B289" s="8" t="s">
        <v>382</v>
      </c>
      <c r="C289" s="8">
        <v>1</v>
      </c>
      <c r="D289" s="8" t="s">
        <v>15</v>
      </c>
      <c r="E289" s="9" t="s">
        <v>30</v>
      </c>
      <c r="F289" s="14">
        <v>45964</v>
      </c>
    </row>
    <row r="290" spans="1:6">
      <c r="A290" s="8" t="s">
        <v>20</v>
      </c>
      <c r="B290" s="8" t="s">
        <v>383</v>
      </c>
      <c r="C290" s="8">
        <v>1</v>
      </c>
      <c r="D290" s="8" t="s">
        <v>18</v>
      </c>
      <c r="E290" s="9" t="s">
        <v>368</v>
      </c>
      <c r="F290" s="14">
        <v>46027</v>
      </c>
    </row>
    <row r="291" spans="1:6">
      <c r="A291" s="8" t="s">
        <v>13</v>
      </c>
      <c r="B291" s="8" t="s">
        <v>384</v>
      </c>
      <c r="C291" s="8">
        <v>1</v>
      </c>
      <c r="D291" s="8" t="s">
        <v>18</v>
      </c>
      <c r="E291" s="9" t="s">
        <v>385</v>
      </c>
      <c r="F291" s="14">
        <v>46041</v>
      </c>
    </row>
    <row r="292" spans="1:6">
      <c r="A292" s="8" t="s">
        <v>20</v>
      </c>
      <c r="B292" s="8" t="s">
        <v>386</v>
      </c>
      <c r="C292" s="8">
        <v>1</v>
      </c>
      <c r="D292" s="8" t="s">
        <v>18</v>
      </c>
      <c r="E292" s="9" t="s">
        <v>368</v>
      </c>
      <c r="F292" s="14">
        <v>46027</v>
      </c>
    </row>
    <row r="293" spans="1:6">
      <c r="A293" s="8" t="s">
        <v>20</v>
      </c>
      <c r="B293" s="8" t="s">
        <v>387</v>
      </c>
      <c r="C293" s="8">
        <v>1</v>
      </c>
      <c r="D293" s="8" t="s">
        <v>18</v>
      </c>
      <c r="E293" s="9" t="s">
        <v>368</v>
      </c>
      <c r="F293" s="14">
        <v>46027</v>
      </c>
    </row>
    <row r="294" spans="1:6">
      <c r="A294" s="8" t="s">
        <v>20</v>
      </c>
      <c r="B294" s="8" t="s">
        <v>388</v>
      </c>
      <c r="C294" s="8">
        <v>1</v>
      </c>
      <c r="D294" s="8" t="s">
        <v>18</v>
      </c>
      <c r="E294" s="9" t="s">
        <v>368</v>
      </c>
      <c r="F294" s="14">
        <v>46027</v>
      </c>
    </row>
    <row r="295" spans="1:6">
      <c r="A295" s="8" t="s">
        <v>20</v>
      </c>
      <c r="B295" s="8" t="s">
        <v>389</v>
      </c>
      <c r="C295" s="8">
        <v>1</v>
      </c>
      <c r="D295" s="8" t="s">
        <v>18</v>
      </c>
      <c r="E295" s="9" t="s">
        <v>368</v>
      </c>
      <c r="F295" s="14">
        <v>46027</v>
      </c>
    </row>
    <row r="296" spans="1:6">
      <c r="A296" s="8" t="s">
        <v>13</v>
      </c>
      <c r="B296" s="8" t="s">
        <v>390</v>
      </c>
      <c r="C296" s="8">
        <v>1</v>
      </c>
      <c r="D296" s="8" t="s">
        <v>15</v>
      </c>
      <c r="E296" s="9" t="s">
        <v>16</v>
      </c>
      <c r="F296" s="14">
        <v>45992</v>
      </c>
    </row>
    <row r="297" spans="1:6">
      <c r="A297" s="8" t="s">
        <v>20</v>
      </c>
      <c r="B297" s="8" t="s">
        <v>391</v>
      </c>
      <c r="C297" s="8">
        <v>1</v>
      </c>
      <c r="D297" s="8" t="s">
        <v>18</v>
      </c>
      <c r="E297" s="9" t="s">
        <v>368</v>
      </c>
      <c r="F297" s="14">
        <v>46027</v>
      </c>
    </row>
    <row r="298" spans="1:6">
      <c r="A298" s="8" t="s">
        <v>20</v>
      </c>
      <c r="B298" s="8" t="s">
        <v>392</v>
      </c>
      <c r="C298" s="8">
        <v>1</v>
      </c>
      <c r="D298" s="8" t="s">
        <v>18</v>
      </c>
      <c r="E298" s="9" t="s">
        <v>368</v>
      </c>
      <c r="F298" s="14">
        <v>46027</v>
      </c>
    </row>
    <row r="299" spans="1:6">
      <c r="A299" s="8" t="s">
        <v>20</v>
      </c>
      <c r="B299" s="8" t="s">
        <v>393</v>
      </c>
      <c r="C299" s="8">
        <v>1</v>
      </c>
      <c r="D299" s="8" t="s">
        <v>18</v>
      </c>
      <c r="E299" s="9" t="s">
        <v>368</v>
      </c>
      <c r="F299" s="14">
        <v>46027</v>
      </c>
    </row>
    <row r="300" spans="1:6">
      <c r="A300" s="8" t="s">
        <v>13</v>
      </c>
      <c r="B300" s="8" t="s">
        <v>394</v>
      </c>
      <c r="C300" s="8">
        <v>1</v>
      </c>
      <c r="D300" s="8" t="s">
        <v>15</v>
      </c>
      <c r="E300" s="9" t="s">
        <v>30</v>
      </c>
      <c r="F300" s="14">
        <v>45964</v>
      </c>
    </row>
    <row r="301" spans="1:6">
      <c r="A301" s="8" t="s">
        <v>20</v>
      </c>
      <c r="B301" s="8" t="s">
        <v>395</v>
      </c>
      <c r="C301" s="8">
        <v>1</v>
      </c>
      <c r="D301" s="8" t="s">
        <v>15</v>
      </c>
      <c r="E301" s="9" t="s">
        <v>368</v>
      </c>
      <c r="F301" s="14">
        <v>46027</v>
      </c>
    </row>
    <row r="302" spans="1:6">
      <c r="A302" s="8" t="s">
        <v>13</v>
      </c>
      <c r="B302" s="8" t="s">
        <v>396</v>
      </c>
      <c r="C302" s="8">
        <v>1</v>
      </c>
      <c r="D302" s="8" t="s">
        <v>15</v>
      </c>
      <c r="E302" s="9" t="s">
        <v>368</v>
      </c>
      <c r="F302" s="14">
        <v>46027</v>
      </c>
    </row>
    <row r="303" spans="1:6">
      <c r="A303" s="8" t="s">
        <v>20</v>
      </c>
      <c r="B303" s="8" t="s">
        <v>397</v>
      </c>
      <c r="C303" s="8">
        <v>1</v>
      </c>
      <c r="D303" s="8" t="s">
        <v>18</v>
      </c>
      <c r="E303" s="9" t="s">
        <v>368</v>
      </c>
      <c r="F303" s="14">
        <v>46027</v>
      </c>
    </row>
    <row r="304" spans="1:6">
      <c r="A304" s="8" t="s">
        <v>20</v>
      </c>
      <c r="B304" s="8" t="s">
        <v>398</v>
      </c>
      <c r="C304" s="8">
        <v>1</v>
      </c>
      <c r="D304" s="8" t="s">
        <v>15</v>
      </c>
      <c r="E304" s="9" t="s">
        <v>16</v>
      </c>
      <c r="F304" s="14">
        <v>45992</v>
      </c>
    </row>
    <row r="305" spans="1:6">
      <c r="A305" s="8" t="s">
        <v>20</v>
      </c>
      <c r="B305" s="8" t="s">
        <v>399</v>
      </c>
      <c r="C305" s="8">
        <v>1</v>
      </c>
      <c r="D305" s="8" t="s">
        <v>15</v>
      </c>
      <c r="E305" s="9" t="s">
        <v>368</v>
      </c>
      <c r="F305" s="14">
        <v>46027</v>
      </c>
    </row>
    <row r="306" spans="1:6">
      <c r="A306" s="8" t="s">
        <v>20</v>
      </c>
      <c r="B306" s="8" t="s">
        <v>400</v>
      </c>
      <c r="C306" s="8">
        <v>1</v>
      </c>
      <c r="D306" s="8" t="s">
        <v>18</v>
      </c>
      <c r="E306" s="9" t="s">
        <v>368</v>
      </c>
      <c r="F306" s="14">
        <v>46027</v>
      </c>
    </row>
    <row r="307" spans="1:6">
      <c r="A307" s="8" t="s">
        <v>13</v>
      </c>
      <c r="B307" s="8" t="s">
        <v>401</v>
      </c>
      <c r="C307" s="8">
        <v>1</v>
      </c>
      <c r="D307" s="8" t="s">
        <v>18</v>
      </c>
      <c r="E307" s="9" t="s">
        <v>368</v>
      </c>
      <c r="F307" s="14">
        <v>46027</v>
      </c>
    </row>
    <row r="308" spans="1:6">
      <c r="A308" s="8" t="s">
        <v>20</v>
      </c>
      <c r="B308" s="8" t="s">
        <v>402</v>
      </c>
      <c r="C308" s="8">
        <v>1</v>
      </c>
      <c r="D308" s="8" t="s">
        <v>18</v>
      </c>
      <c r="E308" s="9" t="s">
        <v>368</v>
      </c>
      <c r="F308" s="14">
        <v>46027</v>
      </c>
    </row>
    <row r="309" spans="1:6">
      <c r="A309" s="8" t="s">
        <v>13</v>
      </c>
      <c r="B309" s="8" t="s">
        <v>403</v>
      </c>
      <c r="C309" s="8">
        <v>1</v>
      </c>
      <c r="D309" s="8" t="s">
        <v>15</v>
      </c>
      <c r="E309" s="9" t="s">
        <v>16</v>
      </c>
      <c r="F309" s="14">
        <v>45992</v>
      </c>
    </row>
    <row r="310" spans="1:6">
      <c r="A310" s="8" t="s">
        <v>20</v>
      </c>
      <c r="B310" s="8" t="s">
        <v>404</v>
      </c>
      <c r="C310" s="8">
        <v>1</v>
      </c>
      <c r="D310" s="8" t="s">
        <v>18</v>
      </c>
      <c r="E310" s="9" t="s">
        <v>368</v>
      </c>
      <c r="F310" s="14">
        <v>46027</v>
      </c>
    </row>
    <row r="311" spans="1:6" ht="15">
      <c r="A311"/>
      <c r="B311"/>
      <c r="C311"/>
      <c r="D311"/>
      <c r="E311" s="16"/>
      <c r="F311" s="15"/>
    </row>
    <row r="312" spans="1:6" ht="15">
      <c r="A312"/>
      <c r="B312"/>
      <c r="C312"/>
      <c r="D312"/>
      <c r="E312" s="16"/>
      <c r="F312" s="15"/>
    </row>
    <row r="313" spans="1:6" ht="15">
      <c r="A313"/>
      <c r="B313"/>
      <c r="C313"/>
      <c r="D313"/>
      <c r="E313" s="16"/>
      <c r="F313" s="15"/>
    </row>
    <row r="314" spans="1:6" ht="15">
      <c r="A314"/>
      <c r="B314"/>
      <c r="C314"/>
      <c r="D314"/>
      <c r="E314" s="16"/>
      <c r="F314" s="15"/>
    </row>
    <row r="315" spans="1:6" ht="15">
      <c r="A315"/>
      <c r="B315"/>
      <c r="C315"/>
      <c r="D315"/>
      <c r="E315" s="16"/>
      <c r="F315" s="15"/>
    </row>
    <row r="316" spans="1:6" ht="15">
      <c r="A316"/>
      <c r="B316"/>
      <c r="C316"/>
      <c r="D316"/>
      <c r="E316" s="16"/>
      <c r="F316" s="15"/>
    </row>
    <row r="317" spans="1:6" ht="15">
      <c r="A317"/>
      <c r="B317"/>
      <c r="C317"/>
      <c r="D317"/>
      <c r="E317" s="16"/>
      <c r="F317" s="15"/>
    </row>
    <row r="318" spans="1:6" ht="15">
      <c r="A318"/>
      <c r="B318"/>
      <c r="C318"/>
      <c r="D318"/>
      <c r="E318" s="16"/>
      <c r="F318" s="15"/>
    </row>
    <row r="319" spans="1:6" ht="15">
      <c r="A319"/>
      <c r="B319"/>
      <c r="C319"/>
      <c r="D319"/>
      <c r="E319" s="16"/>
      <c r="F319" s="15"/>
    </row>
    <row r="320" spans="1:6" ht="15">
      <c r="A320"/>
      <c r="B320"/>
      <c r="C320"/>
      <c r="D320"/>
      <c r="E320" s="16"/>
      <c r="F320" s="15"/>
    </row>
    <row r="321" spans="5:6">
      <c r="E321" s="16"/>
      <c r="F321" s="15"/>
    </row>
    <row r="322" spans="5:6">
      <c r="E322" s="16"/>
      <c r="F322" s="15"/>
    </row>
    <row r="323" spans="5:6">
      <c r="E323" s="16"/>
      <c r="F323" s="15"/>
    </row>
    <row r="324" spans="5:6">
      <c r="E324" s="16"/>
      <c r="F324" s="15"/>
    </row>
    <row r="325" spans="5:6">
      <c r="E325" s="16"/>
      <c r="F325" s="15"/>
    </row>
    <row r="326" spans="5:6">
      <c r="E326" s="16"/>
      <c r="F326" s="15"/>
    </row>
    <row r="327" spans="5:6">
      <c r="E327" s="16"/>
      <c r="F327" s="15"/>
    </row>
    <row r="328" spans="5:6">
      <c r="E328" s="16"/>
      <c r="F328" s="15"/>
    </row>
    <row r="329" spans="5:6">
      <c r="E329" s="16"/>
      <c r="F329" s="15"/>
    </row>
    <row r="330" spans="5:6">
      <c r="E330" s="16"/>
      <c r="F330" s="15"/>
    </row>
    <row r="331" spans="5:6">
      <c r="E331" s="16"/>
      <c r="F331" s="15"/>
    </row>
    <row r="332" spans="5:6">
      <c r="E332" s="16"/>
      <c r="F332" s="15"/>
    </row>
    <row r="333" spans="5:6">
      <c r="E333" s="16"/>
      <c r="F333" s="15"/>
    </row>
    <row r="334" spans="5:6">
      <c r="E334" s="16"/>
      <c r="F334" s="15"/>
    </row>
    <row r="335" spans="5:6">
      <c r="E335" s="16"/>
      <c r="F335" s="15"/>
    </row>
    <row r="336" spans="5:6">
      <c r="E336" s="16"/>
      <c r="F336" s="15"/>
    </row>
    <row r="337" spans="5:6">
      <c r="E337" s="16"/>
      <c r="F337" s="15"/>
    </row>
    <row r="338" spans="5:6">
      <c r="E338" s="16"/>
      <c r="F338" s="15"/>
    </row>
    <row r="339" spans="5:6">
      <c r="E339" s="16"/>
      <c r="F339" s="15"/>
    </row>
    <row r="340" spans="5:6">
      <c r="E340" s="16"/>
      <c r="F340" s="15"/>
    </row>
    <row r="341" spans="5:6">
      <c r="E341" s="16"/>
      <c r="F341" s="15"/>
    </row>
    <row r="342" spans="5:6">
      <c r="E342" s="16"/>
      <c r="F342" s="15"/>
    </row>
    <row r="343" spans="5:6">
      <c r="E343" s="16"/>
      <c r="F343" s="15"/>
    </row>
    <row r="344" spans="5:6">
      <c r="E344" s="16"/>
      <c r="F344" s="15"/>
    </row>
    <row r="345" spans="5:6">
      <c r="E345" s="16"/>
      <c r="F345" s="15"/>
    </row>
    <row r="346" spans="5:6">
      <c r="E346" s="16"/>
      <c r="F346" s="15"/>
    </row>
    <row r="347" spans="5:6">
      <c r="E347" s="16"/>
      <c r="F347" s="15"/>
    </row>
    <row r="348" spans="5:6">
      <c r="E348" s="16"/>
      <c r="F348" s="15"/>
    </row>
    <row r="349" spans="5:6">
      <c r="E349" s="16"/>
      <c r="F349" s="15"/>
    </row>
    <row r="350" spans="5:6">
      <c r="E350" s="16"/>
      <c r="F350" s="15"/>
    </row>
    <row r="351" spans="5:6">
      <c r="E351" s="16"/>
      <c r="F351" s="15"/>
    </row>
    <row r="352" spans="5:6">
      <c r="E352" s="16"/>
      <c r="F352" s="15"/>
    </row>
    <row r="353" spans="5:6">
      <c r="E353" s="16"/>
      <c r="F353" s="15"/>
    </row>
    <row r="354" spans="5:6">
      <c r="E354" s="16"/>
      <c r="F354" s="15"/>
    </row>
    <row r="355" spans="5:6">
      <c r="E355" s="16"/>
      <c r="F355" s="15"/>
    </row>
    <row r="356" spans="5:6">
      <c r="E356" s="16"/>
      <c r="F356" s="15"/>
    </row>
    <row r="357" spans="5:6">
      <c r="E357" s="16"/>
      <c r="F357" s="15"/>
    </row>
    <row r="358" spans="5:6">
      <c r="E358" s="16"/>
      <c r="F358" s="15"/>
    </row>
    <row r="359" spans="5:6">
      <c r="E359" s="16"/>
      <c r="F359" s="15"/>
    </row>
    <row r="360" spans="5:6">
      <c r="E360" s="16"/>
      <c r="F360" s="15"/>
    </row>
    <row r="361" spans="5:6">
      <c r="E361" s="16"/>
      <c r="F361" s="15"/>
    </row>
    <row r="362" spans="5:6">
      <c r="E362" s="16"/>
      <c r="F362" s="15"/>
    </row>
    <row r="363" spans="5:6">
      <c r="E363" s="16"/>
      <c r="F363" s="15"/>
    </row>
    <row r="364" spans="5:6">
      <c r="E364" s="16"/>
      <c r="F364" s="15"/>
    </row>
    <row r="365" spans="5:6">
      <c r="E365" s="16"/>
      <c r="F365" s="15"/>
    </row>
    <row r="366" spans="5:6">
      <c r="E366" s="16"/>
      <c r="F366" s="15"/>
    </row>
    <row r="367" spans="5:6">
      <c r="E367" s="16"/>
      <c r="F367" s="15"/>
    </row>
    <row r="368" spans="5:6">
      <c r="E368" s="16"/>
      <c r="F368" s="15"/>
    </row>
    <row r="369" spans="5:6">
      <c r="E369" s="16"/>
      <c r="F369" s="15"/>
    </row>
    <row r="370" spans="5:6">
      <c r="E370" s="16"/>
      <c r="F370" s="15"/>
    </row>
    <row r="371" spans="5:6">
      <c r="E371" s="16"/>
      <c r="F371" s="15"/>
    </row>
    <row r="372" spans="5:6">
      <c r="E372" s="16"/>
      <c r="F372" s="15"/>
    </row>
    <row r="373" spans="5:6">
      <c r="E373" s="16"/>
      <c r="F373" s="15"/>
    </row>
    <row r="374" spans="5:6">
      <c r="E374" s="16"/>
      <c r="F374" s="15"/>
    </row>
    <row r="375" spans="5:6">
      <c r="E375" s="16"/>
      <c r="F375" s="15"/>
    </row>
    <row r="376" spans="5:6">
      <c r="E376" s="16"/>
      <c r="F376" s="15"/>
    </row>
    <row r="377" spans="5:6">
      <c r="E377" s="16"/>
      <c r="F377" s="15"/>
    </row>
    <row r="378" spans="5:6">
      <c r="E378" s="16"/>
      <c r="F378" s="15"/>
    </row>
    <row r="379" spans="5:6">
      <c r="E379" s="16"/>
      <c r="F379" s="15"/>
    </row>
    <row r="380" spans="5:6">
      <c r="E380" s="16"/>
      <c r="F380" s="15"/>
    </row>
    <row r="381" spans="5:6">
      <c r="E381" s="16"/>
      <c r="F381" s="15"/>
    </row>
    <row r="382" spans="5:6">
      <c r="E382" s="16"/>
      <c r="F382" s="15"/>
    </row>
    <row r="383" spans="5:6">
      <c r="E383" s="16"/>
      <c r="F383" s="15"/>
    </row>
    <row r="384" spans="5:6">
      <c r="E384" s="16"/>
      <c r="F384" s="15"/>
    </row>
    <row r="385" spans="5:6">
      <c r="E385" s="16"/>
      <c r="F385" s="15"/>
    </row>
    <row r="386" spans="5:6">
      <c r="E386" s="16"/>
      <c r="F386" s="15"/>
    </row>
    <row r="387" spans="5:6">
      <c r="E387" s="16"/>
      <c r="F387" s="15"/>
    </row>
    <row r="388" spans="5:6">
      <c r="E388" s="16"/>
      <c r="F388" s="15"/>
    </row>
    <row r="389" spans="5:6">
      <c r="E389" s="16"/>
      <c r="F389" s="15"/>
    </row>
    <row r="390" spans="5:6">
      <c r="E390" s="16"/>
      <c r="F390" s="15"/>
    </row>
    <row r="391" spans="5:6">
      <c r="E391" s="16"/>
      <c r="F391" s="15"/>
    </row>
    <row r="392" spans="5:6">
      <c r="E392" s="16"/>
      <c r="F392" s="15"/>
    </row>
    <row r="393" spans="5:6">
      <c r="E393" s="16"/>
      <c r="F393" s="15"/>
    </row>
    <row r="394" spans="5:6">
      <c r="E394" s="16"/>
      <c r="F394" s="15"/>
    </row>
    <row r="395" spans="5:6">
      <c r="E395" s="16"/>
      <c r="F395" s="15"/>
    </row>
    <row r="396" spans="5:6">
      <c r="E396" s="16"/>
      <c r="F396" s="15"/>
    </row>
    <row r="397" spans="5:6">
      <c r="E397" s="16"/>
      <c r="F397" s="15"/>
    </row>
    <row r="398" spans="5:6">
      <c r="E398" s="16"/>
      <c r="F398" s="15"/>
    </row>
    <row r="399" spans="5:6">
      <c r="E399" s="16"/>
      <c r="F399" s="15"/>
    </row>
    <row r="400" spans="5:6">
      <c r="E400" s="16"/>
      <c r="F400" s="15"/>
    </row>
    <row r="401" spans="5:6">
      <c r="E401" s="16"/>
      <c r="F401" s="15"/>
    </row>
    <row r="402" spans="5:6">
      <c r="E402" s="16"/>
      <c r="F402" s="15"/>
    </row>
    <row r="403" spans="5:6">
      <c r="E403" s="16"/>
      <c r="F403" s="15"/>
    </row>
    <row r="404" spans="5:6">
      <c r="E404" s="16"/>
      <c r="F404" s="15"/>
    </row>
    <row r="405" spans="5:6">
      <c r="E405" s="16"/>
      <c r="F405" s="15"/>
    </row>
    <row r="406" spans="5:6">
      <c r="E406" s="16"/>
      <c r="F406" s="15"/>
    </row>
    <row r="407" spans="5:6">
      <c r="E407" s="16"/>
      <c r="F407" s="15"/>
    </row>
    <row r="408" spans="5:6">
      <c r="E408" s="16"/>
      <c r="F408" s="15"/>
    </row>
    <row r="409" spans="5:6">
      <c r="E409" s="16"/>
      <c r="F409" s="15"/>
    </row>
    <row r="410" spans="5:6">
      <c r="E410" s="16"/>
      <c r="F410" s="15"/>
    </row>
    <row r="411" spans="5:6">
      <c r="E411" s="16"/>
      <c r="F411" s="15"/>
    </row>
    <row r="412" spans="5:6">
      <c r="E412" s="16"/>
      <c r="F412" s="15"/>
    </row>
    <row r="413" spans="5:6">
      <c r="E413" s="16"/>
      <c r="F413" s="15"/>
    </row>
    <row r="414" spans="5:6">
      <c r="E414" s="16"/>
      <c r="F414" s="15"/>
    </row>
    <row r="415" spans="5:6">
      <c r="E415" s="16"/>
      <c r="F415" s="15"/>
    </row>
    <row r="416" spans="5:6">
      <c r="E416" s="16"/>
      <c r="F416" s="15"/>
    </row>
    <row r="417" spans="5:6">
      <c r="E417" s="16"/>
      <c r="F417" s="15"/>
    </row>
    <row r="418" spans="5:6">
      <c r="E418" s="16"/>
      <c r="F418" s="15"/>
    </row>
    <row r="419" spans="5:6">
      <c r="E419" s="16"/>
      <c r="F419" s="15"/>
    </row>
    <row r="420" spans="5:6">
      <c r="E420" s="16"/>
      <c r="F420" s="15"/>
    </row>
    <row r="421" spans="5:6">
      <c r="E421" s="16"/>
      <c r="F421" s="15"/>
    </row>
    <row r="422" spans="5:6">
      <c r="E422" s="16"/>
      <c r="F422" s="15"/>
    </row>
    <row r="423" spans="5:6">
      <c r="E423" s="16"/>
      <c r="F423" s="15"/>
    </row>
    <row r="424" spans="5:6">
      <c r="E424" s="16"/>
      <c r="F424" s="15"/>
    </row>
    <row r="425" spans="5:6">
      <c r="E425" s="16"/>
      <c r="F425" s="15"/>
    </row>
    <row r="426" spans="5:6">
      <c r="E426" s="16"/>
      <c r="F426" s="15"/>
    </row>
    <row r="427" spans="5:6">
      <c r="E427" s="16"/>
      <c r="F427" s="15"/>
    </row>
    <row r="428" spans="5:6">
      <c r="E428" s="16"/>
      <c r="F428" s="15"/>
    </row>
    <row r="429" spans="5:6">
      <c r="E429" s="16"/>
      <c r="F429" s="15"/>
    </row>
    <row r="430" spans="5:6">
      <c r="E430" s="16"/>
      <c r="F430" s="15"/>
    </row>
    <row r="431" spans="5:6">
      <c r="E431" s="16"/>
      <c r="F431" s="15"/>
    </row>
    <row r="432" spans="5:6">
      <c r="E432" s="16"/>
      <c r="F432" s="15"/>
    </row>
    <row r="433" spans="5:6">
      <c r="E433" s="16"/>
      <c r="F433" s="15"/>
    </row>
    <row r="434" spans="5:6">
      <c r="E434" s="16"/>
      <c r="F434" s="15"/>
    </row>
    <row r="435" spans="5:6">
      <c r="E435" s="16"/>
      <c r="F435" s="15"/>
    </row>
    <row r="436" spans="5:6">
      <c r="E436" s="16"/>
      <c r="F436" s="15"/>
    </row>
    <row r="437" spans="5:6">
      <c r="E437" s="16"/>
      <c r="F437" s="15"/>
    </row>
    <row r="438" spans="5:6">
      <c r="E438" s="16"/>
      <c r="F438" s="15"/>
    </row>
    <row r="439" spans="5:6">
      <c r="E439" s="16"/>
      <c r="F439" s="15"/>
    </row>
    <row r="440" spans="5:6">
      <c r="E440" s="16"/>
      <c r="F440" s="15"/>
    </row>
    <row r="441" spans="5:6">
      <c r="E441" s="16"/>
      <c r="F441" s="15"/>
    </row>
    <row r="442" spans="5:6">
      <c r="E442" s="16"/>
      <c r="F442" s="15"/>
    </row>
    <row r="443" spans="5:6">
      <c r="E443" s="16"/>
      <c r="F443" s="15"/>
    </row>
    <row r="444" spans="5:6">
      <c r="E444" s="16"/>
      <c r="F444" s="15"/>
    </row>
    <row r="445" spans="5:6">
      <c r="E445" s="16"/>
      <c r="F445" s="15"/>
    </row>
    <row r="446" spans="5:6">
      <c r="E446" s="16"/>
      <c r="F446" s="15"/>
    </row>
    <row r="447" spans="5:6">
      <c r="E447" s="16"/>
      <c r="F447" s="15"/>
    </row>
    <row r="448" spans="5:6">
      <c r="E448" s="16"/>
      <c r="F448" s="15"/>
    </row>
    <row r="449" spans="5:6">
      <c r="E449" s="16"/>
      <c r="F449" s="15"/>
    </row>
    <row r="450" spans="5:6">
      <c r="E450" s="16"/>
      <c r="F450" s="15"/>
    </row>
    <row r="451" spans="5:6">
      <c r="E451" s="16"/>
      <c r="F451" s="15"/>
    </row>
    <row r="452" spans="5:6">
      <c r="E452" s="16"/>
      <c r="F452" s="15"/>
    </row>
    <row r="453" spans="5:6">
      <c r="E453" s="16"/>
      <c r="F453" s="15"/>
    </row>
    <row r="454" spans="5:6">
      <c r="E454" s="16"/>
      <c r="F454" s="15"/>
    </row>
    <row r="455" spans="5:6">
      <c r="E455" s="16"/>
      <c r="F455" s="15"/>
    </row>
    <row r="456" spans="5:6">
      <c r="E456" s="16"/>
      <c r="F456" s="15"/>
    </row>
    <row r="457" spans="5:6">
      <c r="E457" s="16"/>
      <c r="F457" s="15"/>
    </row>
    <row r="458" spans="5:6">
      <c r="E458" s="16"/>
      <c r="F458" s="15"/>
    </row>
    <row r="459" spans="5:6">
      <c r="E459" s="16"/>
      <c r="F459" s="15"/>
    </row>
    <row r="460" spans="5:6">
      <c r="E460" s="16"/>
      <c r="F460" s="15"/>
    </row>
    <row r="461" spans="5:6">
      <c r="E461" s="16"/>
      <c r="F461" s="15"/>
    </row>
    <row r="462" spans="5:6">
      <c r="E462" s="16"/>
      <c r="F462" s="15"/>
    </row>
    <row r="463" spans="5:6">
      <c r="E463" s="16"/>
      <c r="F463" s="15"/>
    </row>
    <row r="464" spans="5:6">
      <c r="E464" s="16"/>
      <c r="F464" s="15"/>
    </row>
    <row r="465" spans="5:6">
      <c r="E465" s="16"/>
      <c r="F465" s="15"/>
    </row>
    <row r="466" spans="5:6">
      <c r="E466" s="16"/>
      <c r="F466" s="15"/>
    </row>
    <row r="467" spans="5:6">
      <c r="E467" s="16"/>
      <c r="F467" s="15"/>
    </row>
    <row r="468" spans="5:6">
      <c r="E468" s="16"/>
      <c r="F468" s="15"/>
    </row>
    <row r="469" spans="5:6">
      <c r="E469" s="16"/>
      <c r="F469" s="15"/>
    </row>
    <row r="470" spans="5:6">
      <c r="E470" s="16"/>
      <c r="F470" s="15"/>
    </row>
    <row r="471" spans="5:6">
      <c r="E471" s="16"/>
      <c r="F471" s="15"/>
    </row>
    <row r="472" spans="5:6">
      <c r="E472" s="16"/>
      <c r="F472" s="15"/>
    </row>
    <row r="473" spans="5:6">
      <c r="E473" s="16"/>
      <c r="F473" s="15"/>
    </row>
    <row r="474" spans="5:6">
      <c r="E474" s="16"/>
      <c r="F474" s="15"/>
    </row>
    <row r="475" spans="5:6">
      <c r="E475" s="16"/>
      <c r="F475" s="15"/>
    </row>
    <row r="476" spans="5:6">
      <c r="E476" s="16"/>
      <c r="F476" s="15"/>
    </row>
    <row r="477" spans="5:6">
      <c r="E477" s="16"/>
      <c r="F477" s="15"/>
    </row>
    <row r="478" spans="5:6">
      <c r="E478" s="16"/>
      <c r="F478" s="15"/>
    </row>
    <row r="479" spans="5:6">
      <c r="E479" s="16"/>
      <c r="F479" s="15"/>
    </row>
    <row r="480" spans="5:6">
      <c r="E480" s="16"/>
      <c r="F480" s="15"/>
    </row>
    <row r="481" spans="5:6">
      <c r="E481" s="16"/>
      <c r="F481" s="15"/>
    </row>
    <row r="482" spans="5:6">
      <c r="E482" s="16"/>
      <c r="F482" s="15"/>
    </row>
    <row r="483" spans="5:6">
      <c r="E483" s="16"/>
      <c r="F483" s="15"/>
    </row>
    <row r="484" spans="5:6">
      <c r="E484" s="16"/>
      <c r="F484" s="15"/>
    </row>
    <row r="485" spans="5:6">
      <c r="E485" s="16"/>
      <c r="F485" s="15"/>
    </row>
    <row r="486" spans="5:6">
      <c r="E486" s="16"/>
      <c r="F486" s="15"/>
    </row>
    <row r="487" spans="5:6">
      <c r="E487" s="16"/>
      <c r="F487" s="15"/>
    </row>
    <row r="488" spans="5:6">
      <c r="E488" s="16"/>
      <c r="F488" s="15"/>
    </row>
    <row r="489" spans="5:6">
      <c r="E489" s="16"/>
      <c r="F489" s="15"/>
    </row>
    <row r="490" spans="5:6">
      <c r="E490" s="16"/>
      <c r="F490" s="15"/>
    </row>
    <row r="491" spans="5:6">
      <c r="E491" s="16"/>
      <c r="F491" s="15"/>
    </row>
    <row r="492" spans="5:6">
      <c r="E492" s="16"/>
      <c r="F492" s="15"/>
    </row>
    <row r="493" spans="5:6">
      <c r="E493" s="16"/>
      <c r="F493" s="15"/>
    </row>
    <row r="494" spans="5:6">
      <c r="E494" s="16"/>
      <c r="F494" s="15"/>
    </row>
    <row r="495" spans="5:6">
      <c r="E495" s="16"/>
      <c r="F495" s="15"/>
    </row>
    <row r="496" spans="5:6">
      <c r="E496" s="16"/>
      <c r="F496" s="15"/>
    </row>
    <row r="497" spans="5:6">
      <c r="E497" s="16"/>
      <c r="F497" s="15"/>
    </row>
    <row r="498" spans="5:6">
      <c r="E498" s="16"/>
      <c r="F498" s="15"/>
    </row>
    <row r="499" spans="5:6">
      <c r="E499" s="16"/>
      <c r="F499" s="15"/>
    </row>
    <row r="500" spans="5:6">
      <c r="E500" s="16"/>
      <c r="F500" s="15"/>
    </row>
    <row r="501" spans="5:6">
      <c r="E501" s="16"/>
      <c r="F501" s="15"/>
    </row>
    <row r="502" spans="5:6">
      <c r="E502" s="16"/>
      <c r="F502" s="15"/>
    </row>
    <row r="503" spans="5:6">
      <c r="E503" s="16"/>
      <c r="F503" s="15"/>
    </row>
    <row r="504" spans="5:6">
      <c r="E504" s="16"/>
      <c r="F504" s="15"/>
    </row>
    <row r="505" spans="5:6">
      <c r="E505" s="16"/>
      <c r="F505" s="15"/>
    </row>
    <row r="506" spans="5:6">
      <c r="E506" s="16"/>
      <c r="F506" s="15"/>
    </row>
    <row r="507" spans="5:6">
      <c r="E507" s="16"/>
      <c r="F507" s="15"/>
    </row>
    <row r="508" spans="5:6">
      <c r="E508" s="16"/>
      <c r="F508" s="15"/>
    </row>
    <row r="509" spans="5:6">
      <c r="E509" s="16"/>
      <c r="F509" s="15"/>
    </row>
    <row r="510" spans="5:6">
      <c r="E510" s="16"/>
      <c r="F510" s="15"/>
    </row>
    <row r="511" spans="5:6">
      <c r="E511" s="16"/>
      <c r="F511" s="15"/>
    </row>
    <row r="512" spans="5:6">
      <c r="E512" s="16"/>
      <c r="F512" s="15"/>
    </row>
    <row r="513" spans="5:6">
      <c r="E513" s="16"/>
      <c r="F513" s="15"/>
    </row>
    <row r="514" spans="5:6">
      <c r="E514" s="16"/>
      <c r="F514" s="15"/>
    </row>
    <row r="515" spans="5:6">
      <c r="E515" s="16"/>
      <c r="F515" s="15"/>
    </row>
    <row r="516" spans="5:6">
      <c r="E516" s="16"/>
      <c r="F516" s="15"/>
    </row>
    <row r="517" spans="5:6">
      <c r="E517" s="16"/>
      <c r="F517" s="15"/>
    </row>
    <row r="518" spans="5:6">
      <c r="E518" s="16"/>
      <c r="F518" s="15"/>
    </row>
    <row r="519" spans="5:6">
      <c r="E519" s="16"/>
      <c r="F519" s="15"/>
    </row>
    <row r="520" spans="5:6">
      <c r="E520" s="16"/>
      <c r="F520" s="15"/>
    </row>
    <row r="521" spans="5:6">
      <c r="E521" s="16"/>
      <c r="F521" s="15"/>
    </row>
    <row r="522" spans="5:6">
      <c r="E522" s="16"/>
      <c r="F522" s="15"/>
    </row>
    <row r="523" spans="5:6">
      <c r="E523" s="16"/>
      <c r="F523" s="15"/>
    </row>
    <row r="524" spans="5:6">
      <c r="E524" s="16"/>
      <c r="F524" s="15"/>
    </row>
    <row r="525" spans="5:6">
      <c r="E525" s="16"/>
      <c r="F525" s="15"/>
    </row>
    <row r="526" spans="5:6">
      <c r="E526" s="16"/>
      <c r="F526" s="15"/>
    </row>
    <row r="527" spans="5:6">
      <c r="E527" s="16"/>
      <c r="F527" s="15"/>
    </row>
    <row r="528" spans="5:6">
      <c r="E528" s="16"/>
      <c r="F528" s="15"/>
    </row>
    <row r="529" spans="5:6">
      <c r="E529" s="16"/>
      <c r="F529" s="15"/>
    </row>
    <row r="530" spans="5:6">
      <c r="E530" s="16"/>
      <c r="F530" s="15"/>
    </row>
    <row r="531" spans="5:6">
      <c r="E531" s="16"/>
      <c r="F531" s="15"/>
    </row>
    <row r="532" spans="5:6">
      <c r="E532" s="16"/>
      <c r="F532" s="15"/>
    </row>
    <row r="533" spans="5:6">
      <c r="E533" s="16"/>
      <c r="F533" s="15"/>
    </row>
    <row r="534" spans="5:6">
      <c r="E534" s="16"/>
      <c r="F534" s="15"/>
    </row>
    <row r="535" spans="5:6">
      <c r="E535" s="16"/>
      <c r="F535" s="15"/>
    </row>
    <row r="536" spans="5:6">
      <c r="E536" s="16"/>
      <c r="F536" s="15"/>
    </row>
    <row r="537" spans="5:6">
      <c r="E537" s="16"/>
      <c r="F537" s="15"/>
    </row>
    <row r="538" spans="5:6">
      <c r="E538" s="16"/>
      <c r="F538" s="15"/>
    </row>
    <row r="539" spans="5:6">
      <c r="E539" s="16"/>
      <c r="F539" s="15"/>
    </row>
    <row r="540" spans="5:6">
      <c r="E540" s="16"/>
      <c r="F540" s="15"/>
    </row>
    <row r="541" spans="5:6">
      <c r="E541" s="16"/>
      <c r="F541" s="15"/>
    </row>
    <row r="542" spans="5:6">
      <c r="E542" s="16"/>
      <c r="F542" s="15"/>
    </row>
    <row r="543" spans="5:6">
      <c r="E543" s="16"/>
      <c r="F543" s="15"/>
    </row>
    <row r="544" spans="5:6">
      <c r="E544" s="16"/>
      <c r="F544" s="15"/>
    </row>
    <row r="545" spans="5:6">
      <c r="E545" s="16"/>
      <c r="F545" s="15"/>
    </row>
    <row r="546" spans="5:6">
      <c r="E546" s="16"/>
      <c r="F546" s="15"/>
    </row>
    <row r="547" spans="5:6">
      <c r="E547" s="16"/>
      <c r="F547" s="15"/>
    </row>
    <row r="548" spans="5:6">
      <c r="E548" s="16"/>
      <c r="F548" s="15"/>
    </row>
    <row r="549" spans="5:6">
      <c r="E549" s="16"/>
      <c r="F549" s="15"/>
    </row>
    <row r="550" spans="5:6">
      <c r="E550" s="16"/>
      <c r="F550" s="15"/>
    </row>
    <row r="551" spans="5:6">
      <c r="E551" s="16"/>
      <c r="F551" s="15"/>
    </row>
    <row r="552" spans="5:6">
      <c r="E552" s="16"/>
      <c r="F552" s="15"/>
    </row>
    <row r="553" spans="5:6">
      <c r="E553" s="16"/>
      <c r="F553" s="15"/>
    </row>
    <row r="554" spans="5:6">
      <c r="E554" s="16"/>
      <c r="F554" s="15"/>
    </row>
    <row r="555" spans="5:6">
      <c r="E555" s="16"/>
      <c r="F555" s="15"/>
    </row>
    <row r="556" spans="5:6">
      <c r="E556" s="16"/>
      <c r="F556" s="15"/>
    </row>
    <row r="557" spans="5:6">
      <c r="E557" s="16"/>
      <c r="F557" s="15"/>
    </row>
    <row r="558" spans="5:6">
      <c r="E558" s="16"/>
      <c r="F558" s="15"/>
    </row>
    <row r="559" spans="5:6">
      <c r="E559" s="16"/>
      <c r="F559" s="15"/>
    </row>
    <row r="560" spans="5:6">
      <c r="E560" s="16"/>
      <c r="F560" s="15"/>
    </row>
    <row r="561" spans="5:6">
      <c r="E561" s="16"/>
      <c r="F561" s="15"/>
    </row>
    <row r="562" spans="5:6">
      <c r="E562" s="16"/>
      <c r="F562" s="15"/>
    </row>
    <row r="563" spans="5:6">
      <c r="E563" s="16"/>
      <c r="F563" s="15"/>
    </row>
    <row r="564" spans="5:6">
      <c r="E564" s="16"/>
      <c r="F564" s="15"/>
    </row>
    <row r="565" spans="5:6">
      <c r="E565" s="16"/>
      <c r="F565" s="15"/>
    </row>
    <row r="566" spans="5:6">
      <c r="E566" s="16"/>
      <c r="F566" s="15"/>
    </row>
    <row r="567" spans="5:6">
      <c r="E567" s="16"/>
      <c r="F567" s="15"/>
    </row>
    <row r="568" spans="5:6">
      <c r="E568" s="16"/>
      <c r="F568" s="15"/>
    </row>
    <row r="569" spans="5:6">
      <c r="E569" s="16"/>
      <c r="F569" s="15"/>
    </row>
    <row r="570" spans="5:6">
      <c r="E570" s="16"/>
      <c r="F570" s="15"/>
    </row>
    <row r="571" spans="5:6">
      <c r="E571" s="16"/>
      <c r="F571" s="15"/>
    </row>
    <row r="572" spans="5:6">
      <c r="E572" s="16"/>
      <c r="F572" s="15"/>
    </row>
    <row r="573" spans="5:6">
      <c r="E573" s="16"/>
      <c r="F573" s="15"/>
    </row>
    <row r="574" spans="5:6">
      <c r="E574" s="16"/>
      <c r="F574" s="15"/>
    </row>
    <row r="575" spans="5:6">
      <c r="E575" s="16"/>
      <c r="F575" s="15"/>
    </row>
    <row r="576" spans="5:6">
      <c r="E576" s="16"/>
      <c r="F576" s="15"/>
    </row>
    <row r="577" spans="5:6">
      <c r="E577" s="16"/>
      <c r="F577" s="15"/>
    </row>
    <row r="578" spans="5:6">
      <c r="E578" s="16"/>
      <c r="F578" s="15"/>
    </row>
    <row r="579" spans="5:6">
      <c r="E579" s="16"/>
      <c r="F579" s="15"/>
    </row>
    <row r="580" spans="5:6">
      <c r="E580" s="16"/>
      <c r="F580" s="15"/>
    </row>
    <row r="581" spans="5:6">
      <c r="E581" s="16"/>
      <c r="F581" s="15"/>
    </row>
    <row r="582" spans="5:6">
      <c r="E582" s="16"/>
      <c r="F582" s="15"/>
    </row>
    <row r="583" spans="5:6">
      <c r="E583" s="16"/>
      <c r="F583" s="15"/>
    </row>
    <row r="584" spans="5:6">
      <c r="E584" s="16"/>
      <c r="F584" s="15"/>
    </row>
    <row r="585" spans="5:6">
      <c r="E585" s="16"/>
      <c r="F585" s="15"/>
    </row>
    <row r="586" spans="5:6">
      <c r="E586" s="16"/>
      <c r="F586" s="15"/>
    </row>
    <row r="587" spans="5:6">
      <c r="E587" s="16"/>
      <c r="F587" s="15"/>
    </row>
    <row r="588" spans="5:6">
      <c r="E588" s="16"/>
      <c r="F588" s="15"/>
    </row>
    <row r="589" spans="5:6">
      <c r="E589" s="16"/>
      <c r="F589" s="15"/>
    </row>
    <row r="590" spans="5:6">
      <c r="E590" s="16"/>
      <c r="F590" s="15"/>
    </row>
    <row r="591" spans="5:6">
      <c r="E591" s="16"/>
      <c r="F591" s="15"/>
    </row>
    <row r="592" spans="5:6">
      <c r="E592" s="16"/>
      <c r="F592" s="15"/>
    </row>
    <row r="593" spans="5:6">
      <c r="E593" s="16"/>
      <c r="F593" s="15"/>
    </row>
    <row r="594" spans="5:6">
      <c r="E594" s="16"/>
      <c r="F594" s="15"/>
    </row>
    <row r="595" spans="5:6">
      <c r="E595" s="16"/>
      <c r="F595" s="15"/>
    </row>
    <row r="596" spans="5:6">
      <c r="E596" s="16"/>
      <c r="F596" s="15"/>
    </row>
    <row r="597" spans="5:6">
      <c r="E597" s="16"/>
      <c r="F597" s="15"/>
    </row>
    <row r="598" spans="5:6">
      <c r="E598" s="16"/>
      <c r="F598" s="15"/>
    </row>
    <row r="599" spans="5:6">
      <c r="E599" s="16"/>
      <c r="F599" s="15"/>
    </row>
    <row r="600" spans="5:6">
      <c r="E600" s="16"/>
      <c r="F600" s="15"/>
    </row>
    <row r="601" spans="5:6">
      <c r="E601" s="16"/>
      <c r="F601" s="15"/>
    </row>
    <row r="602" spans="5:6">
      <c r="E602" s="16"/>
      <c r="F602" s="15"/>
    </row>
    <row r="603" spans="5:6">
      <c r="E603" s="16"/>
      <c r="F603" s="15"/>
    </row>
    <row r="604" spans="5:6">
      <c r="E604" s="16"/>
      <c r="F604" s="15"/>
    </row>
    <row r="605" spans="5:6">
      <c r="E605" s="16"/>
      <c r="F605" s="15"/>
    </row>
    <row r="606" spans="5:6">
      <c r="E606" s="16"/>
      <c r="F606" s="15"/>
    </row>
    <row r="607" spans="5:6">
      <c r="E607" s="16"/>
      <c r="F607" s="15"/>
    </row>
    <row r="608" spans="5:6">
      <c r="E608" s="16"/>
      <c r="F608" s="15"/>
    </row>
    <row r="609" spans="5:6">
      <c r="E609" s="16"/>
      <c r="F609" s="15"/>
    </row>
    <row r="610" spans="5:6">
      <c r="E610" s="16"/>
      <c r="F610" s="15"/>
    </row>
    <row r="611" spans="5:6">
      <c r="E611" s="16"/>
      <c r="F611" s="15"/>
    </row>
    <row r="612" spans="5:6">
      <c r="E612" s="16"/>
      <c r="F612" s="15"/>
    </row>
    <row r="613" spans="5:6">
      <c r="E613" s="16"/>
      <c r="F613" s="15"/>
    </row>
    <row r="614" spans="5:6">
      <c r="E614" s="16"/>
      <c r="F614" s="15"/>
    </row>
    <row r="615" spans="5:6">
      <c r="E615" s="16"/>
      <c r="F615" s="15"/>
    </row>
    <row r="616" spans="5:6">
      <c r="E616" s="16"/>
      <c r="F616" s="15"/>
    </row>
    <row r="617" spans="5:6">
      <c r="E617" s="16"/>
      <c r="F617" s="15"/>
    </row>
    <row r="618" spans="5:6">
      <c r="E618" s="16"/>
      <c r="F618" s="15"/>
    </row>
    <row r="619" spans="5:6">
      <c r="E619" s="16"/>
      <c r="F619" s="15"/>
    </row>
    <row r="620" spans="5:6">
      <c r="E620" s="16"/>
      <c r="F620" s="15"/>
    </row>
    <row r="621" spans="5:6">
      <c r="E621" s="16"/>
      <c r="F621" s="15"/>
    </row>
    <row r="622" spans="5:6">
      <c r="E622" s="16"/>
      <c r="F622" s="15"/>
    </row>
    <row r="623" spans="5:6">
      <c r="E623" s="16"/>
      <c r="F623" s="15"/>
    </row>
    <row r="624" spans="5:6">
      <c r="E624" s="16"/>
      <c r="F624" s="15"/>
    </row>
    <row r="625" spans="5:6">
      <c r="E625" s="16"/>
      <c r="F625" s="15"/>
    </row>
    <row r="626" spans="5:6">
      <c r="E626" s="16"/>
      <c r="F626" s="15"/>
    </row>
    <row r="627" spans="5:6">
      <c r="E627" s="16"/>
      <c r="F627" s="15"/>
    </row>
    <row r="628" spans="5:6">
      <c r="E628" s="16"/>
      <c r="F628" s="15"/>
    </row>
    <row r="629" spans="5:6">
      <c r="E629" s="16"/>
      <c r="F629" s="15"/>
    </row>
    <row r="630" spans="5:6">
      <c r="E630" s="16"/>
      <c r="F630" s="15"/>
    </row>
    <row r="631" spans="5:6">
      <c r="E631" s="16"/>
      <c r="F631" s="15"/>
    </row>
    <row r="632" spans="5:6">
      <c r="E632" s="16"/>
      <c r="F632" s="15"/>
    </row>
    <row r="633" spans="5:6">
      <c r="E633" s="16"/>
      <c r="F633" s="15"/>
    </row>
    <row r="634" spans="5:6">
      <c r="E634" s="16"/>
      <c r="F634" s="15"/>
    </row>
    <row r="635" spans="5:6">
      <c r="E635" s="16"/>
      <c r="F635" s="15"/>
    </row>
    <row r="636" spans="5:6">
      <c r="E636" s="16"/>
      <c r="F636" s="15"/>
    </row>
    <row r="637" spans="5:6">
      <c r="E637" s="16"/>
      <c r="F637" s="15"/>
    </row>
    <row r="638" spans="5:6">
      <c r="E638" s="16"/>
      <c r="F638" s="15"/>
    </row>
    <row r="639" spans="5:6">
      <c r="E639" s="16"/>
      <c r="F639" s="15"/>
    </row>
    <row r="640" spans="5:6">
      <c r="E640" s="16"/>
      <c r="F640" s="15"/>
    </row>
    <row r="641" spans="5:6">
      <c r="E641" s="16"/>
      <c r="F641" s="15"/>
    </row>
    <row r="642" spans="5:6">
      <c r="E642" s="16"/>
      <c r="F642" s="15"/>
    </row>
    <row r="643" spans="5:6">
      <c r="E643" s="16"/>
      <c r="F643" s="15"/>
    </row>
    <row r="644" spans="5:6">
      <c r="E644" s="16"/>
      <c r="F644" s="15"/>
    </row>
    <row r="645" spans="5:6">
      <c r="E645" s="16"/>
      <c r="F645" s="15"/>
    </row>
    <row r="646" spans="5:6">
      <c r="E646" s="16"/>
      <c r="F646" s="15"/>
    </row>
    <row r="647" spans="5:6">
      <c r="E647" s="16"/>
      <c r="F647" s="15"/>
    </row>
    <row r="648" spans="5:6">
      <c r="E648" s="16"/>
      <c r="F648" s="15"/>
    </row>
    <row r="649" spans="5:6">
      <c r="E649" s="16"/>
      <c r="F649" s="15"/>
    </row>
    <row r="650" spans="5:6">
      <c r="E650" s="16"/>
      <c r="F650" s="15"/>
    </row>
    <row r="651" spans="5:6">
      <c r="E651" s="16"/>
      <c r="F651" s="15"/>
    </row>
    <row r="652" spans="5:6">
      <c r="E652" s="16"/>
      <c r="F652" s="15"/>
    </row>
    <row r="653" spans="5:6">
      <c r="E653" s="16"/>
      <c r="F653" s="15"/>
    </row>
    <row r="654" spans="5:6">
      <c r="E654" s="16"/>
      <c r="F654" s="15"/>
    </row>
    <row r="655" spans="5:6">
      <c r="E655" s="16"/>
      <c r="F655" s="15"/>
    </row>
    <row r="656" spans="5:6">
      <c r="E656" s="16"/>
      <c r="F656" s="15"/>
    </row>
    <row r="657" spans="5:6">
      <c r="E657" s="16"/>
      <c r="F657" s="15"/>
    </row>
    <row r="658" spans="5:6">
      <c r="E658" s="16"/>
      <c r="F658" s="15"/>
    </row>
    <row r="659" spans="5:6">
      <c r="E659" s="16"/>
      <c r="F659" s="15"/>
    </row>
    <row r="660" spans="5:6">
      <c r="E660" s="16"/>
      <c r="F660" s="15"/>
    </row>
    <row r="661" spans="5:6">
      <c r="E661" s="16"/>
      <c r="F661" s="15"/>
    </row>
    <row r="662" spans="5:6">
      <c r="E662" s="16"/>
      <c r="F662" s="15"/>
    </row>
    <row r="663" spans="5:6">
      <c r="E663" s="16"/>
      <c r="F663" s="15"/>
    </row>
    <row r="664" spans="5:6">
      <c r="E664" s="16"/>
      <c r="F664" s="15"/>
    </row>
    <row r="665" spans="5:6">
      <c r="E665" s="16"/>
      <c r="F665" s="15"/>
    </row>
    <row r="666" spans="5:6">
      <c r="E666" s="16"/>
      <c r="F666" s="15"/>
    </row>
    <row r="667" spans="5:6">
      <c r="E667" s="16"/>
      <c r="F667" s="15"/>
    </row>
    <row r="668" spans="5:6">
      <c r="E668" s="16"/>
      <c r="F668" s="15"/>
    </row>
    <row r="669" spans="5:6">
      <c r="E669" s="16"/>
      <c r="F669" s="15"/>
    </row>
    <row r="670" spans="5:6">
      <c r="E670" s="16"/>
      <c r="F670" s="15"/>
    </row>
    <row r="671" spans="5:6">
      <c r="E671" s="16"/>
      <c r="F671" s="15"/>
    </row>
    <row r="672" spans="5:6">
      <c r="E672" s="16"/>
      <c r="F672" s="15"/>
    </row>
    <row r="673" spans="5:6">
      <c r="E673" s="16"/>
      <c r="F673" s="15"/>
    </row>
    <row r="674" spans="5:6">
      <c r="E674" s="16"/>
      <c r="F674" s="15"/>
    </row>
    <row r="675" spans="5:6">
      <c r="E675" s="16"/>
      <c r="F675" s="15"/>
    </row>
    <row r="676" spans="5:6">
      <c r="E676" s="16"/>
      <c r="F676" s="15"/>
    </row>
    <row r="677" spans="5:6">
      <c r="E677" s="16"/>
      <c r="F677" s="15"/>
    </row>
    <row r="678" spans="5:6">
      <c r="E678" s="16"/>
      <c r="F678" s="15"/>
    </row>
    <row r="679" spans="5:6">
      <c r="E679" s="16"/>
      <c r="F679" s="15"/>
    </row>
    <row r="680" spans="5:6">
      <c r="E680" s="16"/>
      <c r="F680" s="15"/>
    </row>
    <row r="681" spans="5:6">
      <c r="E681" s="16"/>
      <c r="F681" s="15"/>
    </row>
    <row r="682" spans="5:6">
      <c r="E682" s="16"/>
      <c r="F682" s="15"/>
    </row>
    <row r="683" spans="5:6">
      <c r="E683" s="16"/>
      <c r="F683" s="15"/>
    </row>
    <row r="684" spans="5:6">
      <c r="E684" s="16"/>
      <c r="F684" s="15"/>
    </row>
    <row r="685" spans="5:6">
      <c r="E685" s="16"/>
      <c r="F685" s="15"/>
    </row>
    <row r="686" spans="5:6">
      <c r="E686" s="16"/>
      <c r="F686" s="15"/>
    </row>
    <row r="687" spans="5:6">
      <c r="E687" s="16"/>
      <c r="F687" s="15"/>
    </row>
    <row r="688" spans="5:6">
      <c r="E688" s="16"/>
      <c r="F688" s="15"/>
    </row>
    <row r="689" spans="5:6">
      <c r="E689" s="16"/>
      <c r="F689" s="15"/>
    </row>
    <row r="690" spans="5:6">
      <c r="E690" s="16"/>
      <c r="F690" s="15"/>
    </row>
    <row r="691" spans="5:6">
      <c r="E691" s="16"/>
      <c r="F691" s="15"/>
    </row>
    <row r="692" spans="5:6">
      <c r="E692" s="16"/>
      <c r="F692" s="15"/>
    </row>
    <row r="693" spans="5:6">
      <c r="E693" s="16"/>
      <c r="F693" s="15"/>
    </row>
    <row r="694" spans="5:6">
      <c r="E694" s="16"/>
      <c r="F694" s="15"/>
    </row>
    <row r="695" spans="5:6">
      <c r="E695" s="16"/>
      <c r="F695" s="15"/>
    </row>
    <row r="696" spans="5:6">
      <c r="E696" s="16"/>
      <c r="F696" s="15"/>
    </row>
    <row r="697" spans="5:6">
      <c r="E697" s="16"/>
      <c r="F697" s="15"/>
    </row>
    <row r="698" spans="5:6">
      <c r="E698" s="16"/>
      <c r="F698" s="15"/>
    </row>
    <row r="699" spans="5:6">
      <c r="E699" s="16"/>
      <c r="F699" s="15"/>
    </row>
    <row r="700" spans="5:6">
      <c r="E700" s="16"/>
      <c r="F700" s="15"/>
    </row>
    <row r="701" spans="5:6">
      <c r="E701" s="16"/>
      <c r="F701" s="15"/>
    </row>
    <row r="702" spans="5:6">
      <c r="E702" s="16"/>
      <c r="F702" s="15"/>
    </row>
    <row r="703" spans="5:6">
      <c r="E703" s="16"/>
      <c r="F703" s="15"/>
    </row>
    <row r="704" spans="5:6">
      <c r="E704" s="16"/>
      <c r="F704" s="15"/>
    </row>
    <row r="705" spans="5:6">
      <c r="E705" s="16"/>
      <c r="F705" s="15"/>
    </row>
    <row r="706" spans="5:6">
      <c r="E706" s="16"/>
      <c r="F706" s="15"/>
    </row>
    <row r="707" spans="5:6">
      <c r="E707" s="16"/>
      <c r="F707" s="15"/>
    </row>
    <row r="708" spans="5:6">
      <c r="E708" s="16"/>
      <c r="F708" s="15"/>
    </row>
    <row r="709" spans="5:6">
      <c r="E709" s="16"/>
      <c r="F709" s="15"/>
    </row>
    <row r="710" spans="5:6">
      <c r="E710" s="16"/>
      <c r="F710" s="15"/>
    </row>
    <row r="711" spans="5:6">
      <c r="E711" s="16"/>
      <c r="F711" s="15"/>
    </row>
    <row r="712" spans="5:6">
      <c r="E712" s="16"/>
      <c r="F712" s="15"/>
    </row>
    <row r="713" spans="5:6">
      <c r="E713" s="16"/>
      <c r="F713" s="15"/>
    </row>
    <row r="714" spans="5:6">
      <c r="E714" s="16"/>
      <c r="F714" s="15"/>
    </row>
    <row r="715" spans="5:6">
      <c r="E715" s="16"/>
      <c r="F715" s="15"/>
    </row>
    <row r="716" spans="5:6">
      <c r="E716" s="16"/>
      <c r="F716" s="15"/>
    </row>
    <row r="717" spans="5:6">
      <c r="E717" s="16"/>
      <c r="F717" s="15"/>
    </row>
    <row r="718" spans="5:6">
      <c r="E718" s="16"/>
      <c r="F718" s="15"/>
    </row>
    <row r="719" spans="5:6">
      <c r="E719" s="16"/>
      <c r="F719" s="15"/>
    </row>
    <row r="720" spans="5:6">
      <c r="E720" s="16"/>
      <c r="F720" s="15"/>
    </row>
    <row r="721" spans="5:6">
      <c r="E721" s="16"/>
      <c r="F721" s="15"/>
    </row>
    <row r="722" spans="5:6">
      <c r="E722" s="16"/>
      <c r="F722" s="15"/>
    </row>
    <row r="723" spans="5:6">
      <c r="E723" s="16"/>
      <c r="F723" s="15"/>
    </row>
    <row r="724" spans="5:6">
      <c r="E724" s="16"/>
      <c r="F724" s="15"/>
    </row>
    <row r="725" spans="5:6">
      <c r="E725" s="16"/>
      <c r="F725" s="15"/>
    </row>
    <row r="726" spans="5:6">
      <c r="E726" s="16"/>
      <c r="F726" s="15"/>
    </row>
    <row r="727" spans="5:6">
      <c r="E727" s="16"/>
      <c r="F727" s="15"/>
    </row>
    <row r="728" spans="5:6">
      <c r="E728" s="16"/>
      <c r="F728" s="15"/>
    </row>
    <row r="729" spans="5:6">
      <c r="E729" s="16"/>
      <c r="F729" s="15"/>
    </row>
    <row r="730" spans="5:6">
      <c r="E730" s="16"/>
      <c r="F730" s="15"/>
    </row>
    <row r="731" spans="5:6">
      <c r="E731" s="16"/>
      <c r="F731" s="15"/>
    </row>
    <row r="732" spans="5:6">
      <c r="E732" s="16"/>
      <c r="F732" s="15"/>
    </row>
    <row r="733" spans="5:6">
      <c r="E733" s="16"/>
      <c r="F733" s="15"/>
    </row>
    <row r="734" spans="5:6">
      <c r="E734" s="16"/>
      <c r="F734" s="15"/>
    </row>
    <row r="735" spans="5:6">
      <c r="E735" s="16"/>
      <c r="F735" s="15"/>
    </row>
    <row r="736" spans="5:6">
      <c r="E736" s="16"/>
      <c r="F736" s="15"/>
    </row>
    <row r="737" spans="5:6">
      <c r="E737" s="16"/>
      <c r="F737" s="15"/>
    </row>
    <row r="738" spans="5:6">
      <c r="E738" s="16"/>
      <c r="F738" s="15"/>
    </row>
    <row r="739" spans="5:6">
      <c r="E739" s="16"/>
      <c r="F739" s="15"/>
    </row>
    <row r="740" spans="5:6">
      <c r="E740" s="16"/>
      <c r="F740" s="15"/>
    </row>
    <row r="741" spans="5:6">
      <c r="E741" s="16"/>
      <c r="F741" s="15"/>
    </row>
    <row r="742" spans="5:6">
      <c r="E742" s="16"/>
      <c r="F742" s="15"/>
    </row>
    <row r="743" spans="5:6">
      <c r="E743" s="16"/>
      <c r="F743" s="15"/>
    </row>
    <row r="744" spans="5:6">
      <c r="E744" s="16"/>
      <c r="F744" s="15"/>
    </row>
    <row r="745" spans="5:6">
      <c r="E745" s="16"/>
      <c r="F745" s="15"/>
    </row>
    <row r="746" spans="5:6">
      <c r="E746" s="16"/>
      <c r="F746" s="15"/>
    </row>
    <row r="747" spans="5:6">
      <c r="E747" s="16"/>
      <c r="F747" s="15"/>
    </row>
    <row r="748" spans="5:6">
      <c r="E748" s="16"/>
      <c r="F748" s="15"/>
    </row>
    <row r="749" spans="5:6">
      <c r="E749" s="16"/>
      <c r="F749" s="15"/>
    </row>
    <row r="750" spans="5:6">
      <c r="E750" s="16"/>
      <c r="F750" s="15"/>
    </row>
    <row r="751" spans="5:6">
      <c r="E751" s="16"/>
      <c r="F751" s="15"/>
    </row>
    <row r="752" spans="5:6">
      <c r="E752" s="16"/>
      <c r="F752" s="15"/>
    </row>
    <row r="753" spans="5:6">
      <c r="E753" s="16"/>
      <c r="F753" s="15"/>
    </row>
    <row r="754" spans="5:6">
      <c r="E754" s="16"/>
      <c r="F754" s="15"/>
    </row>
    <row r="755" spans="5:6">
      <c r="E755" s="16"/>
      <c r="F755" s="15"/>
    </row>
    <row r="756" spans="5:6">
      <c r="E756" s="16"/>
      <c r="F756" s="15"/>
    </row>
    <row r="757" spans="5:6">
      <c r="E757" s="16"/>
      <c r="F757" s="15"/>
    </row>
    <row r="758" spans="5:6">
      <c r="E758" s="16"/>
      <c r="F758" s="15"/>
    </row>
    <row r="759" spans="5:6">
      <c r="E759" s="16"/>
      <c r="F759" s="15"/>
    </row>
    <row r="760" spans="5:6">
      <c r="E760" s="16"/>
      <c r="F760" s="15"/>
    </row>
    <row r="761" spans="5:6">
      <c r="E761" s="16"/>
      <c r="F761" s="15"/>
    </row>
    <row r="762" spans="5:6">
      <c r="E762" s="16"/>
      <c r="F762" s="15"/>
    </row>
    <row r="763" spans="5:6">
      <c r="E763" s="16"/>
      <c r="F763" s="15"/>
    </row>
    <row r="764" spans="5:6">
      <c r="E764" s="16"/>
      <c r="F764" s="15"/>
    </row>
    <row r="765" spans="5:6">
      <c r="E765" s="16"/>
      <c r="F765" s="15"/>
    </row>
    <row r="766" spans="5:6">
      <c r="E766" s="16"/>
      <c r="F766" s="15"/>
    </row>
    <row r="767" spans="5:6">
      <c r="E767" s="16"/>
      <c r="F767" s="15"/>
    </row>
    <row r="768" spans="5:6">
      <c r="E768" s="16"/>
      <c r="F768" s="15"/>
    </row>
    <row r="769" spans="5:6">
      <c r="E769" s="16"/>
      <c r="F769" s="15"/>
    </row>
    <row r="770" spans="5:6">
      <c r="E770" s="16"/>
      <c r="F770" s="15"/>
    </row>
    <row r="771" spans="5:6">
      <c r="E771" s="16"/>
      <c r="F771" s="15"/>
    </row>
    <row r="772" spans="5:6">
      <c r="E772" s="16"/>
      <c r="F772" s="15"/>
    </row>
    <row r="773" spans="5:6">
      <c r="E773" s="16"/>
      <c r="F773" s="15"/>
    </row>
    <row r="774" spans="5:6">
      <c r="E774" s="16"/>
      <c r="F774" s="15"/>
    </row>
    <row r="775" spans="5:6">
      <c r="E775" s="16"/>
      <c r="F775" s="15"/>
    </row>
    <row r="776" spans="5:6">
      <c r="E776" s="16"/>
      <c r="F776" s="15"/>
    </row>
    <row r="777" spans="5:6">
      <c r="E777" s="16"/>
      <c r="F777" s="15"/>
    </row>
    <row r="778" spans="5:6">
      <c r="E778" s="16"/>
      <c r="F778" s="15"/>
    </row>
    <row r="779" spans="5:6">
      <c r="E779" s="16"/>
      <c r="F779" s="15"/>
    </row>
    <row r="780" spans="5:6">
      <c r="E780" s="16"/>
      <c r="F780" s="15"/>
    </row>
    <row r="781" spans="5:6">
      <c r="E781" s="16"/>
      <c r="F781" s="15"/>
    </row>
    <row r="782" spans="5:6">
      <c r="E782" s="16"/>
      <c r="F782" s="15"/>
    </row>
    <row r="783" spans="5:6">
      <c r="E783" s="16"/>
      <c r="F783" s="15"/>
    </row>
    <row r="784" spans="5:6">
      <c r="E784" s="16"/>
      <c r="F784" s="15"/>
    </row>
    <row r="785" spans="5:6">
      <c r="E785" s="16"/>
      <c r="F785" s="15"/>
    </row>
    <row r="786" spans="5:6">
      <c r="E786" s="16"/>
      <c r="F786" s="15"/>
    </row>
    <row r="787" spans="5:6">
      <c r="E787" s="16"/>
      <c r="F787" s="15"/>
    </row>
    <row r="788" spans="5:6">
      <c r="E788" s="16"/>
      <c r="F788" s="15"/>
    </row>
    <row r="789" spans="5:6">
      <c r="E789" s="16"/>
      <c r="F789" s="15"/>
    </row>
    <row r="790" spans="5:6">
      <c r="E790" s="16"/>
      <c r="F790" s="15"/>
    </row>
    <row r="791" spans="5:6">
      <c r="E791" s="16"/>
      <c r="F791" s="15"/>
    </row>
    <row r="792" spans="5:6">
      <c r="E792" s="16"/>
      <c r="F792" s="15"/>
    </row>
    <row r="793" spans="5:6">
      <c r="E793" s="16"/>
      <c r="F793" s="15"/>
    </row>
    <row r="794" spans="5:6">
      <c r="E794" s="16"/>
      <c r="F794" s="15"/>
    </row>
    <row r="795" spans="5:6">
      <c r="E795" s="16"/>
      <c r="F795" s="15"/>
    </row>
    <row r="796" spans="5:6">
      <c r="E796" s="16"/>
      <c r="F796" s="15"/>
    </row>
    <row r="797" spans="5:6">
      <c r="E797" s="16"/>
      <c r="F797" s="15"/>
    </row>
    <row r="798" spans="5:6">
      <c r="E798" s="16"/>
      <c r="F798" s="15"/>
    </row>
    <row r="799" spans="5:6">
      <c r="E799" s="16"/>
      <c r="F799" s="15"/>
    </row>
    <row r="800" spans="5:6">
      <c r="E800" s="16"/>
      <c r="F800" s="15"/>
    </row>
    <row r="801" spans="5:6">
      <c r="E801" s="16"/>
      <c r="F801" s="15"/>
    </row>
    <row r="802" spans="5:6">
      <c r="E802" s="16"/>
      <c r="F802" s="15"/>
    </row>
    <row r="803" spans="5:6">
      <c r="E803" s="16"/>
      <c r="F803" s="15"/>
    </row>
    <row r="804" spans="5:6">
      <c r="E804" s="16"/>
      <c r="F804" s="15"/>
    </row>
    <row r="805" spans="5:6">
      <c r="E805" s="16"/>
      <c r="F805" s="15"/>
    </row>
    <row r="806" spans="5:6">
      <c r="E806" s="16"/>
      <c r="F806" s="15"/>
    </row>
    <row r="807" spans="5:6">
      <c r="E807" s="16"/>
      <c r="F807" s="15"/>
    </row>
    <row r="808" spans="5:6">
      <c r="E808" s="16"/>
      <c r="F808" s="15"/>
    </row>
    <row r="809" spans="5:6">
      <c r="E809" s="16"/>
      <c r="F809" s="15"/>
    </row>
    <row r="810" spans="5:6">
      <c r="E810" s="16"/>
      <c r="F810" s="15"/>
    </row>
    <row r="811" spans="5:6">
      <c r="E811" s="16"/>
      <c r="F811" s="15"/>
    </row>
    <row r="812" spans="5:6">
      <c r="E812" s="16"/>
      <c r="F812" s="15"/>
    </row>
    <row r="813" spans="5:6">
      <c r="E813" s="16"/>
      <c r="F813" s="15"/>
    </row>
    <row r="814" spans="5:6">
      <c r="E814" s="16"/>
      <c r="F814" s="15"/>
    </row>
    <row r="815" spans="5:6">
      <c r="E815" s="16"/>
      <c r="F815" s="15"/>
    </row>
    <row r="816" spans="5:6">
      <c r="E816" s="16"/>
      <c r="F816" s="15"/>
    </row>
    <row r="817" spans="5:6">
      <c r="E817" s="16"/>
      <c r="F817" s="15"/>
    </row>
    <row r="818" spans="5:6">
      <c r="E818" s="16"/>
      <c r="F818" s="15"/>
    </row>
    <row r="819" spans="5:6">
      <c r="E819" s="16"/>
      <c r="F819" s="15"/>
    </row>
    <row r="820" spans="5:6">
      <c r="E820" s="16"/>
      <c r="F820" s="15"/>
    </row>
    <row r="821" spans="5:6">
      <c r="E821" s="16"/>
      <c r="F821" s="15"/>
    </row>
    <row r="822" spans="5:6">
      <c r="E822" s="16"/>
      <c r="F822" s="15"/>
    </row>
    <row r="823" spans="5:6">
      <c r="E823" s="16"/>
      <c r="F823" s="15"/>
    </row>
    <row r="824" spans="5:6">
      <c r="E824" s="16"/>
      <c r="F824" s="15"/>
    </row>
    <row r="825" spans="5:6">
      <c r="E825" s="16"/>
      <c r="F825" s="15"/>
    </row>
    <row r="826" spans="5:6">
      <c r="E826" s="16"/>
      <c r="F826" s="15"/>
    </row>
    <row r="827" spans="5:6">
      <c r="E827" s="16"/>
      <c r="F827" s="15"/>
    </row>
    <row r="828" spans="5:6">
      <c r="E828" s="16"/>
      <c r="F828" s="15"/>
    </row>
    <row r="829" spans="5:6">
      <c r="E829" s="16"/>
      <c r="F829" s="15"/>
    </row>
    <row r="830" spans="5:6">
      <c r="E830" s="16"/>
      <c r="F830" s="15"/>
    </row>
    <row r="831" spans="5:6">
      <c r="E831" s="16"/>
      <c r="F831" s="15"/>
    </row>
    <row r="832" spans="5:6">
      <c r="E832" s="16"/>
      <c r="F832" s="15"/>
    </row>
    <row r="833" spans="5:6">
      <c r="E833" s="16"/>
      <c r="F833" s="15"/>
    </row>
    <row r="834" spans="5:6">
      <c r="E834" s="16"/>
      <c r="F834" s="15"/>
    </row>
    <row r="835" spans="5:6">
      <c r="E835" s="16"/>
      <c r="F835" s="15"/>
    </row>
    <row r="836" spans="5:6">
      <c r="E836" s="16"/>
      <c r="F836" s="15"/>
    </row>
    <row r="837" spans="5:6">
      <c r="E837" s="16"/>
      <c r="F837" s="15"/>
    </row>
    <row r="838" spans="5:6">
      <c r="E838" s="16"/>
      <c r="F838" s="15"/>
    </row>
    <row r="839" spans="5:6">
      <c r="E839" s="16"/>
      <c r="F839" s="15"/>
    </row>
    <row r="840" spans="5:6">
      <c r="E840" s="16"/>
      <c r="F840" s="15"/>
    </row>
    <row r="841" spans="5:6">
      <c r="E841" s="16"/>
      <c r="F841" s="15"/>
    </row>
    <row r="842" spans="5:6">
      <c r="E842" s="16"/>
      <c r="F842" s="15"/>
    </row>
    <row r="843" spans="5:6">
      <c r="E843" s="16"/>
      <c r="F843" s="15"/>
    </row>
    <row r="844" spans="5:6">
      <c r="E844" s="16"/>
      <c r="F844" s="15"/>
    </row>
    <row r="845" spans="5:6">
      <c r="E845" s="16"/>
      <c r="F845" s="15"/>
    </row>
    <row r="846" spans="5:6">
      <c r="E846" s="16"/>
      <c r="F846" s="15"/>
    </row>
    <row r="847" spans="5:6">
      <c r="E847" s="16"/>
      <c r="F847" s="15"/>
    </row>
    <row r="848" spans="5:6">
      <c r="E848" s="16"/>
      <c r="F848" s="15"/>
    </row>
    <row r="849" spans="5:6">
      <c r="E849" s="16"/>
      <c r="F849" s="15"/>
    </row>
    <row r="850" spans="5:6">
      <c r="E850" s="16"/>
      <c r="F850" s="15"/>
    </row>
    <row r="851" spans="5:6">
      <c r="E851" s="16"/>
      <c r="F851" s="15"/>
    </row>
    <row r="852" spans="5:6">
      <c r="E852" s="16"/>
      <c r="F852" s="15"/>
    </row>
    <row r="853" spans="5:6">
      <c r="E853" s="16"/>
      <c r="F853" s="15"/>
    </row>
    <row r="854" spans="5:6">
      <c r="E854" s="16"/>
      <c r="F854" s="15"/>
    </row>
    <row r="855" spans="5:6">
      <c r="E855" s="16"/>
      <c r="F855" s="15"/>
    </row>
    <row r="856" spans="5:6">
      <c r="E856" s="16"/>
      <c r="F856" s="15"/>
    </row>
    <row r="857" spans="5:6">
      <c r="E857" s="16"/>
      <c r="F857" s="15"/>
    </row>
    <row r="858" spans="5:6">
      <c r="E858" s="16"/>
      <c r="F858" s="15"/>
    </row>
    <row r="859" spans="5:6">
      <c r="E859" s="16"/>
      <c r="F859" s="15"/>
    </row>
    <row r="860" spans="5:6">
      <c r="E860" s="16"/>
      <c r="F860" s="15"/>
    </row>
    <row r="861" spans="5:6">
      <c r="E861" s="16"/>
      <c r="F861" s="15"/>
    </row>
    <row r="862" spans="5:6">
      <c r="E862" s="16"/>
      <c r="F862" s="15"/>
    </row>
    <row r="863" spans="5:6">
      <c r="E863" s="16"/>
      <c r="F863" s="15"/>
    </row>
    <row r="864" spans="5:6">
      <c r="E864" s="16"/>
      <c r="F864" s="15"/>
    </row>
    <row r="865" spans="5:6">
      <c r="E865" s="16"/>
      <c r="F865" s="15"/>
    </row>
    <row r="866" spans="5:6">
      <c r="E866" s="16"/>
      <c r="F866" s="15"/>
    </row>
    <row r="867" spans="5:6">
      <c r="E867" s="16"/>
      <c r="F867" s="15"/>
    </row>
    <row r="868" spans="5:6">
      <c r="E868" s="16"/>
      <c r="F868" s="15"/>
    </row>
    <row r="869" spans="5:6">
      <c r="E869" s="16"/>
      <c r="F869" s="15"/>
    </row>
    <row r="870" spans="5:6">
      <c r="E870" s="16"/>
      <c r="F870" s="15"/>
    </row>
    <row r="871" spans="5:6">
      <c r="E871" s="16"/>
      <c r="F871" s="15"/>
    </row>
    <row r="872" spans="5:6">
      <c r="E872" s="16"/>
      <c r="F872" s="15"/>
    </row>
    <row r="873" spans="5:6">
      <c r="E873" s="16"/>
      <c r="F873" s="15"/>
    </row>
    <row r="874" spans="5:6">
      <c r="E874" s="16"/>
      <c r="F874" s="15"/>
    </row>
    <row r="875" spans="5:6">
      <c r="E875" s="16"/>
      <c r="F875" s="15"/>
    </row>
    <row r="876" spans="5:6">
      <c r="E876" s="16"/>
      <c r="F876" s="15"/>
    </row>
    <row r="877" spans="5:6">
      <c r="E877" s="16"/>
      <c r="F877" s="15"/>
    </row>
    <row r="878" spans="5:6">
      <c r="E878" s="16"/>
      <c r="F878" s="15"/>
    </row>
    <row r="879" spans="5:6">
      <c r="E879" s="16"/>
      <c r="F879" s="15"/>
    </row>
    <row r="880" spans="5:6">
      <c r="E880" s="16"/>
      <c r="F880" s="15"/>
    </row>
    <row r="881" spans="5:6">
      <c r="E881" s="16"/>
      <c r="F881" s="15"/>
    </row>
    <row r="882" spans="5:6">
      <c r="E882" s="16"/>
      <c r="F882" s="15"/>
    </row>
    <row r="883" spans="5:6">
      <c r="E883" s="16"/>
      <c r="F883" s="15"/>
    </row>
    <row r="884" spans="5:6">
      <c r="E884" s="16"/>
      <c r="F884" s="15"/>
    </row>
    <row r="885" spans="5:6">
      <c r="E885" s="16"/>
      <c r="F885" s="15"/>
    </row>
    <row r="886" spans="5:6">
      <c r="E886" s="16"/>
      <c r="F886" s="15"/>
    </row>
    <row r="887" spans="5:6">
      <c r="E887" s="16"/>
      <c r="F887" s="15"/>
    </row>
    <row r="888" spans="5:6">
      <c r="E888" s="16"/>
      <c r="F888" s="15"/>
    </row>
    <row r="889" spans="5:6">
      <c r="E889" s="16"/>
      <c r="F889" s="15"/>
    </row>
    <row r="890" spans="5:6">
      <c r="E890" s="16"/>
      <c r="F890" s="15"/>
    </row>
    <row r="891" spans="5:6">
      <c r="E891" s="16"/>
      <c r="F891" s="15"/>
    </row>
    <row r="892" spans="5:6">
      <c r="E892" s="16"/>
      <c r="F892" s="15"/>
    </row>
    <row r="893" spans="5:6">
      <c r="E893" s="16"/>
      <c r="F893" s="15"/>
    </row>
    <row r="894" spans="5:6">
      <c r="E894" s="16"/>
      <c r="F894" s="15"/>
    </row>
    <row r="895" spans="5:6">
      <c r="E895" s="16"/>
      <c r="F895" s="15"/>
    </row>
    <row r="896" spans="5:6">
      <c r="E896" s="16"/>
      <c r="F896" s="15"/>
    </row>
    <row r="897" spans="5:6">
      <c r="E897" s="16"/>
      <c r="F897" s="15"/>
    </row>
    <row r="898" spans="5:6">
      <c r="E898" s="16"/>
      <c r="F898" s="15"/>
    </row>
    <row r="899" spans="5:6">
      <c r="E899" s="16"/>
      <c r="F899" s="15"/>
    </row>
    <row r="900" spans="5:6">
      <c r="E900" s="16"/>
      <c r="F900" s="15"/>
    </row>
    <row r="901" spans="5:6">
      <c r="E901" s="16"/>
      <c r="F901" s="15"/>
    </row>
    <row r="902" spans="5:6">
      <c r="E902" s="16"/>
      <c r="F902" s="15"/>
    </row>
    <row r="903" spans="5:6">
      <c r="E903" s="16"/>
      <c r="F903" s="15"/>
    </row>
    <row r="904" spans="5:6">
      <c r="E904" s="16"/>
      <c r="F904" s="15"/>
    </row>
    <row r="905" spans="5:6">
      <c r="E905" s="16"/>
      <c r="F905" s="15"/>
    </row>
    <row r="906" spans="5:6">
      <c r="E906" s="16"/>
      <c r="F906" s="15"/>
    </row>
    <row r="907" spans="5:6">
      <c r="E907" s="16"/>
      <c r="F907" s="15"/>
    </row>
    <row r="908" spans="5:6">
      <c r="E908" s="16"/>
      <c r="F908" s="15"/>
    </row>
    <row r="909" spans="5:6">
      <c r="E909" s="16"/>
      <c r="F909" s="15"/>
    </row>
    <row r="910" spans="5:6">
      <c r="E910" s="16"/>
      <c r="F910" s="15"/>
    </row>
    <row r="911" spans="5:6">
      <c r="E911" s="16"/>
      <c r="F911" s="15"/>
    </row>
    <row r="912" spans="5:6">
      <c r="E912" s="16"/>
      <c r="F912" s="15"/>
    </row>
    <row r="913" spans="5:6">
      <c r="E913" s="16"/>
      <c r="F913" s="15"/>
    </row>
    <row r="914" spans="5:6">
      <c r="E914" s="16"/>
      <c r="F914" s="15"/>
    </row>
    <row r="915" spans="5:6">
      <c r="E915" s="16"/>
      <c r="F915" s="15"/>
    </row>
    <row r="916" spans="5:6">
      <c r="E916" s="16"/>
      <c r="F916" s="15"/>
    </row>
    <row r="917" spans="5:6">
      <c r="E917" s="16"/>
      <c r="F917" s="15"/>
    </row>
    <row r="918" spans="5:6">
      <c r="E918" s="16"/>
      <c r="F918" s="15"/>
    </row>
    <row r="919" spans="5:6">
      <c r="E919" s="16"/>
      <c r="F919" s="15"/>
    </row>
    <row r="920" spans="5:6">
      <c r="E920" s="16"/>
      <c r="F920" s="15"/>
    </row>
    <row r="921" spans="5:6">
      <c r="E921" s="16"/>
      <c r="F921" s="15"/>
    </row>
    <row r="922" spans="5:6">
      <c r="E922" s="16"/>
      <c r="F922" s="15"/>
    </row>
    <row r="923" spans="5:6">
      <c r="E923" s="16"/>
      <c r="F923" s="15"/>
    </row>
    <row r="924" spans="5:6">
      <c r="E924" s="16"/>
      <c r="F924" s="15"/>
    </row>
    <row r="925" spans="5:6">
      <c r="E925" s="16"/>
      <c r="F925" s="15"/>
    </row>
    <row r="926" spans="5:6">
      <c r="E926" s="16"/>
      <c r="F926" s="15"/>
    </row>
    <row r="927" spans="5:6">
      <c r="E927" s="16"/>
      <c r="F927" s="15"/>
    </row>
    <row r="928" spans="5:6">
      <c r="E928" s="16"/>
      <c r="F928" s="15"/>
    </row>
    <row r="929" spans="5:6">
      <c r="E929" s="16"/>
      <c r="F929" s="15"/>
    </row>
    <row r="930" spans="5:6">
      <c r="E930" s="16"/>
      <c r="F930" s="15"/>
    </row>
    <row r="931" spans="5:6">
      <c r="E931" s="16"/>
      <c r="F931" s="15"/>
    </row>
    <row r="932" spans="5:6">
      <c r="E932" s="16"/>
      <c r="F932" s="15"/>
    </row>
    <row r="933" spans="5:6">
      <c r="E933" s="16"/>
      <c r="F933" s="15"/>
    </row>
    <row r="934" spans="5:6">
      <c r="E934" s="16"/>
      <c r="F934" s="15"/>
    </row>
    <row r="935" spans="5:6">
      <c r="E935" s="16"/>
      <c r="F935" s="15"/>
    </row>
    <row r="936" spans="5:6">
      <c r="E936" s="16"/>
      <c r="F936" s="15"/>
    </row>
    <row r="937" spans="5:6">
      <c r="E937" s="16"/>
      <c r="F937" s="15"/>
    </row>
    <row r="938" spans="5:6">
      <c r="E938" s="16"/>
      <c r="F938" s="15"/>
    </row>
    <row r="939" spans="5:6">
      <c r="E939" s="16"/>
      <c r="F939" s="15"/>
    </row>
    <row r="940" spans="5:6">
      <c r="E940" s="16"/>
      <c r="F940" s="15"/>
    </row>
    <row r="941" spans="5:6">
      <c r="E941" s="16"/>
      <c r="F941" s="15"/>
    </row>
    <row r="942" spans="5:6">
      <c r="E942" s="16"/>
      <c r="F942" s="15"/>
    </row>
    <row r="943" spans="5:6">
      <c r="E943" s="16"/>
      <c r="F943" s="15"/>
    </row>
    <row r="944" spans="5:6">
      <c r="E944" s="16"/>
      <c r="F944" s="15"/>
    </row>
    <row r="945" spans="5:6">
      <c r="E945" s="16"/>
      <c r="F945" s="15"/>
    </row>
    <row r="946" spans="5:6">
      <c r="E946" s="16"/>
      <c r="F946" s="15"/>
    </row>
    <row r="947" spans="5:6">
      <c r="E947" s="16"/>
      <c r="F947" s="15"/>
    </row>
    <row r="948" spans="5:6">
      <c r="E948" s="16"/>
      <c r="F948" s="15"/>
    </row>
    <row r="949" spans="5:6">
      <c r="E949" s="16"/>
      <c r="F949" s="15"/>
    </row>
    <row r="950" spans="5:6">
      <c r="E950" s="16"/>
      <c r="F950" s="15"/>
    </row>
    <row r="951" spans="5:6">
      <c r="E951" s="16"/>
      <c r="F951" s="15"/>
    </row>
    <row r="952" spans="5:6">
      <c r="E952" s="16"/>
      <c r="F952" s="15"/>
    </row>
    <row r="953" spans="5:6">
      <c r="E953" s="16"/>
      <c r="F953" s="15"/>
    </row>
    <row r="954" spans="5:6">
      <c r="E954" s="16"/>
      <c r="F954" s="15"/>
    </row>
    <row r="955" spans="5:6">
      <c r="E955" s="16"/>
      <c r="F955" s="15"/>
    </row>
    <row r="956" spans="5:6">
      <c r="E956" s="16"/>
      <c r="F956" s="15"/>
    </row>
    <row r="957" spans="5:6">
      <c r="E957" s="16"/>
      <c r="F957" s="15"/>
    </row>
    <row r="958" spans="5:6">
      <c r="E958" s="16"/>
      <c r="F958" s="15"/>
    </row>
    <row r="959" spans="5:6">
      <c r="E959" s="16"/>
      <c r="F959" s="15"/>
    </row>
    <row r="960" spans="5:6">
      <c r="E960" s="16"/>
      <c r="F960" s="15"/>
    </row>
    <row r="961" spans="5:6">
      <c r="E961" s="16"/>
      <c r="F961" s="15"/>
    </row>
    <row r="962" spans="5:6">
      <c r="E962" s="16"/>
      <c r="F962" s="15"/>
    </row>
    <row r="963" spans="5:6">
      <c r="E963" s="16"/>
      <c r="F963" s="15"/>
    </row>
    <row r="964" spans="5:6">
      <c r="E964" s="16"/>
      <c r="F964" s="15"/>
    </row>
    <row r="965" spans="5:6">
      <c r="E965" s="16"/>
      <c r="F965" s="15"/>
    </row>
    <row r="966" spans="5:6">
      <c r="E966" s="16"/>
      <c r="F966" s="15"/>
    </row>
    <row r="967" spans="5:6">
      <c r="E967" s="16"/>
      <c r="F967" s="15"/>
    </row>
    <row r="968" spans="5:6">
      <c r="E968" s="16"/>
      <c r="F968" s="15"/>
    </row>
    <row r="969" spans="5:6">
      <c r="E969" s="16"/>
      <c r="F969" s="15"/>
    </row>
    <row r="970" spans="5:6">
      <c r="E970" s="16"/>
      <c r="F970" s="15"/>
    </row>
    <row r="971" spans="5:6">
      <c r="E971" s="16"/>
      <c r="F971" s="15"/>
    </row>
    <row r="972" spans="5:6">
      <c r="E972" s="16"/>
      <c r="F972" s="15"/>
    </row>
    <row r="973" spans="5:6">
      <c r="E973" s="16"/>
      <c r="F973" s="15"/>
    </row>
    <row r="974" spans="5:6">
      <c r="E974" s="16"/>
      <c r="F974" s="15"/>
    </row>
    <row r="975" spans="5:6">
      <c r="E975" s="16"/>
      <c r="F975" s="15"/>
    </row>
    <row r="976" spans="5:6">
      <c r="E976" s="16"/>
      <c r="F976" s="15"/>
    </row>
    <row r="977" spans="5:6">
      <c r="E977" s="16"/>
      <c r="F977" s="15"/>
    </row>
    <row r="978" spans="5:6">
      <c r="E978" s="16"/>
      <c r="F978" s="15"/>
    </row>
    <row r="979" spans="5:6">
      <c r="E979" s="16"/>
      <c r="F979" s="15"/>
    </row>
    <row r="980" spans="5:6">
      <c r="E980" s="16"/>
      <c r="F980" s="15"/>
    </row>
    <row r="981" spans="5:6">
      <c r="E981" s="16"/>
      <c r="F981" s="15"/>
    </row>
    <row r="982" spans="5:6">
      <c r="E982" s="16"/>
      <c r="F982" s="15"/>
    </row>
    <row r="983" spans="5:6">
      <c r="E983" s="16"/>
      <c r="F983" s="15"/>
    </row>
    <row r="984" spans="5:6">
      <c r="E984" s="16"/>
      <c r="F984" s="15"/>
    </row>
    <row r="985" spans="5:6">
      <c r="E985" s="16"/>
      <c r="F985" s="15"/>
    </row>
    <row r="986" spans="5:6">
      <c r="E986" s="16"/>
      <c r="F986" s="15"/>
    </row>
    <row r="987" spans="5:6">
      <c r="E987" s="16"/>
      <c r="F987" s="15"/>
    </row>
    <row r="988" spans="5:6">
      <c r="E988" s="16"/>
      <c r="F988" s="15"/>
    </row>
    <row r="989" spans="5:6">
      <c r="E989" s="16"/>
      <c r="F989" s="15"/>
    </row>
    <row r="990" spans="5:6">
      <c r="E990" s="16"/>
      <c r="F990" s="15"/>
    </row>
    <row r="991" spans="5:6">
      <c r="E991" s="16"/>
      <c r="F991" s="15"/>
    </row>
    <row r="992" spans="5:6">
      <c r="E992" s="16"/>
      <c r="F992" s="15"/>
    </row>
    <row r="993" spans="5:6">
      <c r="E993" s="16"/>
      <c r="F993" s="15"/>
    </row>
    <row r="994" spans="5:6">
      <c r="E994" s="16"/>
      <c r="F994" s="15"/>
    </row>
    <row r="995" spans="5:6">
      <c r="E995" s="16"/>
      <c r="F995" s="15"/>
    </row>
    <row r="996" spans="5:6">
      <c r="E996" s="16"/>
      <c r="F996" s="15"/>
    </row>
    <row r="997" spans="5:6">
      <c r="E997" s="16"/>
      <c r="F997" s="15"/>
    </row>
    <row r="998" spans="5:6">
      <c r="E998" s="16"/>
      <c r="F998" s="15"/>
    </row>
    <row r="999" spans="5:6">
      <c r="E999" s="16"/>
      <c r="F999" s="15"/>
    </row>
    <row r="1000" spans="5:6">
      <c r="E1000" s="16"/>
      <c r="F1000" s="15"/>
    </row>
    <row r="1001" spans="5:6">
      <c r="E1001" s="16"/>
      <c r="F1001" s="15"/>
    </row>
    <row r="1002" spans="5:6">
      <c r="E1002" s="16"/>
      <c r="F1002" s="15"/>
    </row>
    <row r="1003" spans="5:6">
      <c r="E1003" s="16"/>
      <c r="F1003" s="15"/>
    </row>
    <row r="1004" spans="5:6">
      <c r="E1004" s="16"/>
      <c r="F1004" s="15"/>
    </row>
    <row r="1005" spans="5:6">
      <c r="E1005" s="16"/>
      <c r="F1005" s="15"/>
    </row>
    <row r="1006" spans="5:6">
      <c r="E1006" s="16"/>
      <c r="F1006" s="15"/>
    </row>
    <row r="1007" spans="5:6">
      <c r="E1007" s="16"/>
      <c r="F1007" s="15"/>
    </row>
    <row r="1008" spans="5:6">
      <c r="E1008" s="16"/>
      <c r="F1008" s="15"/>
    </row>
    <row r="1009" spans="5:6">
      <c r="E1009" s="16"/>
      <c r="F1009" s="15"/>
    </row>
    <row r="1010" spans="5:6">
      <c r="E1010" s="16"/>
      <c r="F1010" s="15"/>
    </row>
    <row r="1011" spans="5:6">
      <c r="E1011" s="16"/>
      <c r="F1011" s="15"/>
    </row>
    <row r="1012" spans="5:6">
      <c r="E1012" s="16"/>
      <c r="F1012" s="15"/>
    </row>
    <row r="1013" spans="5:6">
      <c r="E1013" s="16"/>
      <c r="F1013" s="15"/>
    </row>
    <row r="1014" spans="5:6">
      <c r="E1014" s="16"/>
      <c r="F1014" s="15"/>
    </row>
    <row r="1015" spans="5:6">
      <c r="E1015" s="16"/>
      <c r="F1015" s="15"/>
    </row>
    <row r="1016" spans="5:6">
      <c r="E1016" s="16"/>
      <c r="F1016" s="15"/>
    </row>
    <row r="1017" spans="5:6">
      <c r="E1017" s="16"/>
      <c r="F1017" s="15"/>
    </row>
    <row r="1018" spans="5:6">
      <c r="E1018" s="16"/>
      <c r="F1018" s="15"/>
    </row>
    <row r="1019" spans="5:6">
      <c r="E1019" s="16"/>
      <c r="F1019" s="15"/>
    </row>
    <row r="1020" spans="5:6">
      <c r="E1020" s="16"/>
      <c r="F1020" s="15"/>
    </row>
    <row r="1021" spans="5:6">
      <c r="E1021" s="16"/>
      <c r="F1021" s="15"/>
    </row>
    <row r="1022" spans="5:6">
      <c r="E1022" s="16"/>
      <c r="F1022" s="15"/>
    </row>
    <row r="1023" spans="5:6">
      <c r="E1023" s="16"/>
      <c r="F1023" s="15"/>
    </row>
    <row r="1024" spans="5:6">
      <c r="E1024" s="16"/>
      <c r="F1024" s="15"/>
    </row>
    <row r="1025" spans="5:6">
      <c r="E1025" s="16"/>
      <c r="F1025" s="15"/>
    </row>
    <row r="1026" spans="5:6">
      <c r="E1026" s="16"/>
      <c r="F1026" s="15"/>
    </row>
    <row r="1027" spans="5:6">
      <c r="E1027" s="16"/>
      <c r="F1027" s="15"/>
    </row>
    <row r="1028" spans="5:6">
      <c r="E1028" s="16"/>
      <c r="F1028" s="15"/>
    </row>
    <row r="1029" spans="5:6">
      <c r="E1029" s="16"/>
      <c r="F1029" s="15"/>
    </row>
    <row r="1030" spans="5:6">
      <c r="E1030" s="16"/>
      <c r="F1030" s="15"/>
    </row>
    <row r="1031" spans="5:6">
      <c r="E1031" s="16"/>
      <c r="F1031" s="15"/>
    </row>
    <row r="1032" spans="5:6">
      <c r="E1032" s="16"/>
      <c r="F1032" s="15"/>
    </row>
    <row r="1033" spans="5:6">
      <c r="E1033" s="16"/>
      <c r="F1033" s="15"/>
    </row>
    <row r="1034" spans="5:6">
      <c r="E1034" s="16"/>
      <c r="F1034" s="15"/>
    </row>
    <row r="1035" spans="5:6">
      <c r="E1035" s="16"/>
      <c r="F1035" s="15"/>
    </row>
    <row r="1036" spans="5:6">
      <c r="E1036" s="16"/>
      <c r="F1036" s="15"/>
    </row>
    <row r="1037" spans="5:6">
      <c r="E1037" s="16"/>
      <c r="F1037" s="15"/>
    </row>
    <row r="1038" spans="5:6">
      <c r="E1038" s="16"/>
      <c r="F1038" s="15"/>
    </row>
    <row r="1039" spans="5:6">
      <c r="E1039" s="16"/>
      <c r="F1039" s="15"/>
    </row>
    <row r="1040" spans="5:6">
      <c r="E1040" s="16"/>
      <c r="F1040" s="15"/>
    </row>
    <row r="1041" spans="5:6">
      <c r="E1041" s="16"/>
      <c r="F1041" s="15"/>
    </row>
    <row r="1042" spans="5:6">
      <c r="E1042" s="16"/>
      <c r="F1042" s="15"/>
    </row>
    <row r="1043" spans="5:6">
      <c r="E1043" s="16"/>
      <c r="F1043" s="15"/>
    </row>
    <row r="1044" spans="5:6">
      <c r="E1044" s="16"/>
      <c r="F1044" s="15"/>
    </row>
    <row r="1045" spans="5:6">
      <c r="E1045" s="16"/>
      <c r="F1045" s="15"/>
    </row>
    <row r="1046" spans="5:6">
      <c r="E1046" s="16"/>
      <c r="F1046" s="15"/>
    </row>
    <row r="1047" spans="5:6">
      <c r="E1047" s="16"/>
      <c r="F1047" s="15"/>
    </row>
    <row r="1048" spans="5:6">
      <c r="E1048" s="16"/>
      <c r="F1048" s="15"/>
    </row>
    <row r="1049" spans="5:6">
      <c r="E1049" s="16"/>
      <c r="F1049" s="15"/>
    </row>
    <row r="1050" spans="5:6">
      <c r="E1050" s="16"/>
      <c r="F1050" s="15"/>
    </row>
    <row r="1051" spans="5:6">
      <c r="E1051" s="16"/>
      <c r="F1051" s="15"/>
    </row>
    <row r="1052" spans="5:6">
      <c r="E1052" s="16"/>
      <c r="F1052" s="15"/>
    </row>
    <row r="1053" spans="5:6">
      <c r="E1053" s="16"/>
      <c r="F1053" s="15"/>
    </row>
    <row r="1054" spans="5:6">
      <c r="E1054" s="16"/>
      <c r="F1054" s="15"/>
    </row>
    <row r="1055" spans="5:6">
      <c r="E1055" s="16"/>
      <c r="F1055" s="15"/>
    </row>
    <row r="1056" spans="5:6">
      <c r="E1056" s="16"/>
      <c r="F1056" s="15"/>
    </row>
    <row r="1057" spans="5:6">
      <c r="E1057" s="16"/>
      <c r="F1057" s="15"/>
    </row>
    <row r="1058" spans="5:6">
      <c r="E1058" s="16"/>
      <c r="F1058" s="15"/>
    </row>
    <row r="1059" spans="5:6">
      <c r="E1059" s="16"/>
      <c r="F1059" s="15"/>
    </row>
    <row r="1060" spans="5:6">
      <c r="E1060" s="16"/>
      <c r="F1060" s="15"/>
    </row>
    <row r="1061" spans="5:6">
      <c r="E1061" s="16"/>
      <c r="F1061" s="15"/>
    </row>
    <row r="1062" spans="5:6">
      <c r="E1062" s="16"/>
      <c r="F1062" s="15"/>
    </row>
    <row r="1063" spans="5:6">
      <c r="E1063" s="16"/>
      <c r="F1063" s="15"/>
    </row>
    <row r="1064" spans="5:6">
      <c r="E1064" s="16"/>
      <c r="F1064" s="15"/>
    </row>
    <row r="1065" spans="5:6">
      <c r="E1065" s="16"/>
      <c r="F1065" s="15"/>
    </row>
    <row r="1066" spans="5:6">
      <c r="E1066" s="16"/>
      <c r="F1066" s="15"/>
    </row>
    <row r="1067" spans="5:6">
      <c r="E1067" s="16"/>
      <c r="F1067" s="15"/>
    </row>
    <row r="1068" spans="5:6">
      <c r="E1068" s="16"/>
      <c r="F1068" s="15"/>
    </row>
    <row r="1069" spans="5:6">
      <c r="E1069" s="16"/>
      <c r="F1069" s="15"/>
    </row>
    <row r="1070" spans="5:6">
      <c r="E1070" s="16"/>
      <c r="F1070" s="15"/>
    </row>
    <row r="1071" spans="5:6">
      <c r="E1071" s="16"/>
      <c r="F1071" s="15"/>
    </row>
    <row r="1072" spans="5:6">
      <c r="E1072" s="16"/>
      <c r="F1072" s="15"/>
    </row>
    <row r="1073" spans="5:6">
      <c r="E1073" s="16"/>
      <c r="F1073" s="15"/>
    </row>
    <row r="1074" spans="5:6">
      <c r="E1074" s="16"/>
      <c r="F1074" s="15"/>
    </row>
    <row r="1075" spans="5:6">
      <c r="E1075" s="16"/>
      <c r="F1075" s="15"/>
    </row>
    <row r="1076" spans="5:6">
      <c r="E1076" s="16"/>
      <c r="F1076" s="15"/>
    </row>
    <row r="1077" spans="5:6">
      <c r="E1077" s="16"/>
      <c r="F1077" s="15"/>
    </row>
    <row r="1078" spans="5:6">
      <c r="E1078" s="16"/>
      <c r="F1078" s="15"/>
    </row>
    <row r="1079" spans="5:6">
      <c r="E1079" s="16"/>
      <c r="F1079" s="15"/>
    </row>
    <row r="1080" spans="5:6">
      <c r="E1080" s="16"/>
      <c r="F1080" s="15"/>
    </row>
    <row r="1081" spans="5:6">
      <c r="E1081" s="16"/>
      <c r="F1081" s="15"/>
    </row>
    <row r="1082" spans="5:6">
      <c r="E1082" s="16"/>
      <c r="F1082" s="15"/>
    </row>
    <row r="1083" spans="5:6">
      <c r="E1083" s="16"/>
      <c r="F1083" s="15"/>
    </row>
    <row r="1084" spans="5:6">
      <c r="E1084" s="16"/>
      <c r="F1084" s="15"/>
    </row>
    <row r="1085" spans="5:6">
      <c r="E1085" s="16"/>
      <c r="F1085" s="15"/>
    </row>
    <row r="1086" spans="5:6">
      <c r="E1086" s="16"/>
      <c r="F1086" s="15"/>
    </row>
    <row r="1087" spans="5:6">
      <c r="E1087" s="16"/>
      <c r="F1087" s="15"/>
    </row>
    <row r="1088" spans="5:6">
      <c r="E1088" s="16"/>
      <c r="F1088" s="15"/>
    </row>
    <row r="1089" spans="5:6">
      <c r="E1089" s="16"/>
      <c r="F1089" s="15"/>
    </row>
    <row r="1090" spans="5:6">
      <c r="E1090" s="16"/>
      <c r="F1090" s="15"/>
    </row>
    <row r="1091" spans="5:6">
      <c r="E1091" s="16"/>
      <c r="F1091" s="15"/>
    </row>
    <row r="1092" spans="5:6">
      <c r="E1092" s="16"/>
      <c r="F1092" s="15"/>
    </row>
    <row r="1093" spans="5:6">
      <c r="E1093" s="16"/>
      <c r="F1093" s="15"/>
    </row>
    <row r="1094" spans="5:6">
      <c r="E1094" s="16"/>
      <c r="F1094" s="15"/>
    </row>
    <row r="1095" spans="5:6">
      <c r="E1095" s="16"/>
      <c r="F1095" s="15"/>
    </row>
    <row r="1096" spans="5:6">
      <c r="E1096" s="16"/>
      <c r="F1096" s="15"/>
    </row>
    <row r="1097" spans="5:6">
      <c r="E1097" s="16"/>
      <c r="F1097" s="15"/>
    </row>
    <row r="1098" spans="5:6">
      <c r="E1098" s="16"/>
      <c r="F1098" s="15"/>
    </row>
    <row r="1099" spans="5:6">
      <c r="E1099" s="16"/>
      <c r="F1099" s="15"/>
    </row>
    <row r="1100" spans="5:6">
      <c r="E1100" s="16"/>
      <c r="F1100" s="15"/>
    </row>
    <row r="1101" spans="5:6">
      <c r="E1101" s="16"/>
      <c r="F1101" s="15"/>
    </row>
    <row r="1102" spans="5:6">
      <c r="E1102" s="16"/>
      <c r="F1102" s="15"/>
    </row>
    <row r="1103" spans="5:6">
      <c r="E1103" s="16"/>
      <c r="F1103" s="15"/>
    </row>
    <row r="1104" spans="5:6">
      <c r="E1104" s="16"/>
      <c r="F1104" s="15"/>
    </row>
    <row r="1105" spans="5:6">
      <c r="E1105" s="16"/>
      <c r="F1105" s="15"/>
    </row>
    <row r="1106" spans="5:6">
      <c r="E1106" s="16"/>
      <c r="F1106" s="15"/>
    </row>
    <row r="1107" spans="5:6">
      <c r="E1107" s="16"/>
      <c r="F1107" s="15"/>
    </row>
    <row r="1108" spans="5:6">
      <c r="E1108" s="16"/>
      <c r="F1108" s="15"/>
    </row>
    <row r="1109" spans="5:6">
      <c r="E1109" s="16"/>
      <c r="F1109" s="15"/>
    </row>
    <row r="1110" spans="5:6">
      <c r="E1110" s="16"/>
      <c r="F1110" s="15"/>
    </row>
    <row r="1111" spans="5:6">
      <c r="E1111" s="16"/>
      <c r="F1111" s="15"/>
    </row>
    <row r="1112" spans="5:6">
      <c r="E1112" s="16"/>
      <c r="F1112" s="15"/>
    </row>
    <row r="1113" spans="5:6">
      <c r="E1113" s="16"/>
      <c r="F1113" s="15"/>
    </row>
    <row r="1114" spans="5:6">
      <c r="E1114" s="16"/>
      <c r="F1114" s="15"/>
    </row>
    <row r="1115" spans="5:6">
      <c r="E1115" s="16"/>
      <c r="F1115" s="15"/>
    </row>
    <row r="1116" spans="5:6">
      <c r="E1116" s="16"/>
      <c r="F1116" s="15"/>
    </row>
    <row r="1117" spans="5:6">
      <c r="E1117" s="16"/>
      <c r="F1117" s="15"/>
    </row>
    <row r="1118" spans="5:6">
      <c r="E1118" s="16"/>
      <c r="F1118" s="15"/>
    </row>
    <row r="1119" spans="5:6">
      <c r="E1119" s="16"/>
      <c r="F1119" s="15"/>
    </row>
    <row r="1120" spans="5:6">
      <c r="E1120" s="16"/>
      <c r="F1120" s="15"/>
    </row>
    <row r="1121" spans="5:6">
      <c r="E1121" s="16"/>
      <c r="F1121" s="15"/>
    </row>
    <row r="1122" spans="5:6">
      <c r="E1122" s="16"/>
      <c r="F1122" s="15"/>
    </row>
    <row r="1123" spans="5:6">
      <c r="E1123" s="16"/>
      <c r="F1123" s="15"/>
    </row>
    <row r="1124" spans="5:6">
      <c r="E1124" s="16"/>
      <c r="F1124" s="15"/>
    </row>
    <row r="1125" spans="5:6">
      <c r="E1125" s="16"/>
      <c r="F1125" s="15"/>
    </row>
    <row r="1126" spans="5:6">
      <c r="E1126" s="16"/>
      <c r="F1126" s="15"/>
    </row>
    <row r="1127" spans="5:6">
      <c r="E1127" s="16"/>
      <c r="F1127" s="15"/>
    </row>
    <row r="1128" spans="5:6">
      <c r="E1128" s="16"/>
      <c r="F1128" s="15"/>
    </row>
    <row r="1129" spans="5:6">
      <c r="E1129" s="16"/>
      <c r="F1129" s="15"/>
    </row>
    <row r="1130" spans="5:6">
      <c r="E1130" s="16"/>
      <c r="F1130" s="15"/>
    </row>
    <row r="1131" spans="5:6">
      <c r="E1131" s="16"/>
      <c r="F1131" s="15"/>
    </row>
    <row r="1132" spans="5:6">
      <c r="E1132" s="16"/>
      <c r="F1132" s="15"/>
    </row>
    <row r="1133" spans="5:6">
      <c r="E1133" s="16"/>
      <c r="F1133" s="15"/>
    </row>
    <row r="1134" spans="5:6">
      <c r="E1134" s="16"/>
      <c r="F1134" s="15"/>
    </row>
    <row r="1135" spans="5:6">
      <c r="E1135" s="16"/>
      <c r="F1135" s="15"/>
    </row>
    <row r="1136" spans="5:6">
      <c r="E1136" s="16"/>
      <c r="F1136" s="15"/>
    </row>
    <row r="1137" spans="5:6">
      <c r="E1137" s="16"/>
      <c r="F1137" s="15"/>
    </row>
    <row r="1138" spans="5:6">
      <c r="E1138" s="16"/>
      <c r="F1138" s="15"/>
    </row>
    <row r="1139" spans="5:6">
      <c r="E1139" s="16"/>
      <c r="F1139" s="15"/>
    </row>
    <row r="1140" spans="5:6">
      <c r="E1140" s="16"/>
      <c r="F1140" s="15"/>
    </row>
    <row r="1141" spans="5:6">
      <c r="E1141" s="16"/>
      <c r="F1141" s="15"/>
    </row>
    <row r="1142" spans="5:6">
      <c r="E1142" s="16"/>
      <c r="F1142" s="15"/>
    </row>
    <row r="1143" spans="5:6">
      <c r="E1143" s="16"/>
      <c r="F1143" s="15"/>
    </row>
    <row r="1144" spans="5:6">
      <c r="E1144" s="16"/>
      <c r="F1144" s="15"/>
    </row>
    <row r="1145" spans="5:6">
      <c r="E1145" s="16"/>
      <c r="F1145" s="15"/>
    </row>
    <row r="1146" spans="5:6">
      <c r="E1146" s="16"/>
      <c r="F1146" s="15"/>
    </row>
    <row r="1147" spans="5:6">
      <c r="E1147" s="16"/>
      <c r="F1147" s="15"/>
    </row>
    <row r="1148" spans="5:6">
      <c r="E1148" s="16"/>
      <c r="F1148" s="15"/>
    </row>
    <row r="1149" spans="5:6">
      <c r="E1149" s="16"/>
      <c r="F1149" s="15"/>
    </row>
    <row r="1150" spans="5:6">
      <c r="E1150" s="16"/>
      <c r="F1150" s="15"/>
    </row>
    <row r="1151" spans="5:6">
      <c r="E1151" s="16"/>
      <c r="F1151" s="15"/>
    </row>
    <row r="1152" spans="5:6">
      <c r="E1152" s="16"/>
      <c r="F1152" s="15"/>
    </row>
    <row r="1153" spans="5:6">
      <c r="E1153" s="16"/>
      <c r="F1153" s="15"/>
    </row>
    <row r="1154" spans="5:6">
      <c r="E1154" s="16"/>
      <c r="F1154" s="15"/>
    </row>
    <row r="1155" spans="5:6">
      <c r="E1155" s="16"/>
      <c r="F1155" s="15"/>
    </row>
    <row r="1156" spans="5:6">
      <c r="E1156" s="16"/>
      <c r="F1156" s="15"/>
    </row>
    <row r="1157" spans="5:6">
      <c r="E1157" s="16"/>
      <c r="F1157" s="15"/>
    </row>
    <row r="1158" spans="5:6">
      <c r="E1158" s="16"/>
      <c r="F1158" s="15"/>
    </row>
    <row r="1159" spans="5:6">
      <c r="E1159" s="16"/>
      <c r="F1159" s="15"/>
    </row>
    <row r="1160" spans="5:6">
      <c r="E1160" s="16"/>
      <c r="F1160" s="15"/>
    </row>
    <row r="1161" spans="5:6">
      <c r="E1161" s="16"/>
      <c r="F1161" s="15"/>
    </row>
    <row r="1162" spans="5:6">
      <c r="E1162" s="16"/>
      <c r="F1162" s="15"/>
    </row>
    <row r="1163" spans="5:6">
      <c r="E1163" s="16"/>
      <c r="F1163" s="15"/>
    </row>
    <row r="1164" spans="5:6">
      <c r="E1164" s="16"/>
      <c r="F1164" s="15"/>
    </row>
    <row r="1165" spans="5:6">
      <c r="E1165" s="16"/>
      <c r="F1165" s="15"/>
    </row>
    <row r="1166" spans="5:6">
      <c r="E1166" s="16"/>
      <c r="F1166" s="15"/>
    </row>
    <row r="1167" spans="5:6">
      <c r="E1167" s="16"/>
      <c r="F1167" s="15"/>
    </row>
    <row r="1168" spans="5:6">
      <c r="E1168" s="16"/>
      <c r="F1168" s="15"/>
    </row>
    <row r="1169" spans="5:6">
      <c r="E1169" s="16"/>
      <c r="F1169" s="15"/>
    </row>
    <row r="1170" spans="5:6">
      <c r="E1170" s="16"/>
      <c r="F1170" s="15"/>
    </row>
    <row r="1171" spans="5:6">
      <c r="E1171" s="16"/>
      <c r="F1171" s="15"/>
    </row>
    <row r="1172" spans="5:6">
      <c r="E1172" s="16"/>
      <c r="F1172" s="15"/>
    </row>
    <row r="1173" spans="5:6">
      <c r="E1173" s="16"/>
      <c r="F1173" s="15"/>
    </row>
    <row r="1174" spans="5:6">
      <c r="E1174" s="16"/>
      <c r="F1174" s="15"/>
    </row>
    <row r="1175" spans="5:6">
      <c r="E1175" s="16"/>
      <c r="F1175" s="15"/>
    </row>
    <row r="1176" spans="5:6">
      <c r="E1176" s="16"/>
      <c r="F1176" s="15"/>
    </row>
    <row r="1177" spans="5:6">
      <c r="E1177" s="16"/>
      <c r="F1177" s="15"/>
    </row>
    <row r="1178" spans="5:6">
      <c r="E1178" s="16"/>
      <c r="F1178" s="15"/>
    </row>
    <row r="1179" spans="5:6">
      <c r="E1179" s="16"/>
      <c r="F1179" s="15"/>
    </row>
    <row r="1180" spans="5:6">
      <c r="E1180" s="16"/>
      <c r="F1180" s="15"/>
    </row>
    <row r="1181" spans="5:6">
      <c r="E1181" s="16"/>
      <c r="F1181" s="15"/>
    </row>
    <row r="1182" spans="5:6">
      <c r="E1182" s="16"/>
      <c r="F1182" s="15"/>
    </row>
    <row r="1183" spans="5:6">
      <c r="E1183" s="16"/>
      <c r="F1183" s="15"/>
    </row>
    <row r="1184" spans="5:6">
      <c r="E1184" s="16"/>
      <c r="F1184" s="15"/>
    </row>
    <row r="1185" spans="5:6">
      <c r="E1185" s="16"/>
      <c r="F1185" s="15"/>
    </row>
    <row r="1186" spans="5:6">
      <c r="E1186" s="16"/>
      <c r="F1186" s="15"/>
    </row>
    <row r="1187" spans="5:6">
      <c r="E1187" s="16"/>
      <c r="F1187" s="15"/>
    </row>
    <row r="1188" spans="5:6">
      <c r="E1188" s="16"/>
      <c r="F1188" s="15"/>
    </row>
    <row r="1189" spans="5:6">
      <c r="E1189" s="16"/>
      <c r="F1189" s="15"/>
    </row>
    <row r="1190" spans="5:6">
      <c r="E1190" s="16"/>
      <c r="F1190" s="15"/>
    </row>
    <row r="1191" spans="5:6">
      <c r="E1191" s="16"/>
      <c r="F1191" s="15"/>
    </row>
    <row r="1192" spans="5:6">
      <c r="E1192" s="16"/>
      <c r="F1192" s="15"/>
    </row>
    <row r="1193" spans="5:6">
      <c r="E1193" s="16"/>
      <c r="F1193" s="15"/>
    </row>
    <row r="1194" spans="5:6">
      <c r="E1194" s="16"/>
      <c r="F1194" s="15"/>
    </row>
    <row r="1195" spans="5:6">
      <c r="E1195" s="16"/>
      <c r="F1195" s="15"/>
    </row>
    <row r="1196" spans="5:6">
      <c r="E1196" s="16"/>
      <c r="F1196" s="15"/>
    </row>
    <row r="1197" spans="5:6">
      <c r="E1197" s="16"/>
      <c r="F1197" s="15"/>
    </row>
    <row r="1198" spans="5:6">
      <c r="E1198" s="16"/>
      <c r="F1198" s="15"/>
    </row>
    <row r="1199" spans="5:6">
      <c r="E1199" s="16"/>
      <c r="F1199" s="15"/>
    </row>
    <row r="1200" spans="5:6">
      <c r="E1200" s="16"/>
      <c r="F1200" s="15"/>
    </row>
    <row r="1201" spans="5:6">
      <c r="E1201" s="16"/>
      <c r="F1201" s="15"/>
    </row>
    <row r="1202" spans="5:6">
      <c r="E1202" s="16"/>
      <c r="F1202" s="15"/>
    </row>
    <row r="1203" spans="5:6">
      <c r="E1203" s="16"/>
      <c r="F1203" s="15"/>
    </row>
    <row r="1204" spans="5:6">
      <c r="E1204" s="16"/>
      <c r="F1204" s="15"/>
    </row>
    <row r="1205" spans="5:6">
      <c r="E1205" s="16"/>
      <c r="F1205" s="15"/>
    </row>
    <row r="1206" spans="5:6">
      <c r="E1206" s="16"/>
      <c r="F1206" s="15"/>
    </row>
    <row r="1207" spans="5:6">
      <c r="E1207" s="16"/>
      <c r="F1207" s="15"/>
    </row>
    <row r="1208" spans="5:6">
      <c r="E1208" s="16"/>
      <c r="F1208" s="15"/>
    </row>
    <row r="1209" spans="5:6">
      <c r="E1209" s="16"/>
      <c r="F1209" s="15"/>
    </row>
    <row r="1210" spans="5:6">
      <c r="E1210" s="16"/>
      <c r="F1210" s="15"/>
    </row>
    <row r="1211" spans="5:6">
      <c r="E1211" s="16"/>
      <c r="F1211" s="15"/>
    </row>
    <row r="1212" spans="5:6">
      <c r="E1212" s="16"/>
      <c r="F1212" s="15"/>
    </row>
    <row r="1213" spans="5:6">
      <c r="E1213" s="16"/>
      <c r="F1213" s="15"/>
    </row>
    <row r="1214" spans="5:6">
      <c r="E1214" s="16"/>
      <c r="F1214" s="15"/>
    </row>
    <row r="1215" spans="5:6">
      <c r="E1215" s="16"/>
      <c r="F1215" s="15"/>
    </row>
    <row r="1216" spans="5:6">
      <c r="E1216" s="16"/>
      <c r="F1216" s="15"/>
    </row>
    <row r="1217" spans="5:6">
      <c r="E1217" s="16"/>
      <c r="F1217" s="15"/>
    </row>
    <row r="1218" spans="5:6">
      <c r="E1218" s="16"/>
      <c r="F1218" s="15"/>
    </row>
    <row r="1219" spans="5:6">
      <c r="E1219" s="16"/>
      <c r="F1219" s="15"/>
    </row>
    <row r="1220" spans="5:6">
      <c r="E1220" s="16"/>
      <c r="F1220" s="15"/>
    </row>
    <row r="1221" spans="5:6">
      <c r="E1221" s="16"/>
      <c r="F1221" s="15"/>
    </row>
    <row r="1222" spans="5:6">
      <c r="E1222" s="16"/>
      <c r="F1222" s="15"/>
    </row>
    <row r="1223" spans="5:6">
      <c r="E1223" s="16"/>
      <c r="F1223" s="15"/>
    </row>
    <row r="1224" spans="5:6">
      <c r="E1224" s="16"/>
      <c r="F1224" s="15"/>
    </row>
    <row r="1225" spans="5:6">
      <c r="E1225" s="16"/>
      <c r="F1225" s="15"/>
    </row>
    <row r="1226" spans="5:6">
      <c r="E1226" s="16"/>
      <c r="F1226" s="15"/>
    </row>
    <row r="1227" spans="5:6">
      <c r="E1227" s="16"/>
      <c r="F1227" s="15"/>
    </row>
    <row r="1228" spans="5:6">
      <c r="E1228" s="16"/>
      <c r="F1228" s="15"/>
    </row>
    <row r="1229" spans="5:6">
      <c r="E1229" s="16"/>
      <c r="F1229" s="15"/>
    </row>
    <row r="1230" spans="5:6">
      <c r="E1230" s="16"/>
      <c r="F1230" s="15"/>
    </row>
    <row r="1231" spans="5:6">
      <c r="E1231" s="16"/>
      <c r="F1231" s="15"/>
    </row>
    <row r="1232" spans="5:6">
      <c r="E1232" s="16"/>
      <c r="F1232" s="15"/>
    </row>
    <row r="1233" spans="5:6">
      <c r="E1233" s="16"/>
      <c r="F1233" s="15"/>
    </row>
    <row r="1234" spans="5:6">
      <c r="E1234" s="16"/>
      <c r="F1234" s="15"/>
    </row>
    <row r="1235" spans="5:6">
      <c r="E1235" s="16"/>
      <c r="F1235" s="15"/>
    </row>
    <row r="1236" spans="5:6">
      <c r="E1236" s="16"/>
      <c r="F1236" s="15"/>
    </row>
    <row r="1237" spans="5:6">
      <c r="E1237" s="16"/>
      <c r="F1237" s="15"/>
    </row>
    <row r="1238" spans="5:6">
      <c r="E1238" s="16"/>
      <c r="F1238" s="15"/>
    </row>
    <row r="1239" spans="5:6">
      <c r="E1239" s="16"/>
      <c r="F1239" s="15"/>
    </row>
    <row r="1240" spans="5:6">
      <c r="E1240" s="16"/>
      <c r="F1240" s="15"/>
    </row>
    <row r="1241" spans="5:6">
      <c r="E1241" s="16"/>
      <c r="F1241" s="15"/>
    </row>
    <row r="1242" spans="5:6">
      <c r="E1242" s="16"/>
      <c r="F1242" s="15"/>
    </row>
    <row r="1243" spans="5:6">
      <c r="E1243" s="16"/>
      <c r="F1243" s="15"/>
    </row>
    <row r="1244" spans="5:6">
      <c r="E1244" s="16"/>
      <c r="F1244" s="15"/>
    </row>
    <row r="1245" spans="5:6">
      <c r="E1245" s="16"/>
      <c r="F1245" s="15"/>
    </row>
    <row r="1246" spans="5:6">
      <c r="E1246" s="16"/>
      <c r="F1246" s="15"/>
    </row>
    <row r="1247" spans="5:6">
      <c r="E1247" s="16"/>
      <c r="F1247" s="15"/>
    </row>
    <row r="1248" spans="5:6">
      <c r="E1248" s="16"/>
      <c r="F1248" s="15"/>
    </row>
    <row r="1249" spans="5:6">
      <c r="E1249" s="16"/>
      <c r="F1249" s="15"/>
    </row>
    <row r="1250" spans="5:6">
      <c r="E1250" s="16"/>
      <c r="F1250" s="15"/>
    </row>
    <row r="1251" spans="5:6">
      <c r="E1251" s="16"/>
      <c r="F1251" s="15"/>
    </row>
    <row r="1252" spans="5:6">
      <c r="E1252" s="16"/>
      <c r="F1252" s="15"/>
    </row>
    <row r="1253" spans="5:6">
      <c r="E1253" s="16"/>
      <c r="F1253" s="15"/>
    </row>
    <row r="1254" spans="5:6">
      <c r="E1254" s="16"/>
      <c r="F1254" s="15"/>
    </row>
    <row r="1255" spans="5:6">
      <c r="E1255" s="16"/>
      <c r="F1255" s="15"/>
    </row>
    <row r="1256" spans="5:6">
      <c r="E1256" s="16"/>
      <c r="F1256" s="15"/>
    </row>
    <row r="1257" spans="5:6">
      <c r="E1257" s="16"/>
      <c r="F1257" s="15"/>
    </row>
    <row r="1258" spans="5:6">
      <c r="E1258" s="16"/>
      <c r="F1258" s="15"/>
    </row>
    <row r="1259" spans="5:6">
      <c r="E1259" s="16"/>
      <c r="F1259" s="15"/>
    </row>
    <row r="1260" spans="5:6">
      <c r="E1260" s="16"/>
      <c r="F1260" s="15"/>
    </row>
    <row r="1261" spans="5:6">
      <c r="E1261" s="16"/>
      <c r="F1261" s="15"/>
    </row>
    <row r="1262" spans="5:6">
      <c r="E1262" s="16"/>
      <c r="F1262" s="15"/>
    </row>
    <row r="1263" spans="5:6">
      <c r="E1263" s="16"/>
      <c r="F1263" s="15"/>
    </row>
    <row r="1264" spans="5:6">
      <c r="E1264" s="16"/>
      <c r="F1264" s="15"/>
    </row>
    <row r="1265" spans="5:6">
      <c r="E1265" s="16"/>
      <c r="F1265" s="15"/>
    </row>
    <row r="1266" spans="5:6">
      <c r="E1266" s="16"/>
      <c r="F1266" s="15"/>
    </row>
    <row r="1267" spans="5:6">
      <c r="E1267" s="16"/>
      <c r="F1267" s="15"/>
    </row>
    <row r="1268" spans="5:6">
      <c r="E1268" s="16"/>
      <c r="F1268" s="15"/>
    </row>
    <row r="1269" spans="5:6">
      <c r="E1269" s="16"/>
      <c r="F1269" s="15"/>
    </row>
    <row r="1270" spans="5:6">
      <c r="E1270" s="16"/>
      <c r="F1270" s="15"/>
    </row>
    <row r="1271" spans="5:6">
      <c r="E1271" s="16"/>
      <c r="F1271" s="15"/>
    </row>
    <row r="1272" spans="5:6">
      <c r="E1272" s="16"/>
      <c r="F1272" s="15"/>
    </row>
    <row r="1273" spans="5:6">
      <c r="E1273" s="16"/>
      <c r="F1273" s="15"/>
    </row>
    <row r="1274" spans="5:6">
      <c r="E1274" s="16"/>
      <c r="F1274" s="15"/>
    </row>
    <row r="1275" spans="5:6">
      <c r="E1275" s="16"/>
      <c r="F1275" s="15"/>
    </row>
    <row r="1276" spans="5:6">
      <c r="E1276" s="16"/>
      <c r="F1276" s="15"/>
    </row>
    <row r="1277" spans="5:6">
      <c r="E1277" s="16"/>
      <c r="F1277" s="15"/>
    </row>
    <row r="1278" spans="5:6">
      <c r="E1278" s="16"/>
      <c r="F1278" s="15"/>
    </row>
    <row r="1279" spans="5:6">
      <c r="E1279" s="16"/>
      <c r="F1279" s="15"/>
    </row>
    <row r="1280" spans="5:6">
      <c r="E1280" s="16"/>
      <c r="F1280" s="15"/>
    </row>
    <row r="1281" spans="5:6">
      <c r="E1281" s="16"/>
      <c r="F1281" s="15"/>
    </row>
    <row r="1282" spans="5:6">
      <c r="E1282" s="16"/>
      <c r="F1282" s="15"/>
    </row>
    <row r="1283" spans="5:6">
      <c r="E1283" s="16"/>
      <c r="F1283" s="15"/>
    </row>
    <row r="1284" spans="5:6">
      <c r="E1284" s="16"/>
      <c r="F1284" s="15"/>
    </row>
    <row r="1285" spans="5:6">
      <c r="E1285" s="16"/>
      <c r="F1285" s="15"/>
    </row>
    <row r="1286" spans="5:6">
      <c r="E1286" s="16"/>
      <c r="F1286" s="15"/>
    </row>
    <row r="1287" spans="5:6">
      <c r="E1287" s="16"/>
      <c r="F1287" s="15"/>
    </row>
    <row r="1288" spans="5:6">
      <c r="E1288" s="16"/>
      <c r="F1288" s="15"/>
    </row>
    <row r="1289" spans="5:6">
      <c r="E1289" s="16"/>
      <c r="F1289" s="15"/>
    </row>
    <row r="1290" spans="5:6">
      <c r="E1290" s="16"/>
      <c r="F1290" s="15"/>
    </row>
    <row r="1291" spans="5:6">
      <c r="E1291" s="16"/>
      <c r="F1291" s="15"/>
    </row>
    <row r="1292" spans="5:6">
      <c r="E1292" s="16"/>
      <c r="F1292" s="15"/>
    </row>
    <row r="1293" spans="5:6">
      <c r="E1293" s="16"/>
      <c r="F1293" s="15"/>
    </row>
    <row r="1294" spans="5:6">
      <c r="E1294" s="16"/>
      <c r="F1294" s="15"/>
    </row>
    <row r="1295" spans="5:6">
      <c r="E1295" s="16"/>
      <c r="F1295" s="15"/>
    </row>
    <row r="1296" spans="5:6">
      <c r="E1296" s="16"/>
      <c r="F1296" s="15"/>
    </row>
    <row r="1297" spans="5:6">
      <c r="E1297" s="16"/>
      <c r="F1297" s="15"/>
    </row>
    <row r="1298" spans="5:6">
      <c r="E1298" s="16"/>
      <c r="F1298" s="15"/>
    </row>
    <row r="1299" spans="5:6">
      <c r="E1299" s="16"/>
      <c r="F1299" s="15"/>
    </row>
    <row r="1300" spans="5:6">
      <c r="E1300" s="16"/>
      <c r="F1300" s="15"/>
    </row>
    <row r="1301" spans="5:6">
      <c r="E1301" s="16"/>
      <c r="F1301" s="15"/>
    </row>
    <row r="1302" spans="5:6">
      <c r="E1302" s="16"/>
      <c r="F1302" s="15"/>
    </row>
    <row r="1303" spans="5:6">
      <c r="E1303" s="16"/>
      <c r="F1303" s="15"/>
    </row>
    <row r="1304" spans="5:6">
      <c r="E1304" s="16"/>
      <c r="F1304" s="15"/>
    </row>
    <row r="1305" spans="5:6">
      <c r="E1305" s="16"/>
      <c r="F1305" s="15"/>
    </row>
    <row r="1306" spans="5:6">
      <c r="E1306" s="16"/>
      <c r="F1306" s="15"/>
    </row>
    <row r="1307" spans="5:6">
      <c r="E1307" s="16"/>
      <c r="F1307" s="15"/>
    </row>
    <row r="1308" spans="5:6">
      <c r="E1308" s="16"/>
      <c r="F1308" s="15"/>
    </row>
    <row r="1309" spans="5:6">
      <c r="E1309" s="16"/>
      <c r="F1309" s="15"/>
    </row>
    <row r="1310" spans="5:6">
      <c r="E1310" s="16"/>
      <c r="F1310" s="15"/>
    </row>
    <row r="1311" spans="5:6">
      <c r="E1311" s="16"/>
      <c r="F1311" s="15"/>
    </row>
    <row r="1312" spans="5:6">
      <c r="E1312" s="16"/>
      <c r="F1312" s="15"/>
    </row>
    <row r="1313" spans="5:6">
      <c r="E1313" s="16"/>
      <c r="F1313" s="15"/>
    </row>
    <row r="1314" spans="5:6">
      <c r="E1314" s="16"/>
      <c r="F1314" s="15"/>
    </row>
    <row r="1315" spans="5:6">
      <c r="E1315" s="16"/>
      <c r="F1315" s="15"/>
    </row>
    <row r="1316" spans="5:6">
      <c r="E1316" s="16"/>
      <c r="F1316" s="15"/>
    </row>
    <row r="1317" spans="5:6">
      <c r="E1317" s="16"/>
      <c r="F1317" s="15"/>
    </row>
    <row r="1318" spans="5:6">
      <c r="E1318" s="16"/>
      <c r="F1318" s="15"/>
    </row>
    <row r="1319" spans="5:6">
      <c r="E1319" s="16"/>
      <c r="F1319" s="15"/>
    </row>
    <row r="1320" spans="5:6">
      <c r="E1320" s="16"/>
      <c r="F1320" s="15"/>
    </row>
    <row r="1321" spans="5:6">
      <c r="E1321" s="16"/>
      <c r="F1321" s="15"/>
    </row>
    <row r="1322" spans="5:6">
      <c r="E1322" s="16"/>
      <c r="F1322" s="15"/>
    </row>
    <row r="1323" spans="5:6">
      <c r="E1323" s="16"/>
      <c r="F1323" s="15"/>
    </row>
    <row r="1324" spans="5:6">
      <c r="E1324" s="16"/>
      <c r="F1324" s="15"/>
    </row>
    <row r="1325" spans="5:6">
      <c r="E1325" s="16"/>
      <c r="F1325" s="15"/>
    </row>
    <row r="1326" spans="5:6">
      <c r="E1326" s="16"/>
      <c r="F1326" s="15"/>
    </row>
    <row r="1327" spans="5:6">
      <c r="E1327" s="16"/>
      <c r="F1327" s="15"/>
    </row>
    <row r="1328" spans="5:6">
      <c r="E1328" s="16"/>
      <c r="F1328" s="15"/>
    </row>
    <row r="1329" spans="5:6">
      <c r="E1329" s="16"/>
      <c r="F1329" s="15"/>
    </row>
    <row r="1330" spans="5:6">
      <c r="E1330" s="16"/>
      <c r="F1330" s="15"/>
    </row>
    <row r="1331" spans="5:6">
      <c r="E1331" s="16"/>
      <c r="F1331" s="15"/>
    </row>
    <row r="1332" spans="5:6">
      <c r="E1332" s="16"/>
      <c r="F1332" s="15"/>
    </row>
    <row r="1333" spans="5:6">
      <c r="E1333" s="16"/>
      <c r="F1333" s="15"/>
    </row>
    <row r="1334" spans="5:6">
      <c r="E1334" s="16"/>
      <c r="F1334" s="15"/>
    </row>
    <row r="1335" spans="5:6">
      <c r="E1335" s="16"/>
      <c r="F1335" s="15"/>
    </row>
    <row r="1336" spans="5:6">
      <c r="E1336" s="16"/>
      <c r="F1336" s="15"/>
    </row>
    <row r="1337" spans="5:6">
      <c r="E1337" s="16"/>
      <c r="F1337" s="15"/>
    </row>
    <row r="1338" spans="5:6">
      <c r="E1338" s="16"/>
      <c r="F1338" s="15"/>
    </row>
    <row r="1339" spans="5:6">
      <c r="E1339" s="16"/>
      <c r="F1339" s="15"/>
    </row>
    <row r="1340" spans="5:6">
      <c r="E1340" s="16"/>
      <c r="F1340" s="15"/>
    </row>
    <row r="1341" spans="5:6">
      <c r="E1341" s="16"/>
      <c r="F1341" s="15"/>
    </row>
    <row r="1342" spans="5:6">
      <c r="E1342" s="16"/>
      <c r="F1342" s="15"/>
    </row>
    <row r="1343" spans="5:6">
      <c r="E1343" s="16"/>
      <c r="F1343" s="15"/>
    </row>
    <row r="1344" spans="5:6">
      <c r="E1344" s="16"/>
      <c r="F1344" s="15"/>
    </row>
    <row r="1345" spans="5:6">
      <c r="E1345" s="16"/>
      <c r="F1345" s="15"/>
    </row>
    <row r="1346" spans="5:6">
      <c r="E1346" s="16"/>
      <c r="F1346" s="15"/>
    </row>
    <row r="1347" spans="5:6">
      <c r="E1347" s="16"/>
      <c r="F1347" s="15"/>
    </row>
    <row r="1348" spans="5:6">
      <c r="E1348" s="16"/>
      <c r="F1348" s="15"/>
    </row>
    <row r="1349" spans="5:6">
      <c r="E1349" s="16"/>
      <c r="F1349" s="15"/>
    </row>
    <row r="1350" spans="5:6">
      <c r="E1350" s="16"/>
      <c r="F1350" s="15"/>
    </row>
    <row r="1351" spans="5:6">
      <c r="E1351" s="16"/>
      <c r="F1351" s="15"/>
    </row>
    <row r="1352" spans="5:6">
      <c r="E1352" s="16"/>
      <c r="F1352" s="15"/>
    </row>
    <row r="1353" spans="5:6">
      <c r="E1353" s="16"/>
      <c r="F1353" s="15"/>
    </row>
    <row r="1354" spans="5:6">
      <c r="E1354" s="16"/>
      <c r="F1354" s="15"/>
    </row>
    <row r="1355" spans="5:6">
      <c r="E1355" s="16"/>
      <c r="F1355" s="15"/>
    </row>
    <row r="1356" spans="5:6">
      <c r="E1356" s="16"/>
      <c r="F1356" s="15"/>
    </row>
    <row r="1357" spans="5:6">
      <c r="E1357" s="16"/>
      <c r="F1357" s="15"/>
    </row>
    <row r="1358" spans="5:6">
      <c r="E1358" s="16"/>
      <c r="F1358" s="15"/>
    </row>
    <row r="1359" spans="5:6">
      <c r="E1359" s="16"/>
      <c r="F1359" s="15"/>
    </row>
    <row r="1360" spans="5:6">
      <c r="E1360" s="16"/>
      <c r="F1360" s="15"/>
    </row>
    <row r="1361" spans="5:6">
      <c r="E1361" s="16"/>
      <c r="F1361" s="15"/>
    </row>
    <row r="1362" spans="5:6">
      <c r="E1362" s="16"/>
      <c r="F1362" s="15"/>
    </row>
    <row r="1363" spans="5:6">
      <c r="E1363" s="16"/>
      <c r="F1363" s="15"/>
    </row>
    <row r="1364" spans="5:6">
      <c r="E1364" s="16"/>
      <c r="F1364" s="15"/>
    </row>
    <row r="1365" spans="5:6">
      <c r="E1365" s="16"/>
      <c r="F1365" s="15"/>
    </row>
    <row r="1366" spans="5:6">
      <c r="E1366" s="16"/>
      <c r="F1366" s="15"/>
    </row>
    <row r="1367" spans="5:6">
      <c r="E1367" s="16"/>
      <c r="F1367" s="15"/>
    </row>
    <row r="1368" spans="5:6">
      <c r="E1368" s="16"/>
      <c r="F1368" s="15"/>
    </row>
    <row r="1369" spans="5:6">
      <c r="E1369" s="16"/>
      <c r="F1369" s="15"/>
    </row>
    <row r="1370" spans="5:6">
      <c r="E1370" s="16"/>
      <c r="F1370" s="15"/>
    </row>
    <row r="1371" spans="5:6">
      <c r="E1371" s="16"/>
      <c r="F1371" s="15"/>
    </row>
    <row r="1372" spans="5:6">
      <c r="E1372" s="16"/>
      <c r="F1372" s="15"/>
    </row>
    <row r="1373" spans="5:6">
      <c r="E1373" s="16"/>
      <c r="F1373" s="15"/>
    </row>
    <row r="1374" spans="5:6">
      <c r="E1374" s="16"/>
      <c r="F1374" s="15"/>
    </row>
    <row r="1375" spans="5:6">
      <c r="E1375" s="16"/>
      <c r="F1375" s="15"/>
    </row>
    <row r="1376" spans="5:6">
      <c r="E1376" s="16"/>
      <c r="F1376" s="15"/>
    </row>
    <row r="1377" spans="5:6">
      <c r="E1377" s="16"/>
      <c r="F1377" s="15"/>
    </row>
    <row r="1378" spans="5:6">
      <c r="E1378" s="16"/>
      <c r="F1378" s="15"/>
    </row>
    <row r="1379" spans="5:6">
      <c r="E1379" s="16"/>
      <c r="F1379" s="15"/>
    </row>
    <row r="1380" spans="5:6">
      <c r="E1380" s="16"/>
      <c r="F1380" s="15"/>
    </row>
    <row r="1381" spans="5:6">
      <c r="E1381" s="16"/>
      <c r="F1381" s="15"/>
    </row>
    <row r="1382" spans="5:6">
      <c r="E1382" s="16"/>
      <c r="F1382" s="15"/>
    </row>
    <row r="1383" spans="5:6">
      <c r="E1383" s="16"/>
      <c r="F1383" s="15"/>
    </row>
    <row r="1384" spans="5:6">
      <c r="E1384" s="16"/>
      <c r="F1384" s="15"/>
    </row>
    <row r="1385" spans="5:6">
      <c r="E1385" s="16"/>
      <c r="F1385" s="15"/>
    </row>
    <row r="1386" spans="5:6">
      <c r="E1386" s="16"/>
      <c r="F1386" s="15"/>
    </row>
    <row r="1387" spans="5:6">
      <c r="E1387" s="16"/>
      <c r="F1387" s="15"/>
    </row>
    <row r="1388" spans="5:6">
      <c r="E1388" s="16"/>
      <c r="F1388" s="15"/>
    </row>
    <row r="1389" spans="5:6">
      <c r="E1389" s="16"/>
      <c r="F1389" s="15"/>
    </row>
    <row r="1390" spans="5:6">
      <c r="E1390" s="16"/>
      <c r="F1390" s="15"/>
    </row>
    <row r="1391" spans="5:6">
      <c r="E1391" s="16"/>
      <c r="F1391" s="15"/>
    </row>
    <row r="1392" spans="5:6">
      <c r="E1392" s="16"/>
      <c r="F1392" s="15"/>
    </row>
    <row r="1393" spans="5:6">
      <c r="E1393" s="16"/>
      <c r="F1393" s="15"/>
    </row>
    <row r="1394" spans="5:6">
      <c r="E1394" s="16"/>
      <c r="F1394" s="15"/>
    </row>
    <row r="1395" spans="5:6">
      <c r="E1395" s="16"/>
      <c r="F1395" s="15"/>
    </row>
    <row r="1396" spans="5:6">
      <c r="E1396" s="16"/>
      <c r="F1396" s="15"/>
    </row>
    <row r="1397" spans="5:6">
      <c r="E1397" s="16"/>
      <c r="F1397" s="15"/>
    </row>
    <row r="1398" spans="5:6">
      <c r="E1398" s="16"/>
      <c r="F1398" s="15"/>
    </row>
    <row r="1399" spans="5:6">
      <c r="E1399" s="16"/>
      <c r="F1399" s="15"/>
    </row>
    <row r="1400" spans="5:6">
      <c r="E1400" s="16"/>
      <c r="F1400" s="15"/>
    </row>
    <row r="1401" spans="5:6">
      <c r="E1401" s="16"/>
      <c r="F1401" s="15"/>
    </row>
    <row r="1402" spans="5:6">
      <c r="E1402" s="16"/>
      <c r="F1402" s="15"/>
    </row>
    <row r="1403" spans="5:6">
      <c r="E1403" s="16"/>
      <c r="F1403" s="15"/>
    </row>
    <row r="1404" spans="5:6">
      <c r="E1404" s="16"/>
      <c r="F1404" s="15"/>
    </row>
    <row r="1405" spans="5:6">
      <c r="E1405" s="16"/>
      <c r="F1405" s="15"/>
    </row>
    <row r="1406" spans="5:6">
      <c r="E1406" s="16"/>
      <c r="F1406" s="15"/>
    </row>
    <row r="1407" spans="5:6">
      <c r="E1407" s="16"/>
      <c r="F1407" s="15"/>
    </row>
    <row r="1408" spans="5:6">
      <c r="E1408" s="16"/>
      <c r="F1408" s="15"/>
    </row>
    <row r="1409" spans="5:6">
      <c r="E1409" s="16"/>
      <c r="F1409" s="15"/>
    </row>
    <row r="1410" spans="5:6">
      <c r="E1410" s="16"/>
      <c r="F1410" s="15"/>
    </row>
    <row r="1411" spans="5:6">
      <c r="E1411" s="16"/>
      <c r="F1411" s="15"/>
    </row>
    <row r="1412" spans="5:6">
      <c r="E1412" s="16"/>
      <c r="F1412" s="15"/>
    </row>
    <row r="1413" spans="5:6">
      <c r="E1413" s="16"/>
      <c r="F1413" s="15"/>
    </row>
    <row r="1414" spans="5:6">
      <c r="E1414" s="16"/>
      <c r="F1414" s="15"/>
    </row>
    <row r="1415" spans="5:6">
      <c r="E1415" s="16"/>
      <c r="F1415" s="15"/>
    </row>
    <row r="1416" spans="5:6">
      <c r="E1416" s="16"/>
      <c r="F1416" s="15"/>
    </row>
    <row r="1417" spans="5:6">
      <c r="E1417" s="16"/>
      <c r="F1417" s="15"/>
    </row>
    <row r="1418" spans="5:6">
      <c r="E1418" s="16"/>
      <c r="F1418" s="15"/>
    </row>
    <row r="1419" spans="5:6">
      <c r="E1419" s="16"/>
      <c r="F1419" s="15"/>
    </row>
    <row r="1420" spans="5:6">
      <c r="E1420" s="16"/>
      <c r="F1420" s="15"/>
    </row>
    <row r="1421" spans="5:6">
      <c r="E1421" s="16"/>
      <c r="F1421" s="15"/>
    </row>
    <row r="1422" spans="5:6">
      <c r="E1422" s="16"/>
      <c r="F1422" s="15"/>
    </row>
    <row r="1423" spans="5:6">
      <c r="E1423" s="16"/>
      <c r="F1423" s="15"/>
    </row>
    <row r="1424" spans="5:6">
      <c r="E1424" s="16"/>
      <c r="F1424" s="15"/>
    </row>
    <row r="1425" spans="5:6">
      <c r="E1425" s="16"/>
      <c r="F1425" s="15"/>
    </row>
    <row r="1426" spans="5:6">
      <c r="E1426" s="16"/>
      <c r="F1426" s="15"/>
    </row>
    <row r="1427" spans="5:6">
      <c r="E1427" s="16"/>
      <c r="F1427" s="15"/>
    </row>
    <row r="1428" spans="5:6">
      <c r="E1428" s="16"/>
      <c r="F1428" s="15"/>
    </row>
    <row r="1429" spans="5:6">
      <c r="E1429" s="16"/>
      <c r="F1429" s="15"/>
    </row>
    <row r="1430" spans="5:6">
      <c r="E1430" s="16"/>
      <c r="F1430" s="15"/>
    </row>
    <row r="1431" spans="5:6">
      <c r="E1431" s="16"/>
      <c r="F1431" s="15"/>
    </row>
    <row r="1432" spans="5:6">
      <c r="E1432" s="16"/>
      <c r="F1432" s="15"/>
    </row>
    <row r="1433" spans="5:6">
      <c r="E1433" s="16"/>
      <c r="F1433" s="15"/>
    </row>
    <row r="1434" spans="5:6">
      <c r="E1434" s="16"/>
      <c r="F1434" s="15"/>
    </row>
    <row r="1435" spans="5:6">
      <c r="E1435" s="16"/>
      <c r="F1435" s="15"/>
    </row>
    <row r="1436" spans="5:6">
      <c r="E1436" s="16"/>
      <c r="F1436" s="15"/>
    </row>
    <row r="1437" spans="5:6">
      <c r="E1437" s="16"/>
      <c r="F1437" s="15"/>
    </row>
    <row r="1438" spans="5:6">
      <c r="E1438" s="16"/>
      <c r="F1438" s="15"/>
    </row>
    <row r="1439" spans="5:6">
      <c r="E1439" s="16"/>
      <c r="F1439" s="15"/>
    </row>
    <row r="1440" spans="5:6">
      <c r="E1440" s="16"/>
      <c r="F1440" s="15"/>
    </row>
    <row r="1441" spans="5:6">
      <c r="E1441" s="16"/>
      <c r="F1441" s="15"/>
    </row>
    <row r="1442" spans="5:6">
      <c r="E1442" s="16"/>
      <c r="F1442" s="15"/>
    </row>
    <row r="1443" spans="5:6">
      <c r="E1443" s="16"/>
      <c r="F1443" s="15"/>
    </row>
    <row r="1444" spans="5:6">
      <c r="E1444" s="16"/>
      <c r="F1444" s="15"/>
    </row>
    <row r="1445" spans="5:6">
      <c r="E1445" s="16"/>
      <c r="F1445" s="15"/>
    </row>
    <row r="1446" spans="5:6">
      <c r="E1446" s="16"/>
      <c r="F1446" s="15"/>
    </row>
    <row r="1447" spans="5:6">
      <c r="E1447" s="16"/>
      <c r="F1447" s="15"/>
    </row>
    <row r="1448" spans="5:6">
      <c r="E1448" s="16"/>
      <c r="F1448" s="15"/>
    </row>
    <row r="1449" spans="5:6">
      <c r="E1449" s="16"/>
      <c r="F1449" s="15"/>
    </row>
    <row r="1450" spans="5:6">
      <c r="E1450" s="16"/>
      <c r="F1450" s="15"/>
    </row>
    <row r="1451" spans="5:6">
      <c r="E1451" s="16"/>
      <c r="F1451" s="15"/>
    </row>
    <row r="1452" spans="5:6">
      <c r="E1452" s="16"/>
      <c r="F1452" s="15"/>
    </row>
    <row r="1453" spans="5:6">
      <c r="E1453" s="16"/>
      <c r="F1453" s="15"/>
    </row>
    <row r="1454" spans="5:6">
      <c r="E1454" s="16"/>
      <c r="F1454" s="15"/>
    </row>
    <row r="1455" spans="5:6">
      <c r="E1455" s="16"/>
      <c r="F1455" s="15"/>
    </row>
    <row r="1456" spans="5:6">
      <c r="E1456" s="16"/>
      <c r="F1456" s="15"/>
    </row>
    <row r="1457" spans="5:6">
      <c r="E1457" s="16"/>
      <c r="F1457" s="15"/>
    </row>
    <row r="1458" spans="5:6">
      <c r="E1458" s="16"/>
      <c r="F1458" s="15"/>
    </row>
    <row r="1459" spans="5:6">
      <c r="E1459" s="16"/>
      <c r="F1459" s="15"/>
    </row>
    <row r="1460" spans="5:6">
      <c r="E1460" s="16"/>
      <c r="F1460" s="15"/>
    </row>
    <row r="1461" spans="5:6">
      <c r="E1461" s="16"/>
      <c r="F1461" s="15"/>
    </row>
    <row r="1462" spans="5:6">
      <c r="E1462" s="16"/>
      <c r="F1462" s="15"/>
    </row>
    <row r="1463" spans="5:6">
      <c r="E1463" s="16"/>
      <c r="F1463" s="15"/>
    </row>
    <row r="1464" spans="5:6">
      <c r="E1464" s="16"/>
      <c r="F1464" s="15"/>
    </row>
    <row r="1465" spans="5:6">
      <c r="E1465" s="16"/>
      <c r="F1465" s="15"/>
    </row>
    <row r="1466" spans="5:6">
      <c r="E1466" s="16"/>
      <c r="F1466" s="15"/>
    </row>
    <row r="1467" spans="5:6">
      <c r="E1467" s="16"/>
      <c r="F1467" s="15"/>
    </row>
    <row r="1468" spans="5:6">
      <c r="E1468" s="16"/>
      <c r="F1468" s="15"/>
    </row>
    <row r="1469" spans="5:6">
      <c r="E1469" s="16"/>
      <c r="F1469" s="15"/>
    </row>
    <row r="1470" spans="5:6">
      <c r="E1470" s="16"/>
      <c r="F1470" s="15"/>
    </row>
    <row r="1471" spans="5:6">
      <c r="E1471" s="16"/>
      <c r="F1471" s="15"/>
    </row>
    <row r="1472" spans="5:6">
      <c r="E1472" s="16"/>
      <c r="F1472" s="15"/>
    </row>
    <row r="1473" spans="5:6">
      <c r="E1473" s="16"/>
      <c r="F1473" s="15"/>
    </row>
    <row r="1474" spans="5:6">
      <c r="E1474" s="16"/>
      <c r="F1474" s="15"/>
    </row>
    <row r="1475" spans="5:6">
      <c r="E1475" s="16"/>
      <c r="F1475" s="15"/>
    </row>
    <row r="1476" spans="5:6">
      <c r="E1476" s="16"/>
      <c r="F1476" s="15"/>
    </row>
    <row r="1477" spans="5:6">
      <c r="E1477" s="16"/>
      <c r="F1477" s="15"/>
    </row>
    <row r="1478" spans="5:6">
      <c r="E1478" s="16"/>
      <c r="F1478" s="15"/>
    </row>
    <row r="1479" spans="5:6">
      <c r="E1479" s="16"/>
      <c r="F1479" s="15"/>
    </row>
    <row r="1480" spans="5:6">
      <c r="E1480" s="16"/>
      <c r="F1480" s="15"/>
    </row>
    <row r="1481" spans="5:6">
      <c r="E1481" s="16"/>
      <c r="F1481" s="15"/>
    </row>
    <row r="1482" spans="5:6">
      <c r="E1482" s="16"/>
      <c r="F1482" s="15"/>
    </row>
    <row r="1483" spans="5:6">
      <c r="E1483" s="16"/>
      <c r="F1483" s="15"/>
    </row>
    <row r="1484" spans="5:6">
      <c r="E1484" s="16"/>
      <c r="F1484" s="15"/>
    </row>
    <row r="1485" spans="5:6">
      <c r="E1485" s="16"/>
      <c r="F1485" s="15"/>
    </row>
    <row r="1486" spans="5:6">
      <c r="E1486" s="16"/>
      <c r="F1486" s="15"/>
    </row>
    <row r="1487" spans="5:6">
      <c r="E1487" s="16"/>
      <c r="F1487" s="15"/>
    </row>
    <row r="1488" spans="5:6">
      <c r="E1488" s="16"/>
      <c r="F1488" s="15"/>
    </row>
    <row r="1489" spans="5:6">
      <c r="E1489" s="16"/>
      <c r="F1489" s="15"/>
    </row>
    <row r="1490" spans="5:6">
      <c r="E1490" s="16"/>
      <c r="F1490" s="15"/>
    </row>
    <row r="1491" spans="5:6">
      <c r="E1491" s="16"/>
      <c r="F1491" s="15"/>
    </row>
    <row r="1492" spans="5:6">
      <c r="E1492" s="16"/>
      <c r="F1492" s="15"/>
    </row>
    <row r="1493" spans="5:6">
      <c r="E1493" s="16"/>
      <c r="F1493" s="15"/>
    </row>
    <row r="1494" spans="5:6">
      <c r="E1494" s="16"/>
      <c r="F1494" s="15"/>
    </row>
    <row r="1495" spans="5:6">
      <c r="E1495" s="16"/>
      <c r="F1495" s="15"/>
    </row>
    <row r="1496" spans="5:6">
      <c r="E1496" s="16"/>
      <c r="F1496" s="15"/>
    </row>
    <row r="1497" spans="5:6">
      <c r="E1497" s="16"/>
      <c r="F1497" s="15"/>
    </row>
    <row r="1498" spans="5:6">
      <c r="E1498" s="16"/>
      <c r="F1498" s="15"/>
    </row>
    <row r="1499" spans="5:6">
      <c r="E1499" s="16"/>
      <c r="F1499" s="15"/>
    </row>
    <row r="1500" spans="5:6">
      <c r="E1500" s="16"/>
      <c r="F1500" s="15"/>
    </row>
    <row r="1501" spans="5:6">
      <c r="E1501" s="16"/>
      <c r="F1501" s="15"/>
    </row>
    <row r="1502" spans="5:6">
      <c r="E1502" s="16"/>
      <c r="F1502" s="15"/>
    </row>
    <row r="1503" spans="5:6">
      <c r="E1503" s="16"/>
      <c r="F1503" s="15"/>
    </row>
    <row r="1504" spans="5:6">
      <c r="E1504" s="16"/>
      <c r="F1504" s="15"/>
    </row>
    <row r="1505" spans="5:6">
      <c r="E1505" s="16"/>
      <c r="F1505" s="15"/>
    </row>
    <row r="1506" spans="5:6">
      <c r="E1506" s="16"/>
      <c r="F1506" s="15"/>
    </row>
    <row r="1507" spans="5:6">
      <c r="E1507" s="16"/>
      <c r="F1507" s="15"/>
    </row>
    <row r="1508" spans="5:6">
      <c r="E1508" s="16"/>
      <c r="F1508" s="15"/>
    </row>
    <row r="1509" spans="5:6">
      <c r="E1509" s="16"/>
      <c r="F1509" s="15"/>
    </row>
    <row r="1510" spans="5:6">
      <c r="E1510" s="16"/>
      <c r="F1510" s="15"/>
    </row>
    <row r="1511" spans="5:6">
      <c r="E1511" s="16"/>
      <c r="F1511" s="15"/>
    </row>
    <row r="1512" spans="5:6">
      <c r="E1512" s="16"/>
      <c r="F1512" s="15"/>
    </row>
    <row r="1513" spans="5:6">
      <c r="E1513" s="16"/>
      <c r="F1513" s="15"/>
    </row>
    <row r="1514" spans="5:6">
      <c r="E1514" s="16"/>
      <c r="F1514" s="15"/>
    </row>
    <row r="1515" spans="5:6">
      <c r="E1515" s="16"/>
      <c r="F1515" s="15"/>
    </row>
    <row r="1516" spans="5:6">
      <c r="E1516" s="16"/>
      <c r="F1516" s="15"/>
    </row>
    <row r="1517" spans="5:6">
      <c r="E1517" s="16"/>
      <c r="F1517" s="15"/>
    </row>
    <row r="1518" spans="5:6">
      <c r="E1518" s="16"/>
      <c r="F1518" s="15"/>
    </row>
    <row r="1519" spans="5:6">
      <c r="E1519" s="16"/>
      <c r="F1519" s="15"/>
    </row>
    <row r="1520" spans="5:6">
      <c r="E1520" s="16"/>
      <c r="F1520" s="15"/>
    </row>
    <row r="1521" spans="5:6">
      <c r="E1521" s="16"/>
      <c r="F1521" s="15"/>
    </row>
    <row r="1522" spans="5:6">
      <c r="E1522" s="16"/>
      <c r="F1522" s="15"/>
    </row>
    <row r="1523" spans="5:6">
      <c r="E1523" s="16"/>
      <c r="F1523" s="15"/>
    </row>
    <row r="1524" spans="5:6">
      <c r="E1524" s="16"/>
      <c r="F1524" s="15"/>
    </row>
    <row r="1525" spans="5:6">
      <c r="E1525" s="16"/>
      <c r="F1525" s="15"/>
    </row>
    <row r="1526" spans="5:6">
      <c r="E1526" s="16"/>
      <c r="F1526" s="15"/>
    </row>
    <row r="1527" spans="5:6">
      <c r="E1527" s="16"/>
      <c r="F1527" s="15"/>
    </row>
    <row r="1528" spans="5:6">
      <c r="E1528" s="16"/>
      <c r="F1528" s="15"/>
    </row>
    <row r="1529" spans="5:6">
      <c r="E1529" s="16"/>
      <c r="F1529" s="15"/>
    </row>
    <row r="1530" spans="5:6">
      <c r="E1530" s="16"/>
      <c r="F1530" s="15"/>
    </row>
    <row r="1531" spans="5:6">
      <c r="E1531" s="16"/>
      <c r="F1531" s="15"/>
    </row>
    <row r="1532" spans="5:6">
      <c r="E1532" s="16"/>
      <c r="F1532" s="15"/>
    </row>
    <row r="1533" spans="5:6">
      <c r="E1533" s="16"/>
      <c r="F1533" s="15"/>
    </row>
    <row r="1534" spans="5:6">
      <c r="E1534" s="16"/>
      <c r="F1534" s="15"/>
    </row>
    <row r="1535" spans="5:6">
      <c r="E1535" s="16"/>
      <c r="F1535" s="15"/>
    </row>
    <row r="1536" spans="5:6">
      <c r="E1536" s="16"/>
      <c r="F1536" s="15"/>
    </row>
    <row r="1537" spans="5:6">
      <c r="E1537" s="16"/>
      <c r="F1537" s="15"/>
    </row>
    <row r="1538" spans="5:6">
      <c r="E1538" s="16"/>
      <c r="F1538" s="15"/>
    </row>
    <row r="1539" spans="5:6">
      <c r="E1539" s="16"/>
      <c r="F1539" s="15"/>
    </row>
    <row r="1540" spans="5:6">
      <c r="E1540" s="16"/>
      <c r="F1540" s="15"/>
    </row>
    <row r="1541" spans="5:6">
      <c r="E1541" s="16"/>
      <c r="F1541" s="15"/>
    </row>
    <row r="1542" spans="5:6">
      <c r="E1542" s="16"/>
      <c r="F1542" s="15"/>
    </row>
    <row r="1543" spans="5:6">
      <c r="E1543" s="16"/>
      <c r="F1543" s="15"/>
    </row>
    <row r="1544" spans="5:6">
      <c r="E1544" s="16"/>
      <c r="F1544" s="15"/>
    </row>
    <row r="1545" spans="5:6">
      <c r="E1545" s="16"/>
      <c r="F1545" s="15"/>
    </row>
    <row r="1546" spans="5:6">
      <c r="E1546" s="16"/>
      <c r="F1546" s="15"/>
    </row>
    <row r="1547" spans="5:6">
      <c r="E1547" s="16"/>
      <c r="F1547" s="15"/>
    </row>
    <row r="1548" spans="5:6">
      <c r="E1548" s="16"/>
      <c r="F1548" s="15"/>
    </row>
    <row r="1549" spans="5:6">
      <c r="E1549" s="16"/>
      <c r="F1549" s="15"/>
    </row>
    <row r="1550" spans="5:6">
      <c r="E1550" s="16"/>
      <c r="F1550" s="15"/>
    </row>
    <row r="1551" spans="5:6">
      <c r="E1551" s="16"/>
      <c r="F1551" s="15"/>
    </row>
    <row r="1552" spans="5:6">
      <c r="E1552" s="16"/>
      <c r="F1552" s="15"/>
    </row>
    <row r="1553" spans="5:6">
      <c r="E1553" s="16"/>
      <c r="F1553" s="15"/>
    </row>
    <row r="1554" spans="5:6">
      <c r="E1554" s="16"/>
      <c r="F1554" s="15"/>
    </row>
    <row r="1555" spans="5:6">
      <c r="E1555" s="16"/>
      <c r="F1555" s="15"/>
    </row>
    <row r="1556" spans="5:6">
      <c r="E1556" s="16"/>
      <c r="F1556" s="15"/>
    </row>
    <row r="1557" spans="5:6">
      <c r="E1557" s="16"/>
      <c r="F1557" s="15"/>
    </row>
    <row r="1558" spans="5:6">
      <c r="E1558" s="16"/>
      <c r="F1558" s="15"/>
    </row>
    <row r="1559" spans="5:6">
      <c r="E1559" s="16"/>
      <c r="F1559" s="15"/>
    </row>
    <row r="1560" spans="5:6">
      <c r="E1560" s="16"/>
      <c r="F1560" s="15"/>
    </row>
    <row r="1561" spans="5:6">
      <c r="E1561" s="16"/>
      <c r="F1561" s="15"/>
    </row>
    <row r="1562" spans="5:6">
      <c r="E1562" s="16"/>
      <c r="F1562" s="15"/>
    </row>
    <row r="1563" spans="5:6">
      <c r="E1563" s="16"/>
      <c r="F1563" s="15"/>
    </row>
    <row r="1564" spans="5:6">
      <c r="E1564" s="16"/>
      <c r="F1564" s="15"/>
    </row>
    <row r="1565" spans="5:6">
      <c r="E1565" s="16"/>
      <c r="F1565" s="15"/>
    </row>
    <row r="1566" spans="5:6">
      <c r="E1566" s="16"/>
      <c r="F1566" s="15"/>
    </row>
    <row r="1567" spans="5:6">
      <c r="E1567" s="16"/>
      <c r="F1567" s="15"/>
    </row>
    <row r="1568" spans="5:6">
      <c r="E1568" s="16"/>
      <c r="F1568" s="15"/>
    </row>
    <row r="1569" spans="5:6">
      <c r="E1569" s="16"/>
      <c r="F1569" s="15"/>
    </row>
    <row r="1570" spans="5:6">
      <c r="E1570" s="16"/>
      <c r="F1570" s="15"/>
    </row>
    <row r="1571" spans="5:6">
      <c r="E1571" s="16"/>
      <c r="F1571" s="15"/>
    </row>
    <row r="1572" spans="5:6">
      <c r="E1572" s="16"/>
      <c r="F1572" s="15"/>
    </row>
    <row r="1573" spans="5:6">
      <c r="E1573" s="16"/>
      <c r="F1573" s="15"/>
    </row>
    <row r="1574" spans="5:6">
      <c r="E1574" s="16"/>
      <c r="F1574" s="15"/>
    </row>
    <row r="1575" spans="5:6">
      <c r="E1575" s="16"/>
      <c r="F1575" s="15"/>
    </row>
    <row r="1576" spans="5:6">
      <c r="E1576" s="16"/>
      <c r="F1576" s="15"/>
    </row>
    <row r="1577" spans="5:6">
      <c r="E1577" s="16"/>
      <c r="F1577" s="15"/>
    </row>
    <row r="1578" spans="5:6">
      <c r="E1578" s="16"/>
      <c r="F1578" s="15"/>
    </row>
    <row r="1579" spans="5:6">
      <c r="E1579" s="16"/>
      <c r="F1579" s="15"/>
    </row>
    <row r="1580" spans="5:6">
      <c r="E1580" s="16"/>
      <c r="F1580" s="15"/>
    </row>
    <row r="1581" spans="5:6">
      <c r="E1581" s="16"/>
      <c r="F1581" s="15"/>
    </row>
    <row r="1582" spans="5:6">
      <c r="E1582" s="16"/>
      <c r="F1582" s="15"/>
    </row>
    <row r="1583" spans="5:6">
      <c r="E1583" s="16"/>
      <c r="F1583" s="15"/>
    </row>
    <row r="1584" spans="5:6">
      <c r="E1584" s="16"/>
      <c r="F1584" s="15"/>
    </row>
    <row r="1585" spans="5:6">
      <c r="E1585" s="16"/>
      <c r="F1585" s="15"/>
    </row>
    <row r="1586" spans="5:6">
      <c r="E1586" s="16"/>
      <c r="F1586" s="15"/>
    </row>
    <row r="1587" spans="5:6">
      <c r="E1587" s="16"/>
      <c r="F1587" s="15"/>
    </row>
    <row r="1588" spans="5:6">
      <c r="E1588" s="16"/>
      <c r="F1588" s="15"/>
    </row>
    <row r="1589" spans="5:6">
      <c r="E1589" s="16"/>
      <c r="F1589" s="15"/>
    </row>
    <row r="1590" spans="5:6">
      <c r="E1590" s="16"/>
      <c r="F1590" s="15"/>
    </row>
    <row r="1591" spans="5:6">
      <c r="E1591" s="16"/>
      <c r="F1591" s="15"/>
    </row>
    <row r="1592" spans="5:6">
      <c r="E1592" s="16"/>
      <c r="F1592" s="15"/>
    </row>
    <row r="1593" spans="5:6">
      <c r="E1593" s="16"/>
      <c r="F1593" s="15"/>
    </row>
    <row r="1594" spans="5:6">
      <c r="E1594" s="16"/>
      <c r="F1594" s="15"/>
    </row>
    <row r="1595" spans="5:6">
      <c r="E1595" s="16"/>
      <c r="F1595" s="15"/>
    </row>
    <row r="1596" spans="5:6">
      <c r="E1596" s="16"/>
      <c r="F1596" s="15"/>
    </row>
    <row r="1597" spans="5:6">
      <c r="E1597" s="16"/>
      <c r="F1597" s="15"/>
    </row>
    <row r="1598" spans="5:6">
      <c r="E1598" s="16"/>
      <c r="F1598" s="15"/>
    </row>
    <row r="1599" spans="5:6">
      <c r="E1599" s="16"/>
      <c r="F1599" s="15"/>
    </row>
    <row r="1600" spans="5:6">
      <c r="E1600" s="16"/>
      <c r="F1600" s="15"/>
    </row>
    <row r="1601" spans="5:6">
      <c r="E1601" s="16"/>
      <c r="F1601" s="15"/>
    </row>
    <row r="1602" spans="5:6">
      <c r="E1602" s="16"/>
      <c r="F1602" s="15"/>
    </row>
    <row r="1603" spans="5:6">
      <c r="E1603" s="16"/>
      <c r="F1603" s="15"/>
    </row>
    <row r="1604" spans="5:6">
      <c r="E1604" s="16"/>
      <c r="F1604" s="15"/>
    </row>
    <row r="1605" spans="5:6">
      <c r="E1605" s="16"/>
      <c r="F1605" s="15"/>
    </row>
    <row r="1606" spans="5:6">
      <c r="E1606" s="16"/>
      <c r="F1606" s="15"/>
    </row>
    <row r="1607" spans="5:6">
      <c r="E1607" s="16"/>
      <c r="F1607" s="15"/>
    </row>
    <row r="1608" spans="5:6">
      <c r="E1608" s="16"/>
      <c r="F1608" s="15"/>
    </row>
    <row r="1609" spans="5:6">
      <c r="E1609" s="16"/>
      <c r="F1609" s="15"/>
    </row>
    <row r="1610" spans="5:6">
      <c r="E1610" s="16"/>
      <c r="F1610" s="15"/>
    </row>
    <row r="1611" spans="5:6">
      <c r="E1611" s="16"/>
      <c r="F1611" s="15"/>
    </row>
    <row r="1612" spans="5:6">
      <c r="E1612" s="16"/>
      <c r="F1612" s="15"/>
    </row>
    <row r="1613" spans="5:6">
      <c r="E1613" s="16"/>
      <c r="F1613" s="15"/>
    </row>
    <row r="1614" spans="5:6">
      <c r="E1614" s="16"/>
      <c r="F1614" s="15"/>
    </row>
    <row r="1615" spans="5:6">
      <c r="E1615" s="16"/>
      <c r="F1615" s="15"/>
    </row>
    <row r="1616" spans="5:6">
      <c r="E1616" s="16"/>
      <c r="F1616" s="15"/>
    </row>
    <row r="1617" spans="5:6">
      <c r="E1617" s="16"/>
      <c r="F1617" s="15"/>
    </row>
    <row r="1618" spans="5:6">
      <c r="E1618" s="16"/>
      <c r="F1618" s="15"/>
    </row>
    <row r="1619" spans="5:6">
      <c r="E1619" s="16"/>
      <c r="F1619" s="15"/>
    </row>
    <row r="1620" spans="5:6">
      <c r="E1620" s="16"/>
      <c r="F1620" s="15"/>
    </row>
    <row r="1621" spans="5:6">
      <c r="E1621" s="16"/>
      <c r="F1621" s="15"/>
    </row>
    <row r="1622" spans="5:6">
      <c r="E1622" s="16"/>
      <c r="F1622" s="15"/>
    </row>
    <row r="1623" spans="5:6">
      <c r="E1623" s="16"/>
      <c r="F1623" s="15"/>
    </row>
    <row r="1624" spans="5:6">
      <c r="E1624" s="16"/>
      <c r="F1624" s="15"/>
    </row>
    <row r="1625" spans="5:6">
      <c r="E1625" s="16"/>
      <c r="F1625" s="15"/>
    </row>
    <row r="1626" spans="5:6">
      <c r="E1626" s="16"/>
      <c r="F1626" s="15"/>
    </row>
    <row r="1627" spans="5:6">
      <c r="E1627" s="16"/>
      <c r="F1627" s="15"/>
    </row>
    <row r="1628" spans="5:6">
      <c r="E1628" s="16"/>
      <c r="F1628" s="15"/>
    </row>
    <row r="1629" spans="5:6">
      <c r="E1629" s="16"/>
      <c r="F1629" s="15"/>
    </row>
    <row r="1630" spans="5:6">
      <c r="E1630" s="16"/>
      <c r="F1630" s="15"/>
    </row>
    <row r="1631" spans="5:6">
      <c r="E1631" s="16"/>
      <c r="F1631" s="15"/>
    </row>
    <row r="1632" spans="5:6">
      <c r="E1632" s="16"/>
      <c r="F1632" s="15"/>
    </row>
    <row r="1633" spans="5:6">
      <c r="E1633" s="16"/>
      <c r="F1633" s="15"/>
    </row>
    <row r="1634" spans="5:6">
      <c r="E1634" s="16"/>
      <c r="F1634" s="15"/>
    </row>
    <row r="1635" spans="5:6">
      <c r="E1635" s="16"/>
      <c r="F1635" s="15"/>
    </row>
    <row r="1636" spans="5:6">
      <c r="E1636" s="16"/>
      <c r="F1636" s="15"/>
    </row>
    <row r="1637" spans="5:6">
      <c r="E1637" s="16"/>
      <c r="F1637" s="15"/>
    </row>
    <row r="1638" spans="5:6">
      <c r="E1638" s="16"/>
      <c r="F1638" s="15"/>
    </row>
    <row r="1639" spans="5:6">
      <c r="E1639" s="16"/>
      <c r="F1639" s="15"/>
    </row>
    <row r="1640" spans="5:6">
      <c r="E1640" s="16"/>
      <c r="F1640" s="15"/>
    </row>
    <row r="1641" spans="5:6">
      <c r="E1641" s="16"/>
      <c r="F1641" s="15"/>
    </row>
    <row r="1642" spans="5:6">
      <c r="E1642" s="16"/>
      <c r="F1642" s="15"/>
    </row>
    <row r="1643" spans="5:6">
      <c r="E1643" s="16"/>
      <c r="F1643" s="15"/>
    </row>
    <row r="1644" spans="5:6">
      <c r="E1644" s="16"/>
      <c r="F1644" s="15"/>
    </row>
    <row r="1645" spans="5:6">
      <c r="E1645" s="16"/>
      <c r="F1645" s="15"/>
    </row>
    <row r="1646" spans="5:6">
      <c r="E1646" s="16"/>
      <c r="F1646" s="15"/>
    </row>
    <row r="1647" spans="5:6">
      <c r="E1647" s="16"/>
      <c r="F1647" s="15"/>
    </row>
    <row r="1648" spans="5:6">
      <c r="E1648" s="16"/>
      <c r="F1648" s="15"/>
    </row>
    <row r="1649" spans="5:6">
      <c r="E1649" s="16"/>
      <c r="F1649" s="15"/>
    </row>
    <row r="1650" spans="5:6">
      <c r="E1650" s="16"/>
      <c r="F1650" s="15"/>
    </row>
    <row r="1651" spans="5:6">
      <c r="E1651" s="16"/>
      <c r="F1651" s="15"/>
    </row>
    <row r="1652" spans="5:6">
      <c r="E1652" s="16"/>
      <c r="F1652" s="15"/>
    </row>
    <row r="1653" spans="5:6">
      <c r="E1653" s="16"/>
      <c r="F1653" s="15"/>
    </row>
    <row r="1654" spans="5:6">
      <c r="E1654" s="16"/>
      <c r="F1654" s="15"/>
    </row>
    <row r="1655" spans="5:6">
      <c r="E1655" s="16"/>
      <c r="F1655" s="15"/>
    </row>
    <row r="1656" spans="5:6">
      <c r="E1656" s="16"/>
      <c r="F1656" s="15"/>
    </row>
    <row r="1657" spans="5:6">
      <c r="E1657" s="16"/>
      <c r="F1657" s="15"/>
    </row>
    <row r="1658" spans="5:6">
      <c r="E1658" s="16"/>
      <c r="F1658" s="15"/>
    </row>
    <row r="1659" spans="5:6">
      <c r="E1659" s="16"/>
      <c r="F1659" s="15"/>
    </row>
    <row r="1660" spans="5:6">
      <c r="E1660" s="16"/>
      <c r="F1660" s="15"/>
    </row>
    <row r="1661" spans="5:6">
      <c r="E1661" s="16"/>
      <c r="F1661" s="15"/>
    </row>
    <row r="1662" spans="5:6">
      <c r="E1662" s="16"/>
      <c r="F1662" s="15"/>
    </row>
    <row r="1663" spans="5:6">
      <c r="E1663" s="16"/>
      <c r="F1663" s="15"/>
    </row>
    <row r="1664" spans="5:6">
      <c r="E1664" s="16"/>
      <c r="F1664" s="15"/>
    </row>
    <row r="1665" spans="5:6">
      <c r="E1665" s="16"/>
      <c r="F1665" s="15"/>
    </row>
    <row r="1666" spans="5:6">
      <c r="E1666" s="16"/>
      <c r="F1666" s="15"/>
    </row>
    <row r="1667" spans="5:6">
      <c r="E1667" s="16"/>
      <c r="F1667" s="15"/>
    </row>
    <row r="1668" spans="5:6">
      <c r="E1668" s="16"/>
      <c r="F1668" s="15"/>
    </row>
    <row r="1669" spans="5:6">
      <c r="E1669" s="16"/>
      <c r="F1669" s="15"/>
    </row>
    <row r="1670" spans="5:6">
      <c r="E1670" s="16"/>
      <c r="F1670" s="15"/>
    </row>
    <row r="1671" spans="5:6">
      <c r="E1671" s="16"/>
      <c r="F1671" s="15"/>
    </row>
    <row r="1672" spans="5:6">
      <c r="E1672" s="16"/>
      <c r="F1672" s="15"/>
    </row>
    <row r="1673" spans="5:6">
      <c r="E1673" s="16"/>
      <c r="F1673" s="15"/>
    </row>
    <row r="1674" spans="5:6">
      <c r="E1674" s="16"/>
      <c r="F1674" s="15"/>
    </row>
    <row r="1675" spans="5:6">
      <c r="E1675" s="16"/>
      <c r="F1675" s="15"/>
    </row>
    <row r="1676" spans="5:6">
      <c r="E1676" s="16"/>
      <c r="F1676" s="15"/>
    </row>
    <row r="1677" spans="5:6">
      <c r="E1677" s="16"/>
      <c r="F1677" s="15"/>
    </row>
    <row r="1678" spans="5:6">
      <c r="E1678" s="16"/>
      <c r="F1678" s="15"/>
    </row>
    <row r="1679" spans="5:6">
      <c r="E1679" s="16"/>
      <c r="F1679" s="15"/>
    </row>
    <row r="1680" spans="5:6">
      <c r="E1680" s="16"/>
      <c r="F1680" s="15"/>
    </row>
    <row r="1681" spans="5:6">
      <c r="E1681" s="16"/>
      <c r="F1681" s="15"/>
    </row>
    <row r="1682" spans="5:6">
      <c r="E1682" s="16"/>
      <c r="F1682" s="15"/>
    </row>
    <row r="1683" spans="5:6">
      <c r="E1683" s="16"/>
      <c r="F1683" s="15"/>
    </row>
    <row r="1684" spans="5:6">
      <c r="E1684" s="16"/>
      <c r="F1684" s="15"/>
    </row>
    <row r="1685" spans="5:6">
      <c r="E1685" s="16"/>
      <c r="F1685" s="15"/>
    </row>
    <row r="1686" spans="5:6">
      <c r="E1686" s="16"/>
      <c r="F1686" s="15"/>
    </row>
    <row r="1687" spans="5:6">
      <c r="E1687" s="16"/>
      <c r="F1687" s="15"/>
    </row>
    <row r="1688" spans="5:6">
      <c r="E1688" s="16"/>
      <c r="F1688" s="15"/>
    </row>
    <row r="1689" spans="5:6">
      <c r="E1689" s="16"/>
      <c r="F1689" s="15"/>
    </row>
    <row r="1690" spans="5:6">
      <c r="E1690" s="16"/>
      <c r="F1690" s="15"/>
    </row>
    <row r="1691" spans="5:6">
      <c r="E1691" s="16"/>
      <c r="F1691" s="15"/>
    </row>
    <row r="1692" spans="5:6">
      <c r="E1692" s="16"/>
      <c r="F1692" s="15"/>
    </row>
    <row r="1693" spans="5:6">
      <c r="E1693" s="16"/>
      <c r="F1693" s="15"/>
    </row>
    <row r="1694" spans="5:6">
      <c r="E1694" s="16"/>
      <c r="F1694" s="15"/>
    </row>
    <row r="1695" spans="5:6">
      <c r="E1695" s="16"/>
      <c r="F1695" s="15"/>
    </row>
    <row r="1696" spans="5:6">
      <c r="E1696" s="16"/>
      <c r="F1696" s="15"/>
    </row>
    <row r="1697" spans="5:6">
      <c r="E1697" s="16"/>
      <c r="F1697" s="15"/>
    </row>
    <row r="1698" spans="5:6">
      <c r="E1698" s="16"/>
      <c r="F1698" s="15"/>
    </row>
    <row r="1699" spans="5:6">
      <c r="E1699" s="16"/>
      <c r="F1699" s="15"/>
    </row>
    <row r="1700" spans="5:6">
      <c r="E1700" s="16"/>
      <c r="F1700" s="15"/>
    </row>
    <row r="1701" spans="5:6">
      <c r="E1701" s="16"/>
      <c r="F1701" s="15"/>
    </row>
    <row r="1702" spans="5:6">
      <c r="E1702" s="16"/>
      <c r="F1702" s="15"/>
    </row>
    <row r="1703" spans="5:6">
      <c r="E1703" s="16"/>
      <c r="F1703" s="15"/>
    </row>
    <row r="1704" spans="5:6">
      <c r="E1704" s="16"/>
      <c r="F1704" s="15"/>
    </row>
    <row r="1705" spans="5:6">
      <c r="E1705" s="16"/>
      <c r="F1705" s="15"/>
    </row>
    <row r="1706" spans="5:6">
      <c r="E1706" s="16"/>
      <c r="F1706" s="15"/>
    </row>
    <row r="1707" spans="5:6">
      <c r="E1707" s="16"/>
      <c r="F1707" s="15"/>
    </row>
    <row r="1708" spans="5:6">
      <c r="E1708" s="16"/>
      <c r="F1708" s="15"/>
    </row>
    <row r="1709" spans="5:6">
      <c r="E1709" s="16"/>
      <c r="F1709" s="15"/>
    </row>
    <row r="1710" spans="5:6">
      <c r="E1710" s="16"/>
      <c r="F1710" s="15"/>
    </row>
    <row r="1711" spans="5:6">
      <c r="E1711" s="16"/>
      <c r="F1711" s="15"/>
    </row>
    <row r="1712" spans="5:6">
      <c r="E1712" s="16"/>
      <c r="F1712" s="15"/>
    </row>
    <row r="1713" spans="5:6">
      <c r="E1713" s="16"/>
      <c r="F1713" s="15"/>
    </row>
    <row r="1714" spans="5:6">
      <c r="E1714" s="16"/>
      <c r="F1714" s="15"/>
    </row>
    <row r="1715" spans="5:6">
      <c r="E1715" s="16"/>
      <c r="F1715" s="15"/>
    </row>
    <row r="1716" spans="5:6">
      <c r="E1716" s="16"/>
      <c r="F1716" s="15"/>
    </row>
    <row r="1717" spans="5:6">
      <c r="E1717" s="16"/>
      <c r="F1717" s="15"/>
    </row>
    <row r="1718" spans="5:6">
      <c r="E1718" s="16"/>
      <c r="F1718" s="15"/>
    </row>
    <row r="1719" spans="5:6">
      <c r="E1719" s="16"/>
      <c r="F1719" s="15"/>
    </row>
    <row r="1720" spans="5:6">
      <c r="E1720" s="16"/>
      <c r="F1720" s="15"/>
    </row>
    <row r="1721" spans="5:6">
      <c r="E1721" s="16"/>
      <c r="F1721" s="15"/>
    </row>
    <row r="1722" spans="5:6">
      <c r="E1722" s="16"/>
      <c r="F1722" s="15"/>
    </row>
    <row r="1723" spans="5:6">
      <c r="E1723" s="16"/>
      <c r="F1723" s="15"/>
    </row>
    <row r="1724" spans="5:6">
      <c r="E1724" s="16"/>
      <c r="F1724" s="15"/>
    </row>
    <row r="1725" spans="5:6">
      <c r="E1725" s="16"/>
      <c r="F1725" s="15"/>
    </row>
    <row r="1726" spans="5:6">
      <c r="E1726" s="16"/>
      <c r="F1726" s="15"/>
    </row>
    <row r="1727" spans="5:6">
      <c r="E1727" s="16"/>
      <c r="F1727" s="15"/>
    </row>
    <row r="1728" spans="5:6">
      <c r="E1728" s="16"/>
      <c r="F1728" s="15"/>
    </row>
    <row r="1729" spans="5:6">
      <c r="E1729" s="16"/>
      <c r="F1729" s="15"/>
    </row>
    <row r="1730" spans="5:6">
      <c r="E1730" s="16"/>
      <c r="F1730" s="15"/>
    </row>
    <row r="1731" spans="5:6">
      <c r="E1731" s="16"/>
      <c r="F1731" s="15"/>
    </row>
    <row r="1732" spans="5:6">
      <c r="E1732" s="16"/>
      <c r="F1732" s="15"/>
    </row>
    <row r="1733" spans="5:6">
      <c r="E1733" s="16"/>
      <c r="F1733" s="15"/>
    </row>
    <row r="1734" spans="5:6">
      <c r="E1734" s="16"/>
      <c r="F1734" s="15"/>
    </row>
    <row r="1735" spans="5:6">
      <c r="E1735" s="16"/>
      <c r="F1735" s="15"/>
    </row>
    <row r="1736" spans="5:6">
      <c r="E1736" s="16"/>
      <c r="F1736" s="15"/>
    </row>
    <row r="1737" spans="5:6">
      <c r="E1737" s="16"/>
      <c r="F1737" s="15"/>
    </row>
    <row r="1738" spans="5:6">
      <c r="E1738" s="16"/>
      <c r="F1738" s="15"/>
    </row>
    <row r="1739" spans="5:6">
      <c r="E1739" s="16"/>
      <c r="F1739" s="15"/>
    </row>
    <row r="1740" spans="5:6">
      <c r="E1740" s="16"/>
      <c r="F1740" s="15"/>
    </row>
    <row r="1741" spans="5:6">
      <c r="E1741" s="16"/>
      <c r="F1741" s="15"/>
    </row>
    <row r="1742" spans="5:6">
      <c r="E1742" s="16"/>
      <c r="F1742" s="15"/>
    </row>
    <row r="1743" spans="5:6">
      <c r="E1743" s="16"/>
      <c r="F1743" s="15"/>
    </row>
    <row r="1744" spans="5:6">
      <c r="E1744" s="16"/>
      <c r="F1744" s="15"/>
    </row>
    <row r="1745" spans="5:6">
      <c r="E1745" s="16"/>
      <c r="F1745" s="15"/>
    </row>
    <row r="1746" spans="5:6">
      <c r="E1746" s="16"/>
      <c r="F1746" s="15"/>
    </row>
    <row r="1747" spans="5:6">
      <c r="E1747" s="16"/>
      <c r="F1747" s="15"/>
    </row>
    <row r="1748" spans="5:6">
      <c r="E1748" s="16"/>
      <c r="F1748" s="15"/>
    </row>
    <row r="1749" spans="5:6">
      <c r="E1749" s="16"/>
      <c r="F1749" s="15"/>
    </row>
    <row r="1750" spans="5:6">
      <c r="E1750" s="16"/>
      <c r="F1750" s="15"/>
    </row>
    <row r="1751" spans="5:6">
      <c r="E1751" s="16"/>
      <c r="F1751" s="15"/>
    </row>
    <row r="1752" spans="5:6">
      <c r="E1752" s="16"/>
      <c r="F1752" s="15"/>
    </row>
    <row r="1753" spans="5:6">
      <c r="E1753" s="16"/>
      <c r="F1753" s="15"/>
    </row>
    <row r="1754" spans="5:6">
      <c r="E1754" s="16"/>
      <c r="F1754" s="15"/>
    </row>
    <row r="1755" spans="5:6">
      <c r="E1755" s="16"/>
      <c r="F1755" s="15"/>
    </row>
    <row r="1756" spans="5:6">
      <c r="E1756" s="16"/>
      <c r="F1756" s="15"/>
    </row>
    <row r="1757" spans="5:6">
      <c r="E1757" s="16"/>
      <c r="F1757" s="15"/>
    </row>
    <row r="1758" spans="5:6">
      <c r="E1758" s="16"/>
      <c r="F1758" s="15"/>
    </row>
    <row r="1759" spans="5:6">
      <c r="E1759" s="16"/>
      <c r="F1759" s="15"/>
    </row>
    <row r="1760" spans="5:6">
      <c r="E1760" s="16"/>
      <c r="F1760" s="15"/>
    </row>
    <row r="1761" spans="5:6">
      <c r="E1761" s="16"/>
      <c r="F1761" s="15"/>
    </row>
    <row r="1762" spans="5:6">
      <c r="E1762" s="16"/>
      <c r="F1762" s="15"/>
    </row>
    <row r="1763" spans="5:6">
      <c r="E1763" s="16"/>
      <c r="F1763" s="15"/>
    </row>
    <row r="1764" spans="5:6">
      <c r="E1764" s="16"/>
      <c r="F1764" s="15"/>
    </row>
    <row r="1765" spans="5:6">
      <c r="E1765" s="16"/>
      <c r="F1765" s="15"/>
    </row>
    <row r="1766" spans="5:6">
      <c r="E1766" s="16"/>
      <c r="F1766" s="15"/>
    </row>
    <row r="1767" spans="5:6">
      <c r="E1767" s="16"/>
      <c r="F1767" s="15"/>
    </row>
    <row r="1768" spans="5:6">
      <c r="E1768" s="16"/>
      <c r="F1768" s="15"/>
    </row>
    <row r="1769" spans="5:6">
      <c r="E1769" s="16"/>
      <c r="F1769" s="15"/>
    </row>
    <row r="1770" spans="5:6">
      <c r="E1770" s="16"/>
      <c r="F1770" s="15"/>
    </row>
    <row r="1771" spans="5:6">
      <c r="E1771" s="16"/>
      <c r="F1771" s="15"/>
    </row>
    <row r="1772" spans="5:6">
      <c r="E1772" s="16"/>
      <c r="F1772" s="15"/>
    </row>
    <row r="1773" spans="5:6">
      <c r="E1773" s="16"/>
      <c r="F1773" s="15"/>
    </row>
    <row r="1774" spans="5:6">
      <c r="E1774" s="16"/>
      <c r="F1774" s="15"/>
    </row>
    <row r="1775" spans="5:6">
      <c r="E1775" s="16"/>
      <c r="F1775" s="15"/>
    </row>
    <row r="1776" spans="5:6">
      <c r="E1776" s="16"/>
      <c r="F1776" s="15"/>
    </row>
    <row r="1777" spans="5:6">
      <c r="E1777" s="16"/>
      <c r="F1777" s="15"/>
    </row>
    <row r="1778" spans="5:6">
      <c r="E1778" s="16"/>
      <c r="F1778" s="15"/>
    </row>
    <row r="1779" spans="5:6">
      <c r="E1779" s="16"/>
      <c r="F1779" s="15"/>
    </row>
    <row r="1780" spans="5:6">
      <c r="E1780" s="16"/>
      <c r="F1780" s="15"/>
    </row>
    <row r="1781" spans="5:6">
      <c r="E1781" s="16"/>
      <c r="F1781" s="15"/>
    </row>
    <row r="1782" spans="5:6">
      <c r="E1782" s="16"/>
      <c r="F1782" s="15"/>
    </row>
    <row r="1783" spans="5:6">
      <c r="E1783" s="16"/>
      <c r="F1783" s="15"/>
    </row>
    <row r="1784" spans="5:6">
      <c r="E1784" s="16"/>
      <c r="F1784" s="15"/>
    </row>
    <row r="1785" spans="5:6">
      <c r="E1785" s="16"/>
      <c r="F1785" s="15"/>
    </row>
    <row r="1786" spans="5:6">
      <c r="E1786" s="16"/>
      <c r="F1786" s="15"/>
    </row>
    <row r="1787" spans="5:6">
      <c r="E1787" s="16"/>
      <c r="F1787" s="15"/>
    </row>
    <row r="1788" spans="5:6">
      <c r="E1788" s="16"/>
      <c r="F1788" s="15"/>
    </row>
    <row r="1789" spans="5:6">
      <c r="E1789" s="16"/>
      <c r="F1789" s="15"/>
    </row>
    <row r="1790" spans="5:6">
      <c r="E1790" s="16"/>
      <c r="F1790" s="15"/>
    </row>
    <row r="1791" spans="5:6">
      <c r="E1791" s="16"/>
      <c r="F1791" s="15"/>
    </row>
    <row r="1792" spans="5:6">
      <c r="E1792" s="16"/>
      <c r="F1792" s="15"/>
    </row>
    <row r="1793" spans="5:6">
      <c r="E1793" s="16"/>
      <c r="F1793" s="15"/>
    </row>
    <row r="1794" spans="5:6">
      <c r="E1794" s="16"/>
      <c r="F1794" s="15"/>
    </row>
    <row r="1795" spans="5:6">
      <c r="E1795" s="16"/>
      <c r="F1795" s="15"/>
    </row>
    <row r="1796" spans="5:6">
      <c r="E1796" s="16"/>
      <c r="F1796" s="15"/>
    </row>
    <row r="1797" spans="5:6">
      <c r="E1797" s="16"/>
      <c r="F1797" s="15"/>
    </row>
    <row r="1798" spans="5:6">
      <c r="E1798" s="16"/>
      <c r="F1798" s="15"/>
    </row>
    <row r="1799" spans="5:6">
      <c r="E1799" s="16"/>
      <c r="F1799" s="15"/>
    </row>
    <row r="1800" spans="5:6">
      <c r="E1800" s="16"/>
      <c r="F1800" s="15"/>
    </row>
    <row r="1801" spans="5:6">
      <c r="E1801" s="16"/>
      <c r="F1801" s="15"/>
    </row>
    <row r="1802" spans="5:6">
      <c r="E1802" s="16"/>
      <c r="F1802" s="15"/>
    </row>
    <row r="1803" spans="5:6">
      <c r="E1803" s="16"/>
      <c r="F1803" s="15"/>
    </row>
    <row r="1804" spans="5:6">
      <c r="E1804" s="16"/>
      <c r="F1804" s="15"/>
    </row>
    <row r="1805" spans="5:6">
      <c r="E1805" s="16"/>
      <c r="F1805" s="15"/>
    </row>
    <row r="1806" spans="5:6">
      <c r="E1806" s="16"/>
      <c r="F1806" s="15"/>
    </row>
    <row r="1807" spans="5:6">
      <c r="E1807" s="16"/>
      <c r="F1807" s="15"/>
    </row>
    <row r="1808" spans="5:6">
      <c r="E1808" s="16"/>
      <c r="F1808" s="15"/>
    </row>
    <row r="1809" spans="5:6">
      <c r="E1809" s="16"/>
      <c r="F1809" s="15"/>
    </row>
    <row r="1810" spans="5:6">
      <c r="E1810" s="16"/>
      <c r="F1810" s="15"/>
    </row>
    <row r="1811" spans="5:6">
      <c r="E1811" s="16"/>
      <c r="F1811" s="15"/>
    </row>
    <row r="1812" spans="5:6">
      <c r="E1812" s="16"/>
      <c r="F1812" s="15"/>
    </row>
    <row r="1813" spans="5:6">
      <c r="E1813" s="16"/>
      <c r="F1813" s="15"/>
    </row>
    <row r="1814" spans="5:6">
      <c r="E1814" s="16"/>
      <c r="F1814" s="15"/>
    </row>
    <row r="1815" spans="5:6">
      <c r="E1815" s="16"/>
      <c r="F1815" s="15"/>
    </row>
    <row r="1816" spans="5:6">
      <c r="E1816" s="16"/>
      <c r="F1816" s="15"/>
    </row>
    <row r="1817" spans="5:6">
      <c r="E1817" s="16"/>
      <c r="F1817" s="15"/>
    </row>
    <row r="1818" spans="5:6">
      <c r="E1818" s="16"/>
      <c r="F1818" s="15"/>
    </row>
    <row r="1819" spans="5:6">
      <c r="E1819" s="16"/>
      <c r="F1819" s="15"/>
    </row>
    <row r="1820" spans="5:6">
      <c r="E1820" s="16"/>
      <c r="F1820" s="15"/>
    </row>
    <row r="1821" spans="5:6">
      <c r="E1821" s="16"/>
      <c r="F1821" s="15"/>
    </row>
    <row r="1822" spans="5:6">
      <c r="E1822" s="16"/>
      <c r="F1822" s="15"/>
    </row>
    <row r="1823" spans="5:6">
      <c r="E1823" s="16"/>
      <c r="F1823" s="15"/>
    </row>
    <row r="1824" spans="5:6">
      <c r="E1824" s="16"/>
      <c r="F1824" s="15"/>
    </row>
    <row r="1825" spans="5:6">
      <c r="E1825" s="16"/>
      <c r="F1825" s="15"/>
    </row>
    <row r="1826" spans="5:6">
      <c r="E1826" s="16"/>
      <c r="F1826" s="15"/>
    </row>
    <row r="1827" spans="5:6">
      <c r="E1827" s="16"/>
      <c r="F1827" s="15"/>
    </row>
    <row r="1828" spans="5:6">
      <c r="E1828" s="16"/>
      <c r="F1828" s="15"/>
    </row>
    <row r="1829" spans="5:6">
      <c r="E1829" s="16"/>
      <c r="F1829" s="15"/>
    </row>
    <row r="1830" spans="5:6">
      <c r="E1830" s="16"/>
      <c r="F1830" s="15"/>
    </row>
    <row r="1831" spans="5:6">
      <c r="E1831" s="16"/>
      <c r="F1831" s="15"/>
    </row>
    <row r="1832" spans="5:6">
      <c r="E1832" s="16"/>
      <c r="F1832" s="15"/>
    </row>
    <row r="1833" spans="5:6">
      <c r="E1833" s="16"/>
      <c r="F1833" s="15"/>
    </row>
    <row r="1834" spans="5:6">
      <c r="E1834" s="16"/>
      <c r="F1834" s="15"/>
    </row>
    <row r="1835" spans="5:6">
      <c r="E1835" s="16"/>
      <c r="F1835" s="15"/>
    </row>
    <row r="1836" spans="5:6">
      <c r="E1836" s="16"/>
      <c r="F1836" s="15"/>
    </row>
    <row r="1837" spans="5:6">
      <c r="E1837" s="16"/>
      <c r="F1837" s="15"/>
    </row>
    <row r="1838" spans="5:6">
      <c r="E1838" s="16"/>
      <c r="F1838" s="15"/>
    </row>
    <row r="1839" spans="5:6">
      <c r="E1839" s="16"/>
      <c r="F1839" s="15"/>
    </row>
    <row r="1840" spans="5:6">
      <c r="E1840" s="16"/>
      <c r="F1840" s="15"/>
    </row>
    <row r="1841" spans="5:6">
      <c r="E1841" s="16"/>
      <c r="F1841" s="15"/>
    </row>
    <row r="1842" spans="5:6">
      <c r="E1842" s="16"/>
      <c r="F1842" s="15"/>
    </row>
    <row r="1843" spans="5:6">
      <c r="E1843" s="16"/>
      <c r="F1843" s="15"/>
    </row>
    <row r="1844" spans="5:6">
      <c r="E1844" s="16"/>
      <c r="F1844" s="15"/>
    </row>
    <row r="1845" spans="5:6">
      <c r="E1845" s="16"/>
      <c r="F1845" s="15"/>
    </row>
    <row r="1846" spans="5:6">
      <c r="E1846" s="16"/>
      <c r="F1846" s="15"/>
    </row>
    <row r="1847" spans="5:6">
      <c r="E1847" s="16"/>
      <c r="F1847" s="15"/>
    </row>
    <row r="1848" spans="5:6">
      <c r="E1848" s="16"/>
      <c r="F1848" s="15"/>
    </row>
    <row r="1849" spans="5:6">
      <c r="E1849" s="16"/>
      <c r="F1849" s="15"/>
    </row>
    <row r="1850" spans="5:6">
      <c r="E1850" s="16"/>
      <c r="F1850" s="15"/>
    </row>
    <row r="1851" spans="5:6">
      <c r="E1851" s="16"/>
      <c r="F1851" s="15"/>
    </row>
    <row r="1852" spans="5:6">
      <c r="E1852" s="16"/>
      <c r="F1852" s="15"/>
    </row>
    <row r="1853" spans="5:6">
      <c r="E1853" s="16"/>
      <c r="F1853" s="15"/>
    </row>
    <row r="1854" spans="5:6">
      <c r="E1854" s="16"/>
      <c r="F1854" s="15"/>
    </row>
    <row r="1855" spans="5:6">
      <c r="E1855" s="16"/>
      <c r="F1855" s="15"/>
    </row>
    <row r="1856" spans="5:6">
      <c r="E1856" s="16"/>
      <c r="F1856" s="15"/>
    </row>
    <row r="1857" spans="5:6">
      <c r="E1857" s="16"/>
      <c r="F1857" s="15"/>
    </row>
    <row r="1858" spans="5:6">
      <c r="E1858" s="16"/>
      <c r="F1858" s="15"/>
    </row>
    <row r="1859" spans="5:6">
      <c r="E1859" s="16"/>
      <c r="F1859" s="15"/>
    </row>
    <row r="1860" spans="5:6">
      <c r="E1860" s="16"/>
      <c r="F1860" s="15"/>
    </row>
    <row r="1861" spans="5:6">
      <c r="E1861" s="16"/>
      <c r="F1861" s="15"/>
    </row>
    <row r="1862" spans="5:6">
      <c r="E1862" s="16"/>
      <c r="F1862" s="15"/>
    </row>
    <row r="1863" spans="5:6">
      <c r="E1863" s="16"/>
      <c r="F1863" s="15"/>
    </row>
    <row r="1864" spans="5:6">
      <c r="E1864" s="16"/>
      <c r="F1864" s="15"/>
    </row>
    <row r="1865" spans="5:6">
      <c r="E1865" s="16"/>
      <c r="F1865" s="15"/>
    </row>
    <row r="1866" spans="5:6">
      <c r="E1866" s="16"/>
      <c r="F1866" s="15"/>
    </row>
    <row r="1867" spans="5:6">
      <c r="E1867" s="16"/>
      <c r="F1867" s="15"/>
    </row>
    <row r="1868" spans="5:6">
      <c r="E1868" s="16"/>
      <c r="F1868" s="15"/>
    </row>
    <row r="1869" spans="5:6">
      <c r="E1869" s="16"/>
      <c r="F1869" s="15"/>
    </row>
    <row r="1870" spans="5:6">
      <c r="E1870" s="16"/>
      <c r="F1870" s="15"/>
    </row>
    <row r="1871" spans="5:6">
      <c r="E1871" s="16"/>
      <c r="F1871" s="15"/>
    </row>
    <row r="1872" spans="5:6">
      <c r="E1872" s="16"/>
      <c r="F1872" s="15"/>
    </row>
    <row r="1873" spans="5:6">
      <c r="E1873" s="16"/>
      <c r="F1873" s="15"/>
    </row>
    <row r="1874" spans="5:6">
      <c r="E1874" s="16"/>
      <c r="F1874" s="15"/>
    </row>
    <row r="1875" spans="5:6">
      <c r="E1875" s="16"/>
      <c r="F1875" s="15"/>
    </row>
    <row r="1876" spans="5:6">
      <c r="E1876" s="16"/>
      <c r="F1876" s="15"/>
    </row>
    <row r="1877" spans="5:6">
      <c r="E1877" s="16"/>
      <c r="F1877" s="15"/>
    </row>
    <row r="1878" spans="5:6">
      <c r="E1878" s="16"/>
      <c r="F1878" s="15"/>
    </row>
    <row r="1879" spans="5:6">
      <c r="E1879" s="16"/>
      <c r="F1879" s="15"/>
    </row>
    <row r="1880" spans="5:6">
      <c r="E1880" s="16"/>
      <c r="F1880" s="15"/>
    </row>
    <row r="1881" spans="5:6">
      <c r="E1881" s="16"/>
      <c r="F1881" s="15"/>
    </row>
    <row r="1882" spans="5:6">
      <c r="E1882" s="16"/>
      <c r="F1882" s="15"/>
    </row>
    <row r="1883" spans="5:6">
      <c r="E1883" s="16"/>
      <c r="F1883" s="15"/>
    </row>
    <row r="1884" spans="5:6">
      <c r="E1884" s="16"/>
      <c r="F1884" s="15"/>
    </row>
    <row r="1885" spans="5:6">
      <c r="E1885" s="16"/>
      <c r="F1885" s="15"/>
    </row>
    <row r="1886" spans="5:6">
      <c r="E1886" s="16"/>
      <c r="F1886" s="15"/>
    </row>
    <row r="1887" spans="5:6">
      <c r="E1887" s="16"/>
      <c r="F1887" s="15"/>
    </row>
    <row r="1888" spans="5:6">
      <c r="E1888" s="16"/>
      <c r="F1888" s="15"/>
    </row>
    <row r="1889" spans="5:6">
      <c r="E1889" s="16"/>
      <c r="F1889" s="15"/>
    </row>
    <row r="1890" spans="5:6">
      <c r="E1890" s="16"/>
      <c r="F1890" s="15"/>
    </row>
    <row r="1891" spans="5:6">
      <c r="E1891" s="16"/>
      <c r="F1891" s="15"/>
    </row>
    <row r="1892" spans="5:6">
      <c r="E1892" s="16"/>
      <c r="F1892" s="15"/>
    </row>
    <row r="1893" spans="5:6">
      <c r="E1893" s="16"/>
      <c r="F1893" s="15"/>
    </row>
    <row r="1894" spans="5:6">
      <c r="E1894" s="16"/>
      <c r="F1894" s="15"/>
    </row>
    <row r="1895" spans="5:6">
      <c r="E1895" s="16"/>
      <c r="F1895" s="15"/>
    </row>
    <row r="1896" spans="5:6">
      <c r="E1896" s="16"/>
      <c r="F1896" s="15"/>
    </row>
    <row r="1897" spans="5:6">
      <c r="E1897" s="16"/>
      <c r="F1897" s="15"/>
    </row>
    <row r="1898" spans="5:6">
      <c r="E1898" s="16"/>
      <c r="F1898" s="15"/>
    </row>
    <row r="1899" spans="5:6">
      <c r="E1899" s="16"/>
      <c r="F1899" s="15"/>
    </row>
    <row r="1900" spans="5:6">
      <c r="E1900" s="16"/>
      <c r="F1900" s="15"/>
    </row>
    <row r="1901" spans="5:6">
      <c r="E1901" s="16"/>
      <c r="F1901" s="15"/>
    </row>
    <row r="1902" spans="5:6">
      <c r="E1902" s="16"/>
      <c r="F1902" s="15"/>
    </row>
    <row r="1903" spans="5:6">
      <c r="E1903" s="16"/>
      <c r="F1903" s="15"/>
    </row>
    <row r="1904" spans="5:6">
      <c r="E1904" s="16"/>
      <c r="F1904" s="15"/>
    </row>
    <row r="1905" spans="5:6">
      <c r="E1905" s="16"/>
      <c r="F1905" s="15"/>
    </row>
    <row r="1906" spans="5:6">
      <c r="E1906" s="16"/>
      <c r="F1906" s="15"/>
    </row>
    <row r="1907" spans="5:6">
      <c r="E1907" s="16"/>
      <c r="F1907" s="15"/>
    </row>
    <row r="1908" spans="5:6">
      <c r="E1908" s="16"/>
      <c r="F1908" s="15"/>
    </row>
    <row r="1909" spans="5:6">
      <c r="E1909" s="16"/>
      <c r="F1909" s="15"/>
    </row>
    <row r="1910" spans="5:6">
      <c r="E1910" s="16"/>
      <c r="F1910" s="15"/>
    </row>
    <row r="1911" spans="5:6">
      <c r="E1911" s="16"/>
      <c r="F1911" s="15"/>
    </row>
    <row r="1912" spans="5:6">
      <c r="E1912" s="16"/>
      <c r="F1912" s="15"/>
    </row>
    <row r="1913" spans="5:6">
      <c r="E1913" s="16"/>
      <c r="F1913" s="15"/>
    </row>
    <row r="1914" spans="5:6">
      <c r="E1914" s="16"/>
      <c r="F1914" s="15"/>
    </row>
    <row r="1915" spans="5:6">
      <c r="E1915" s="16"/>
      <c r="F1915" s="15"/>
    </row>
    <row r="1916" spans="5:6">
      <c r="E1916" s="16"/>
      <c r="F1916" s="15"/>
    </row>
    <row r="1917" spans="5:6">
      <c r="E1917" s="16"/>
      <c r="F1917" s="15"/>
    </row>
    <row r="1918" spans="5:6">
      <c r="E1918" s="16"/>
      <c r="F1918" s="15"/>
    </row>
    <row r="1919" spans="5:6">
      <c r="E1919" s="16"/>
      <c r="F1919" s="15"/>
    </row>
    <row r="1920" spans="5:6">
      <c r="E1920" s="16"/>
      <c r="F1920" s="15"/>
    </row>
    <row r="1921" spans="5:6">
      <c r="E1921" s="16"/>
      <c r="F1921" s="15"/>
    </row>
    <row r="1922" spans="5:6">
      <c r="E1922" s="16"/>
      <c r="F1922" s="15"/>
    </row>
    <row r="1923" spans="5:6">
      <c r="E1923" s="16"/>
      <c r="F1923" s="15"/>
    </row>
    <row r="1924" spans="5:6">
      <c r="E1924" s="16"/>
      <c r="F1924" s="15"/>
    </row>
    <row r="1925" spans="5:6">
      <c r="E1925" s="16"/>
      <c r="F1925" s="15"/>
    </row>
    <row r="1926" spans="5:6">
      <c r="E1926" s="16"/>
      <c r="F1926" s="15"/>
    </row>
    <row r="1927" spans="5:6">
      <c r="E1927" s="16"/>
      <c r="F1927" s="15"/>
    </row>
    <row r="1928" spans="5:6">
      <c r="E1928" s="16"/>
      <c r="F1928" s="15"/>
    </row>
    <row r="1929" spans="5:6">
      <c r="E1929" s="16"/>
      <c r="F1929" s="15"/>
    </row>
    <row r="1930" spans="5:6">
      <c r="E1930" s="16"/>
      <c r="F1930" s="15"/>
    </row>
    <row r="1931" spans="5:6">
      <c r="E1931" s="16"/>
      <c r="F1931" s="15"/>
    </row>
    <row r="1932" spans="5:6">
      <c r="E1932" s="16"/>
      <c r="F1932" s="15"/>
    </row>
    <row r="1933" spans="5:6">
      <c r="E1933" s="16"/>
      <c r="F1933" s="15"/>
    </row>
    <row r="1934" spans="5:6">
      <c r="E1934" s="16"/>
      <c r="F1934" s="15"/>
    </row>
    <row r="1935" spans="5:6">
      <c r="E1935" s="16"/>
      <c r="F1935" s="15"/>
    </row>
    <row r="1936" spans="5:6">
      <c r="E1936" s="16"/>
      <c r="F1936" s="15"/>
    </row>
    <row r="1937" spans="5:6">
      <c r="E1937" s="16"/>
      <c r="F1937" s="15"/>
    </row>
    <row r="1938" spans="5:6">
      <c r="E1938" s="16"/>
      <c r="F1938" s="15"/>
    </row>
    <row r="1939" spans="5:6">
      <c r="E1939" s="16"/>
      <c r="F1939" s="15"/>
    </row>
    <row r="1940" spans="5:6">
      <c r="E1940" s="16"/>
      <c r="F1940" s="15"/>
    </row>
    <row r="1941" spans="5:6">
      <c r="E1941" s="16"/>
      <c r="F1941" s="15"/>
    </row>
    <row r="1942" spans="5:6">
      <c r="E1942" s="16"/>
      <c r="F1942" s="15"/>
    </row>
    <row r="1943" spans="5:6">
      <c r="E1943" s="16"/>
      <c r="F1943" s="15"/>
    </row>
    <row r="1944" spans="5:6">
      <c r="E1944" s="16"/>
      <c r="F1944" s="15"/>
    </row>
    <row r="1945" spans="5:6">
      <c r="E1945" s="16"/>
      <c r="F1945" s="15"/>
    </row>
    <row r="1946" spans="5:6">
      <c r="E1946" s="16"/>
      <c r="F1946" s="15"/>
    </row>
    <row r="1947" spans="5:6">
      <c r="E1947" s="16"/>
      <c r="F1947" s="15"/>
    </row>
    <row r="1948" spans="5:6">
      <c r="E1948" s="16"/>
      <c r="F1948" s="15"/>
    </row>
    <row r="1949" spans="5:6">
      <c r="E1949" s="16"/>
      <c r="F1949" s="15"/>
    </row>
    <row r="1950" spans="5:6">
      <c r="E1950" s="16"/>
      <c r="F1950" s="15"/>
    </row>
    <row r="1951" spans="5:6">
      <c r="E1951" s="16"/>
      <c r="F1951" s="15"/>
    </row>
    <row r="1952" spans="5:6">
      <c r="E1952" s="16"/>
      <c r="F1952" s="15"/>
    </row>
    <row r="1953" spans="5:6">
      <c r="E1953" s="16"/>
      <c r="F1953" s="15"/>
    </row>
    <row r="1954" spans="5:6">
      <c r="E1954" s="16"/>
      <c r="F1954" s="15"/>
    </row>
    <row r="1955" spans="5:6">
      <c r="E1955" s="16"/>
      <c r="F1955" s="15"/>
    </row>
    <row r="1956" spans="5:6">
      <c r="E1956" s="16"/>
      <c r="F1956" s="15"/>
    </row>
    <row r="1957" spans="5:6">
      <c r="E1957" s="16"/>
      <c r="F1957" s="15"/>
    </row>
    <row r="1958" spans="5:6">
      <c r="E1958" s="16"/>
      <c r="F1958" s="15"/>
    </row>
    <row r="1959" spans="5:6">
      <c r="E1959" s="16"/>
      <c r="F1959" s="15"/>
    </row>
    <row r="1960" spans="5:6">
      <c r="E1960" s="16"/>
      <c r="F1960" s="15"/>
    </row>
    <row r="1961" spans="5:6">
      <c r="E1961" s="16"/>
      <c r="F1961" s="15"/>
    </row>
    <row r="1962" spans="5:6">
      <c r="E1962" s="16"/>
      <c r="F1962" s="15"/>
    </row>
    <row r="1963" spans="5:6">
      <c r="E1963" s="16"/>
      <c r="F1963" s="15"/>
    </row>
    <row r="1964" spans="5:6">
      <c r="E1964" s="16"/>
      <c r="F1964" s="15"/>
    </row>
    <row r="1965" spans="5:6">
      <c r="E1965" s="16"/>
      <c r="F1965" s="15"/>
    </row>
    <row r="1966" spans="5:6">
      <c r="E1966" s="16"/>
      <c r="F1966" s="15"/>
    </row>
    <row r="1967" spans="5:6">
      <c r="E1967" s="16"/>
      <c r="F1967" s="15"/>
    </row>
    <row r="1968" spans="5:6">
      <c r="E1968" s="16"/>
      <c r="F1968" s="15"/>
    </row>
    <row r="1969" spans="5:6">
      <c r="E1969" s="16"/>
      <c r="F1969" s="15"/>
    </row>
    <row r="1970" spans="5:6">
      <c r="E1970" s="16"/>
      <c r="F1970" s="15"/>
    </row>
    <row r="1971" spans="5:6">
      <c r="E1971" s="16"/>
      <c r="F1971" s="15"/>
    </row>
    <row r="1972" spans="5:6">
      <c r="E1972" s="16"/>
      <c r="F1972" s="15"/>
    </row>
    <row r="1973" spans="5:6">
      <c r="E1973" s="16"/>
      <c r="F1973" s="15"/>
    </row>
    <row r="1974" spans="5:6">
      <c r="E1974" s="16"/>
      <c r="F1974" s="15"/>
    </row>
    <row r="1975" spans="5:6">
      <c r="E1975" s="16"/>
      <c r="F1975" s="15"/>
    </row>
    <row r="1976" spans="5:6">
      <c r="E1976" s="16"/>
      <c r="F1976" s="15"/>
    </row>
    <row r="1977" spans="5:6">
      <c r="E1977" s="16"/>
      <c r="F1977" s="15"/>
    </row>
    <row r="1978" spans="5:6">
      <c r="E1978" s="16"/>
      <c r="F1978" s="15"/>
    </row>
    <row r="1979" spans="5:6">
      <c r="E1979" s="16"/>
      <c r="F1979" s="15"/>
    </row>
    <row r="1980" spans="5:6">
      <c r="E1980" s="16"/>
      <c r="F1980" s="15"/>
    </row>
    <row r="1981" spans="5:6">
      <c r="E1981" s="16"/>
      <c r="F1981" s="15"/>
    </row>
    <row r="1982" spans="5:6">
      <c r="E1982" s="16"/>
      <c r="F1982" s="15"/>
    </row>
    <row r="1983" spans="5:6">
      <c r="E1983" s="16"/>
      <c r="F1983" s="15"/>
    </row>
    <row r="1984" spans="5:6">
      <c r="E1984" s="16"/>
      <c r="F1984" s="15"/>
    </row>
    <row r="1985" spans="5:6">
      <c r="E1985" s="16"/>
      <c r="F1985" s="15"/>
    </row>
    <row r="1986" spans="5:6">
      <c r="E1986" s="16"/>
      <c r="F1986" s="15"/>
    </row>
    <row r="1987" spans="5:6">
      <c r="E1987" s="16"/>
      <c r="F1987" s="15"/>
    </row>
    <row r="1988" spans="5:6">
      <c r="E1988" s="16"/>
      <c r="F1988" s="15"/>
    </row>
    <row r="1989" spans="5:6">
      <c r="E1989" s="16"/>
      <c r="F1989" s="15"/>
    </row>
    <row r="1990" spans="5:6">
      <c r="E1990" s="16"/>
      <c r="F1990" s="15"/>
    </row>
    <row r="1991" spans="5:6">
      <c r="E1991" s="16"/>
      <c r="F1991" s="15"/>
    </row>
    <row r="1992" spans="5:6">
      <c r="E1992" s="16"/>
      <c r="F1992" s="15"/>
    </row>
    <row r="1993" spans="5:6">
      <c r="E1993" s="16"/>
      <c r="F1993" s="15"/>
    </row>
    <row r="1994" spans="5:6">
      <c r="E1994" s="16"/>
      <c r="F1994" s="15"/>
    </row>
    <row r="1995" spans="5:6">
      <c r="E1995" s="16"/>
      <c r="F1995" s="15"/>
    </row>
    <row r="1996" spans="5:6">
      <c r="E1996" s="16"/>
      <c r="F1996" s="15"/>
    </row>
    <row r="1997" spans="5:6">
      <c r="E1997" s="16"/>
      <c r="F1997" s="15"/>
    </row>
    <row r="1998" spans="5:6">
      <c r="E1998" s="16"/>
      <c r="F1998" s="15"/>
    </row>
    <row r="1999" spans="5:6">
      <c r="E1999" s="16"/>
      <c r="F1999" s="15"/>
    </row>
    <row r="2000" spans="5:6">
      <c r="E2000" s="16"/>
      <c r="F2000" s="15"/>
    </row>
    <row r="2001" spans="5:6">
      <c r="E2001" s="16"/>
      <c r="F2001" s="15"/>
    </row>
    <row r="2002" spans="5:6">
      <c r="E2002" s="16"/>
      <c r="F2002" s="15"/>
    </row>
    <row r="2003" spans="5:6">
      <c r="E2003" s="16"/>
      <c r="F2003" s="15"/>
    </row>
    <row r="2004" spans="5:6">
      <c r="E2004" s="16"/>
      <c r="F2004" s="15"/>
    </row>
    <row r="2005" spans="5:6">
      <c r="E2005" s="16"/>
      <c r="F2005" s="15"/>
    </row>
    <row r="2006" spans="5:6">
      <c r="E2006" s="16"/>
      <c r="F2006" s="15"/>
    </row>
    <row r="2007" spans="5:6">
      <c r="E2007" s="16"/>
      <c r="F2007" s="15"/>
    </row>
    <row r="2008" spans="5:6">
      <c r="E2008" s="16"/>
      <c r="F2008" s="15"/>
    </row>
    <row r="2009" spans="5:6">
      <c r="E2009" s="16"/>
      <c r="F2009" s="15"/>
    </row>
    <row r="2010" spans="5:6">
      <c r="E2010" s="16"/>
      <c r="F2010" s="15"/>
    </row>
    <row r="2011" spans="5:6">
      <c r="E2011" s="16"/>
      <c r="F2011" s="15"/>
    </row>
    <row r="2012" spans="5:6">
      <c r="E2012" s="16"/>
      <c r="F2012" s="15"/>
    </row>
    <row r="2013" spans="5:6">
      <c r="E2013" s="16"/>
      <c r="F2013" s="15"/>
    </row>
    <row r="2014" spans="5:6">
      <c r="E2014" s="16"/>
      <c r="F2014" s="15"/>
    </row>
    <row r="2015" spans="5:6">
      <c r="E2015" s="16"/>
      <c r="F2015" s="15"/>
    </row>
    <row r="2016" spans="5:6">
      <c r="E2016" s="16"/>
      <c r="F2016" s="15"/>
    </row>
    <row r="2017" spans="5:6">
      <c r="E2017" s="16"/>
      <c r="F2017" s="15"/>
    </row>
    <row r="2018" spans="5:6">
      <c r="E2018" s="16"/>
      <c r="F2018" s="15"/>
    </row>
    <row r="2019" spans="5:6">
      <c r="E2019" s="16"/>
      <c r="F2019" s="15"/>
    </row>
    <row r="2020" spans="5:6">
      <c r="E2020" s="16"/>
      <c r="F2020" s="15"/>
    </row>
    <row r="2021" spans="5:6">
      <c r="E2021" s="16"/>
      <c r="F2021" s="15"/>
    </row>
    <row r="2022" spans="5:6">
      <c r="E2022" s="16"/>
      <c r="F2022" s="15"/>
    </row>
    <row r="2023" spans="5:6">
      <c r="E2023" s="16"/>
      <c r="F2023" s="15"/>
    </row>
    <row r="2024" spans="5:6">
      <c r="E2024" s="16"/>
      <c r="F2024" s="15"/>
    </row>
    <row r="2025" spans="5:6">
      <c r="E2025" s="16"/>
      <c r="F2025" s="15"/>
    </row>
    <row r="2026" spans="5:6">
      <c r="E2026" s="16"/>
      <c r="F2026" s="15"/>
    </row>
    <row r="2027" spans="5:6">
      <c r="E2027" s="16"/>
      <c r="F2027" s="15"/>
    </row>
    <row r="2028" spans="5:6">
      <c r="E2028" s="16"/>
      <c r="F2028" s="15"/>
    </row>
    <row r="2029" spans="5:6">
      <c r="E2029" s="16"/>
      <c r="F2029" s="15"/>
    </row>
    <row r="2030" spans="5:6">
      <c r="E2030" s="16"/>
      <c r="F2030" s="15"/>
    </row>
    <row r="2031" spans="5:6">
      <c r="E2031" s="16"/>
      <c r="F2031" s="15"/>
    </row>
    <row r="2032" spans="5:6">
      <c r="E2032" s="16"/>
      <c r="F2032" s="15"/>
    </row>
    <row r="2033" spans="5:6">
      <c r="E2033" s="16"/>
      <c r="F2033" s="15"/>
    </row>
    <row r="2034" spans="5:6">
      <c r="E2034" s="16"/>
      <c r="F2034" s="15"/>
    </row>
    <row r="2035" spans="5:6">
      <c r="E2035" s="16"/>
      <c r="F2035" s="15"/>
    </row>
    <row r="2036" spans="5:6">
      <c r="E2036" s="16"/>
      <c r="F2036" s="15"/>
    </row>
    <row r="2037" spans="5:6">
      <c r="E2037" s="16"/>
      <c r="F2037" s="15"/>
    </row>
    <row r="2038" spans="5:6">
      <c r="E2038" s="16"/>
      <c r="F2038" s="15"/>
    </row>
    <row r="2039" spans="5:6">
      <c r="E2039" s="16"/>
      <c r="F2039" s="15"/>
    </row>
    <row r="2040" spans="5:6">
      <c r="E2040" s="16"/>
      <c r="F2040" s="15"/>
    </row>
    <row r="2041" spans="5:6">
      <c r="E2041" s="16"/>
      <c r="F2041" s="15"/>
    </row>
    <row r="2042" spans="5:6">
      <c r="E2042" s="16"/>
      <c r="F2042" s="15"/>
    </row>
    <row r="2043" spans="5:6">
      <c r="E2043" s="16"/>
      <c r="F2043" s="15"/>
    </row>
    <row r="2044" spans="5:6">
      <c r="E2044" s="16"/>
      <c r="F2044" s="15"/>
    </row>
    <row r="2045" spans="5:6">
      <c r="E2045" s="16"/>
      <c r="F2045" s="15"/>
    </row>
    <row r="2046" spans="5:6">
      <c r="E2046" s="16"/>
      <c r="F2046" s="15"/>
    </row>
    <row r="2047" spans="5:6">
      <c r="E2047" s="16"/>
      <c r="F2047" s="15"/>
    </row>
    <row r="2048" spans="5:6">
      <c r="E2048" s="16"/>
      <c r="F2048" s="15"/>
    </row>
    <row r="2049" spans="5:6">
      <c r="E2049" s="16"/>
      <c r="F2049" s="15"/>
    </row>
    <row r="2050" spans="5:6">
      <c r="E2050" s="16"/>
      <c r="F2050" s="15"/>
    </row>
    <row r="2051" spans="5:6">
      <c r="E2051" s="16"/>
      <c r="F2051" s="15"/>
    </row>
    <row r="2052" spans="5:6">
      <c r="E2052" s="16"/>
      <c r="F2052" s="15"/>
    </row>
    <row r="2053" spans="5:6">
      <c r="E2053" s="16"/>
      <c r="F2053" s="15"/>
    </row>
    <row r="2054" spans="5:6">
      <c r="E2054" s="16"/>
      <c r="F2054" s="15"/>
    </row>
    <row r="2055" spans="5:6">
      <c r="E2055" s="16"/>
      <c r="F2055" s="15"/>
    </row>
    <row r="2056" spans="5:6">
      <c r="E2056" s="16"/>
      <c r="F2056" s="15"/>
    </row>
    <row r="2057" spans="5:6">
      <c r="E2057" s="16"/>
      <c r="F2057" s="15"/>
    </row>
    <row r="2058" spans="5:6">
      <c r="E2058" s="16"/>
      <c r="F2058" s="15"/>
    </row>
    <row r="2059" spans="5:6">
      <c r="E2059" s="16"/>
      <c r="F2059" s="15"/>
    </row>
    <row r="2060" spans="5:6">
      <c r="E2060" s="16"/>
      <c r="F2060" s="15"/>
    </row>
    <row r="2061" spans="5:6">
      <c r="E2061" s="16"/>
      <c r="F2061" s="15"/>
    </row>
    <row r="2062" spans="5:6">
      <c r="E2062" s="16"/>
      <c r="F2062" s="15"/>
    </row>
    <row r="2063" spans="5:6">
      <c r="E2063" s="16"/>
      <c r="F2063" s="15"/>
    </row>
    <row r="2064" spans="5:6">
      <c r="E2064" s="16"/>
      <c r="F2064" s="15"/>
    </row>
    <row r="2065" spans="5:6">
      <c r="E2065" s="16"/>
      <c r="F2065" s="15"/>
    </row>
    <row r="2066" spans="5:6">
      <c r="E2066" s="16"/>
      <c r="F2066" s="15"/>
    </row>
    <row r="2067" spans="5:6">
      <c r="E2067" s="16"/>
      <c r="F2067" s="15"/>
    </row>
    <row r="2068" spans="5:6">
      <c r="E2068" s="16"/>
      <c r="F2068" s="15"/>
    </row>
    <row r="2069" spans="5:6">
      <c r="E2069" s="16"/>
      <c r="F2069" s="15"/>
    </row>
    <row r="2070" spans="5:6">
      <c r="E2070" s="16"/>
      <c r="F2070" s="15"/>
    </row>
    <row r="2071" spans="5:6">
      <c r="E2071" s="16"/>
      <c r="F2071" s="15"/>
    </row>
    <row r="2072" spans="5:6">
      <c r="E2072" s="16"/>
      <c r="F2072" s="15"/>
    </row>
    <row r="2073" spans="5:6">
      <c r="E2073" s="16"/>
      <c r="F2073" s="15"/>
    </row>
    <row r="2074" spans="5:6">
      <c r="E2074" s="16"/>
      <c r="F2074" s="15"/>
    </row>
    <row r="2075" spans="5:6">
      <c r="E2075" s="16"/>
      <c r="F2075" s="15"/>
    </row>
    <row r="2076" spans="5:6">
      <c r="E2076" s="16"/>
      <c r="F2076" s="15"/>
    </row>
    <row r="2077" spans="5:6">
      <c r="E2077" s="16"/>
      <c r="F2077" s="15"/>
    </row>
    <row r="2078" spans="5:6">
      <c r="E2078" s="16"/>
      <c r="F2078" s="15"/>
    </row>
    <row r="2079" spans="5:6">
      <c r="E2079" s="16"/>
      <c r="F2079" s="15"/>
    </row>
    <row r="2080" spans="5:6">
      <c r="E2080" s="16"/>
      <c r="F2080" s="15"/>
    </row>
    <row r="2081" spans="5:6">
      <c r="E2081" s="16"/>
      <c r="F2081" s="15"/>
    </row>
    <row r="2082" spans="5:6">
      <c r="E2082" s="16"/>
      <c r="F2082" s="15"/>
    </row>
    <row r="2083" spans="5:6">
      <c r="E2083" s="16"/>
      <c r="F2083" s="15"/>
    </row>
    <row r="2084" spans="5:6">
      <c r="E2084" s="16"/>
      <c r="F2084" s="15"/>
    </row>
    <row r="2085" spans="5:6">
      <c r="E2085" s="16"/>
      <c r="F2085" s="15"/>
    </row>
    <row r="2086" spans="5:6">
      <c r="E2086" s="16"/>
      <c r="F2086" s="15"/>
    </row>
    <row r="2087" spans="5:6">
      <c r="E2087" s="16"/>
      <c r="F2087" s="15"/>
    </row>
    <row r="2088" spans="5:6">
      <c r="E2088" s="16"/>
      <c r="F2088" s="15"/>
    </row>
    <row r="2089" spans="5:6">
      <c r="E2089" s="16"/>
      <c r="F2089" s="15"/>
    </row>
    <row r="2090" spans="5:6">
      <c r="E2090" s="16"/>
      <c r="F2090" s="15"/>
    </row>
    <row r="2091" spans="5:6">
      <c r="E2091" s="16"/>
      <c r="F2091" s="15"/>
    </row>
    <row r="2092" spans="5:6">
      <c r="E2092" s="16"/>
      <c r="F2092" s="15"/>
    </row>
    <row r="2093" spans="5:6">
      <c r="E2093" s="16"/>
      <c r="F2093" s="15"/>
    </row>
    <row r="2094" spans="5:6">
      <c r="E2094" s="16"/>
      <c r="F2094" s="15"/>
    </row>
    <row r="2095" spans="5:6">
      <c r="E2095" s="16"/>
      <c r="F2095" s="15"/>
    </row>
    <row r="2096" spans="5:6">
      <c r="E2096" s="16"/>
      <c r="F2096" s="15"/>
    </row>
    <row r="2097" spans="5:6">
      <c r="E2097" s="16"/>
      <c r="F2097" s="15"/>
    </row>
    <row r="2098" spans="5:6">
      <c r="E2098" s="16"/>
      <c r="F2098" s="15"/>
    </row>
    <row r="2099" spans="5:6">
      <c r="E2099" s="16"/>
      <c r="F2099" s="15"/>
    </row>
    <row r="2100" spans="5:6">
      <c r="E2100" s="16"/>
      <c r="F2100" s="15"/>
    </row>
    <row r="2101" spans="5:6">
      <c r="E2101" s="16"/>
      <c r="F2101" s="15"/>
    </row>
    <row r="2102" spans="5:6">
      <c r="E2102" s="16"/>
      <c r="F2102" s="15"/>
    </row>
    <row r="2103" spans="5:6">
      <c r="E2103" s="16"/>
      <c r="F2103" s="15"/>
    </row>
    <row r="2104" spans="5:6">
      <c r="E2104" s="16"/>
      <c r="F2104" s="15"/>
    </row>
    <row r="2105" spans="5:6">
      <c r="E2105" s="16"/>
      <c r="F2105" s="15"/>
    </row>
    <row r="2106" spans="5:6">
      <c r="E2106" s="16"/>
      <c r="F2106" s="15"/>
    </row>
    <row r="2107" spans="5:6">
      <c r="E2107" s="16"/>
      <c r="F2107" s="15"/>
    </row>
    <row r="2108" spans="5:6">
      <c r="E2108" s="16"/>
      <c r="F2108" s="15"/>
    </row>
    <row r="2109" spans="5:6">
      <c r="E2109" s="16"/>
      <c r="F2109" s="15"/>
    </row>
    <row r="2110" spans="5:6">
      <c r="E2110" s="16"/>
      <c r="F2110" s="15"/>
    </row>
    <row r="2111" spans="5:6">
      <c r="E2111" s="16"/>
      <c r="F2111" s="15"/>
    </row>
    <row r="2112" spans="5:6">
      <c r="E2112" s="16"/>
      <c r="F2112" s="15"/>
    </row>
    <row r="2113" spans="5:6">
      <c r="E2113" s="16"/>
      <c r="F2113" s="15"/>
    </row>
    <row r="2114" spans="5:6">
      <c r="E2114" s="16"/>
      <c r="F2114" s="15"/>
    </row>
    <row r="2115" spans="5:6">
      <c r="E2115" s="16"/>
      <c r="F2115" s="15"/>
    </row>
    <row r="2116" spans="5:6">
      <c r="E2116" s="16"/>
      <c r="F2116" s="15"/>
    </row>
    <row r="2117" spans="5:6">
      <c r="E2117" s="16"/>
      <c r="F2117" s="15"/>
    </row>
    <row r="2118" spans="5:6">
      <c r="E2118" s="16"/>
      <c r="F2118" s="15"/>
    </row>
    <row r="2119" spans="5:6">
      <c r="E2119" s="16"/>
      <c r="F2119" s="15"/>
    </row>
    <row r="2120" spans="5:6">
      <c r="E2120" s="16"/>
      <c r="F2120" s="15"/>
    </row>
    <row r="2121" spans="5:6">
      <c r="E2121" s="16"/>
      <c r="F2121" s="15"/>
    </row>
    <row r="2122" spans="5:6">
      <c r="E2122" s="16"/>
      <c r="F2122" s="15"/>
    </row>
    <row r="2123" spans="5:6">
      <c r="E2123" s="16"/>
      <c r="F2123" s="15"/>
    </row>
    <row r="2124" spans="5:6">
      <c r="E2124" s="16"/>
      <c r="F2124" s="15"/>
    </row>
    <row r="2125" spans="5:6">
      <c r="E2125" s="16"/>
      <c r="F2125" s="15"/>
    </row>
    <row r="2126" spans="5:6">
      <c r="E2126" s="16"/>
      <c r="F2126" s="15"/>
    </row>
    <row r="2127" spans="5:6">
      <c r="E2127" s="16"/>
      <c r="F2127" s="15"/>
    </row>
    <row r="2128" spans="5:6">
      <c r="E2128" s="16"/>
      <c r="F2128" s="15"/>
    </row>
    <row r="2129" spans="5:6">
      <c r="E2129" s="16"/>
      <c r="F2129" s="15"/>
    </row>
    <row r="2130" spans="5:6">
      <c r="E2130" s="16"/>
      <c r="F2130" s="15"/>
    </row>
    <row r="2131" spans="5:6">
      <c r="E2131" s="16"/>
      <c r="F2131" s="15"/>
    </row>
    <row r="2132" spans="5:6">
      <c r="E2132" s="16"/>
      <c r="F2132" s="15"/>
    </row>
    <row r="2133" spans="5:6">
      <c r="E2133" s="16"/>
      <c r="F2133" s="15"/>
    </row>
    <row r="2134" spans="5:6">
      <c r="E2134" s="16"/>
      <c r="F2134" s="15"/>
    </row>
    <row r="2135" spans="5:6">
      <c r="E2135" s="16"/>
      <c r="F2135" s="15"/>
    </row>
    <row r="2136" spans="5:6">
      <c r="E2136" s="16"/>
      <c r="F2136" s="15"/>
    </row>
    <row r="2137" spans="5:6">
      <c r="E2137" s="16"/>
      <c r="F2137" s="15"/>
    </row>
    <row r="2138" spans="5:6">
      <c r="E2138" s="16"/>
      <c r="F2138" s="15"/>
    </row>
    <row r="2139" spans="5:6">
      <c r="E2139" s="16"/>
      <c r="F2139" s="15"/>
    </row>
    <row r="2140" spans="5:6">
      <c r="E2140" s="16"/>
      <c r="F2140" s="15"/>
    </row>
    <row r="2141" spans="5:6">
      <c r="E2141" s="16"/>
      <c r="F2141" s="15"/>
    </row>
    <row r="2142" spans="5:6">
      <c r="E2142" s="16"/>
      <c r="F2142" s="15"/>
    </row>
    <row r="2143" spans="5:6">
      <c r="E2143" s="16"/>
      <c r="F2143" s="15"/>
    </row>
    <row r="2144" spans="5:6">
      <c r="E2144" s="16"/>
      <c r="F2144" s="15"/>
    </row>
    <row r="2145" spans="5:6">
      <c r="E2145" s="16"/>
      <c r="F2145" s="15"/>
    </row>
    <row r="2146" spans="5:6">
      <c r="E2146" s="16"/>
      <c r="F2146" s="15"/>
    </row>
    <row r="2147" spans="5:6">
      <c r="E2147" s="16"/>
      <c r="F2147" s="15"/>
    </row>
    <row r="2148" spans="5:6">
      <c r="E2148" s="16"/>
      <c r="F2148" s="15"/>
    </row>
    <row r="2149" spans="5:6">
      <c r="E2149" s="16"/>
      <c r="F2149" s="15"/>
    </row>
    <row r="2150" spans="5:6">
      <c r="E2150" s="16"/>
      <c r="F2150" s="15"/>
    </row>
    <row r="2151" spans="5:6">
      <c r="E2151" s="16"/>
      <c r="F2151" s="15"/>
    </row>
    <row r="2152" spans="5:6">
      <c r="E2152" s="16"/>
      <c r="F2152" s="15"/>
    </row>
    <row r="2153" spans="5:6">
      <c r="E2153" s="16"/>
      <c r="F2153" s="15"/>
    </row>
    <row r="2154" spans="5:6">
      <c r="E2154" s="16"/>
      <c r="F2154" s="15"/>
    </row>
    <row r="2155" spans="5:6">
      <c r="E2155" s="16"/>
      <c r="F2155" s="15"/>
    </row>
    <row r="2156" spans="5:6">
      <c r="E2156" s="16"/>
      <c r="F2156" s="15"/>
    </row>
    <row r="2157" spans="5:6">
      <c r="E2157" s="16"/>
      <c r="F2157" s="15"/>
    </row>
    <row r="2158" spans="5:6">
      <c r="E2158" s="16"/>
      <c r="F2158" s="15"/>
    </row>
    <row r="2159" spans="5:6">
      <c r="E2159" s="16"/>
      <c r="F2159" s="15"/>
    </row>
    <row r="2160" spans="5:6">
      <c r="E2160" s="16"/>
      <c r="F2160" s="15"/>
    </row>
    <row r="2161" spans="5:6">
      <c r="E2161" s="16"/>
      <c r="F2161" s="15"/>
    </row>
    <row r="2162" spans="5:6">
      <c r="E2162" s="16"/>
      <c r="F2162" s="15"/>
    </row>
    <row r="2163" spans="5:6">
      <c r="E2163" s="16"/>
      <c r="F2163" s="15"/>
    </row>
    <row r="2164" spans="5:6">
      <c r="E2164" s="16"/>
      <c r="F2164" s="15"/>
    </row>
    <row r="2165" spans="5:6">
      <c r="E2165" s="16"/>
      <c r="F2165" s="15"/>
    </row>
    <row r="2166" spans="5:6">
      <c r="E2166" s="16"/>
      <c r="F2166" s="15"/>
    </row>
    <row r="2167" spans="5:6">
      <c r="E2167" s="16"/>
      <c r="F2167" s="15"/>
    </row>
    <row r="2168" spans="5:6">
      <c r="E2168" s="16"/>
      <c r="F2168" s="15"/>
    </row>
    <row r="2169" spans="5:6">
      <c r="E2169" s="16"/>
      <c r="F2169" s="15"/>
    </row>
    <row r="2170" spans="5:6">
      <c r="E2170" s="16"/>
      <c r="F2170" s="15"/>
    </row>
    <row r="2171" spans="5:6">
      <c r="E2171" s="16"/>
      <c r="F2171" s="15"/>
    </row>
    <row r="2172" spans="5:6">
      <c r="E2172" s="16"/>
      <c r="F2172" s="15"/>
    </row>
    <row r="2173" spans="5:6">
      <c r="E2173" s="16"/>
      <c r="F2173" s="15"/>
    </row>
    <row r="2174" spans="5:6">
      <c r="E2174" s="16"/>
      <c r="F2174" s="15"/>
    </row>
    <row r="2175" spans="5:6">
      <c r="E2175" s="16"/>
      <c r="F2175" s="15"/>
    </row>
    <row r="2176" spans="5:6">
      <c r="E2176" s="16"/>
      <c r="F2176" s="15"/>
    </row>
    <row r="2177" spans="5:6">
      <c r="E2177" s="16"/>
      <c r="F2177" s="15"/>
    </row>
    <row r="2178" spans="5:6">
      <c r="E2178" s="16"/>
      <c r="F2178" s="15"/>
    </row>
    <row r="2179" spans="5:6">
      <c r="E2179" s="16"/>
      <c r="F2179" s="15"/>
    </row>
    <row r="2180" spans="5:6">
      <c r="E2180" s="16"/>
      <c r="F2180" s="15"/>
    </row>
    <row r="2181" spans="5:6">
      <c r="E2181" s="16"/>
      <c r="F2181" s="15"/>
    </row>
    <row r="2182" spans="5:6">
      <c r="E2182" s="16"/>
      <c r="F2182" s="15"/>
    </row>
    <row r="2183" spans="5:6">
      <c r="E2183" s="16"/>
      <c r="F2183" s="15"/>
    </row>
    <row r="2184" spans="5:6">
      <c r="E2184" s="16"/>
      <c r="F2184" s="15"/>
    </row>
    <row r="2185" spans="5:6">
      <c r="E2185" s="16"/>
      <c r="F2185" s="15"/>
    </row>
    <row r="2186" spans="5:6">
      <c r="E2186" s="16"/>
      <c r="F2186" s="15"/>
    </row>
    <row r="2187" spans="5:6">
      <c r="E2187" s="16"/>
      <c r="F2187" s="15"/>
    </row>
    <row r="2188" spans="5:6">
      <c r="E2188" s="16"/>
      <c r="F2188" s="15"/>
    </row>
    <row r="2189" spans="5:6">
      <c r="E2189" s="16"/>
      <c r="F2189" s="15"/>
    </row>
    <row r="2190" spans="5:6">
      <c r="E2190" s="16"/>
      <c r="F2190" s="15"/>
    </row>
    <row r="2191" spans="5:6">
      <c r="E2191" s="16"/>
      <c r="F2191" s="15"/>
    </row>
    <row r="2192" spans="5:6">
      <c r="E2192" s="16"/>
      <c r="F2192" s="15"/>
    </row>
    <row r="2193" spans="5:6">
      <c r="E2193" s="16"/>
      <c r="F2193" s="15"/>
    </row>
    <row r="2194" spans="5:6">
      <c r="E2194" s="16"/>
      <c r="F2194" s="15"/>
    </row>
    <row r="2195" spans="5:6">
      <c r="E2195" s="16"/>
      <c r="F2195" s="15"/>
    </row>
    <row r="2196" spans="5:6">
      <c r="E2196" s="16"/>
      <c r="F2196" s="15"/>
    </row>
    <row r="2197" spans="5:6">
      <c r="E2197" s="16"/>
      <c r="F2197" s="15"/>
    </row>
    <row r="2198" spans="5:6">
      <c r="E2198" s="16"/>
      <c r="F2198" s="15"/>
    </row>
    <row r="2199" spans="5:6">
      <c r="E2199" s="16"/>
      <c r="F2199" s="15"/>
    </row>
    <row r="2200" spans="5:6">
      <c r="E2200" s="16"/>
      <c r="F2200" s="15"/>
    </row>
    <row r="2201" spans="5:6">
      <c r="E2201" s="16"/>
      <c r="F2201" s="15"/>
    </row>
    <row r="2202" spans="5:6">
      <c r="E2202" s="16"/>
      <c r="F2202" s="15"/>
    </row>
    <row r="2203" spans="5:6">
      <c r="E2203" s="16"/>
      <c r="F2203" s="15"/>
    </row>
    <row r="2204" spans="5:6">
      <c r="E2204" s="16"/>
      <c r="F2204" s="15"/>
    </row>
    <row r="2205" spans="5:6">
      <c r="E2205" s="16"/>
      <c r="F2205" s="15"/>
    </row>
    <row r="2206" spans="5:6">
      <c r="E2206" s="16"/>
      <c r="F2206" s="15"/>
    </row>
    <row r="2207" spans="5:6">
      <c r="E2207" s="16"/>
      <c r="F2207" s="15"/>
    </row>
    <row r="2208" spans="5:6">
      <c r="E2208" s="16"/>
      <c r="F2208" s="15"/>
    </row>
    <row r="2209" spans="5:6">
      <c r="E2209" s="16"/>
      <c r="F2209" s="15"/>
    </row>
    <row r="2210" spans="5:6">
      <c r="E2210" s="16"/>
      <c r="F2210" s="15"/>
    </row>
    <row r="2211" spans="5:6">
      <c r="E2211" s="16"/>
      <c r="F2211" s="15"/>
    </row>
    <row r="2212" spans="5:6">
      <c r="E2212" s="16"/>
      <c r="F2212" s="15"/>
    </row>
    <row r="2213" spans="5:6">
      <c r="E2213" s="16"/>
      <c r="F2213" s="15"/>
    </row>
    <row r="2214" spans="5:6">
      <c r="E2214" s="16"/>
      <c r="F2214" s="15"/>
    </row>
    <row r="2215" spans="5:6">
      <c r="E2215" s="16"/>
      <c r="F2215" s="15"/>
    </row>
    <row r="2216" spans="5:6">
      <c r="E2216" s="16"/>
      <c r="F2216" s="15"/>
    </row>
    <row r="2217" spans="5:6">
      <c r="E2217" s="16"/>
      <c r="F2217" s="15"/>
    </row>
    <row r="2218" spans="5:6">
      <c r="E2218" s="16"/>
      <c r="F2218" s="15"/>
    </row>
    <row r="2219" spans="5:6">
      <c r="E2219" s="16"/>
      <c r="F2219" s="15"/>
    </row>
    <row r="2220" spans="5:6">
      <c r="E2220" s="16"/>
      <c r="F2220" s="15"/>
    </row>
    <row r="2221" spans="5:6">
      <c r="E2221" s="16"/>
      <c r="F2221" s="15"/>
    </row>
    <row r="2222" spans="5:6">
      <c r="E2222" s="16"/>
      <c r="F2222" s="15"/>
    </row>
    <row r="2223" spans="5:6">
      <c r="E2223" s="16"/>
      <c r="F2223" s="15"/>
    </row>
    <row r="2224" spans="5:6">
      <c r="E2224" s="16"/>
      <c r="F2224" s="15"/>
    </row>
    <row r="2225" spans="5:6">
      <c r="E2225" s="16"/>
      <c r="F2225" s="15"/>
    </row>
    <row r="2226" spans="5:6">
      <c r="E2226" s="16"/>
      <c r="F2226" s="15"/>
    </row>
    <row r="2227" spans="5:6">
      <c r="E2227" s="16"/>
      <c r="F2227" s="15"/>
    </row>
    <row r="2228" spans="5:6">
      <c r="E2228" s="16"/>
      <c r="F2228" s="15"/>
    </row>
    <row r="2229" spans="5:6">
      <c r="E2229" s="16"/>
      <c r="F2229" s="15"/>
    </row>
    <row r="2230" spans="5:6">
      <c r="E2230" s="16"/>
      <c r="F2230" s="15"/>
    </row>
    <row r="2231" spans="5:6">
      <c r="E2231" s="16"/>
      <c r="F2231" s="15"/>
    </row>
    <row r="2232" spans="5:6">
      <c r="E2232" s="16"/>
      <c r="F2232" s="15"/>
    </row>
    <row r="2233" spans="5:6">
      <c r="E2233" s="16"/>
      <c r="F2233" s="15"/>
    </row>
    <row r="2234" spans="5:6">
      <c r="E2234" s="16"/>
      <c r="F2234" s="15"/>
    </row>
    <row r="2235" spans="5:6">
      <c r="E2235" s="16"/>
      <c r="F2235" s="15"/>
    </row>
    <row r="2236" spans="5:6">
      <c r="E2236" s="16"/>
      <c r="F2236" s="15"/>
    </row>
    <row r="2237" spans="5:6">
      <c r="E2237" s="16"/>
      <c r="F2237" s="15"/>
    </row>
    <row r="2238" spans="5:6">
      <c r="E2238" s="16"/>
      <c r="F2238" s="15"/>
    </row>
    <row r="2239" spans="5:6">
      <c r="E2239" s="16"/>
      <c r="F2239" s="15"/>
    </row>
    <row r="2240" spans="5:6">
      <c r="E2240" s="16"/>
      <c r="F2240" s="15"/>
    </row>
    <row r="2241" spans="5:6">
      <c r="E2241" s="16"/>
      <c r="F2241" s="15"/>
    </row>
    <row r="2242" spans="5:6">
      <c r="E2242" s="16"/>
      <c r="F2242" s="15"/>
    </row>
    <row r="2243" spans="5:6">
      <c r="E2243" s="16"/>
      <c r="F2243" s="15"/>
    </row>
    <row r="2244" spans="5:6">
      <c r="E2244" s="16"/>
      <c r="F2244" s="15"/>
    </row>
    <row r="2245" spans="5:6">
      <c r="E2245" s="16"/>
      <c r="F2245" s="15"/>
    </row>
    <row r="2246" spans="5:6">
      <c r="E2246" s="16"/>
      <c r="F2246" s="15"/>
    </row>
    <row r="2247" spans="5:6">
      <c r="E2247" s="16"/>
      <c r="F2247" s="15"/>
    </row>
    <row r="2248" spans="5:6">
      <c r="E2248" s="16"/>
      <c r="F2248" s="15"/>
    </row>
    <row r="2249" spans="5:6">
      <c r="E2249" s="16"/>
      <c r="F2249" s="15"/>
    </row>
    <row r="2250" spans="5:6">
      <c r="E2250" s="16"/>
      <c r="F2250" s="15"/>
    </row>
    <row r="2251" spans="5:6">
      <c r="E2251" s="16"/>
      <c r="F2251" s="15"/>
    </row>
    <row r="2252" spans="5:6">
      <c r="E2252" s="16"/>
      <c r="F2252" s="15"/>
    </row>
    <row r="2253" spans="5:6">
      <c r="E2253" s="16"/>
      <c r="F2253" s="15"/>
    </row>
    <row r="2254" spans="5:6">
      <c r="E2254" s="16"/>
      <c r="F2254" s="15"/>
    </row>
    <row r="2255" spans="5:6">
      <c r="E2255" s="16"/>
      <c r="F2255" s="15"/>
    </row>
    <row r="2256" spans="5:6">
      <c r="E2256" s="16"/>
      <c r="F2256" s="15"/>
    </row>
    <row r="2257" spans="5:6">
      <c r="E2257" s="16"/>
      <c r="F2257" s="15"/>
    </row>
    <row r="2258" spans="5:6">
      <c r="E2258" s="16"/>
      <c r="F2258" s="15"/>
    </row>
    <row r="2259" spans="5:6">
      <c r="E2259" s="16"/>
      <c r="F2259" s="15"/>
    </row>
    <row r="2260" spans="5:6">
      <c r="E2260" s="16"/>
      <c r="F2260" s="15"/>
    </row>
    <row r="2261" spans="5:6">
      <c r="E2261" s="16"/>
      <c r="F2261" s="15"/>
    </row>
    <row r="2262" spans="5:6">
      <c r="E2262" s="16"/>
      <c r="F2262" s="15"/>
    </row>
    <row r="2263" spans="5:6">
      <c r="E2263" s="16"/>
      <c r="F2263" s="15"/>
    </row>
    <row r="2264" spans="5:6">
      <c r="E2264" s="16"/>
      <c r="F2264" s="15"/>
    </row>
    <row r="2265" spans="5:6">
      <c r="E2265" s="16"/>
      <c r="F2265" s="15"/>
    </row>
    <row r="2266" spans="5:6">
      <c r="E2266" s="16"/>
      <c r="F2266" s="15"/>
    </row>
    <row r="2267" spans="5:6">
      <c r="E2267" s="16"/>
      <c r="F2267" s="15"/>
    </row>
    <row r="2268" spans="5:6">
      <c r="E2268" s="16"/>
      <c r="F2268" s="15"/>
    </row>
    <row r="2269" spans="5:6">
      <c r="E2269" s="16"/>
      <c r="F2269" s="15"/>
    </row>
    <row r="2270" spans="5:6">
      <c r="E2270" s="16"/>
      <c r="F2270" s="15"/>
    </row>
    <row r="2271" spans="5:6">
      <c r="E2271" s="16"/>
      <c r="F2271" s="15"/>
    </row>
    <row r="2272" spans="5:6">
      <c r="E2272" s="16"/>
      <c r="F2272" s="15"/>
    </row>
    <row r="2273" spans="5:6">
      <c r="E2273" s="16"/>
      <c r="F2273" s="15"/>
    </row>
    <row r="2274" spans="5:6">
      <c r="E2274" s="16"/>
      <c r="F2274" s="15"/>
    </row>
    <row r="2275" spans="5:6">
      <c r="E2275" s="16"/>
      <c r="F2275" s="15"/>
    </row>
    <row r="2276" spans="5:6">
      <c r="E2276" s="16"/>
      <c r="F2276" s="15"/>
    </row>
    <row r="2277" spans="5:6">
      <c r="E2277" s="16"/>
      <c r="F2277" s="15"/>
    </row>
    <row r="2278" spans="5:6">
      <c r="E2278" s="16"/>
      <c r="F2278" s="15"/>
    </row>
    <row r="2279" spans="5:6">
      <c r="E2279" s="16"/>
      <c r="F2279" s="15"/>
    </row>
    <row r="2280" spans="5:6">
      <c r="E2280" s="16"/>
      <c r="F2280" s="15"/>
    </row>
    <row r="2281" spans="5:6">
      <c r="E2281" s="16"/>
      <c r="F2281" s="15"/>
    </row>
    <row r="2282" spans="5:6">
      <c r="E2282" s="16"/>
      <c r="F2282" s="15"/>
    </row>
    <row r="2283" spans="5:6">
      <c r="E2283" s="16"/>
      <c r="F2283" s="15"/>
    </row>
    <row r="2284" spans="5:6">
      <c r="E2284" s="16"/>
      <c r="F2284" s="15"/>
    </row>
    <row r="2285" spans="5:6">
      <c r="E2285" s="16"/>
      <c r="F2285" s="15"/>
    </row>
    <row r="2286" spans="5:6">
      <c r="E2286" s="16"/>
      <c r="F2286" s="15"/>
    </row>
    <row r="2287" spans="5:6">
      <c r="E2287" s="16"/>
      <c r="F2287" s="15"/>
    </row>
    <row r="2288" spans="5:6">
      <c r="E2288" s="16"/>
      <c r="F2288" s="15"/>
    </row>
    <row r="2289" spans="5:6">
      <c r="E2289" s="16"/>
      <c r="F2289" s="15"/>
    </row>
    <row r="2290" spans="5:6">
      <c r="E2290" s="16"/>
      <c r="F2290" s="15"/>
    </row>
    <row r="2291" spans="5:6">
      <c r="E2291" s="16"/>
      <c r="F2291" s="15"/>
    </row>
    <row r="2292" spans="5:6">
      <c r="E2292" s="16"/>
      <c r="F2292" s="15"/>
    </row>
    <row r="2293" spans="5:6">
      <c r="E2293" s="16"/>
      <c r="F2293" s="15"/>
    </row>
    <row r="2294" spans="5:6">
      <c r="E2294" s="16"/>
      <c r="F2294" s="15"/>
    </row>
    <row r="2295" spans="5:6">
      <c r="E2295" s="16"/>
      <c r="F2295" s="15"/>
    </row>
    <row r="2296" spans="5:6">
      <c r="E2296" s="16"/>
      <c r="F2296" s="15"/>
    </row>
    <row r="2297" spans="5:6">
      <c r="E2297" s="16"/>
      <c r="F2297" s="15"/>
    </row>
    <row r="2298" spans="5:6">
      <c r="E2298" s="16"/>
      <c r="F2298" s="15"/>
    </row>
    <row r="2299" spans="5:6">
      <c r="E2299" s="16"/>
      <c r="F2299" s="15"/>
    </row>
    <row r="2300" spans="5:6">
      <c r="E2300" s="16"/>
      <c r="F2300" s="15"/>
    </row>
    <row r="2301" spans="5:6">
      <c r="E2301" s="16"/>
      <c r="F2301" s="15"/>
    </row>
    <row r="2302" spans="5:6">
      <c r="E2302" s="16"/>
      <c r="F2302" s="15"/>
    </row>
    <row r="2303" spans="5:6">
      <c r="E2303" s="16"/>
      <c r="F2303" s="15"/>
    </row>
    <row r="2304" spans="5:6">
      <c r="E2304" s="16"/>
      <c r="F2304" s="15"/>
    </row>
    <row r="2305" spans="5:6">
      <c r="E2305" s="16"/>
      <c r="F2305" s="15"/>
    </row>
    <row r="2306" spans="5:6">
      <c r="E2306" s="16"/>
      <c r="F2306" s="15"/>
    </row>
    <row r="2307" spans="5:6">
      <c r="E2307" s="16"/>
      <c r="F2307" s="15"/>
    </row>
    <row r="2308" spans="5:6">
      <c r="E2308" s="16"/>
      <c r="F2308" s="15"/>
    </row>
    <row r="2309" spans="5:6">
      <c r="E2309" s="16"/>
      <c r="F2309" s="15"/>
    </row>
    <row r="2310" spans="5:6">
      <c r="E2310" s="16"/>
      <c r="F2310" s="15"/>
    </row>
    <row r="2311" spans="5:6">
      <c r="E2311" s="16"/>
      <c r="F2311" s="15"/>
    </row>
    <row r="2312" spans="5:6">
      <c r="E2312" s="16"/>
      <c r="F2312" s="15"/>
    </row>
    <row r="2313" spans="5:6">
      <c r="E2313" s="16"/>
      <c r="F2313" s="15"/>
    </row>
    <row r="2314" spans="5:6">
      <c r="E2314" s="16"/>
      <c r="F2314" s="15"/>
    </row>
    <row r="2315" spans="5:6">
      <c r="E2315" s="16"/>
      <c r="F2315" s="15"/>
    </row>
    <row r="2316" spans="5:6">
      <c r="E2316" s="16"/>
      <c r="F2316" s="15"/>
    </row>
    <row r="2317" spans="5:6">
      <c r="E2317" s="16"/>
      <c r="F2317" s="15"/>
    </row>
    <row r="2318" spans="5:6">
      <c r="E2318" s="16"/>
      <c r="F2318" s="15"/>
    </row>
    <row r="2319" spans="5:6">
      <c r="E2319" s="16"/>
      <c r="F2319" s="15"/>
    </row>
    <row r="2320" spans="5:6">
      <c r="E2320" s="16"/>
      <c r="F2320" s="15"/>
    </row>
    <row r="2321" spans="5:6">
      <c r="E2321" s="16"/>
      <c r="F2321" s="15"/>
    </row>
    <row r="2322" spans="5:6">
      <c r="E2322" s="16"/>
      <c r="F2322" s="15"/>
    </row>
    <row r="2323" spans="5:6">
      <c r="E2323" s="16"/>
      <c r="F2323" s="15"/>
    </row>
    <row r="2324" spans="5:6">
      <c r="E2324" s="16"/>
      <c r="F2324" s="15"/>
    </row>
    <row r="2325" spans="5:6">
      <c r="E2325" s="16"/>
      <c r="F2325" s="15"/>
    </row>
    <row r="2326" spans="5:6">
      <c r="E2326" s="16"/>
      <c r="F2326" s="15"/>
    </row>
    <row r="2327" spans="5:6">
      <c r="E2327" s="16"/>
      <c r="F2327" s="15"/>
    </row>
    <row r="2328" spans="5:6">
      <c r="E2328" s="16"/>
      <c r="F2328" s="15"/>
    </row>
    <row r="2329" spans="5:6">
      <c r="E2329" s="16"/>
      <c r="F2329" s="15"/>
    </row>
    <row r="2330" spans="5:6">
      <c r="E2330" s="16"/>
      <c r="F2330" s="15"/>
    </row>
    <row r="2331" spans="5:6">
      <c r="E2331" s="16"/>
      <c r="F2331" s="15"/>
    </row>
    <row r="2332" spans="5:6">
      <c r="E2332" s="16"/>
      <c r="F2332" s="15"/>
    </row>
    <row r="2333" spans="5:6">
      <c r="E2333" s="16"/>
      <c r="F2333" s="15"/>
    </row>
    <row r="2334" spans="5:6">
      <c r="E2334" s="16"/>
      <c r="F2334" s="15"/>
    </row>
    <row r="2335" spans="5:6">
      <c r="E2335" s="16"/>
      <c r="F2335" s="15"/>
    </row>
    <row r="2336" spans="5:6">
      <c r="E2336" s="16"/>
      <c r="F2336" s="15"/>
    </row>
    <row r="2337" spans="5:6">
      <c r="E2337" s="16"/>
      <c r="F2337" s="15"/>
    </row>
    <row r="2338" spans="5:6">
      <c r="E2338" s="16"/>
      <c r="F2338" s="15"/>
    </row>
    <row r="2339" spans="5:6">
      <c r="E2339" s="16"/>
      <c r="F2339" s="15"/>
    </row>
    <row r="2340" spans="5:6">
      <c r="E2340" s="16"/>
      <c r="F2340" s="15"/>
    </row>
    <row r="2341" spans="5:6">
      <c r="E2341" s="16"/>
      <c r="F2341" s="15"/>
    </row>
    <row r="2342" spans="5:6">
      <c r="E2342" s="16"/>
      <c r="F2342" s="15"/>
    </row>
    <row r="2343" spans="5:6">
      <c r="E2343" s="16"/>
      <c r="F2343" s="15"/>
    </row>
    <row r="2344" spans="5:6">
      <c r="E2344" s="16"/>
      <c r="F2344" s="15"/>
    </row>
    <row r="2345" spans="5:6">
      <c r="E2345" s="16"/>
      <c r="F2345" s="15"/>
    </row>
    <row r="2346" spans="5:6">
      <c r="E2346" s="16"/>
      <c r="F2346" s="15"/>
    </row>
    <row r="2347" spans="5:6">
      <c r="E2347" s="16"/>
      <c r="F2347" s="15"/>
    </row>
    <row r="2348" spans="5:6">
      <c r="E2348" s="16"/>
      <c r="F2348" s="15"/>
    </row>
    <row r="2349" spans="5:6">
      <c r="E2349" s="16"/>
      <c r="F2349" s="15"/>
    </row>
    <row r="2350" spans="5:6">
      <c r="E2350" s="16"/>
      <c r="F2350" s="15"/>
    </row>
    <row r="2351" spans="5:6">
      <c r="E2351" s="16"/>
      <c r="F2351" s="15"/>
    </row>
    <row r="2352" spans="5:6">
      <c r="E2352" s="16"/>
      <c r="F2352" s="15"/>
    </row>
    <row r="2353" spans="5:6">
      <c r="E2353" s="16"/>
      <c r="F2353" s="15"/>
    </row>
    <row r="2354" spans="5:6">
      <c r="E2354" s="16"/>
      <c r="F2354" s="15"/>
    </row>
    <row r="2355" spans="5:6">
      <c r="E2355" s="16"/>
      <c r="F2355" s="15"/>
    </row>
    <row r="2356" spans="5:6">
      <c r="E2356" s="16"/>
      <c r="F2356" s="15"/>
    </row>
    <row r="2357" spans="5:6">
      <c r="E2357" s="16"/>
      <c r="F2357" s="15"/>
    </row>
    <row r="2358" spans="5:6">
      <c r="E2358" s="16"/>
      <c r="F2358" s="15"/>
    </row>
    <row r="2359" spans="5:6">
      <c r="E2359" s="16"/>
      <c r="F2359" s="15"/>
    </row>
    <row r="2360" spans="5:6">
      <c r="E2360" s="16"/>
      <c r="F2360" s="15"/>
    </row>
    <row r="2361" spans="5:6">
      <c r="E2361" s="16"/>
      <c r="F2361" s="15"/>
    </row>
    <row r="2362" spans="5:6">
      <c r="E2362" s="16"/>
      <c r="F2362" s="15"/>
    </row>
    <row r="2363" spans="5:6">
      <c r="E2363" s="16"/>
      <c r="F2363" s="15"/>
    </row>
    <row r="2364" spans="5:6">
      <c r="E2364" s="16"/>
      <c r="F2364" s="15"/>
    </row>
    <row r="2365" spans="5:6">
      <c r="E2365" s="16"/>
      <c r="F2365" s="15"/>
    </row>
    <row r="2366" spans="5:6">
      <c r="E2366" s="16"/>
      <c r="F2366" s="15"/>
    </row>
    <row r="2367" spans="5:6">
      <c r="E2367" s="16"/>
      <c r="F2367" s="15"/>
    </row>
    <row r="2368" spans="5:6">
      <c r="E2368" s="16"/>
      <c r="F2368" s="15"/>
    </row>
    <row r="2369" spans="5:6">
      <c r="E2369" s="16"/>
      <c r="F2369" s="15"/>
    </row>
    <row r="2370" spans="5:6">
      <c r="E2370" s="16"/>
      <c r="F2370" s="15"/>
    </row>
    <row r="2371" spans="5:6">
      <c r="E2371" s="16"/>
      <c r="F2371" s="15"/>
    </row>
    <row r="2372" spans="5:6">
      <c r="E2372" s="16"/>
      <c r="F2372" s="15"/>
    </row>
    <row r="2373" spans="5:6">
      <c r="E2373" s="16"/>
      <c r="F2373" s="15"/>
    </row>
    <row r="2374" spans="5:6">
      <c r="E2374" s="16"/>
      <c r="F2374" s="15"/>
    </row>
    <row r="2375" spans="5:6">
      <c r="E2375" s="16"/>
      <c r="F2375" s="15"/>
    </row>
    <row r="2376" spans="5:6">
      <c r="E2376" s="16"/>
      <c r="F2376" s="15"/>
    </row>
    <row r="2377" spans="5:6">
      <c r="E2377" s="16"/>
      <c r="F2377" s="15"/>
    </row>
    <row r="2378" spans="5:6">
      <c r="E2378" s="16"/>
      <c r="F2378" s="15"/>
    </row>
    <row r="2379" spans="5:6">
      <c r="E2379" s="16"/>
      <c r="F2379" s="15"/>
    </row>
    <row r="2380" spans="5:6">
      <c r="E2380" s="16"/>
      <c r="F2380" s="15"/>
    </row>
    <row r="2381" spans="5:6">
      <c r="E2381" s="16"/>
      <c r="F2381" s="15"/>
    </row>
    <row r="2382" spans="5:6">
      <c r="E2382" s="16"/>
      <c r="F2382" s="15"/>
    </row>
    <row r="2383" spans="5:6">
      <c r="E2383" s="16"/>
      <c r="F2383" s="15"/>
    </row>
    <row r="2384" spans="5:6">
      <c r="E2384" s="16"/>
      <c r="F2384" s="15"/>
    </row>
    <row r="2385" spans="5:6">
      <c r="E2385" s="16"/>
      <c r="F2385" s="15"/>
    </row>
    <row r="2386" spans="5:6">
      <c r="E2386" s="16"/>
      <c r="F2386" s="15"/>
    </row>
    <row r="2387" spans="5:6">
      <c r="E2387" s="16"/>
      <c r="F2387" s="15"/>
    </row>
    <row r="2388" spans="5:6">
      <c r="E2388" s="16"/>
      <c r="F2388" s="15"/>
    </row>
    <row r="2389" spans="5:6">
      <c r="E2389" s="16"/>
      <c r="F2389" s="15"/>
    </row>
    <row r="2390" spans="5:6">
      <c r="E2390" s="16"/>
      <c r="F2390" s="15"/>
    </row>
    <row r="2391" spans="5:6">
      <c r="E2391" s="16"/>
      <c r="F2391" s="15"/>
    </row>
    <row r="2392" spans="5:6">
      <c r="E2392" s="16"/>
      <c r="F2392" s="15"/>
    </row>
    <row r="2393" spans="5:6">
      <c r="E2393" s="16"/>
      <c r="F2393" s="15"/>
    </row>
    <row r="2394" spans="5:6">
      <c r="E2394" s="16"/>
      <c r="F2394" s="15"/>
    </row>
    <row r="2395" spans="5:6">
      <c r="E2395" s="16"/>
      <c r="F2395" s="15"/>
    </row>
    <row r="2396" spans="5:6">
      <c r="E2396" s="16"/>
      <c r="F2396" s="15"/>
    </row>
    <row r="2397" spans="5:6">
      <c r="E2397" s="16"/>
      <c r="F2397" s="15"/>
    </row>
    <row r="2398" spans="5:6">
      <c r="E2398" s="16"/>
      <c r="F2398" s="15"/>
    </row>
    <row r="2399" spans="5:6">
      <c r="E2399" s="16"/>
      <c r="F2399" s="15"/>
    </row>
    <row r="2400" spans="5:6">
      <c r="E2400" s="16"/>
      <c r="F2400" s="15"/>
    </row>
    <row r="2401" spans="5:6">
      <c r="E2401" s="16"/>
      <c r="F2401" s="15"/>
    </row>
    <row r="2402" spans="5:6">
      <c r="E2402" s="16"/>
      <c r="F2402" s="15"/>
    </row>
    <row r="2403" spans="5:6">
      <c r="E2403" s="16"/>
      <c r="F2403" s="15"/>
    </row>
    <row r="2404" spans="5:6">
      <c r="E2404" s="16"/>
      <c r="F2404" s="15"/>
    </row>
    <row r="2405" spans="5:6">
      <c r="E2405" s="16"/>
      <c r="F2405" s="15"/>
    </row>
    <row r="2406" spans="5:6">
      <c r="E2406" s="16"/>
      <c r="F2406" s="15"/>
    </row>
    <row r="2407" spans="5:6">
      <c r="E2407" s="16"/>
      <c r="F2407" s="15"/>
    </row>
    <row r="2408" spans="5:6">
      <c r="E2408" s="16"/>
      <c r="F2408" s="15"/>
    </row>
    <row r="2409" spans="5:6">
      <c r="E2409" s="16"/>
      <c r="F2409" s="15"/>
    </row>
    <row r="2410" spans="5:6">
      <c r="E2410" s="16"/>
      <c r="F2410" s="15"/>
    </row>
    <row r="2411" spans="5:6">
      <c r="E2411" s="16"/>
      <c r="F2411" s="15"/>
    </row>
    <row r="2412" spans="5:6">
      <c r="E2412" s="16"/>
      <c r="F2412" s="15"/>
    </row>
    <row r="2413" spans="5:6">
      <c r="E2413" s="16"/>
      <c r="F2413" s="15"/>
    </row>
    <row r="2414" spans="5:6">
      <c r="E2414" s="16"/>
      <c r="F2414" s="15"/>
    </row>
    <row r="2415" spans="5:6">
      <c r="E2415" s="16"/>
      <c r="F2415" s="15"/>
    </row>
    <row r="2416" spans="5:6">
      <c r="E2416" s="16"/>
      <c r="F2416" s="15"/>
    </row>
    <row r="2417" spans="5:6">
      <c r="E2417" s="16"/>
      <c r="F2417" s="15"/>
    </row>
    <row r="2418" spans="5:6">
      <c r="E2418" s="16"/>
      <c r="F2418" s="15"/>
    </row>
    <row r="2419" spans="5:6">
      <c r="E2419" s="16"/>
      <c r="F2419" s="15"/>
    </row>
    <row r="2420" spans="5:6">
      <c r="E2420" s="16"/>
      <c r="F2420" s="15"/>
    </row>
    <row r="2421" spans="5:6">
      <c r="E2421" s="16"/>
      <c r="F2421" s="15"/>
    </row>
    <row r="2422" spans="5:6">
      <c r="E2422" s="16"/>
      <c r="F2422" s="15"/>
    </row>
    <row r="2423" spans="5:6">
      <c r="E2423" s="16"/>
      <c r="F2423" s="15"/>
    </row>
    <row r="2424" spans="5:6">
      <c r="E2424" s="16"/>
      <c r="F2424" s="15"/>
    </row>
    <row r="2425" spans="5:6">
      <c r="E2425" s="16"/>
      <c r="F2425" s="15"/>
    </row>
    <row r="2426" spans="5:6">
      <c r="E2426" s="16"/>
      <c r="F2426" s="15"/>
    </row>
    <row r="2427" spans="5:6">
      <c r="E2427" s="16"/>
      <c r="F2427" s="15"/>
    </row>
    <row r="2428" spans="5:6">
      <c r="E2428" s="16"/>
      <c r="F2428" s="15"/>
    </row>
    <row r="2429" spans="5:6">
      <c r="E2429" s="16"/>
      <c r="F2429" s="15"/>
    </row>
    <row r="2430" spans="5:6">
      <c r="E2430" s="16"/>
      <c r="F2430" s="15"/>
    </row>
    <row r="2431" spans="5:6">
      <c r="E2431" s="16"/>
      <c r="F2431" s="15"/>
    </row>
    <row r="2432" spans="5:6">
      <c r="E2432" s="16"/>
      <c r="F2432" s="15"/>
    </row>
    <row r="2433" spans="5:6">
      <c r="E2433" s="16"/>
      <c r="F2433" s="15"/>
    </row>
    <row r="2434" spans="5:6">
      <c r="E2434" s="16"/>
      <c r="F2434" s="15"/>
    </row>
    <row r="2435" spans="5:6">
      <c r="E2435" s="16"/>
      <c r="F2435" s="15"/>
    </row>
    <row r="2436" spans="5:6">
      <c r="E2436" s="16"/>
      <c r="F2436" s="15"/>
    </row>
    <row r="2437" spans="5:6">
      <c r="E2437" s="16"/>
      <c r="F2437" s="15"/>
    </row>
    <row r="2438" spans="5:6">
      <c r="E2438" s="16"/>
      <c r="F2438" s="15"/>
    </row>
    <row r="2439" spans="5:6">
      <c r="E2439" s="16"/>
      <c r="F2439" s="15"/>
    </row>
    <row r="2440" spans="5:6">
      <c r="E2440" s="16"/>
      <c r="F2440" s="15"/>
    </row>
    <row r="2441" spans="5:6">
      <c r="E2441" s="16"/>
      <c r="F2441" s="15"/>
    </row>
    <row r="2442" spans="5:6">
      <c r="E2442" s="16"/>
      <c r="F2442" s="15"/>
    </row>
    <row r="2443" spans="5:6">
      <c r="E2443" s="16"/>
      <c r="F2443" s="15"/>
    </row>
    <row r="2444" spans="5:6">
      <c r="E2444" s="16"/>
      <c r="F2444" s="15"/>
    </row>
    <row r="2445" spans="5:6">
      <c r="E2445" s="16"/>
      <c r="F2445" s="15"/>
    </row>
    <row r="2446" spans="5:6">
      <c r="E2446" s="16"/>
      <c r="F2446" s="15"/>
    </row>
    <row r="2447" spans="5:6">
      <c r="E2447" s="16"/>
      <c r="F2447" s="15"/>
    </row>
    <row r="2448" spans="5:6">
      <c r="E2448" s="16"/>
      <c r="F2448" s="15"/>
    </row>
    <row r="2449" spans="5:6">
      <c r="E2449" s="16"/>
      <c r="F2449" s="15"/>
    </row>
    <row r="2450" spans="5:6">
      <c r="E2450" s="16"/>
      <c r="F2450" s="15"/>
    </row>
    <row r="2451" spans="5:6">
      <c r="E2451" s="16"/>
      <c r="F2451" s="15"/>
    </row>
    <row r="2452" spans="5:6">
      <c r="E2452" s="16"/>
      <c r="F2452" s="15"/>
    </row>
    <row r="2453" spans="5:6">
      <c r="E2453" s="16"/>
      <c r="F2453" s="15"/>
    </row>
    <row r="2454" spans="5:6">
      <c r="E2454" s="16"/>
      <c r="F2454" s="15"/>
    </row>
    <row r="2455" spans="5:6">
      <c r="E2455" s="16"/>
      <c r="F2455" s="15"/>
    </row>
    <row r="2456" spans="5:6">
      <c r="E2456" s="16"/>
      <c r="F2456" s="15"/>
    </row>
    <row r="2457" spans="5:6">
      <c r="E2457" s="16"/>
      <c r="F2457" s="15"/>
    </row>
    <row r="2458" spans="5:6">
      <c r="E2458" s="16"/>
      <c r="F2458" s="15"/>
    </row>
    <row r="2459" spans="5:6">
      <c r="E2459" s="16"/>
      <c r="F2459" s="15"/>
    </row>
    <row r="2460" spans="5:6">
      <c r="E2460" s="16"/>
      <c r="F2460" s="15"/>
    </row>
    <row r="2461" spans="5:6">
      <c r="E2461" s="16"/>
      <c r="F2461" s="15"/>
    </row>
    <row r="2462" spans="5:6">
      <c r="E2462" s="16"/>
      <c r="F2462" s="15"/>
    </row>
    <row r="2463" spans="5:6">
      <c r="E2463" s="16"/>
      <c r="F2463" s="15"/>
    </row>
    <row r="2464" spans="5:6">
      <c r="E2464" s="16"/>
      <c r="F2464" s="15"/>
    </row>
    <row r="2465" spans="5:6">
      <c r="E2465" s="16"/>
      <c r="F2465" s="15"/>
    </row>
    <row r="2466" spans="5:6">
      <c r="E2466" s="16"/>
      <c r="F2466" s="15"/>
    </row>
    <row r="2467" spans="5:6">
      <c r="E2467" s="16"/>
      <c r="F2467" s="15"/>
    </row>
    <row r="2468" spans="5:6">
      <c r="E2468" s="16"/>
      <c r="F2468" s="15"/>
    </row>
    <row r="2469" spans="5:6">
      <c r="E2469" s="16"/>
      <c r="F2469" s="15"/>
    </row>
    <row r="2470" spans="5:6">
      <c r="E2470" s="16"/>
      <c r="F2470" s="15"/>
    </row>
    <row r="2471" spans="5:6">
      <c r="E2471" s="16"/>
      <c r="F2471" s="15"/>
    </row>
    <row r="2472" spans="5:6">
      <c r="E2472" s="16"/>
      <c r="F2472" s="15"/>
    </row>
    <row r="2473" spans="5:6">
      <c r="E2473" s="16"/>
      <c r="F2473" s="15"/>
    </row>
    <row r="2474" spans="5:6">
      <c r="E2474" s="16"/>
      <c r="F2474" s="15"/>
    </row>
    <row r="2475" spans="5:6">
      <c r="E2475" s="16"/>
      <c r="F2475" s="15"/>
    </row>
    <row r="2476" spans="5:6">
      <c r="E2476" s="16"/>
      <c r="F2476" s="15"/>
    </row>
    <row r="2477" spans="5:6">
      <c r="E2477" s="16"/>
      <c r="F2477" s="15"/>
    </row>
    <row r="2478" spans="5:6">
      <c r="E2478" s="16"/>
      <c r="F2478" s="15"/>
    </row>
    <row r="2479" spans="5:6">
      <c r="E2479" s="16"/>
      <c r="F2479" s="15"/>
    </row>
    <row r="2480" spans="5:6">
      <c r="E2480" s="16"/>
      <c r="F2480" s="15"/>
    </row>
    <row r="2481" spans="5:6">
      <c r="E2481" s="16"/>
      <c r="F2481" s="15"/>
    </row>
    <row r="2482" spans="5:6">
      <c r="E2482" s="16"/>
      <c r="F2482" s="15"/>
    </row>
    <row r="2483" spans="5:6">
      <c r="E2483" s="16"/>
      <c r="F2483" s="15"/>
    </row>
    <row r="2484" spans="5:6">
      <c r="E2484" s="16"/>
      <c r="F2484" s="15"/>
    </row>
    <row r="2485" spans="5:6">
      <c r="E2485" s="16"/>
      <c r="F2485" s="15"/>
    </row>
    <row r="2486" spans="5:6">
      <c r="E2486" s="16"/>
      <c r="F2486" s="15"/>
    </row>
    <row r="2487" spans="5:6">
      <c r="E2487" s="16"/>
      <c r="F2487" s="15"/>
    </row>
    <row r="2488" spans="5:6">
      <c r="E2488" s="16"/>
      <c r="F2488" s="15"/>
    </row>
    <row r="2489" spans="5:6">
      <c r="E2489" s="16"/>
      <c r="F2489" s="15"/>
    </row>
    <row r="2490" spans="5:6">
      <c r="E2490" s="16"/>
      <c r="F2490" s="15"/>
    </row>
    <row r="2491" spans="5:6">
      <c r="E2491" s="16"/>
      <c r="F2491" s="15"/>
    </row>
    <row r="2492" spans="5:6">
      <c r="E2492" s="16"/>
      <c r="F2492" s="15"/>
    </row>
    <row r="2493" spans="5:6">
      <c r="E2493" s="16"/>
      <c r="F2493" s="15"/>
    </row>
    <row r="2494" spans="5:6">
      <c r="E2494" s="16"/>
      <c r="F2494" s="15"/>
    </row>
    <row r="2495" spans="5:6">
      <c r="E2495" s="16"/>
      <c r="F2495" s="15"/>
    </row>
    <row r="2496" spans="5:6">
      <c r="E2496" s="16"/>
      <c r="F2496" s="15"/>
    </row>
    <row r="2497" spans="5:6">
      <c r="E2497" s="16"/>
      <c r="F2497" s="15"/>
    </row>
    <row r="2498" spans="5:6">
      <c r="E2498" s="16"/>
      <c r="F2498" s="15"/>
    </row>
    <row r="2499" spans="5:6">
      <c r="E2499" s="16"/>
      <c r="F2499" s="15"/>
    </row>
    <row r="2500" spans="5:6">
      <c r="E2500" s="16"/>
      <c r="F2500" s="15"/>
    </row>
    <row r="2501" spans="5:6">
      <c r="E2501" s="16"/>
      <c r="F2501" s="15"/>
    </row>
    <row r="2502" spans="5:6">
      <c r="E2502" s="16"/>
      <c r="F2502" s="15"/>
    </row>
    <row r="2503" spans="5:6">
      <c r="E2503" s="16"/>
      <c r="F2503" s="15"/>
    </row>
    <row r="2504" spans="5:6">
      <c r="E2504" s="16"/>
      <c r="F2504" s="15"/>
    </row>
    <row r="2505" spans="5:6">
      <c r="E2505" s="16"/>
      <c r="F2505" s="15"/>
    </row>
    <row r="2506" spans="5:6">
      <c r="E2506" s="16"/>
      <c r="F2506" s="15"/>
    </row>
    <row r="2507" spans="5:6">
      <c r="E2507" s="16"/>
      <c r="F2507" s="15"/>
    </row>
    <row r="2508" spans="5:6">
      <c r="E2508" s="16"/>
      <c r="F2508" s="15"/>
    </row>
    <row r="2509" spans="5:6">
      <c r="E2509" s="16"/>
      <c r="F2509" s="15"/>
    </row>
    <row r="2510" spans="5:6">
      <c r="E2510" s="16"/>
      <c r="F2510" s="15"/>
    </row>
    <row r="2511" spans="5:6">
      <c r="E2511" s="16"/>
      <c r="F2511" s="15"/>
    </row>
    <row r="2512" spans="5:6">
      <c r="E2512" s="16"/>
      <c r="F2512" s="15"/>
    </row>
    <row r="2513" spans="5:6">
      <c r="E2513" s="16"/>
      <c r="F2513" s="15"/>
    </row>
    <row r="2514" spans="5:6">
      <c r="E2514" s="16"/>
      <c r="F2514" s="15"/>
    </row>
    <row r="2515" spans="5:6">
      <c r="E2515" s="16"/>
      <c r="F2515" s="15"/>
    </row>
    <row r="2516" spans="5:6">
      <c r="E2516" s="16"/>
      <c r="F2516" s="15"/>
    </row>
    <row r="2517" spans="5:6">
      <c r="E2517" s="16"/>
      <c r="F2517" s="15"/>
    </row>
    <row r="2518" spans="5:6">
      <c r="E2518" s="16"/>
      <c r="F2518" s="15"/>
    </row>
    <row r="2519" spans="5:6">
      <c r="E2519" s="16"/>
      <c r="F2519" s="15"/>
    </row>
    <row r="2520" spans="5:6">
      <c r="E2520" s="16"/>
      <c r="F2520" s="15"/>
    </row>
    <row r="2521" spans="5:6">
      <c r="E2521" s="16"/>
      <c r="F2521" s="15"/>
    </row>
    <row r="2522" spans="5:6">
      <c r="E2522" s="16"/>
      <c r="F2522" s="15"/>
    </row>
    <row r="2523" spans="5:6">
      <c r="E2523" s="16"/>
      <c r="F2523" s="15"/>
    </row>
    <row r="2524" spans="5:6">
      <c r="E2524" s="16"/>
      <c r="F2524" s="15"/>
    </row>
    <row r="2525" spans="5:6">
      <c r="E2525" s="16"/>
      <c r="F2525" s="15"/>
    </row>
    <row r="2526" spans="5:6">
      <c r="E2526" s="16"/>
      <c r="F2526" s="15"/>
    </row>
    <row r="2527" spans="5:6">
      <c r="E2527" s="16"/>
      <c r="F2527" s="15"/>
    </row>
    <row r="2528" spans="5:6">
      <c r="E2528" s="16"/>
      <c r="F2528" s="15"/>
    </row>
    <row r="2529" spans="5:6">
      <c r="E2529" s="16"/>
      <c r="F2529" s="15"/>
    </row>
    <row r="2530" spans="5:6">
      <c r="E2530" s="16"/>
      <c r="F2530" s="15"/>
    </row>
    <row r="2531" spans="5:6">
      <c r="E2531" s="16"/>
      <c r="F2531" s="15"/>
    </row>
    <row r="2532" spans="5:6">
      <c r="E2532" s="16"/>
      <c r="F2532" s="15"/>
    </row>
    <row r="2533" spans="5:6">
      <c r="E2533" s="16"/>
      <c r="F2533" s="15"/>
    </row>
    <row r="2534" spans="5:6">
      <c r="E2534" s="16"/>
      <c r="F2534" s="15"/>
    </row>
    <row r="2535" spans="5:6">
      <c r="E2535" s="16"/>
      <c r="F2535" s="15"/>
    </row>
    <row r="2536" spans="5:6">
      <c r="E2536" s="16"/>
      <c r="F2536" s="15"/>
    </row>
    <row r="2537" spans="5:6">
      <c r="E2537" s="16"/>
      <c r="F2537" s="15"/>
    </row>
    <row r="2538" spans="5:6">
      <c r="E2538" s="16"/>
      <c r="F2538" s="15"/>
    </row>
    <row r="2539" spans="5:6">
      <c r="E2539" s="16"/>
      <c r="F2539" s="15"/>
    </row>
    <row r="2540" spans="5:6">
      <c r="E2540" s="16"/>
      <c r="F2540" s="15"/>
    </row>
    <row r="2541" spans="5:6">
      <c r="E2541" s="16"/>
      <c r="F2541" s="15"/>
    </row>
    <row r="2542" spans="5:6">
      <c r="E2542" s="16"/>
      <c r="F2542" s="15"/>
    </row>
    <row r="2543" spans="5:6">
      <c r="E2543" s="16"/>
      <c r="F2543" s="15"/>
    </row>
    <row r="2544" spans="5:6">
      <c r="E2544" s="16"/>
      <c r="F2544" s="15"/>
    </row>
    <row r="2545" spans="5:6">
      <c r="E2545" s="16"/>
      <c r="F2545" s="15"/>
    </row>
    <row r="2546" spans="5:6">
      <c r="E2546" s="16"/>
      <c r="F2546" s="15"/>
    </row>
    <row r="2547" spans="5:6">
      <c r="E2547" s="16"/>
      <c r="F2547" s="15"/>
    </row>
    <row r="2548" spans="5:6">
      <c r="E2548" s="16"/>
      <c r="F2548" s="15"/>
    </row>
    <row r="2549" spans="5:6">
      <c r="E2549" s="16"/>
      <c r="F2549" s="15"/>
    </row>
    <row r="2550" spans="5:6">
      <c r="E2550" s="16"/>
      <c r="F2550" s="15"/>
    </row>
    <row r="2551" spans="5:6">
      <c r="E2551" s="16"/>
      <c r="F2551" s="15"/>
    </row>
    <row r="2552" spans="5:6">
      <c r="E2552" s="16"/>
      <c r="F2552" s="15"/>
    </row>
    <row r="2553" spans="5:6">
      <c r="E2553" s="16"/>
      <c r="F2553" s="15"/>
    </row>
    <row r="2554" spans="5:6">
      <c r="E2554" s="16"/>
      <c r="F2554" s="15"/>
    </row>
    <row r="2555" spans="5:6">
      <c r="E2555" s="16"/>
      <c r="F2555" s="15"/>
    </row>
    <row r="2556" spans="5:6">
      <c r="E2556" s="16"/>
      <c r="F2556" s="15"/>
    </row>
    <row r="2557" spans="5:6">
      <c r="E2557" s="16"/>
      <c r="F2557" s="15"/>
    </row>
    <row r="2558" spans="5:6">
      <c r="E2558" s="16"/>
      <c r="F2558" s="15"/>
    </row>
    <row r="2559" spans="5:6">
      <c r="E2559" s="16"/>
      <c r="F2559" s="15"/>
    </row>
    <row r="2560" spans="5:6">
      <c r="E2560" s="16"/>
      <c r="F2560" s="15"/>
    </row>
    <row r="2561" spans="5:6">
      <c r="E2561" s="16"/>
      <c r="F2561" s="15"/>
    </row>
    <row r="2562" spans="5:6">
      <c r="E2562" s="16"/>
      <c r="F2562" s="15"/>
    </row>
    <row r="2563" spans="5:6">
      <c r="E2563" s="16"/>
      <c r="F2563" s="15"/>
    </row>
    <row r="2564" spans="5:6">
      <c r="E2564" s="16"/>
      <c r="F2564" s="15"/>
    </row>
    <row r="2565" spans="5:6">
      <c r="E2565" s="16"/>
      <c r="F2565" s="15"/>
    </row>
    <row r="2566" spans="5:6">
      <c r="E2566" s="16"/>
      <c r="F2566" s="15"/>
    </row>
    <row r="2567" spans="5:6">
      <c r="E2567" s="16"/>
      <c r="F2567" s="15"/>
    </row>
    <row r="2568" spans="5:6">
      <c r="E2568" s="16"/>
      <c r="F2568" s="15"/>
    </row>
    <row r="2569" spans="5:6">
      <c r="E2569" s="16"/>
      <c r="F2569" s="15"/>
    </row>
    <row r="2570" spans="5:6">
      <c r="E2570" s="16"/>
      <c r="F2570" s="15"/>
    </row>
    <row r="2571" spans="5:6">
      <c r="E2571" s="16"/>
      <c r="F2571" s="15"/>
    </row>
    <row r="2572" spans="5:6">
      <c r="E2572" s="16"/>
      <c r="F2572" s="15"/>
    </row>
    <row r="2573" spans="5:6">
      <c r="E2573" s="16"/>
      <c r="F2573" s="15"/>
    </row>
    <row r="2574" spans="5:6">
      <c r="E2574" s="16"/>
      <c r="F2574" s="15"/>
    </row>
    <row r="2575" spans="5:6">
      <c r="E2575" s="16"/>
      <c r="F2575" s="15"/>
    </row>
    <row r="2576" spans="5:6">
      <c r="E2576" s="16"/>
      <c r="F2576" s="15"/>
    </row>
    <row r="2577" spans="5:6">
      <c r="E2577" s="16"/>
      <c r="F2577" s="15"/>
    </row>
    <row r="2578" spans="5:6">
      <c r="E2578" s="16"/>
      <c r="F2578" s="15"/>
    </row>
    <row r="2579" spans="5:6">
      <c r="E2579" s="16"/>
      <c r="F2579" s="15"/>
    </row>
    <row r="2580" spans="5:6">
      <c r="E2580" s="16"/>
      <c r="F2580" s="15"/>
    </row>
    <row r="2581" spans="5:6">
      <c r="E2581" s="16"/>
      <c r="F2581" s="15"/>
    </row>
    <row r="2582" spans="5:6">
      <c r="E2582" s="16"/>
      <c r="F2582" s="15"/>
    </row>
    <row r="2583" spans="5:6">
      <c r="E2583" s="16"/>
      <c r="F2583" s="15"/>
    </row>
    <row r="2584" spans="5:6">
      <c r="E2584" s="16"/>
      <c r="F2584" s="15"/>
    </row>
    <row r="2585" spans="5:6">
      <c r="E2585" s="16"/>
      <c r="F2585" s="15"/>
    </row>
    <row r="2586" spans="5:6">
      <c r="E2586" s="16"/>
      <c r="F2586" s="15"/>
    </row>
    <row r="2587" spans="5:6">
      <c r="E2587" s="16"/>
      <c r="F2587" s="15"/>
    </row>
    <row r="2588" spans="5:6">
      <c r="E2588" s="16"/>
      <c r="F2588" s="15"/>
    </row>
    <row r="2589" spans="5:6">
      <c r="E2589" s="16"/>
      <c r="F2589" s="15"/>
    </row>
    <row r="2590" spans="5:6">
      <c r="E2590" s="16"/>
      <c r="F2590" s="15"/>
    </row>
    <row r="2591" spans="5:6">
      <c r="E2591" s="16"/>
      <c r="F2591" s="15"/>
    </row>
    <row r="2592" spans="5:6">
      <c r="E2592" s="16"/>
      <c r="F2592" s="15"/>
    </row>
    <row r="2593" spans="5:6">
      <c r="E2593" s="16"/>
      <c r="F2593" s="15"/>
    </row>
    <row r="2594" spans="5:6">
      <c r="E2594" s="16"/>
      <c r="F2594" s="15"/>
    </row>
    <row r="2595" spans="5:6">
      <c r="E2595" s="16"/>
      <c r="F2595" s="15"/>
    </row>
    <row r="2596" spans="5:6">
      <c r="E2596" s="16"/>
      <c r="F2596" s="15"/>
    </row>
    <row r="2597" spans="5:6">
      <c r="E2597" s="16"/>
      <c r="F2597" s="15"/>
    </row>
    <row r="2598" spans="5:6">
      <c r="E2598" s="16"/>
      <c r="F2598" s="15"/>
    </row>
    <row r="2599" spans="5:6">
      <c r="E2599" s="16"/>
      <c r="F2599" s="15"/>
    </row>
    <row r="2600" spans="5:6">
      <c r="E2600" s="16"/>
      <c r="F2600" s="15"/>
    </row>
    <row r="2601" spans="5:6">
      <c r="E2601" s="16"/>
      <c r="F2601" s="15"/>
    </row>
    <row r="2602" spans="5:6">
      <c r="E2602" s="16"/>
      <c r="F2602" s="15"/>
    </row>
    <row r="2603" spans="5:6">
      <c r="E2603" s="16"/>
      <c r="F2603" s="15"/>
    </row>
    <row r="2604" spans="5:6">
      <c r="E2604" s="16"/>
      <c r="F2604" s="15"/>
    </row>
    <row r="2605" spans="5:6">
      <c r="E2605" s="16"/>
      <c r="F2605" s="15"/>
    </row>
    <row r="2606" spans="5:6">
      <c r="E2606" s="16"/>
      <c r="F2606" s="15"/>
    </row>
    <row r="2607" spans="5:6">
      <c r="E2607" s="16"/>
      <c r="F2607" s="15"/>
    </row>
    <row r="2608" spans="5:6">
      <c r="E2608" s="16"/>
      <c r="F2608" s="15"/>
    </row>
    <row r="2609" spans="5:6">
      <c r="E2609" s="16"/>
      <c r="F2609" s="15"/>
    </row>
    <row r="2610" spans="5:6">
      <c r="E2610" s="16"/>
      <c r="F2610" s="15"/>
    </row>
    <row r="2611" spans="5:6">
      <c r="E2611" s="16"/>
      <c r="F2611" s="15"/>
    </row>
    <row r="2612" spans="5:6">
      <c r="E2612" s="16"/>
      <c r="F2612" s="15"/>
    </row>
    <row r="2613" spans="5:6">
      <c r="E2613" s="16"/>
      <c r="F2613" s="15"/>
    </row>
    <row r="2614" spans="5:6">
      <c r="E2614" s="16"/>
      <c r="F2614" s="15"/>
    </row>
    <row r="2615" spans="5:6">
      <c r="E2615" s="16"/>
      <c r="F2615" s="15"/>
    </row>
    <row r="2616" spans="5:6">
      <c r="E2616" s="16"/>
      <c r="F2616" s="15"/>
    </row>
    <row r="2617" spans="5:6">
      <c r="E2617" s="16"/>
      <c r="F2617" s="15"/>
    </row>
    <row r="2618" spans="5:6">
      <c r="E2618" s="16"/>
      <c r="F2618" s="15"/>
    </row>
    <row r="2619" spans="5:6">
      <c r="E2619" s="16"/>
      <c r="F2619" s="15"/>
    </row>
    <row r="2620" spans="5:6">
      <c r="E2620" s="16"/>
      <c r="F2620" s="15"/>
    </row>
    <row r="2621" spans="5:6">
      <c r="E2621" s="16"/>
      <c r="F2621" s="15"/>
    </row>
    <row r="2622" spans="5:6">
      <c r="E2622" s="16"/>
      <c r="F2622" s="15"/>
    </row>
    <row r="2623" spans="5:6">
      <c r="E2623" s="16"/>
      <c r="F2623" s="15"/>
    </row>
    <row r="2624" spans="5:6">
      <c r="E2624" s="16"/>
      <c r="F2624" s="15"/>
    </row>
    <row r="2625" spans="5:6">
      <c r="E2625" s="16"/>
      <c r="F2625" s="15"/>
    </row>
    <row r="2626" spans="5:6">
      <c r="E2626" s="16"/>
      <c r="F2626" s="15"/>
    </row>
    <row r="2627" spans="5:6">
      <c r="E2627" s="16"/>
      <c r="F2627" s="15"/>
    </row>
    <row r="2628" spans="5:6">
      <c r="E2628" s="16"/>
      <c r="F2628" s="15"/>
    </row>
    <row r="2629" spans="5:6">
      <c r="E2629" s="16"/>
      <c r="F2629" s="15"/>
    </row>
    <row r="2630" spans="5:6">
      <c r="E2630" s="16"/>
      <c r="F2630" s="15"/>
    </row>
    <row r="2631" spans="5:6">
      <c r="E2631" s="16"/>
      <c r="F2631" s="15"/>
    </row>
    <row r="2632" spans="5:6">
      <c r="E2632" s="16"/>
      <c r="F2632" s="15"/>
    </row>
    <row r="2633" spans="5:6">
      <c r="E2633" s="16"/>
      <c r="F2633" s="15"/>
    </row>
    <row r="2634" spans="5:6">
      <c r="E2634" s="16"/>
      <c r="F2634" s="15"/>
    </row>
    <row r="2635" spans="5:6">
      <c r="E2635" s="16"/>
      <c r="F2635" s="15"/>
    </row>
    <row r="2636" spans="5:6">
      <c r="E2636" s="16"/>
      <c r="F2636" s="15"/>
    </row>
    <row r="2637" spans="5:6">
      <c r="E2637" s="16"/>
      <c r="F2637" s="15"/>
    </row>
    <row r="2638" spans="5:6">
      <c r="E2638" s="16"/>
      <c r="F2638" s="15"/>
    </row>
    <row r="2639" spans="5:6">
      <c r="E2639" s="16"/>
      <c r="F2639" s="15"/>
    </row>
    <row r="2640" spans="5:6">
      <c r="E2640" s="16"/>
      <c r="F2640" s="15"/>
    </row>
    <row r="2641" spans="5:6">
      <c r="E2641" s="16"/>
      <c r="F2641" s="15"/>
    </row>
    <row r="2642" spans="5:6">
      <c r="E2642" s="16"/>
      <c r="F2642" s="15"/>
    </row>
    <row r="2643" spans="5:6">
      <c r="E2643" s="16"/>
      <c r="F2643" s="15"/>
    </row>
    <row r="2644" spans="5:6">
      <c r="E2644" s="16"/>
      <c r="F2644" s="15"/>
    </row>
    <row r="2645" spans="5:6">
      <c r="E2645" s="16"/>
      <c r="F2645" s="15"/>
    </row>
    <row r="2646" spans="5:6">
      <c r="E2646" s="16"/>
      <c r="F2646" s="15"/>
    </row>
    <row r="2647" spans="5:6">
      <c r="E2647" s="16"/>
      <c r="F2647" s="15"/>
    </row>
    <row r="2648" spans="5:6">
      <c r="E2648" s="16"/>
      <c r="F2648" s="15"/>
    </row>
    <row r="2649" spans="5:6">
      <c r="E2649" s="16"/>
      <c r="F2649" s="15"/>
    </row>
    <row r="2650" spans="5:6">
      <c r="E2650" s="16"/>
      <c r="F2650" s="15"/>
    </row>
    <row r="2651" spans="5:6">
      <c r="E2651" s="16"/>
      <c r="F2651" s="15"/>
    </row>
    <row r="2652" spans="5:6">
      <c r="E2652" s="16"/>
      <c r="F2652" s="15"/>
    </row>
    <row r="2653" spans="5:6">
      <c r="E2653" s="16"/>
      <c r="F2653" s="15"/>
    </row>
    <row r="2654" spans="5:6">
      <c r="E2654" s="16"/>
      <c r="F2654" s="15"/>
    </row>
    <row r="2655" spans="5:6">
      <c r="E2655" s="16"/>
      <c r="F2655" s="15"/>
    </row>
    <row r="2656" spans="5:6">
      <c r="E2656" s="16"/>
      <c r="F2656" s="15"/>
    </row>
    <row r="2657" spans="5:6">
      <c r="E2657" s="16"/>
      <c r="F2657" s="15"/>
    </row>
    <row r="2658" spans="5:6">
      <c r="E2658" s="16"/>
      <c r="F2658" s="15"/>
    </row>
    <row r="2659" spans="5:6">
      <c r="E2659" s="16"/>
      <c r="F2659" s="15"/>
    </row>
    <row r="2660" spans="5:6">
      <c r="E2660" s="16"/>
      <c r="F2660" s="15"/>
    </row>
    <row r="2661" spans="5:6">
      <c r="E2661" s="16"/>
      <c r="F2661" s="15"/>
    </row>
    <row r="2662" spans="5:6">
      <c r="E2662" s="16"/>
      <c r="F2662" s="15"/>
    </row>
    <row r="2663" spans="5:6">
      <c r="E2663" s="16"/>
      <c r="F2663" s="15"/>
    </row>
    <row r="2664" spans="5:6">
      <c r="E2664" s="16"/>
      <c r="F2664" s="15"/>
    </row>
    <row r="2665" spans="5:6">
      <c r="E2665" s="16"/>
      <c r="F2665" s="15"/>
    </row>
    <row r="2666" spans="5:6">
      <c r="E2666" s="16"/>
      <c r="F2666" s="15"/>
    </row>
    <row r="2667" spans="5:6">
      <c r="E2667" s="16"/>
      <c r="F2667" s="15"/>
    </row>
    <row r="2668" spans="5:6">
      <c r="E2668" s="16"/>
      <c r="F2668" s="15"/>
    </row>
    <row r="2669" spans="5:6">
      <c r="E2669" s="16"/>
      <c r="F2669" s="15"/>
    </row>
    <row r="2670" spans="5:6">
      <c r="E2670" s="16"/>
      <c r="F2670" s="15"/>
    </row>
    <row r="2671" spans="5:6">
      <c r="E2671" s="16"/>
      <c r="F2671" s="15"/>
    </row>
    <row r="2672" spans="5:6">
      <c r="E2672" s="16"/>
      <c r="F2672" s="15"/>
    </row>
    <row r="2673" spans="5:6">
      <c r="E2673" s="16"/>
      <c r="F2673" s="15"/>
    </row>
    <row r="2674" spans="5:6">
      <c r="E2674" s="16"/>
      <c r="F2674" s="15"/>
    </row>
    <row r="2675" spans="5:6">
      <c r="E2675" s="16"/>
      <c r="F2675" s="15"/>
    </row>
    <row r="2676" spans="5:6">
      <c r="E2676" s="16"/>
      <c r="F2676" s="15"/>
    </row>
    <row r="2677" spans="5:6">
      <c r="E2677" s="16"/>
      <c r="F2677" s="15"/>
    </row>
    <row r="2678" spans="5:6">
      <c r="E2678" s="16"/>
      <c r="F2678" s="15"/>
    </row>
    <row r="2679" spans="5:6">
      <c r="E2679" s="16"/>
      <c r="F2679" s="15"/>
    </row>
    <row r="2680" spans="5:6">
      <c r="E2680" s="16"/>
      <c r="F2680" s="15"/>
    </row>
    <row r="2681" spans="5:6">
      <c r="E2681" s="16"/>
      <c r="F2681" s="15"/>
    </row>
    <row r="2682" spans="5:6">
      <c r="E2682" s="16"/>
      <c r="F2682" s="15"/>
    </row>
    <row r="2683" spans="5:6">
      <c r="E2683" s="16"/>
      <c r="F2683" s="15"/>
    </row>
    <row r="2684" spans="5:6">
      <c r="E2684" s="16"/>
      <c r="F2684" s="15"/>
    </row>
    <row r="2685" spans="5:6">
      <c r="E2685" s="16"/>
      <c r="F2685" s="15"/>
    </row>
    <row r="2686" spans="5:6">
      <c r="E2686" s="16"/>
      <c r="F2686" s="15"/>
    </row>
    <row r="2687" spans="5:6">
      <c r="E2687" s="16"/>
      <c r="F2687" s="15"/>
    </row>
    <row r="2688" spans="5:6">
      <c r="E2688" s="16"/>
      <c r="F2688" s="15"/>
    </row>
    <row r="2689" spans="5:6">
      <c r="E2689" s="16"/>
      <c r="F2689" s="15"/>
    </row>
    <row r="2690" spans="5:6">
      <c r="E2690" s="16"/>
      <c r="F2690" s="15"/>
    </row>
    <row r="2691" spans="5:6">
      <c r="E2691" s="16"/>
      <c r="F2691" s="15"/>
    </row>
    <row r="2692" spans="5:6">
      <c r="E2692" s="16"/>
      <c r="F2692" s="15"/>
    </row>
    <row r="2693" spans="5:6">
      <c r="E2693" s="16"/>
      <c r="F2693" s="15"/>
    </row>
    <row r="2694" spans="5:6">
      <c r="E2694" s="16"/>
      <c r="F2694" s="15"/>
    </row>
    <row r="2695" spans="5:6">
      <c r="E2695" s="16"/>
      <c r="F2695" s="15"/>
    </row>
    <row r="2696" spans="5:6">
      <c r="E2696" s="16"/>
      <c r="F2696" s="15"/>
    </row>
    <row r="2697" spans="5:6">
      <c r="E2697" s="16"/>
      <c r="F2697" s="15"/>
    </row>
    <row r="2698" spans="5:6">
      <c r="E2698" s="16"/>
      <c r="F2698" s="15"/>
    </row>
    <row r="2699" spans="5:6">
      <c r="E2699" s="16"/>
      <c r="F2699" s="15"/>
    </row>
    <row r="2700" spans="5:6">
      <c r="E2700" s="16"/>
      <c r="F2700" s="15"/>
    </row>
    <row r="2701" spans="5:6">
      <c r="E2701" s="16"/>
      <c r="F2701" s="15"/>
    </row>
    <row r="2702" spans="5:6">
      <c r="E2702" s="16"/>
      <c r="F2702" s="15"/>
    </row>
    <row r="2703" spans="5:6">
      <c r="E2703" s="16"/>
      <c r="F2703" s="15"/>
    </row>
    <row r="2704" spans="5:6">
      <c r="E2704" s="16"/>
      <c r="F2704" s="15"/>
    </row>
    <row r="2705" spans="5:6">
      <c r="E2705" s="16"/>
      <c r="F2705" s="15"/>
    </row>
    <row r="2706" spans="5:6">
      <c r="E2706" s="16"/>
      <c r="F2706" s="15"/>
    </row>
    <row r="2707" spans="5:6">
      <c r="E2707" s="16"/>
      <c r="F2707" s="15"/>
    </row>
    <row r="2708" spans="5:6">
      <c r="E2708" s="16"/>
      <c r="F2708" s="15"/>
    </row>
    <row r="2709" spans="5:6">
      <c r="E2709" s="16"/>
      <c r="F2709" s="15"/>
    </row>
    <row r="2710" spans="5:6">
      <c r="E2710" s="16"/>
      <c r="F2710" s="15"/>
    </row>
    <row r="2711" spans="5:6">
      <c r="E2711" s="16"/>
      <c r="F2711" s="15"/>
    </row>
    <row r="2712" spans="5:6">
      <c r="E2712" s="16"/>
      <c r="F2712" s="15"/>
    </row>
    <row r="2713" spans="5:6">
      <c r="E2713" s="16"/>
      <c r="F2713" s="15"/>
    </row>
    <row r="2714" spans="5:6">
      <c r="E2714" s="16"/>
      <c r="F2714" s="15"/>
    </row>
    <row r="2715" spans="5:6">
      <c r="E2715" s="16"/>
      <c r="F2715" s="15"/>
    </row>
    <row r="2716" spans="5:6">
      <c r="E2716" s="16"/>
      <c r="F2716" s="15"/>
    </row>
    <row r="2717" spans="5:6">
      <c r="E2717" s="16"/>
      <c r="F2717" s="15"/>
    </row>
    <row r="2718" spans="5:6">
      <c r="E2718" s="16"/>
      <c r="F2718" s="15"/>
    </row>
    <row r="2719" spans="5:6">
      <c r="E2719" s="16"/>
      <c r="F2719" s="15"/>
    </row>
    <row r="2720" spans="5:6">
      <c r="E2720" s="16"/>
      <c r="F2720" s="15"/>
    </row>
    <row r="2721" spans="5:6">
      <c r="E2721" s="16"/>
      <c r="F2721" s="15"/>
    </row>
    <row r="2722" spans="5:6">
      <c r="E2722" s="16"/>
      <c r="F2722" s="15"/>
    </row>
    <row r="2723" spans="5:6">
      <c r="E2723" s="16"/>
      <c r="F2723" s="15"/>
    </row>
    <row r="2724" spans="5:6">
      <c r="E2724" s="16"/>
      <c r="F2724" s="15"/>
    </row>
    <row r="2725" spans="5:6">
      <c r="E2725" s="16"/>
      <c r="F2725" s="15"/>
    </row>
    <row r="2726" spans="5:6">
      <c r="E2726" s="16"/>
      <c r="F2726" s="15"/>
    </row>
    <row r="2727" spans="5:6">
      <c r="E2727" s="16"/>
      <c r="F2727" s="15"/>
    </row>
    <row r="2728" spans="5:6">
      <c r="E2728" s="16"/>
      <c r="F2728" s="15"/>
    </row>
    <row r="2729" spans="5:6">
      <c r="E2729" s="16"/>
      <c r="F2729" s="15"/>
    </row>
    <row r="2730" spans="5:6">
      <c r="E2730" s="16"/>
      <c r="F2730" s="15"/>
    </row>
    <row r="2731" spans="5:6">
      <c r="E2731" s="16"/>
      <c r="F2731" s="15"/>
    </row>
    <row r="2732" spans="5:6">
      <c r="E2732" s="16"/>
      <c r="F2732" s="15"/>
    </row>
    <row r="2733" spans="5:6">
      <c r="E2733" s="16"/>
      <c r="F2733" s="15"/>
    </row>
    <row r="2734" spans="5:6">
      <c r="E2734" s="16"/>
      <c r="F2734" s="15"/>
    </row>
    <row r="2735" spans="5:6">
      <c r="E2735" s="16"/>
      <c r="F2735" s="15"/>
    </row>
    <row r="2736" spans="5:6">
      <c r="E2736" s="16"/>
      <c r="F2736" s="15"/>
    </row>
    <row r="2737" spans="5:6">
      <c r="E2737" s="16"/>
      <c r="F2737" s="15"/>
    </row>
    <row r="2738" spans="5:6">
      <c r="E2738" s="16"/>
      <c r="F2738" s="15"/>
    </row>
    <row r="2739" spans="5:6">
      <c r="E2739" s="16"/>
      <c r="F2739" s="15"/>
    </row>
    <row r="2740" spans="5:6">
      <c r="E2740" s="16"/>
      <c r="F2740" s="15"/>
    </row>
    <row r="2741" spans="5:6">
      <c r="E2741" s="16"/>
      <c r="F2741" s="15"/>
    </row>
    <row r="2742" spans="5:6">
      <c r="E2742" s="16"/>
      <c r="F2742" s="15"/>
    </row>
    <row r="2743" spans="5:6">
      <c r="E2743" s="16"/>
      <c r="F2743" s="15"/>
    </row>
    <row r="2744" spans="5:6">
      <c r="E2744" s="16"/>
      <c r="F2744" s="15"/>
    </row>
    <row r="2745" spans="5:6">
      <c r="E2745" s="16"/>
      <c r="F2745" s="15"/>
    </row>
    <row r="2746" spans="5:6">
      <c r="E2746" s="16"/>
      <c r="F2746" s="15"/>
    </row>
    <row r="2747" spans="5:6">
      <c r="E2747" s="16"/>
      <c r="F2747" s="15"/>
    </row>
    <row r="2748" spans="5:6">
      <c r="E2748" s="16"/>
      <c r="F2748" s="15"/>
    </row>
    <row r="2749" spans="5:6">
      <c r="E2749" s="16"/>
      <c r="F2749" s="15"/>
    </row>
    <row r="2750" spans="5:6">
      <c r="E2750" s="16"/>
      <c r="F2750" s="15"/>
    </row>
    <row r="2751" spans="5:6">
      <c r="E2751" s="16"/>
      <c r="F2751" s="15"/>
    </row>
    <row r="2752" spans="5:6">
      <c r="E2752" s="16"/>
      <c r="F2752" s="15"/>
    </row>
    <row r="2753" spans="5:6">
      <c r="E2753" s="16"/>
      <c r="F2753" s="15"/>
    </row>
    <row r="2754" spans="5:6">
      <c r="E2754" s="16"/>
      <c r="F2754" s="15"/>
    </row>
    <row r="2755" spans="5:6">
      <c r="E2755" s="16"/>
      <c r="F2755" s="15"/>
    </row>
    <row r="2756" spans="5:6">
      <c r="E2756" s="16"/>
      <c r="F2756" s="15"/>
    </row>
    <row r="2757" spans="5:6">
      <c r="E2757" s="16"/>
      <c r="F2757" s="15"/>
    </row>
    <row r="2758" spans="5:6">
      <c r="E2758" s="16"/>
      <c r="F2758" s="15"/>
    </row>
    <row r="2759" spans="5:6">
      <c r="E2759" s="16"/>
      <c r="F2759" s="15"/>
    </row>
    <row r="2760" spans="5:6">
      <c r="E2760" s="16"/>
      <c r="F2760" s="15"/>
    </row>
    <row r="2761" spans="5:6">
      <c r="E2761" s="16"/>
      <c r="F2761" s="15"/>
    </row>
    <row r="2762" spans="5:6">
      <c r="E2762" s="16"/>
      <c r="F2762" s="15"/>
    </row>
    <row r="2763" spans="5:6">
      <c r="E2763" s="16"/>
      <c r="F2763" s="15"/>
    </row>
    <row r="2764" spans="5:6">
      <c r="E2764" s="16"/>
      <c r="F2764" s="15"/>
    </row>
    <row r="2765" spans="5:6">
      <c r="E2765" s="16"/>
      <c r="F2765" s="15"/>
    </row>
    <row r="2766" spans="5:6">
      <c r="E2766" s="16"/>
      <c r="F2766" s="15"/>
    </row>
    <row r="2767" spans="5:6">
      <c r="E2767" s="16"/>
      <c r="F2767" s="15"/>
    </row>
    <row r="2768" spans="5:6">
      <c r="E2768" s="16"/>
      <c r="F2768" s="15"/>
    </row>
    <row r="2769" spans="5:6">
      <c r="E2769" s="16"/>
      <c r="F2769" s="15"/>
    </row>
    <row r="2770" spans="5:6">
      <c r="E2770" s="16"/>
      <c r="F2770" s="15"/>
    </row>
    <row r="2771" spans="5:6">
      <c r="E2771" s="16"/>
      <c r="F2771" s="15"/>
    </row>
    <row r="2772" spans="5:6">
      <c r="E2772" s="16"/>
      <c r="F2772" s="15"/>
    </row>
    <row r="2773" spans="5:6">
      <c r="E2773" s="16"/>
      <c r="F2773" s="15"/>
    </row>
    <row r="2774" spans="5:6">
      <c r="E2774" s="16"/>
      <c r="F2774" s="15"/>
    </row>
    <row r="2775" spans="5:6">
      <c r="E2775" s="16"/>
      <c r="F2775" s="15"/>
    </row>
    <row r="2776" spans="5:6">
      <c r="E2776" s="16"/>
      <c r="F2776" s="15"/>
    </row>
    <row r="2777" spans="5:6">
      <c r="E2777" s="16"/>
      <c r="F2777" s="15"/>
    </row>
    <row r="2778" spans="5:6">
      <c r="E2778" s="16"/>
      <c r="F2778" s="15"/>
    </row>
    <row r="2779" spans="5:6">
      <c r="E2779" s="16"/>
      <c r="F2779" s="15"/>
    </row>
    <row r="2780" spans="5:6">
      <c r="E2780" s="16"/>
      <c r="F2780" s="15"/>
    </row>
    <row r="2781" spans="5:6">
      <c r="E2781" s="16"/>
      <c r="F2781" s="15"/>
    </row>
    <row r="2782" spans="5:6">
      <c r="E2782" s="16"/>
      <c r="F2782" s="15"/>
    </row>
    <row r="2783" spans="5:6">
      <c r="E2783" s="16"/>
      <c r="F2783" s="15"/>
    </row>
    <row r="2784" spans="5:6">
      <c r="E2784" s="16"/>
      <c r="F2784" s="15"/>
    </row>
    <row r="2785" spans="5:6">
      <c r="E2785" s="16"/>
      <c r="F2785" s="15"/>
    </row>
    <row r="2786" spans="5:6">
      <c r="E2786" s="16"/>
      <c r="F2786" s="15"/>
    </row>
    <row r="2787" spans="5:6">
      <c r="E2787" s="16"/>
      <c r="F2787" s="15"/>
    </row>
    <row r="2788" spans="5:6">
      <c r="E2788" s="16"/>
      <c r="F2788" s="15"/>
    </row>
    <row r="2789" spans="5:6">
      <c r="E2789" s="16"/>
      <c r="F2789" s="15"/>
    </row>
    <row r="2790" spans="5:6">
      <c r="E2790" s="16"/>
      <c r="F2790" s="15"/>
    </row>
    <row r="2791" spans="5:6">
      <c r="E2791" s="16"/>
      <c r="F2791" s="15"/>
    </row>
    <row r="2792" spans="5:6">
      <c r="E2792" s="16"/>
      <c r="F2792" s="15"/>
    </row>
    <row r="2793" spans="5:6">
      <c r="E2793" s="16"/>
      <c r="F2793" s="15"/>
    </row>
    <row r="2794" spans="5:6">
      <c r="E2794" s="16"/>
      <c r="F2794" s="15"/>
    </row>
    <row r="2795" spans="5:6">
      <c r="E2795" s="16"/>
      <c r="F2795" s="15"/>
    </row>
    <row r="2796" spans="5:6">
      <c r="E2796" s="16"/>
      <c r="F2796" s="15"/>
    </row>
    <row r="2797" spans="5:6">
      <c r="E2797" s="16"/>
      <c r="F2797" s="15"/>
    </row>
    <row r="2798" spans="5:6">
      <c r="E2798" s="16"/>
      <c r="F2798" s="15"/>
    </row>
    <row r="2799" spans="5:6">
      <c r="E2799" s="16"/>
      <c r="F2799" s="15"/>
    </row>
    <row r="2800" spans="5:6">
      <c r="E2800" s="16"/>
      <c r="F2800" s="15"/>
    </row>
    <row r="2801" spans="5:6">
      <c r="E2801" s="16"/>
      <c r="F2801" s="15"/>
    </row>
    <row r="2802" spans="5:6">
      <c r="E2802" s="16"/>
      <c r="F2802" s="15"/>
    </row>
    <row r="2803" spans="5:6">
      <c r="E2803" s="16"/>
      <c r="F2803" s="15"/>
    </row>
    <row r="2804" spans="5:6">
      <c r="E2804" s="16"/>
      <c r="F2804" s="15"/>
    </row>
    <row r="2805" spans="5:6">
      <c r="E2805" s="16"/>
      <c r="F2805" s="15"/>
    </row>
    <row r="2806" spans="5:6">
      <c r="E2806" s="16"/>
      <c r="F2806" s="15"/>
    </row>
    <row r="2807" spans="5:6">
      <c r="E2807" s="16"/>
      <c r="F2807" s="15"/>
    </row>
    <row r="2808" spans="5:6">
      <c r="E2808" s="16"/>
      <c r="F2808" s="15"/>
    </row>
    <row r="2809" spans="5:6">
      <c r="E2809" s="16"/>
      <c r="F2809" s="15"/>
    </row>
    <row r="2810" spans="5:6">
      <c r="E2810" s="16"/>
      <c r="F2810" s="15"/>
    </row>
    <row r="2811" spans="5:6">
      <c r="E2811" s="16"/>
      <c r="F2811" s="15"/>
    </row>
    <row r="2812" spans="5:6">
      <c r="E2812" s="16"/>
      <c r="F2812" s="15"/>
    </row>
    <row r="2813" spans="5:6">
      <c r="E2813" s="16"/>
      <c r="F2813" s="15"/>
    </row>
    <row r="2814" spans="5:6">
      <c r="E2814" s="16"/>
      <c r="F2814" s="15"/>
    </row>
    <row r="2815" spans="5:6">
      <c r="E2815" s="16"/>
      <c r="F2815" s="15"/>
    </row>
    <row r="2816" spans="5:6">
      <c r="E2816" s="16"/>
      <c r="F2816" s="15"/>
    </row>
    <row r="2817" spans="5:6">
      <c r="E2817" s="16"/>
      <c r="F2817" s="15"/>
    </row>
    <row r="2818" spans="5:6">
      <c r="E2818" s="16"/>
      <c r="F2818" s="15"/>
    </row>
    <row r="2819" spans="5:6">
      <c r="E2819" s="16"/>
      <c r="F2819" s="15"/>
    </row>
    <row r="2820" spans="5:6">
      <c r="E2820" s="16"/>
      <c r="F2820" s="15"/>
    </row>
    <row r="2821" spans="5:6">
      <c r="E2821" s="16"/>
      <c r="F2821" s="15"/>
    </row>
    <row r="2822" spans="5:6">
      <c r="E2822" s="16"/>
      <c r="F2822" s="15"/>
    </row>
    <row r="2823" spans="5:6">
      <c r="E2823" s="16"/>
      <c r="F2823" s="15"/>
    </row>
    <row r="2824" spans="5:6">
      <c r="E2824" s="16"/>
      <c r="F2824" s="15"/>
    </row>
    <row r="2825" spans="5:6">
      <c r="E2825" s="16"/>
      <c r="F2825" s="15"/>
    </row>
    <row r="2826" spans="5:6">
      <c r="E2826" s="16"/>
      <c r="F2826" s="15"/>
    </row>
    <row r="2827" spans="5:6">
      <c r="E2827" s="16"/>
      <c r="F2827" s="15"/>
    </row>
    <row r="2828" spans="5:6">
      <c r="E2828" s="16"/>
      <c r="F2828" s="15"/>
    </row>
    <row r="2829" spans="5:6">
      <c r="E2829" s="16"/>
      <c r="F2829" s="15"/>
    </row>
    <row r="2830" spans="5:6">
      <c r="E2830" s="16"/>
      <c r="F2830" s="15"/>
    </row>
    <row r="2831" spans="5:6">
      <c r="E2831" s="16"/>
      <c r="F2831" s="15"/>
    </row>
    <row r="2832" spans="5:6">
      <c r="E2832" s="16"/>
      <c r="F2832" s="15"/>
    </row>
    <row r="2833" spans="5:6">
      <c r="E2833" s="16"/>
      <c r="F2833" s="15"/>
    </row>
    <row r="2834" spans="5:6">
      <c r="E2834" s="16"/>
      <c r="F2834" s="15"/>
    </row>
    <row r="2835" spans="5:6">
      <c r="E2835" s="16"/>
      <c r="F2835" s="15"/>
    </row>
    <row r="2836" spans="5:6">
      <c r="E2836" s="16"/>
      <c r="F2836" s="15"/>
    </row>
    <row r="2837" spans="5:6">
      <c r="E2837" s="16"/>
      <c r="F2837" s="15"/>
    </row>
    <row r="2838" spans="5:6">
      <c r="E2838" s="16"/>
      <c r="F2838" s="15"/>
    </row>
    <row r="2839" spans="5:6">
      <c r="E2839" s="16"/>
      <c r="F2839" s="15"/>
    </row>
    <row r="2840" spans="5:6">
      <c r="E2840" s="16"/>
      <c r="F2840" s="15"/>
    </row>
    <row r="2841" spans="5:6">
      <c r="E2841" s="16"/>
      <c r="F2841" s="15"/>
    </row>
    <row r="2842" spans="5:6">
      <c r="E2842" s="16"/>
      <c r="F2842" s="15"/>
    </row>
    <row r="2843" spans="5:6">
      <c r="E2843" s="16"/>
      <c r="F2843" s="15"/>
    </row>
    <row r="2844" spans="5:6">
      <c r="E2844" s="16"/>
      <c r="F2844" s="15"/>
    </row>
    <row r="2845" spans="5:6">
      <c r="E2845" s="16"/>
      <c r="F2845" s="15"/>
    </row>
    <row r="2846" spans="5:6">
      <c r="E2846" s="16"/>
      <c r="F2846" s="15"/>
    </row>
    <row r="2847" spans="5:6">
      <c r="E2847" s="16"/>
      <c r="F2847" s="15"/>
    </row>
    <row r="2848" spans="5:6">
      <c r="E2848" s="16"/>
      <c r="F2848" s="15"/>
    </row>
    <row r="2849" spans="5:6">
      <c r="E2849" s="16"/>
      <c r="F2849" s="15"/>
    </row>
    <row r="2850" spans="5:6">
      <c r="E2850" s="16"/>
      <c r="F2850" s="15"/>
    </row>
    <row r="2851" spans="5:6">
      <c r="E2851" s="16"/>
      <c r="F2851" s="15"/>
    </row>
    <row r="2852" spans="5:6">
      <c r="E2852" s="16"/>
      <c r="F2852" s="15"/>
    </row>
    <row r="2853" spans="5:6">
      <c r="E2853" s="16"/>
      <c r="F2853" s="15"/>
    </row>
    <row r="2854" spans="5:6">
      <c r="E2854" s="16"/>
      <c r="F2854" s="15"/>
    </row>
    <row r="2855" spans="5:6">
      <c r="E2855" s="16"/>
      <c r="F2855" s="15"/>
    </row>
    <row r="2856" spans="5:6">
      <c r="E2856" s="16"/>
      <c r="F2856" s="15"/>
    </row>
    <row r="2857" spans="5:6">
      <c r="E2857" s="16"/>
      <c r="F2857" s="15"/>
    </row>
    <row r="2858" spans="5:6">
      <c r="E2858" s="16"/>
      <c r="F2858" s="15"/>
    </row>
    <row r="2859" spans="5:6">
      <c r="E2859" s="16"/>
      <c r="F2859" s="15"/>
    </row>
    <row r="2860" spans="5:6">
      <c r="E2860" s="16"/>
      <c r="F2860" s="15"/>
    </row>
    <row r="2861" spans="5:6">
      <c r="E2861" s="16"/>
      <c r="F2861" s="15"/>
    </row>
    <row r="2862" spans="5:6">
      <c r="E2862" s="16"/>
      <c r="F2862" s="15"/>
    </row>
    <row r="2863" spans="5:6">
      <c r="E2863" s="16"/>
      <c r="F2863" s="15"/>
    </row>
    <row r="2864" spans="5:6">
      <c r="E2864" s="16"/>
      <c r="F2864" s="15"/>
    </row>
    <row r="2865" spans="5:6">
      <c r="E2865" s="16"/>
      <c r="F2865" s="15"/>
    </row>
    <row r="2866" spans="5:6">
      <c r="E2866" s="16"/>
      <c r="F2866" s="15"/>
    </row>
    <row r="2867" spans="5:6">
      <c r="E2867" s="16"/>
      <c r="F2867" s="15"/>
    </row>
    <row r="2868" spans="5:6">
      <c r="E2868" s="16"/>
      <c r="F2868" s="15"/>
    </row>
    <row r="2869" spans="5:6">
      <c r="E2869" s="16"/>
      <c r="F2869" s="15"/>
    </row>
    <row r="2870" spans="5:6">
      <c r="E2870" s="16"/>
      <c r="F2870" s="15"/>
    </row>
    <row r="2871" spans="5:6">
      <c r="E2871" s="16"/>
      <c r="F2871" s="15"/>
    </row>
    <row r="2872" spans="5:6">
      <c r="E2872" s="16"/>
      <c r="F2872" s="15"/>
    </row>
    <row r="2873" spans="5:6">
      <c r="E2873" s="16"/>
      <c r="F2873" s="15"/>
    </row>
    <row r="2874" spans="5:6">
      <c r="E2874" s="16"/>
      <c r="F2874" s="15"/>
    </row>
    <row r="2875" spans="5:6">
      <c r="E2875" s="16"/>
      <c r="F2875" s="15"/>
    </row>
    <row r="2876" spans="5:6">
      <c r="E2876" s="16"/>
      <c r="F2876" s="15"/>
    </row>
    <row r="2877" spans="5:6">
      <c r="E2877" s="16"/>
      <c r="F2877" s="15"/>
    </row>
    <row r="2878" spans="5:6">
      <c r="E2878" s="16"/>
      <c r="F2878" s="15"/>
    </row>
    <row r="2879" spans="5:6">
      <c r="E2879" s="16"/>
      <c r="F2879" s="15"/>
    </row>
    <row r="2880" spans="5:6">
      <c r="E2880" s="16"/>
      <c r="F2880" s="15"/>
    </row>
    <row r="2881" spans="5:6">
      <c r="E2881" s="16"/>
      <c r="F2881" s="15"/>
    </row>
    <row r="2882" spans="5:6">
      <c r="E2882" s="16"/>
      <c r="F2882" s="15"/>
    </row>
    <row r="2883" spans="5:6">
      <c r="E2883" s="16"/>
      <c r="F2883" s="15"/>
    </row>
    <row r="2884" spans="5:6">
      <c r="E2884" s="16"/>
      <c r="F2884" s="15"/>
    </row>
    <row r="2885" spans="5:6">
      <c r="E2885" s="16"/>
      <c r="F2885" s="15"/>
    </row>
    <row r="2886" spans="5:6">
      <c r="E2886" s="16"/>
      <c r="F2886" s="15"/>
    </row>
    <row r="2887" spans="5:6">
      <c r="E2887" s="16"/>
      <c r="F2887" s="15"/>
    </row>
    <row r="2888" spans="5:6">
      <c r="E2888" s="16"/>
      <c r="F2888" s="15"/>
    </row>
    <row r="2889" spans="5:6">
      <c r="E2889" s="16"/>
      <c r="F2889" s="15"/>
    </row>
    <row r="2890" spans="5:6">
      <c r="E2890" s="16"/>
      <c r="F2890" s="15"/>
    </row>
    <row r="2891" spans="5:6">
      <c r="E2891" s="16"/>
      <c r="F2891" s="15"/>
    </row>
    <row r="2892" spans="5:6">
      <c r="E2892" s="16"/>
      <c r="F2892" s="15"/>
    </row>
    <row r="2893" spans="5:6">
      <c r="E2893" s="16"/>
      <c r="F2893" s="15"/>
    </row>
    <row r="2894" spans="5:6">
      <c r="E2894" s="16"/>
      <c r="F2894" s="15"/>
    </row>
    <row r="2895" spans="5:6">
      <c r="E2895" s="16"/>
      <c r="F2895" s="15"/>
    </row>
    <row r="2896" spans="5:6">
      <c r="E2896" s="16"/>
      <c r="F2896" s="15"/>
    </row>
    <row r="2897" spans="5:6">
      <c r="E2897" s="16"/>
      <c r="F2897" s="15"/>
    </row>
    <row r="2898" spans="5:6">
      <c r="E2898" s="16"/>
      <c r="F2898" s="15"/>
    </row>
    <row r="2899" spans="5:6">
      <c r="E2899" s="16"/>
      <c r="F2899" s="15"/>
    </row>
    <row r="2900" spans="5:6">
      <c r="E2900" s="16"/>
      <c r="F2900" s="15"/>
    </row>
    <row r="2901" spans="5:6">
      <c r="E2901" s="16"/>
      <c r="F2901" s="15"/>
    </row>
    <row r="2902" spans="5:6">
      <c r="E2902" s="16"/>
      <c r="F2902" s="15"/>
    </row>
    <row r="2903" spans="5:6">
      <c r="E2903" s="16"/>
      <c r="F2903" s="15"/>
    </row>
    <row r="2904" spans="5:6">
      <c r="E2904" s="16"/>
      <c r="F2904" s="15"/>
    </row>
    <row r="2905" spans="5:6">
      <c r="E2905" s="16"/>
      <c r="F2905" s="15"/>
    </row>
    <row r="2906" spans="5:6">
      <c r="E2906" s="16"/>
      <c r="F2906" s="15"/>
    </row>
    <row r="2907" spans="5:6">
      <c r="E2907" s="16"/>
      <c r="F2907" s="15"/>
    </row>
    <row r="2908" spans="5:6">
      <c r="E2908" s="16"/>
      <c r="F2908" s="15"/>
    </row>
    <row r="2909" spans="5:6">
      <c r="E2909" s="16"/>
      <c r="F2909" s="15"/>
    </row>
    <row r="2910" spans="5:6">
      <c r="E2910" s="16"/>
      <c r="F2910" s="15"/>
    </row>
    <row r="2911" spans="5:6">
      <c r="E2911" s="16"/>
      <c r="F2911" s="15"/>
    </row>
    <row r="2912" spans="5:6">
      <c r="E2912" s="16"/>
      <c r="F2912" s="15"/>
    </row>
    <row r="2913" spans="5:6">
      <c r="E2913" s="16"/>
      <c r="F2913" s="15"/>
    </row>
    <row r="2914" spans="5:6">
      <c r="E2914" s="16"/>
      <c r="F2914" s="15"/>
    </row>
    <row r="2915" spans="5:6">
      <c r="E2915" s="16"/>
      <c r="F2915" s="15"/>
    </row>
    <row r="2916" spans="5:6">
      <c r="E2916" s="16"/>
      <c r="F2916" s="15"/>
    </row>
    <row r="2917" spans="5:6">
      <c r="E2917" s="16"/>
      <c r="F2917" s="15"/>
    </row>
    <row r="2918" spans="5:6">
      <c r="E2918" s="16"/>
      <c r="F2918" s="15"/>
    </row>
    <row r="2919" spans="5:6">
      <c r="E2919" s="16"/>
      <c r="F2919" s="15"/>
    </row>
    <row r="2920" spans="5:6">
      <c r="E2920" s="16"/>
      <c r="F2920" s="15"/>
    </row>
    <row r="2921" spans="5:6">
      <c r="E2921" s="16"/>
      <c r="F2921" s="15"/>
    </row>
    <row r="2922" spans="5:6">
      <c r="E2922" s="16"/>
      <c r="F2922" s="15"/>
    </row>
    <row r="2923" spans="5:6">
      <c r="E2923" s="16"/>
      <c r="F2923" s="15"/>
    </row>
    <row r="2924" spans="5:6">
      <c r="E2924" s="16"/>
      <c r="F2924" s="15"/>
    </row>
    <row r="2925" spans="5:6">
      <c r="E2925" s="16"/>
      <c r="F2925" s="15"/>
    </row>
    <row r="2926" spans="5:6">
      <c r="E2926" s="16"/>
      <c r="F2926" s="15"/>
    </row>
    <row r="2927" spans="5:6">
      <c r="E2927" s="16"/>
      <c r="F2927" s="15"/>
    </row>
    <row r="2928" spans="5:6">
      <c r="E2928" s="16"/>
      <c r="F2928" s="15"/>
    </row>
    <row r="2929" spans="5:6">
      <c r="E2929" s="16"/>
      <c r="F2929" s="15"/>
    </row>
    <row r="2930" spans="5:6">
      <c r="E2930" s="16"/>
      <c r="F2930" s="15"/>
    </row>
    <row r="2931" spans="5:6">
      <c r="E2931" s="16"/>
      <c r="F2931" s="15"/>
    </row>
    <row r="2932" spans="5:6">
      <c r="E2932" s="16"/>
      <c r="F2932" s="15"/>
    </row>
    <row r="2933" spans="5:6">
      <c r="E2933" s="16"/>
      <c r="F2933" s="15"/>
    </row>
    <row r="2934" spans="5:6">
      <c r="E2934" s="16"/>
      <c r="F2934" s="15"/>
    </row>
    <row r="2935" spans="5:6">
      <c r="E2935" s="16"/>
      <c r="F2935" s="15"/>
    </row>
    <row r="2936" spans="5:6">
      <c r="E2936" s="16"/>
      <c r="F2936" s="15"/>
    </row>
    <row r="2937" spans="5:6">
      <c r="E2937" s="16"/>
      <c r="F2937" s="15"/>
    </row>
    <row r="2938" spans="5:6">
      <c r="E2938" s="16"/>
      <c r="F2938" s="15"/>
    </row>
    <row r="2939" spans="5:6">
      <c r="E2939" s="16"/>
      <c r="F2939" s="15"/>
    </row>
    <row r="2940" spans="5:6">
      <c r="E2940" s="16"/>
      <c r="F2940" s="15"/>
    </row>
    <row r="2941" spans="5:6">
      <c r="E2941" s="16"/>
      <c r="F2941" s="15"/>
    </row>
    <row r="2942" spans="5:6">
      <c r="E2942" s="16"/>
      <c r="F2942" s="15"/>
    </row>
    <row r="2943" spans="5:6">
      <c r="E2943" s="16"/>
      <c r="F2943" s="15"/>
    </row>
    <row r="2944" spans="5:6">
      <c r="E2944" s="16"/>
      <c r="F2944" s="15"/>
    </row>
    <row r="2945" spans="5:6">
      <c r="E2945" s="16"/>
      <c r="F2945" s="15"/>
    </row>
    <row r="2946" spans="5:6">
      <c r="E2946" s="16"/>
      <c r="F2946" s="15"/>
    </row>
    <row r="2947" spans="5:6">
      <c r="E2947" s="16"/>
      <c r="F2947" s="15"/>
    </row>
    <row r="2948" spans="5:6">
      <c r="E2948" s="16"/>
      <c r="F2948" s="15"/>
    </row>
    <row r="2949" spans="5:6">
      <c r="E2949" s="16"/>
      <c r="F2949" s="15"/>
    </row>
    <row r="2950" spans="5:6">
      <c r="E2950" s="16"/>
      <c r="F2950" s="15"/>
    </row>
    <row r="2951" spans="5:6">
      <c r="E2951" s="16"/>
      <c r="F2951" s="15"/>
    </row>
    <row r="2952" spans="5:6">
      <c r="E2952" s="16"/>
      <c r="F2952" s="15"/>
    </row>
    <row r="2953" spans="5:6">
      <c r="E2953" s="16"/>
      <c r="F2953" s="15"/>
    </row>
    <row r="2954" spans="5:6">
      <c r="E2954" s="16"/>
      <c r="F2954" s="15"/>
    </row>
    <row r="2955" spans="5:6">
      <c r="E2955" s="16"/>
      <c r="F2955" s="15"/>
    </row>
    <row r="2956" spans="5:6">
      <c r="E2956" s="16"/>
      <c r="F2956" s="15"/>
    </row>
    <row r="2957" spans="5:6">
      <c r="E2957" s="16"/>
      <c r="F2957" s="15"/>
    </row>
    <row r="2958" spans="5:6">
      <c r="E2958" s="16"/>
      <c r="F2958" s="15"/>
    </row>
    <row r="2959" spans="5:6">
      <c r="E2959" s="16"/>
      <c r="F2959" s="15"/>
    </row>
    <row r="2960" spans="5:6">
      <c r="E2960" s="16"/>
      <c r="F2960" s="15"/>
    </row>
    <row r="2961" spans="5:6">
      <c r="E2961" s="16"/>
      <c r="F2961" s="15"/>
    </row>
    <row r="2962" spans="5:6">
      <c r="E2962" s="16"/>
      <c r="F2962" s="15"/>
    </row>
    <row r="2963" spans="5:6">
      <c r="E2963" s="16"/>
      <c r="F2963" s="15"/>
    </row>
    <row r="2964" spans="5:6">
      <c r="E2964" s="16"/>
      <c r="F2964" s="15"/>
    </row>
    <row r="2965" spans="5:6">
      <c r="E2965" s="16"/>
      <c r="F2965" s="15"/>
    </row>
    <row r="2966" spans="5:6">
      <c r="E2966" s="16"/>
      <c r="F2966" s="15"/>
    </row>
    <row r="2967" spans="5:6">
      <c r="E2967" s="16"/>
      <c r="F2967" s="15"/>
    </row>
    <row r="2968" spans="5:6">
      <c r="E2968" s="16"/>
      <c r="F2968" s="15"/>
    </row>
    <row r="2969" spans="5:6">
      <c r="E2969" s="16"/>
      <c r="F2969" s="15"/>
    </row>
    <row r="2970" spans="5:6">
      <c r="E2970" s="16"/>
      <c r="F2970" s="15"/>
    </row>
    <row r="2971" spans="5:6">
      <c r="E2971" s="16"/>
      <c r="F2971" s="15"/>
    </row>
    <row r="2972" spans="5:6">
      <c r="E2972" s="16"/>
      <c r="F2972" s="15"/>
    </row>
    <row r="2973" spans="5:6">
      <c r="E2973" s="16"/>
      <c r="F2973" s="15"/>
    </row>
    <row r="2974" spans="5:6">
      <c r="E2974" s="16"/>
      <c r="F2974" s="15"/>
    </row>
    <row r="2975" spans="5:6">
      <c r="E2975" s="16"/>
      <c r="F2975" s="15"/>
    </row>
    <row r="2976" spans="5:6">
      <c r="E2976" s="16"/>
      <c r="F2976" s="15"/>
    </row>
    <row r="2977" spans="5:6">
      <c r="E2977" s="16"/>
      <c r="F2977" s="15"/>
    </row>
    <row r="2978" spans="5:6">
      <c r="E2978" s="16"/>
      <c r="F2978" s="15"/>
    </row>
    <row r="2979" spans="5:6">
      <c r="E2979" s="16"/>
      <c r="F2979" s="15"/>
    </row>
    <row r="2980" spans="5:6">
      <c r="E2980" s="16"/>
      <c r="F2980" s="15"/>
    </row>
    <row r="2981" spans="5:6">
      <c r="E2981" s="16"/>
      <c r="F2981" s="15"/>
    </row>
    <row r="2982" spans="5:6">
      <c r="E2982" s="16"/>
      <c r="F2982" s="15"/>
    </row>
    <row r="2983" spans="5:6">
      <c r="E2983" s="16"/>
      <c r="F2983" s="15"/>
    </row>
    <row r="2984" spans="5:6">
      <c r="E2984" s="16"/>
      <c r="F2984" s="15"/>
    </row>
    <row r="2985" spans="5:6">
      <c r="E2985" s="16"/>
      <c r="F2985" s="15"/>
    </row>
    <row r="2986" spans="5:6">
      <c r="E2986" s="16"/>
      <c r="F2986" s="15"/>
    </row>
    <row r="2987" spans="5:6">
      <c r="E2987" s="16"/>
      <c r="F2987" s="15"/>
    </row>
    <row r="2988" spans="5:6">
      <c r="E2988" s="16"/>
      <c r="F2988" s="15"/>
    </row>
    <row r="2989" spans="5:6">
      <c r="E2989" s="16"/>
      <c r="F2989" s="15"/>
    </row>
    <row r="2990" spans="5:6">
      <c r="E2990" s="16"/>
      <c r="F2990" s="15"/>
    </row>
    <row r="2991" spans="5:6">
      <c r="E2991" s="16"/>
      <c r="F2991" s="15"/>
    </row>
    <row r="2992" spans="5:6">
      <c r="E2992" s="16"/>
      <c r="F2992" s="15"/>
    </row>
    <row r="2993" spans="5:6">
      <c r="E2993" s="16"/>
      <c r="F2993" s="15"/>
    </row>
    <row r="2994" spans="5:6">
      <c r="E2994" s="16"/>
      <c r="F2994" s="15"/>
    </row>
    <row r="2995" spans="5:6">
      <c r="E2995" s="16"/>
      <c r="F2995" s="15"/>
    </row>
    <row r="2996" spans="5:6">
      <c r="E2996" s="16"/>
      <c r="F2996" s="15"/>
    </row>
    <row r="2997" spans="5:6">
      <c r="E2997" s="16"/>
      <c r="F2997" s="15"/>
    </row>
    <row r="2998" spans="5:6">
      <c r="E2998" s="16"/>
      <c r="F2998" s="15"/>
    </row>
    <row r="2999" spans="5:6">
      <c r="E2999" s="16"/>
      <c r="F2999" s="15"/>
    </row>
    <row r="3000" spans="5:6">
      <c r="E3000" s="16"/>
      <c r="F3000" s="15"/>
    </row>
    <row r="3001" spans="5:6">
      <c r="E3001" s="16"/>
      <c r="F3001" s="15"/>
    </row>
    <row r="3002" spans="5:6">
      <c r="E3002" s="16"/>
      <c r="F3002" s="15"/>
    </row>
    <row r="3003" spans="5:6">
      <c r="E3003" s="16"/>
      <c r="F3003" s="15"/>
    </row>
    <row r="3004" spans="5:6">
      <c r="E3004" s="16"/>
      <c r="F3004" s="15"/>
    </row>
    <row r="3005" spans="5:6">
      <c r="E3005" s="16"/>
      <c r="F3005" s="15"/>
    </row>
    <row r="3006" spans="5:6">
      <c r="E3006" s="16"/>
      <c r="F3006" s="15"/>
    </row>
    <row r="3007" spans="5:6">
      <c r="E3007" s="16"/>
      <c r="F3007" s="15"/>
    </row>
    <row r="3008" spans="5:6">
      <c r="E3008" s="16"/>
      <c r="F3008" s="15"/>
    </row>
    <row r="3009" spans="5:6">
      <c r="E3009" s="16"/>
      <c r="F3009" s="15"/>
    </row>
    <row r="3010" spans="5:6">
      <c r="E3010" s="16"/>
      <c r="F3010" s="15"/>
    </row>
    <row r="3011" spans="5:6">
      <c r="E3011" s="16"/>
      <c r="F3011" s="15"/>
    </row>
    <row r="3012" spans="5:6">
      <c r="E3012" s="16"/>
      <c r="F3012" s="15"/>
    </row>
    <row r="3013" spans="5:6">
      <c r="E3013" s="16"/>
      <c r="F3013" s="15"/>
    </row>
    <row r="3014" spans="5:6">
      <c r="E3014" s="16"/>
      <c r="F3014" s="15"/>
    </row>
    <row r="3015" spans="5:6">
      <c r="E3015" s="16"/>
      <c r="F3015" s="15"/>
    </row>
    <row r="3016" spans="5:6">
      <c r="E3016" s="16"/>
      <c r="F3016" s="15"/>
    </row>
    <row r="3017" spans="5:6">
      <c r="E3017" s="16"/>
      <c r="F3017" s="15"/>
    </row>
    <row r="3018" spans="5:6">
      <c r="E3018" s="16"/>
      <c r="F3018" s="15"/>
    </row>
    <row r="3019" spans="5:6">
      <c r="E3019" s="16"/>
      <c r="F3019" s="15"/>
    </row>
    <row r="3020" spans="5:6">
      <c r="E3020" s="16"/>
      <c r="F3020" s="15"/>
    </row>
    <row r="3021" spans="5:6">
      <c r="E3021" s="16"/>
      <c r="F3021" s="15"/>
    </row>
    <row r="3022" spans="5:6">
      <c r="E3022" s="16"/>
      <c r="F3022" s="15"/>
    </row>
    <row r="3023" spans="5:6">
      <c r="E3023" s="16"/>
      <c r="F3023" s="15"/>
    </row>
    <row r="3024" spans="5:6">
      <c r="E3024" s="16"/>
      <c r="F3024" s="15"/>
    </row>
    <row r="3025" spans="5:6">
      <c r="E3025" s="16"/>
      <c r="F3025" s="15"/>
    </row>
    <row r="3026" spans="5:6">
      <c r="E3026" s="16"/>
      <c r="F3026" s="15"/>
    </row>
    <row r="3027" spans="5:6">
      <c r="E3027" s="16"/>
      <c r="F3027" s="15"/>
    </row>
    <row r="3028" spans="5:6">
      <c r="E3028" s="16"/>
      <c r="F3028" s="15"/>
    </row>
    <row r="3029" spans="5:6">
      <c r="E3029" s="16"/>
      <c r="F3029" s="15"/>
    </row>
    <row r="3030" spans="5:6">
      <c r="E3030" s="16"/>
      <c r="F3030" s="15"/>
    </row>
    <row r="3031" spans="5:6">
      <c r="E3031" s="16"/>
      <c r="F3031" s="15"/>
    </row>
    <row r="3032" spans="5:6">
      <c r="E3032" s="16"/>
      <c r="F3032" s="15"/>
    </row>
    <row r="3033" spans="5:6">
      <c r="E3033" s="16"/>
      <c r="F3033" s="15"/>
    </row>
    <row r="3034" spans="5:6">
      <c r="E3034" s="16"/>
      <c r="F3034" s="15"/>
    </row>
    <row r="3035" spans="5:6">
      <c r="E3035" s="16"/>
      <c r="F3035" s="15"/>
    </row>
    <row r="3036" spans="5:6">
      <c r="E3036" s="16"/>
      <c r="F3036" s="15"/>
    </row>
    <row r="3037" spans="5:6">
      <c r="E3037" s="16"/>
      <c r="F3037" s="15"/>
    </row>
    <row r="3038" spans="5:6">
      <c r="E3038" s="16"/>
      <c r="F3038" s="15"/>
    </row>
    <row r="3039" spans="5:6">
      <c r="E3039" s="16"/>
      <c r="F3039" s="15"/>
    </row>
    <row r="3040" spans="5:6">
      <c r="E3040" s="16"/>
      <c r="F3040" s="15"/>
    </row>
    <row r="3041" spans="5:6">
      <c r="E3041" s="16"/>
      <c r="F3041" s="15"/>
    </row>
    <row r="3042" spans="5:6">
      <c r="E3042" s="16"/>
      <c r="F3042" s="15"/>
    </row>
    <row r="3043" spans="5:6">
      <c r="E3043" s="16"/>
      <c r="F3043" s="15"/>
    </row>
    <row r="3044" spans="5:6">
      <c r="E3044" s="16"/>
      <c r="F3044" s="15"/>
    </row>
    <row r="3045" spans="5:6">
      <c r="E3045" s="16"/>
      <c r="F3045" s="15"/>
    </row>
    <row r="3046" spans="5:6">
      <c r="E3046" s="16"/>
      <c r="F3046" s="15"/>
    </row>
    <row r="3047" spans="5:6">
      <c r="E3047" s="16"/>
      <c r="F3047" s="15"/>
    </row>
    <row r="3048" spans="5:6">
      <c r="E3048" s="16"/>
      <c r="F3048" s="15"/>
    </row>
    <row r="3049" spans="5:6">
      <c r="E3049" s="16"/>
      <c r="F3049" s="15"/>
    </row>
    <row r="3050" spans="5:6">
      <c r="E3050" s="16"/>
      <c r="F3050" s="15"/>
    </row>
    <row r="3051" spans="5:6">
      <c r="E3051" s="16"/>
      <c r="F3051" s="15"/>
    </row>
    <row r="3052" spans="5:6">
      <c r="E3052" s="16"/>
      <c r="F3052" s="15"/>
    </row>
    <row r="3053" spans="5:6">
      <c r="E3053" s="16"/>
      <c r="F3053" s="15"/>
    </row>
    <row r="3054" spans="5:6">
      <c r="E3054" s="16"/>
      <c r="F3054" s="15"/>
    </row>
    <row r="3055" spans="5:6">
      <c r="E3055" s="16"/>
      <c r="F3055" s="15"/>
    </row>
    <row r="3056" spans="5:6">
      <c r="E3056" s="16"/>
      <c r="F3056" s="15"/>
    </row>
    <row r="3057" spans="5:6">
      <c r="E3057" s="16"/>
      <c r="F3057" s="15"/>
    </row>
    <row r="3058" spans="5:6">
      <c r="E3058" s="16"/>
      <c r="F3058" s="15"/>
    </row>
    <row r="3059" spans="5:6">
      <c r="E3059" s="16"/>
      <c r="F3059" s="15"/>
    </row>
    <row r="3060" spans="5:6">
      <c r="E3060" s="16"/>
      <c r="F3060" s="15"/>
    </row>
    <row r="3061" spans="5:6">
      <c r="E3061" s="16"/>
      <c r="F3061" s="15"/>
    </row>
    <row r="3062" spans="5:6">
      <c r="E3062" s="16"/>
      <c r="F3062" s="15"/>
    </row>
    <row r="3063" spans="5:6">
      <c r="E3063" s="16"/>
      <c r="F3063" s="15"/>
    </row>
    <row r="3064" spans="5:6">
      <c r="E3064" s="16"/>
      <c r="F3064" s="15"/>
    </row>
    <row r="3065" spans="5:6">
      <c r="E3065" s="16"/>
      <c r="F3065" s="15"/>
    </row>
    <row r="3066" spans="5:6">
      <c r="E3066" s="16"/>
      <c r="F3066" s="15"/>
    </row>
    <row r="3067" spans="5:6">
      <c r="E3067" s="16"/>
      <c r="F3067" s="15"/>
    </row>
    <row r="3068" spans="5:6">
      <c r="E3068" s="16"/>
      <c r="F3068" s="15"/>
    </row>
    <row r="3069" spans="5:6">
      <c r="E3069" s="16"/>
      <c r="F3069" s="15"/>
    </row>
    <row r="3070" spans="5:6">
      <c r="E3070" s="16"/>
      <c r="F3070" s="15"/>
    </row>
    <row r="3071" spans="5:6">
      <c r="E3071" s="16"/>
      <c r="F3071" s="15"/>
    </row>
    <row r="3072" spans="5:6">
      <c r="E3072" s="16"/>
      <c r="F3072" s="15"/>
    </row>
    <row r="3073" spans="5:6">
      <c r="E3073" s="16"/>
      <c r="F3073" s="15"/>
    </row>
    <row r="3074" spans="5:6">
      <c r="E3074" s="16"/>
      <c r="F3074" s="15"/>
    </row>
    <row r="3075" spans="5:6">
      <c r="E3075" s="16"/>
      <c r="F3075" s="15"/>
    </row>
    <row r="3076" spans="5:6">
      <c r="E3076" s="16"/>
      <c r="F3076" s="15"/>
    </row>
    <row r="3077" spans="5:6">
      <c r="E3077" s="16"/>
      <c r="F3077" s="15"/>
    </row>
    <row r="3078" spans="5:6">
      <c r="E3078" s="16"/>
      <c r="F3078" s="15"/>
    </row>
    <row r="3079" spans="5:6">
      <c r="E3079" s="16"/>
      <c r="F3079" s="15"/>
    </row>
    <row r="3080" spans="5:6">
      <c r="E3080" s="16"/>
      <c r="F3080" s="15"/>
    </row>
    <row r="3081" spans="5:6">
      <c r="E3081" s="16"/>
      <c r="F3081" s="15"/>
    </row>
    <row r="3082" spans="5:6">
      <c r="E3082" s="16"/>
      <c r="F3082" s="15"/>
    </row>
    <row r="3083" spans="5:6">
      <c r="E3083" s="16"/>
      <c r="F3083" s="15"/>
    </row>
    <row r="3084" spans="5:6">
      <c r="E3084" s="16"/>
      <c r="F3084" s="15"/>
    </row>
    <row r="3085" spans="5:6">
      <c r="E3085" s="16"/>
      <c r="F3085" s="15"/>
    </row>
    <row r="3086" spans="5:6">
      <c r="E3086" s="16"/>
      <c r="F3086" s="15"/>
    </row>
    <row r="3087" spans="5:6">
      <c r="E3087" s="16"/>
      <c r="F3087" s="15"/>
    </row>
    <row r="3088" spans="5:6">
      <c r="E3088" s="16"/>
      <c r="F3088" s="15"/>
    </row>
    <row r="3089" spans="5:6">
      <c r="E3089" s="16"/>
      <c r="F3089" s="15"/>
    </row>
    <row r="3090" spans="5:6">
      <c r="E3090" s="16"/>
      <c r="F3090" s="15"/>
    </row>
    <row r="3091" spans="5:6">
      <c r="E3091" s="16"/>
      <c r="F3091" s="15"/>
    </row>
    <row r="3092" spans="5:6">
      <c r="E3092" s="16"/>
      <c r="F3092" s="15"/>
    </row>
    <row r="3093" spans="5:6">
      <c r="E3093" s="16"/>
      <c r="F3093" s="15"/>
    </row>
    <row r="3094" spans="5:6">
      <c r="E3094" s="16"/>
      <c r="F3094" s="15"/>
    </row>
    <row r="3095" spans="5:6">
      <c r="E3095" s="16"/>
      <c r="F3095" s="15"/>
    </row>
    <row r="3096" spans="5:6">
      <c r="E3096" s="16"/>
      <c r="F3096" s="15"/>
    </row>
    <row r="3097" spans="5:6">
      <c r="E3097" s="16"/>
      <c r="F3097" s="15"/>
    </row>
    <row r="3098" spans="5:6">
      <c r="E3098" s="16"/>
      <c r="F3098" s="15"/>
    </row>
    <row r="3099" spans="5:6">
      <c r="E3099" s="16"/>
      <c r="F3099" s="15"/>
    </row>
    <row r="3100" spans="5:6">
      <c r="E3100" s="16"/>
      <c r="F3100" s="15"/>
    </row>
    <row r="3101" spans="5:6">
      <c r="E3101" s="16"/>
      <c r="F3101" s="15"/>
    </row>
    <row r="3102" spans="5:6">
      <c r="E3102" s="16"/>
      <c r="F3102" s="15"/>
    </row>
    <row r="3103" spans="5:6">
      <c r="E3103" s="16"/>
      <c r="F3103" s="15"/>
    </row>
    <row r="3104" spans="5:6">
      <c r="E3104" s="16"/>
      <c r="F3104" s="15"/>
    </row>
    <row r="3105" spans="5:6">
      <c r="E3105" s="16"/>
      <c r="F3105" s="15"/>
    </row>
    <row r="3106" spans="5:6">
      <c r="E3106" s="16"/>
      <c r="F3106" s="15"/>
    </row>
    <row r="3107" spans="5:6">
      <c r="E3107" s="16"/>
      <c r="F3107" s="15"/>
    </row>
    <row r="3108" spans="5:6">
      <c r="E3108" s="16"/>
      <c r="F3108" s="15"/>
    </row>
    <row r="3109" spans="5:6">
      <c r="E3109" s="16"/>
      <c r="F3109" s="15"/>
    </row>
    <row r="3110" spans="5:6">
      <c r="E3110" s="16"/>
      <c r="F3110" s="15"/>
    </row>
    <row r="3111" spans="5:6">
      <c r="E3111" s="16"/>
      <c r="F3111" s="15"/>
    </row>
    <row r="3112" spans="5:6">
      <c r="E3112" s="16"/>
      <c r="F3112" s="15"/>
    </row>
    <row r="3113" spans="5:6">
      <c r="E3113" s="16"/>
      <c r="F3113" s="15"/>
    </row>
    <row r="3114" spans="5:6">
      <c r="E3114" s="16"/>
      <c r="F3114" s="15"/>
    </row>
    <row r="3115" spans="5:6">
      <c r="E3115" s="16"/>
      <c r="F3115" s="15"/>
    </row>
    <row r="3116" spans="5:6">
      <c r="E3116" s="16"/>
      <c r="F3116" s="15"/>
    </row>
    <row r="3117" spans="5:6">
      <c r="E3117" s="16"/>
      <c r="F3117" s="15"/>
    </row>
    <row r="3118" spans="5:6">
      <c r="E3118" s="16"/>
      <c r="F3118" s="15"/>
    </row>
    <row r="3119" spans="5:6">
      <c r="E3119" s="16"/>
      <c r="F3119" s="15"/>
    </row>
    <row r="3120" spans="5:6">
      <c r="E3120" s="16"/>
      <c r="F3120" s="15"/>
    </row>
    <row r="3121" spans="5:6">
      <c r="E3121" s="16"/>
      <c r="F3121" s="15"/>
    </row>
    <row r="3122" spans="5:6">
      <c r="E3122" s="16"/>
      <c r="F3122" s="15"/>
    </row>
    <row r="3123" spans="5:6">
      <c r="E3123" s="16"/>
      <c r="F3123" s="15"/>
    </row>
    <row r="3124" spans="5:6">
      <c r="E3124" s="16"/>
      <c r="F3124" s="15"/>
    </row>
    <row r="3125" spans="5:6">
      <c r="E3125" s="16"/>
      <c r="F3125" s="15"/>
    </row>
    <row r="3126" spans="5:6">
      <c r="E3126" s="16"/>
      <c r="F3126" s="15"/>
    </row>
    <row r="3127" spans="5:6">
      <c r="E3127" s="16"/>
      <c r="F3127" s="15"/>
    </row>
    <row r="3128" spans="5:6">
      <c r="E3128" s="16"/>
      <c r="F3128" s="15"/>
    </row>
    <row r="3129" spans="5:6">
      <c r="E3129" s="16"/>
      <c r="F3129" s="15"/>
    </row>
    <row r="3130" spans="5:6">
      <c r="E3130" s="16"/>
      <c r="F3130" s="15"/>
    </row>
    <row r="3131" spans="5:6">
      <c r="E3131" s="16"/>
      <c r="F3131" s="15"/>
    </row>
    <row r="3132" spans="5:6">
      <c r="E3132" s="16"/>
      <c r="F3132" s="15"/>
    </row>
    <row r="3133" spans="5:6">
      <c r="E3133" s="16"/>
      <c r="F3133" s="15"/>
    </row>
    <row r="3134" spans="5:6">
      <c r="E3134" s="16"/>
      <c r="F3134" s="15"/>
    </row>
    <row r="3135" spans="5:6">
      <c r="E3135" s="16"/>
      <c r="F3135" s="15"/>
    </row>
    <row r="3136" spans="5:6">
      <c r="E3136" s="16"/>
      <c r="F3136" s="15"/>
    </row>
    <row r="3137" spans="5:6">
      <c r="E3137" s="16"/>
      <c r="F3137" s="15"/>
    </row>
    <row r="3138" spans="5:6">
      <c r="E3138" s="16"/>
      <c r="F3138" s="15"/>
    </row>
    <row r="3139" spans="5:6">
      <c r="E3139" s="16"/>
      <c r="F3139" s="15"/>
    </row>
    <row r="3140" spans="5:6">
      <c r="E3140" s="16"/>
      <c r="F3140" s="15"/>
    </row>
    <row r="3141" spans="5:6">
      <c r="E3141" s="16"/>
      <c r="F3141" s="15"/>
    </row>
    <row r="3142" spans="5:6">
      <c r="E3142" s="16"/>
      <c r="F3142" s="15"/>
    </row>
    <row r="3143" spans="5:6">
      <c r="E3143" s="16"/>
      <c r="F3143" s="15"/>
    </row>
    <row r="3144" spans="5:6">
      <c r="E3144" s="16"/>
      <c r="F3144" s="15"/>
    </row>
    <row r="3145" spans="5:6">
      <c r="E3145" s="16"/>
      <c r="F3145" s="15"/>
    </row>
    <row r="3146" spans="5:6">
      <c r="E3146" s="16"/>
      <c r="F3146" s="15"/>
    </row>
    <row r="3147" spans="5:6">
      <c r="E3147" s="16"/>
      <c r="F3147" s="15"/>
    </row>
    <row r="3148" spans="5:6">
      <c r="E3148" s="16"/>
      <c r="F3148" s="15"/>
    </row>
    <row r="3149" spans="5:6">
      <c r="E3149" s="16"/>
      <c r="F3149" s="15"/>
    </row>
    <row r="3150" spans="5:6">
      <c r="E3150" s="16"/>
      <c r="F3150" s="15"/>
    </row>
    <row r="3151" spans="5:6">
      <c r="E3151" s="16"/>
      <c r="F3151" s="15"/>
    </row>
    <row r="3152" spans="5:6">
      <c r="E3152" s="16"/>
      <c r="F3152" s="15"/>
    </row>
    <row r="3153" spans="5:6">
      <c r="E3153" s="16"/>
      <c r="F3153" s="15"/>
    </row>
    <row r="3154" spans="5:6">
      <c r="E3154" s="16"/>
      <c r="F3154" s="15"/>
    </row>
    <row r="3155" spans="5:6">
      <c r="E3155" s="16"/>
      <c r="F3155" s="15"/>
    </row>
    <row r="3156" spans="5:6">
      <c r="E3156" s="16"/>
      <c r="F3156" s="15"/>
    </row>
    <row r="3157" spans="5:6">
      <c r="E3157" s="16"/>
      <c r="F3157" s="15"/>
    </row>
    <row r="3158" spans="5:6">
      <c r="E3158" s="16"/>
      <c r="F3158" s="15"/>
    </row>
    <row r="3159" spans="5:6">
      <c r="E3159" s="16"/>
      <c r="F3159" s="15"/>
    </row>
    <row r="3160" spans="5:6">
      <c r="E3160" s="16"/>
      <c r="F3160" s="15"/>
    </row>
    <row r="3161" spans="5:6">
      <c r="E3161" s="16"/>
      <c r="F3161" s="15"/>
    </row>
    <row r="3162" spans="5:6">
      <c r="E3162" s="16"/>
      <c r="F3162" s="15"/>
    </row>
    <row r="3163" spans="5:6">
      <c r="E3163" s="16"/>
      <c r="F3163" s="15"/>
    </row>
    <row r="3164" spans="5:6">
      <c r="E3164" s="16"/>
      <c r="F3164" s="15"/>
    </row>
    <row r="3165" spans="5:6">
      <c r="E3165" s="16"/>
      <c r="F3165" s="15"/>
    </row>
    <row r="3166" spans="5:6">
      <c r="E3166" s="16"/>
      <c r="F3166" s="15"/>
    </row>
    <row r="3167" spans="5:6">
      <c r="E3167" s="16"/>
      <c r="F3167" s="15"/>
    </row>
    <row r="3168" spans="5:6">
      <c r="E3168" s="16"/>
      <c r="F3168" s="15"/>
    </row>
    <row r="3169" spans="5:6">
      <c r="E3169" s="16"/>
      <c r="F3169" s="15"/>
    </row>
    <row r="3170" spans="5:6">
      <c r="E3170" s="16"/>
      <c r="F3170" s="15"/>
    </row>
    <row r="3171" spans="5:6">
      <c r="E3171" s="16"/>
      <c r="F3171" s="15"/>
    </row>
    <row r="3172" spans="5:6">
      <c r="E3172" s="16"/>
      <c r="F3172" s="15"/>
    </row>
    <row r="3173" spans="5:6">
      <c r="E3173" s="16"/>
      <c r="F3173" s="15"/>
    </row>
    <row r="3174" spans="5:6">
      <c r="E3174" s="16"/>
      <c r="F3174" s="15"/>
    </row>
    <row r="3175" spans="5:6">
      <c r="E3175" s="16"/>
      <c r="F3175" s="15"/>
    </row>
    <row r="3176" spans="5:6">
      <c r="E3176" s="16"/>
      <c r="F3176" s="15"/>
    </row>
    <row r="3177" spans="5:6">
      <c r="E3177" s="16"/>
      <c r="F3177" s="15"/>
    </row>
    <row r="3178" spans="5:6">
      <c r="E3178" s="16"/>
      <c r="F3178" s="15"/>
    </row>
    <row r="3179" spans="5:6">
      <c r="E3179" s="16"/>
      <c r="F3179" s="15"/>
    </row>
    <row r="3180" spans="5:6">
      <c r="E3180" s="16"/>
      <c r="F3180" s="15"/>
    </row>
    <row r="3181" spans="5:6">
      <c r="E3181" s="16"/>
      <c r="F3181" s="15"/>
    </row>
    <row r="3182" spans="5:6">
      <c r="E3182" s="16"/>
      <c r="F3182" s="15"/>
    </row>
    <row r="3183" spans="5:6">
      <c r="E3183" s="16"/>
      <c r="F3183" s="15"/>
    </row>
    <row r="3184" spans="5:6">
      <c r="E3184" s="16"/>
      <c r="F3184" s="15"/>
    </row>
    <row r="3185" spans="5:6">
      <c r="E3185" s="16"/>
      <c r="F3185" s="15"/>
    </row>
    <row r="3186" spans="5:6">
      <c r="E3186" s="16"/>
      <c r="F3186" s="15"/>
    </row>
    <row r="3187" spans="5:6">
      <c r="E3187" s="16"/>
      <c r="F3187" s="15"/>
    </row>
    <row r="3188" spans="5:6">
      <c r="E3188" s="16"/>
      <c r="F3188" s="15"/>
    </row>
    <row r="3189" spans="5:6">
      <c r="E3189" s="16"/>
      <c r="F3189" s="15"/>
    </row>
    <row r="3190" spans="5:6">
      <c r="E3190" s="16"/>
      <c r="F3190" s="15"/>
    </row>
    <row r="3191" spans="5:6">
      <c r="E3191" s="16"/>
      <c r="F3191" s="15"/>
    </row>
    <row r="3192" spans="5:6">
      <c r="E3192" s="16"/>
      <c r="F3192" s="15"/>
    </row>
    <row r="3193" spans="5:6">
      <c r="E3193" s="16"/>
      <c r="F3193" s="15"/>
    </row>
    <row r="3194" spans="5:6">
      <c r="E3194" s="16"/>
      <c r="F3194" s="15"/>
    </row>
    <row r="3195" spans="5:6">
      <c r="E3195" s="16"/>
      <c r="F3195" s="15"/>
    </row>
    <row r="3196" spans="5:6">
      <c r="E3196" s="16"/>
      <c r="F3196" s="15"/>
    </row>
    <row r="3197" spans="5:6">
      <c r="E3197" s="16"/>
      <c r="F3197" s="15"/>
    </row>
    <row r="3198" spans="5:6">
      <c r="E3198" s="16"/>
      <c r="F3198" s="15"/>
    </row>
    <row r="3199" spans="5:6">
      <c r="E3199" s="16"/>
      <c r="F3199" s="15"/>
    </row>
    <row r="3200" spans="5:6">
      <c r="E3200" s="16"/>
      <c r="F3200" s="15"/>
    </row>
    <row r="3201" spans="5:6">
      <c r="E3201" s="16"/>
      <c r="F3201" s="15"/>
    </row>
    <row r="3202" spans="5:6">
      <c r="E3202" s="16"/>
      <c r="F3202" s="15"/>
    </row>
    <row r="3203" spans="5:6">
      <c r="E3203" s="16"/>
      <c r="F3203" s="15"/>
    </row>
    <row r="3204" spans="5:6">
      <c r="E3204" s="16"/>
      <c r="F3204" s="15"/>
    </row>
    <row r="3205" spans="5:6">
      <c r="E3205" s="16"/>
      <c r="F3205" s="15"/>
    </row>
    <row r="3206" spans="5:6">
      <c r="E3206" s="16"/>
      <c r="F3206" s="15"/>
    </row>
    <row r="3207" spans="5:6">
      <c r="E3207" s="16"/>
      <c r="F3207" s="15"/>
    </row>
    <row r="3208" spans="5:6">
      <c r="E3208" s="16"/>
      <c r="F3208" s="15"/>
    </row>
    <row r="3209" spans="5:6">
      <c r="E3209" s="16"/>
      <c r="F3209" s="15"/>
    </row>
    <row r="3210" spans="5:6">
      <c r="E3210" s="16"/>
      <c r="F3210" s="15"/>
    </row>
    <row r="3211" spans="5:6">
      <c r="E3211" s="16"/>
      <c r="F3211" s="15"/>
    </row>
    <row r="3212" spans="5:6">
      <c r="E3212" s="16"/>
      <c r="F3212" s="15"/>
    </row>
    <row r="3213" spans="5:6">
      <c r="E3213" s="16"/>
      <c r="F3213" s="15"/>
    </row>
    <row r="3214" spans="5:6">
      <c r="E3214" s="16"/>
      <c r="F3214" s="15"/>
    </row>
    <row r="3215" spans="5:6">
      <c r="E3215" s="16"/>
      <c r="F3215" s="15"/>
    </row>
    <row r="3216" spans="5:6">
      <c r="E3216" s="16"/>
      <c r="F3216" s="15"/>
    </row>
    <row r="3217" spans="5:6">
      <c r="E3217" s="16"/>
      <c r="F3217" s="15"/>
    </row>
    <row r="3218" spans="5:6">
      <c r="E3218" s="16"/>
      <c r="F3218" s="15"/>
    </row>
    <row r="3219" spans="5:6">
      <c r="E3219" s="16"/>
      <c r="F3219" s="15"/>
    </row>
    <row r="3220" spans="5:6">
      <c r="E3220" s="16"/>
      <c r="F3220" s="15"/>
    </row>
    <row r="3221" spans="5:6">
      <c r="E3221" s="16"/>
      <c r="F3221" s="15"/>
    </row>
    <row r="3222" spans="5:6">
      <c r="E3222" s="16"/>
      <c r="F3222" s="15"/>
    </row>
    <row r="3223" spans="5:6">
      <c r="E3223" s="16"/>
      <c r="F3223" s="15"/>
    </row>
    <row r="3224" spans="5:6">
      <c r="E3224" s="16"/>
      <c r="F3224" s="15"/>
    </row>
    <row r="3225" spans="5:6">
      <c r="E3225" s="16"/>
      <c r="F3225" s="15"/>
    </row>
    <row r="3226" spans="5:6">
      <c r="E3226" s="16"/>
      <c r="F3226" s="15"/>
    </row>
    <row r="3227" spans="5:6">
      <c r="E3227" s="16"/>
      <c r="F3227" s="15"/>
    </row>
    <row r="3228" spans="5:6">
      <c r="E3228" s="16"/>
      <c r="F3228" s="15"/>
    </row>
    <row r="3229" spans="5:6">
      <c r="E3229" s="16"/>
      <c r="F3229" s="15"/>
    </row>
    <row r="3230" spans="5:6">
      <c r="E3230" s="16"/>
      <c r="F3230" s="15"/>
    </row>
    <row r="3231" spans="5:6">
      <c r="E3231" s="16"/>
      <c r="F3231" s="15"/>
    </row>
    <row r="3232" spans="5:6">
      <c r="E3232" s="16"/>
      <c r="F3232" s="15"/>
    </row>
    <row r="3233" spans="5:6">
      <c r="E3233" s="16"/>
      <c r="F3233" s="15"/>
    </row>
    <row r="3234" spans="5:6">
      <c r="E3234" s="16"/>
      <c r="F3234" s="15"/>
    </row>
    <row r="3235" spans="5:6">
      <c r="E3235" s="16"/>
      <c r="F3235" s="15"/>
    </row>
    <row r="3236" spans="5:6">
      <c r="E3236" s="16"/>
      <c r="F3236" s="15"/>
    </row>
    <row r="3237" spans="5:6">
      <c r="E3237" s="16"/>
      <c r="F3237" s="15"/>
    </row>
    <row r="3238" spans="5:6">
      <c r="E3238" s="16"/>
      <c r="F3238" s="15"/>
    </row>
    <row r="3239" spans="5:6">
      <c r="E3239" s="16"/>
      <c r="F3239" s="15"/>
    </row>
    <row r="3240" spans="5:6">
      <c r="E3240" s="16"/>
      <c r="F3240" s="15"/>
    </row>
    <row r="3241" spans="5:6">
      <c r="E3241" s="16"/>
      <c r="F3241" s="15"/>
    </row>
    <row r="3242" spans="5:6">
      <c r="E3242" s="16"/>
      <c r="F3242" s="15"/>
    </row>
    <row r="3243" spans="5:6">
      <c r="E3243" s="16"/>
      <c r="F3243" s="15"/>
    </row>
    <row r="3244" spans="5:6">
      <c r="E3244" s="16"/>
      <c r="F3244" s="15"/>
    </row>
    <row r="3245" spans="5:6">
      <c r="E3245" s="16"/>
      <c r="F3245" s="15"/>
    </row>
    <row r="3246" spans="5:6">
      <c r="E3246" s="16"/>
      <c r="F3246" s="15"/>
    </row>
    <row r="3247" spans="5:6">
      <c r="E3247" s="16"/>
      <c r="F3247" s="15"/>
    </row>
    <row r="3248" spans="5:6">
      <c r="E3248" s="16"/>
      <c r="F3248" s="15"/>
    </row>
    <row r="3249" spans="5:6">
      <c r="E3249" s="16"/>
      <c r="F3249" s="15"/>
    </row>
    <row r="3250" spans="5:6">
      <c r="E3250" s="16"/>
      <c r="F3250" s="15"/>
    </row>
    <row r="3251" spans="5:6">
      <c r="E3251" s="16"/>
      <c r="F3251" s="15"/>
    </row>
    <row r="3252" spans="5:6">
      <c r="E3252" s="16"/>
      <c r="F3252" s="15"/>
    </row>
    <row r="3253" spans="5:6">
      <c r="E3253" s="16"/>
      <c r="F3253" s="15"/>
    </row>
    <row r="3254" spans="5:6">
      <c r="E3254" s="16"/>
      <c r="F3254" s="15"/>
    </row>
    <row r="3255" spans="5:6">
      <c r="E3255" s="16"/>
      <c r="F3255" s="15"/>
    </row>
    <row r="3256" spans="5:6">
      <c r="E3256" s="16"/>
      <c r="F3256" s="15"/>
    </row>
    <row r="3257" spans="5:6">
      <c r="E3257" s="16"/>
      <c r="F3257" s="15"/>
    </row>
    <row r="3258" spans="5:6">
      <c r="E3258" s="16"/>
      <c r="F3258" s="15"/>
    </row>
    <row r="3259" spans="5:6">
      <c r="E3259" s="16"/>
      <c r="F3259" s="15"/>
    </row>
    <row r="3260" spans="5:6">
      <c r="E3260" s="16"/>
      <c r="F3260" s="15"/>
    </row>
    <row r="3261" spans="5:6">
      <c r="E3261" s="16"/>
      <c r="F3261" s="15"/>
    </row>
    <row r="3262" spans="5:6">
      <c r="E3262" s="16"/>
      <c r="F3262" s="15"/>
    </row>
    <row r="3263" spans="5:6">
      <c r="E3263" s="16"/>
      <c r="F3263" s="15"/>
    </row>
    <row r="3264" spans="5:6">
      <c r="E3264" s="16"/>
      <c r="F3264" s="15"/>
    </row>
    <row r="3265" spans="5:6">
      <c r="E3265" s="16"/>
      <c r="F3265" s="15"/>
    </row>
    <row r="3266" spans="5:6">
      <c r="E3266" s="16"/>
      <c r="F3266" s="15"/>
    </row>
    <row r="3267" spans="5:6">
      <c r="E3267" s="16"/>
      <c r="F3267" s="15"/>
    </row>
    <row r="3268" spans="5:6">
      <c r="E3268" s="16"/>
      <c r="F3268" s="15"/>
    </row>
    <row r="3269" spans="5:6">
      <c r="E3269" s="16"/>
      <c r="F3269" s="15"/>
    </row>
    <row r="3270" spans="5:6">
      <c r="E3270" s="16"/>
      <c r="F3270" s="15"/>
    </row>
    <row r="3271" spans="5:6">
      <c r="E3271" s="16"/>
      <c r="F3271" s="15"/>
    </row>
    <row r="3272" spans="5:6">
      <c r="E3272" s="16"/>
      <c r="F3272" s="15"/>
    </row>
    <row r="3273" spans="5:6">
      <c r="E3273" s="16"/>
      <c r="F3273" s="15"/>
    </row>
    <row r="3274" spans="5:6">
      <c r="E3274" s="16"/>
      <c r="F3274" s="15"/>
    </row>
    <row r="3275" spans="5:6">
      <c r="E3275" s="16"/>
      <c r="F3275" s="15"/>
    </row>
    <row r="3276" spans="5:6">
      <c r="E3276" s="16"/>
      <c r="F3276" s="15"/>
    </row>
    <row r="3277" spans="5:6">
      <c r="E3277" s="16"/>
      <c r="F3277" s="15"/>
    </row>
    <row r="3278" spans="5:6">
      <c r="E3278" s="16"/>
      <c r="F3278" s="15"/>
    </row>
    <row r="3279" spans="5:6">
      <c r="E3279" s="16"/>
      <c r="F3279" s="15"/>
    </row>
    <row r="3280" spans="5:6">
      <c r="E3280" s="16"/>
      <c r="F3280" s="15"/>
    </row>
    <row r="3281" spans="5:6">
      <c r="E3281" s="16"/>
      <c r="F3281" s="15"/>
    </row>
    <row r="3282" spans="5:6">
      <c r="E3282" s="16"/>
      <c r="F3282" s="15"/>
    </row>
    <row r="3283" spans="5:6">
      <c r="E3283" s="16"/>
      <c r="F3283" s="15"/>
    </row>
    <row r="3284" spans="5:6">
      <c r="E3284" s="16"/>
      <c r="F3284" s="15"/>
    </row>
    <row r="3285" spans="5:6">
      <c r="E3285" s="16"/>
      <c r="F3285" s="15"/>
    </row>
    <row r="3286" spans="5:6">
      <c r="E3286" s="16"/>
      <c r="F3286" s="15"/>
    </row>
    <row r="3287" spans="5:6">
      <c r="E3287" s="16"/>
      <c r="F3287" s="15"/>
    </row>
    <row r="3288" spans="5:6">
      <c r="E3288" s="16"/>
      <c r="F3288" s="15"/>
    </row>
    <row r="3289" spans="5:6">
      <c r="E3289" s="16"/>
      <c r="F3289" s="15"/>
    </row>
    <row r="3290" spans="5:6">
      <c r="E3290" s="16"/>
      <c r="F3290" s="15"/>
    </row>
    <row r="3291" spans="5:6">
      <c r="E3291" s="16"/>
      <c r="F3291" s="15"/>
    </row>
    <row r="3292" spans="5:6">
      <c r="E3292" s="16"/>
      <c r="F3292" s="15"/>
    </row>
    <row r="3293" spans="5:6">
      <c r="E3293" s="16"/>
      <c r="F3293" s="15"/>
    </row>
    <row r="3294" spans="5:6">
      <c r="E3294" s="16"/>
      <c r="F3294" s="15"/>
    </row>
    <row r="3295" spans="5:6">
      <c r="E3295" s="16"/>
      <c r="F3295" s="15"/>
    </row>
    <row r="3296" spans="5:6">
      <c r="E3296" s="16"/>
      <c r="F3296" s="15"/>
    </row>
    <row r="3297" spans="5:6">
      <c r="E3297" s="16"/>
      <c r="F3297" s="15"/>
    </row>
    <row r="3298" spans="5:6">
      <c r="E3298" s="16"/>
      <c r="F3298" s="15"/>
    </row>
    <row r="3299" spans="5:6">
      <c r="E3299" s="16"/>
      <c r="F3299" s="15"/>
    </row>
    <row r="3300" spans="5:6">
      <c r="E3300" s="16"/>
      <c r="F3300" s="15"/>
    </row>
    <row r="3301" spans="5:6">
      <c r="E3301" s="16"/>
      <c r="F3301" s="15"/>
    </row>
    <row r="3302" spans="5:6">
      <c r="E3302" s="16"/>
      <c r="F3302" s="15"/>
    </row>
    <row r="3303" spans="5:6">
      <c r="E3303" s="16"/>
      <c r="F3303" s="15"/>
    </row>
    <row r="3304" spans="5:6">
      <c r="E3304" s="16"/>
      <c r="F3304" s="15"/>
    </row>
    <row r="3305" spans="5:6">
      <c r="E3305" s="16"/>
      <c r="F3305" s="15"/>
    </row>
    <row r="3306" spans="5:6">
      <c r="E3306" s="16"/>
      <c r="F3306" s="15"/>
    </row>
    <row r="3307" spans="5:6">
      <c r="E3307" s="16"/>
      <c r="F3307" s="15"/>
    </row>
    <row r="3308" spans="5:6">
      <c r="E3308" s="16"/>
      <c r="F3308" s="15"/>
    </row>
    <row r="3309" spans="5:6">
      <c r="E3309" s="16"/>
      <c r="F3309" s="15"/>
    </row>
    <row r="3310" spans="5:6">
      <c r="E3310" s="16"/>
      <c r="F3310" s="15"/>
    </row>
    <row r="3311" spans="5:6">
      <c r="E3311" s="16"/>
      <c r="F3311" s="15"/>
    </row>
    <row r="3312" spans="5:6">
      <c r="E3312" s="16"/>
      <c r="F3312" s="15"/>
    </row>
    <row r="3313" spans="5:6">
      <c r="E3313" s="16"/>
      <c r="F3313" s="15"/>
    </row>
    <row r="3314" spans="5:6">
      <c r="E3314" s="16"/>
      <c r="F3314" s="15"/>
    </row>
    <row r="3315" spans="5:6">
      <c r="E3315" s="16"/>
      <c r="F3315" s="15"/>
    </row>
    <row r="3316" spans="5:6">
      <c r="E3316" s="16"/>
      <c r="F3316" s="15"/>
    </row>
    <row r="3317" spans="5:6">
      <c r="E3317" s="16"/>
      <c r="F3317" s="15"/>
    </row>
    <row r="3318" spans="5:6">
      <c r="E3318" s="16"/>
      <c r="F3318" s="15"/>
    </row>
    <row r="3319" spans="5:6">
      <c r="E3319" s="16"/>
      <c r="F3319" s="15"/>
    </row>
    <row r="3320" spans="5:6">
      <c r="E3320" s="16"/>
      <c r="F3320" s="15"/>
    </row>
    <row r="3321" spans="5:6">
      <c r="E3321" s="16"/>
      <c r="F3321" s="15"/>
    </row>
    <row r="3322" spans="5:6">
      <c r="E3322" s="16"/>
      <c r="F3322" s="15"/>
    </row>
    <row r="3323" spans="5:6">
      <c r="E3323" s="16"/>
      <c r="F3323" s="15"/>
    </row>
    <row r="3324" spans="5:6">
      <c r="E3324" s="16"/>
      <c r="F3324" s="15"/>
    </row>
    <row r="3325" spans="5:6">
      <c r="E3325" s="16"/>
      <c r="F3325" s="15"/>
    </row>
    <row r="3326" spans="5:6">
      <c r="E3326" s="16"/>
      <c r="F3326" s="15"/>
    </row>
    <row r="3327" spans="5:6">
      <c r="E3327" s="16"/>
      <c r="F3327" s="15"/>
    </row>
    <row r="3328" spans="5:6">
      <c r="E3328" s="16"/>
      <c r="F3328" s="15"/>
    </row>
    <row r="3329" spans="5:6">
      <c r="E3329" s="16"/>
      <c r="F3329" s="15"/>
    </row>
    <row r="3330" spans="5:6">
      <c r="E3330" s="16"/>
      <c r="F3330" s="15"/>
    </row>
    <row r="3331" spans="5:6">
      <c r="E3331" s="16"/>
      <c r="F3331" s="15"/>
    </row>
    <row r="3332" spans="5:6">
      <c r="E3332" s="16"/>
      <c r="F3332" s="15"/>
    </row>
    <row r="3333" spans="5:6">
      <c r="E3333" s="16"/>
      <c r="F3333" s="15"/>
    </row>
    <row r="3334" spans="5:6">
      <c r="E3334" s="16"/>
      <c r="F3334" s="15"/>
    </row>
    <row r="3335" spans="5:6">
      <c r="E3335" s="16"/>
      <c r="F3335" s="15"/>
    </row>
    <row r="3336" spans="5:6">
      <c r="E3336" s="16"/>
      <c r="F3336" s="15"/>
    </row>
    <row r="3337" spans="5:6">
      <c r="E3337" s="16"/>
      <c r="F3337" s="15"/>
    </row>
    <row r="3338" spans="5:6">
      <c r="E3338" s="16"/>
      <c r="F3338" s="15"/>
    </row>
    <row r="3339" spans="5:6">
      <c r="E3339" s="16"/>
      <c r="F3339" s="15"/>
    </row>
    <row r="3340" spans="5:6">
      <c r="E3340" s="16"/>
      <c r="F3340" s="15"/>
    </row>
    <row r="3341" spans="5:6">
      <c r="E3341" s="16"/>
      <c r="F3341" s="15"/>
    </row>
    <row r="3342" spans="5:6">
      <c r="E3342" s="16"/>
      <c r="F3342" s="15"/>
    </row>
    <row r="3343" spans="5:6">
      <c r="E3343" s="16"/>
      <c r="F3343" s="15"/>
    </row>
    <row r="3344" spans="5:6">
      <c r="E3344" s="16"/>
      <c r="F3344" s="15"/>
    </row>
    <row r="3345" spans="5:6">
      <c r="E3345" s="16"/>
      <c r="F3345" s="15"/>
    </row>
    <row r="3346" spans="5:6">
      <c r="E3346" s="16"/>
      <c r="F3346" s="15"/>
    </row>
    <row r="3347" spans="5:6">
      <c r="E3347" s="16"/>
      <c r="F3347" s="15"/>
    </row>
    <row r="3348" spans="5:6">
      <c r="E3348" s="16"/>
      <c r="F3348" s="15"/>
    </row>
    <row r="3349" spans="5:6">
      <c r="E3349" s="16"/>
      <c r="F3349" s="15"/>
    </row>
    <row r="3350" spans="5:6">
      <c r="E3350" s="16"/>
      <c r="F3350" s="15"/>
    </row>
    <row r="3351" spans="5:6">
      <c r="E3351" s="16"/>
      <c r="F3351" s="15"/>
    </row>
    <row r="3352" spans="5:6">
      <c r="E3352" s="16"/>
      <c r="F3352" s="15"/>
    </row>
    <row r="3353" spans="5:6">
      <c r="E3353" s="16"/>
      <c r="F3353" s="15"/>
    </row>
    <row r="3354" spans="5:6">
      <c r="E3354" s="16"/>
      <c r="F3354" s="15"/>
    </row>
    <row r="3355" spans="5:6">
      <c r="E3355" s="16"/>
      <c r="F3355" s="15"/>
    </row>
    <row r="3356" spans="5:6">
      <c r="E3356" s="16"/>
      <c r="F3356" s="15"/>
    </row>
    <row r="3357" spans="5:6">
      <c r="E3357" s="16"/>
      <c r="F3357" s="15"/>
    </row>
    <row r="3358" spans="5:6">
      <c r="E3358" s="16"/>
      <c r="F3358" s="15"/>
    </row>
    <row r="3359" spans="5:6">
      <c r="E3359" s="16"/>
      <c r="F3359" s="15"/>
    </row>
    <row r="3360" spans="5:6">
      <c r="E3360" s="16"/>
      <c r="F3360" s="15"/>
    </row>
    <row r="3361" spans="5:6">
      <c r="E3361" s="16"/>
      <c r="F3361" s="15"/>
    </row>
    <row r="3362" spans="5:6">
      <c r="E3362" s="16"/>
      <c r="F3362" s="15"/>
    </row>
    <row r="3363" spans="5:6">
      <c r="E3363" s="16"/>
      <c r="F3363" s="15"/>
    </row>
    <row r="3364" spans="5:6">
      <c r="E3364" s="16"/>
      <c r="F3364" s="15"/>
    </row>
    <row r="3365" spans="5:6">
      <c r="E3365" s="16"/>
      <c r="F3365" s="15"/>
    </row>
    <row r="3366" spans="5:6">
      <c r="E3366" s="16"/>
      <c r="F3366" s="15"/>
    </row>
    <row r="3367" spans="5:6">
      <c r="E3367" s="16"/>
      <c r="F3367" s="15"/>
    </row>
    <row r="3368" spans="5:6">
      <c r="E3368" s="16"/>
      <c r="F3368" s="15"/>
    </row>
    <row r="3369" spans="5:6">
      <c r="E3369" s="16"/>
      <c r="F3369" s="15"/>
    </row>
    <row r="3370" spans="5:6">
      <c r="E3370" s="16"/>
      <c r="F3370" s="15"/>
    </row>
    <row r="3371" spans="5:6">
      <c r="E3371" s="16"/>
      <c r="F3371" s="15"/>
    </row>
    <row r="3372" spans="5:6">
      <c r="E3372" s="16"/>
      <c r="F3372" s="15"/>
    </row>
    <row r="3373" spans="5:6">
      <c r="E3373" s="16"/>
      <c r="F3373" s="15"/>
    </row>
    <row r="3374" spans="5:6">
      <c r="E3374" s="16"/>
      <c r="F3374" s="15"/>
    </row>
    <row r="3375" spans="5:6">
      <c r="E3375" s="16"/>
      <c r="F3375" s="15"/>
    </row>
    <row r="3376" spans="5:6">
      <c r="E3376" s="16"/>
      <c r="F3376" s="15"/>
    </row>
    <row r="3377" spans="5:6">
      <c r="E3377" s="16"/>
      <c r="F3377" s="15"/>
    </row>
    <row r="3378" spans="5:6">
      <c r="E3378" s="16"/>
      <c r="F3378" s="15"/>
    </row>
    <row r="3379" spans="5:6">
      <c r="E3379" s="16"/>
      <c r="F3379" s="15"/>
    </row>
    <row r="3380" spans="5:6">
      <c r="E3380" s="16"/>
      <c r="F3380" s="15"/>
    </row>
    <row r="3381" spans="5:6">
      <c r="E3381" s="16"/>
      <c r="F3381" s="15"/>
    </row>
    <row r="3382" spans="5:6">
      <c r="E3382" s="16"/>
      <c r="F3382" s="15"/>
    </row>
    <row r="3383" spans="5:6">
      <c r="E3383" s="16"/>
      <c r="F3383" s="15"/>
    </row>
    <row r="3384" spans="5:6">
      <c r="E3384" s="16"/>
      <c r="F3384" s="15"/>
    </row>
    <row r="3385" spans="5:6">
      <c r="E3385" s="16"/>
      <c r="F3385" s="15"/>
    </row>
    <row r="3386" spans="5:6">
      <c r="E3386" s="16"/>
      <c r="F3386" s="15"/>
    </row>
    <row r="3387" spans="5:6">
      <c r="E3387" s="16"/>
      <c r="F3387" s="15"/>
    </row>
    <row r="3388" spans="5:6">
      <c r="E3388" s="16"/>
      <c r="F3388" s="15"/>
    </row>
    <row r="3389" spans="5:6">
      <c r="E3389" s="16"/>
      <c r="F3389" s="15"/>
    </row>
    <row r="3390" spans="5:6">
      <c r="E3390" s="16"/>
      <c r="F3390" s="15"/>
    </row>
    <row r="3391" spans="5:6">
      <c r="E3391" s="16"/>
      <c r="F3391" s="15"/>
    </row>
    <row r="3392" spans="5:6">
      <c r="E3392" s="16"/>
      <c r="F3392" s="15"/>
    </row>
    <row r="3393" spans="5:6">
      <c r="E3393" s="16"/>
      <c r="F3393" s="15"/>
    </row>
    <row r="3394" spans="5:6">
      <c r="E3394" s="16"/>
      <c r="F3394" s="15"/>
    </row>
    <row r="3395" spans="5:6">
      <c r="E3395" s="16"/>
      <c r="F3395" s="15"/>
    </row>
    <row r="3396" spans="5:6">
      <c r="E3396" s="16"/>
      <c r="F3396" s="15"/>
    </row>
    <row r="3397" spans="5:6">
      <c r="E3397" s="16"/>
      <c r="F3397" s="15"/>
    </row>
    <row r="3398" spans="5:6">
      <c r="E3398" s="16"/>
      <c r="F3398" s="15"/>
    </row>
    <row r="3399" spans="5:6">
      <c r="E3399" s="16"/>
      <c r="F3399" s="15"/>
    </row>
    <row r="3400" spans="5:6">
      <c r="E3400" s="16"/>
      <c r="F3400" s="15"/>
    </row>
    <row r="3401" spans="5:6">
      <c r="E3401" s="16"/>
      <c r="F3401" s="15"/>
    </row>
    <row r="3402" spans="5:6">
      <c r="E3402" s="16"/>
      <c r="F3402" s="15"/>
    </row>
    <row r="3403" spans="5:6">
      <c r="E3403" s="16"/>
      <c r="F3403" s="15"/>
    </row>
    <row r="3404" spans="5:6">
      <c r="E3404" s="16"/>
      <c r="F3404" s="15"/>
    </row>
    <row r="3405" spans="5:6">
      <c r="E3405" s="16"/>
      <c r="F3405" s="15"/>
    </row>
    <row r="3406" spans="5:6">
      <c r="E3406" s="16"/>
      <c r="F3406" s="15"/>
    </row>
    <row r="3407" spans="5:6">
      <c r="E3407" s="16"/>
      <c r="F3407" s="15"/>
    </row>
    <row r="3408" spans="5:6">
      <c r="E3408" s="16"/>
      <c r="F3408" s="15"/>
    </row>
    <row r="3409" spans="5:6">
      <c r="E3409" s="16"/>
      <c r="F3409" s="15"/>
    </row>
    <row r="3410" spans="5:6">
      <c r="E3410" s="16"/>
      <c r="F3410" s="15"/>
    </row>
    <row r="3411" spans="5:6">
      <c r="E3411" s="16"/>
      <c r="F3411" s="15"/>
    </row>
    <row r="3412" spans="5:6">
      <c r="E3412" s="16"/>
      <c r="F3412" s="15"/>
    </row>
    <row r="3413" spans="5:6">
      <c r="E3413" s="16"/>
      <c r="F3413" s="15"/>
    </row>
    <row r="3414" spans="5:6">
      <c r="E3414" s="16"/>
      <c r="F3414" s="15"/>
    </row>
    <row r="3415" spans="5:6">
      <c r="E3415" s="16"/>
      <c r="F3415" s="15"/>
    </row>
    <row r="3416" spans="5:6">
      <c r="E3416" s="16"/>
      <c r="F3416" s="15"/>
    </row>
    <row r="3417" spans="5:6">
      <c r="E3417" s="16"/>
      <c r="F3417" s="15"/>
    </row>
    <row r="3418" spans="5:6">
      <c r="E3418" s="16"/>
      <c r="F3418" s="15"/>
    </row>
    <row r="3419" spans="5:6">
      <c r="E3419" s="16"/>
      <c r="F3419" s="15"/>
    </row>
    <row r="3420" spans="5:6">
      <c r="E3420" s="16"/>
      <c r="F3420" s="15"/>
    </row>
    <row r="3421" spans="5:6">
      <c r="E3421" s="16"/>
      <c r="F3421" s="15"/>
    </row>
    <row r="3422" spans="5:6">
      <c r="E3422" s="16"/>
      <c r="F3422" s="15"/>
    </row>
    <row r="3423" spans="5:6">
      <c r="E3423" s="16"/>
      <c r="F3423" s="15"/>
    </row>
    <row r="3424" spans="5:6">
      <c r="E3424" s="16"/>
      <c r="F3424" s="15"/>
    </row>
    <row r="3425" spans="5:6">
      <c r="E3425" s="16"/>
      <c r="F3425" s="15"/>
    </row>
    <row r="3426" spans="5:6">
      <c r="E3426" s="16"/>
      <c r="F3426" s="15"/>
    </row>
    <row r="3427" spans="5:6">
      <c r="E3427" s="16"/>
      <c r="F3427" s="15"/>
    </row>
    <row r="3428" spans="5:6">
      <c r="E3428" s="16"/>
      <c r="F3428" s="15"/>
    </row>
    <row r="3429" spans="5:6">
      <c r="E3429" s="16"/>
      <c r="F3429" s="15"/>
    </row>
    <row r="3430" spans="5:6">
      <c r="E3430" s="16"/>
      <c r="F3430" s="15"/>
    </row>
    <row r="3431" spans="5:6">
      <c r="E3431" s="16"/>
      <c r="F3431" s="15"/>
    </row>
    <row r="3432" spans="5:6">
      <c r="E3432" s="16"/>
      <c r="F3432" s="15"/>
    </row>
    <row r="3433" spans="5:6">
      <c r="E3433" s="16"/>
      <c r="F3433" s="15"/>
    </row>
    <row r="3434" spans="5:6">
      <c r="E3434" s="16"/>
      <c r="F3434" s="15"/>
    </row>
    <row r="3435" spans="5:6">
      <c r="E3435" s="16"/>
      <c r="F3435" s="15"/>
    </row>
    <row r="3436" spans="5:6">
      <c r="E3436" s="16"/>
      <c r="F3436" s="15"/>
    </row>
    <row r="3437" spans="5:6">
      <c r="E3437" s="16"/>
      <c r="F3437" s="15"/>
    </row>
    <row r="3438" spans="5:6">
      <c r="E3438" s="16"/>
      <c r="F3438" s="15"/>
    </row>
    <row r="3439" spans="5:6">
      <c r="E3439" s="16"/>
      <c r="F3439" s="15"/>
    </row>
    <row r="3440" spans="5:6">
      <c r="E3440" s="16"/>
      <c r="F3440" s="15"/>
    </row>
    <row r="3441" spans="5:6">
      <c r="E3441" s="16"/>
      <c r="F3441" s="15"/>
    </row>
    <row r="3442" spans="5:6">
      <c r="E3442" s="16"/>
      <c r="F3442" s="15"/>
    </row>
    <row r="3443" spans="5:6">
      <c r="E3443" s="16"/>
      <c r="F3443" s="15"/>
    </row>
    <row r="3444" spans="5:6">
      <c r="E3444" s="16"/>
      <c r="F3444" s="15"/>
    </row>
    <row r="3445" spans="5:6">
      <c r="E3445" s="16"/>
      <c r="F3445" s="15"/>
    </row>
    <row r="3446" spans="5:6">
      <c r="E3446" s="16"/>
      <c r="F3446" s="15"/>
    </row>
    <row r="3447" spans="5:6">
      <c r="E3447" s="16"/>
      <c r="F3447" s="15"/>
    </row>
    <row r="3448" spans="5:6">
      <c r="E3448" s="16"/>
      <c r="F3448" s="15"/>
    </row>
    <row r="3449" spans="5:6">
      <c r="E3449" s="16"/>
      <c r="F3449" s="15"/>
    </row>
    <row r="3450" spans="5:6">
      <c r="E3450" s="16"/>
      <c r="F3450" s="15"/>
    </row>
    <row r="3451" spans="5:6">
      <c r="E3451" s="16"/>
      <c r="F3451" s="15"/>
    </row>
    <row r="3452" spans="5:6">
      <c r="E3452" s="16"/>
      <c r="F3452" s="15"/>
    </row>
    <row r="3453" spans="5:6">
      <c r="E3453" s="16"/>
      <c r="F3453" s="15"/>
    </row>
    <row r="3454" spans="5:6">
      <c r="E3454" s="16"/>
      <c r="F3454" s="15"/>
    </row>
    <row r="3455" spans="5:6">
      <c r="E3455" s="16"/>
      <c r="F3455" s="15"/>
    </row>
    <row r="3456" spans="5:6">
      <c r="E3456" s="16"/>
      <c r="F3456" s="15"/>
    </row>
    <row r="3457" spans="5:6">
      <c r="E3457" s="16"/>
      <c r="F3457" s="15"/>
    </row>
    <row r="3458" spans="5:6">
      <c r="E3458" s="16"/>
      <c r="F3458" s="15"/>
    </row>
    <row r="3459" spans="5:6">
      <c r="E3459" s="16"/>
      <c r="F3459" s="15"/>
    </row>
    <row r="3460" spans="5:6">
      <c r="E3460" s="16"/>
      <c r="F3460" s="15"/>
    </row>
    <row r="3461" spans="5:6">
      <c r="E3461" s="16"/>
      <c r="F3461" s="15"/>
    </row>
    <row r="3462" spans="5:6">
      <c r="E3462" s="16"/>
      <c r="F3462" s="15"/>
    </row>
    <row r="3463" spans="5:6">
      <c r="E3463" s="16"/>
      <c r="F3463" s="15"/>
    </row>
    <row r="3464" spans="5:6">
      <c r="E3464" s="16"/>
      <c r="F3464" s="15"/>
    </row>
    <row r="3465" spans="5:6">
      <c r="E3465" s="16"/>
      <c r="F3465" s="15"/>
    </row>
    <row r="3466" spans="5:6">
      <c r="E3466" s="16"/>
      <c r="F3466" s="15"/>
    </row>
    <row r="3467" spans="5:6">
      <c r="E3467" s="16"/>
      <c r="F3467" s="15"/>
    </row>
    <row r="3468" spans="5:6">
      <c r="E3468" s="16"/>
      <c r="F3468" s="15"/>
    </row>
    <row r="3469" spans="5:6">
      <c r="E3469" s="16"/>
      <c r="F3469" s="15"/>
    </row>
    <row r="3470" spans="5:6">
      <c r="E3470" s="16"/>
      <c r="F3470" s="15"/>
    </row>
    <row r="3471" spans="5:6">
      <c r="E3471" s="16"/>
      <c r="F3471" s="15"/>
    </row>
    <row r="3472" spans="5:6">
      <c r="E3472" s="16"/>
      <c r="F3472" s="15"/>
    </row>
    <row r="3473" spans="5:6">
      <c r="E3473" s="16"/>
      <c r="F3473" s="15"/>
    </row>
    <row r="3474" spans="5:6">
      <c r="E3474" s="16"/>
      <c r="F3474" s="15"/>
    </row>
    <row r="3475" spans="5:6">
      <c r="E3475" s="16"/>
      <c r="F3475" s="15"/>
    </row>
    <row r="3476" spans="5:6">
      <c r="E3476" s="16"/>
      <c r="F3476" s="15"/>
    </row>
    <row r="3477" spans="5:6">
      <c r="E3477" s="16"/>
      <c r="F3477" s="15"/>
    </row>
    <row r="3478" spans="5:6">
      <c r="E3478" s="16"/>
      <c r="F3478" s="15"/>
    </row>
    <row r="3479" spans="5:6">
      <c r="E3479" s="16"/>
      <c r="F3479" s="15"/>
    </row>
    <row r="3480" spans="5:6">
      <c r="E3480" s="16"/>
      <c r="F3480" s="15"/>
    </row>
    <row r="3481" spans="5:6">
      <c r="E3481" s="16"/>
      <c r="F3481" s="15"/>
    </row>
    <row r="3482" spans="5:6">
      <c r="E3482" s="16"/>
      <c r="F3482" s="15"/>
    </row>
    <row r="3483" spans="5:6">
      <c r="E3483" s="16"/>
      <c r="F3483" s="15"/>
    </row>
    <row r="3484" spans="5:6">
      <c r="E3484" s="16"/>
      <c r="F3484" s="15"/>
    </row>
    <row r="3485" spans="5:6">
      <c r="E3485" s="16"/>
      <c r="F3485" s="15"/>
    </row>
    <row r="3486" spans="5:6">
      <c r="E3486" s="16"/>
      <c r="F3486" s="15"/>
    </row>
    <row r="3487" spans="5:6">
      <c r="E3487" s="16"/>
      <c r="F3487" s="15"/>
    </row>
    <row r="3488" spans="5:6">
      <c r="E3488" s="16"/>
      <c r="F3488" s="15"/>
    </row>
    <row r="3489" spans="5:6">
      <c r="E3489" s="16"/>
      <c r="F3489" s="15"/>
    </row>
    <row r="3490" spans="5:6">
      <c r="E3490" s="16"/>
      <c r="F3490" s="15"/>
    </row>
    <row r="3491" spans="5:6">
      <c r="E3491" s="16"/>
      <c r="F3491" s="15"/>
    </row>
    <row r="3492" spans="5:6">
      <c r="E3492" s="16"/>
      <c r="F3492" s="15"/>
    </row>
    <row r="3493" spans="5:6">
      <c r="E3493" s="16"/>
      <c r="F3493" s="15"/>
    </row>
    <row r="3494" spans="5:6">
      <c r="E3494" s="16"/>
      <c r="F3494" s="15"/>
    </row>
    <row r="3495" spans="5:6">
      <c r="E3495" s="16"/>
      <c r="F3495" s="15"/>
    </row>
    <row r="3496" spans="5:6">
      <c r="E3496" s="16"/>
      <c r="F3496" s="15"/>
    </row>
    <row r="3497" spans="5:6">
      <c r="E3497" s="16"/>
      <c r="F3497" s="15"/>
    </row>
    <row r="3498" spans="5:6">
      <c r="E3498" s="16"/>
      <c r="F3498" s="15"/>
    </row>
    <row r="3499" spans="5:6">
      <c r="E3499" s="16"/>
      <c r="F3499" s="15"/>
    </row>
    <row r="3500" spans="5:6">
      <c r="E3500" s="16"/>
      <c r="F3500" s="15"/>
    </row>
    <row r="3501" spans="5:6">
      <c r="E3501" s="16"/>
      <c r="F3501" s="15"/>
    </row>
    <row r="3502" spans="5:6">
      <c r="E3502" s="16"/>
      <c r="F3502" s="15"/>
    </row>
    <row r="3503" spans="5:6">
      <c r="E3503" s="16"/>
      <c r="F3503" s="15"/>
    </row>
    <row r="3504" spans="5:6">
      <c r="E3504" s="16"/>
      <c r="F3504" s="15"/>
    </row>
    <row r="3505" spans="5:6">
      <c r="E3505" s="16"/>
      <c r="F3505" s="15"/>
    </row>
    <row r="3506" spans="5:6">
      <c r="E3506" s="16"/>
      <c r="F3506" s="15"/>
    </row>
    <row r="3507" spans="5:6">
      <c r="E3507" s="16"/>
      <c r="F3507" s="15"/>
    </row>
    <row r="3508" spans="5:6">
      <c r="E3508" s="16"/>
      <c r="F3508" s="15"/>
    </row>
    <row r="3509" spans="5:6">
      <c r="E3509" s="16"/>
      <c r="F3509" s="15"/>
    </row>
    <row r="3510" spans="5:6">
      <c r="E3510" s="16"/>
      <c r="F3510" s="15"/>
    </row>
    <row r="3511" spans="5:6">
      <c r="E3511" s="16"/>
      <c r="F3511" s="15"/>
    </row>
    <row r="3512" spans="5:6">
      <c r="E3512" s="16"/>
      <c r="F3512" s="15"/>
    </row>
    <row r="3513" spans="5:6">
      <c r="E3513" s="16"/>
      <c r="F3513" s="15"/>
    </row>
    <row r="3514" spans="5:6">
      <c r="E3514" s="16"/>
      <c r="F3514" s="15"/>
    </row>
    <row r="3515" spans="5:6">
      <c r="E3515" s="16"/>
      <c r="F3515" s="15"/>
    </row>
    <row r="3516" spans="5:6">
      <c r="E3516" s="16"/>
      <c r="F3516" s="15"/>
    </row>
    <row r="3517" spans="5:6">
      <c r="E3517" s="16"/>
      <c r="F3517" s="15"/>
    </row>
    <row r="3518" spans="5:6">
      <c r="E3518" s="16"/>
      <c r="F3518" s="15"/>
    </row>
    <row r="3519" spans="5:6">
      <c r="E3519" s="16"/>
      <c r="F3519" s="15"/>
    </row>
    <row r="3520" spans="5:6">
      <c r="E3520" s="16"/>
      <c r="F3520" s="15"/>
    </row>
    <row r="3521" spans="5:6">
      <c r="E3521" s="16"/>
      <c r="F3521" s="15"/>
    </row>
    <row r="3522" spans="5:6">
      <c r="E3522" s="16"/>
      <c r="F3522" s="15"/>
    </row>
    <row r="3523" spans="5:6">
      <c r="E3523" s="16"/>
      <c r="F3523" s="15"/>
    </row>
    <row r="3524" spans="5:6">
      <c r="E3524" s="16"/>
      <c r="F3524" s="15"/>
    </row>
    <row r="3525" spans="5:6">
      <c r="E3525" s="16"/>
      <c r="F3525" s="15"/>
    </row>
    <row r="3526" spans="5:6">
      <c r="E3526" s="16"/>
      <c r="F3526" s="15"/>
    </row>
    <row r="3527" spans="5:6">
      <c r="E3527" s="16"/>
      <c r="F3527" s="15"/>
    </row>
    <row r="3528" spans="5:6">
      <c r="E3528" s="16"/>
      <c r="F3528" s="15"/>
    </row>
    <row r="3529" spans="5:6">
      <c r="E3529" s="16"/>
      <c r="F3529" s="15"/>
    </row>
    <row r="3530" spans="5:6">
      <c r="E3530" s="16"/>
      <c r="F3530" s="15"/>
    </row>
    <row r="3531" spans="5:6">
      <c r="E3531" s="16"/>
      <c r="F3531" s="15"/>
    </row>
    <row r="3532" spans="5:6">
      <c r="E3532" s="16"/>
      <c r="F3532" s="15"/>
    </row>
    <row r="3533" spans="5:6">
      <c r="E3533" s="16"/>
      <c r="F3533" s="15"/>
    </row>
    <row r="3534" spans="5:6">
      <c r="E3534" s="16"/>
      <c r="F3534" s="15"/>
    </row>
    <row r="3535" spans="5:6">
      <c r="E3535" s="16"/>
      <c r="F3535" s="15"/>
    </row>
    <row r="3536" spans="5:6">
      <c r="E3536" s="16"/>
      <c r="F3536" s="15"/>
    </row>
    <row r="3537" spans="5:6">
      <c r="E3537" s="16"/>
      <c r="F3537" s="15"/>
    </row>
    <row r="3538" spans="5:6">
      <c r="E3538" s="16"/>
      <c r="F3538" s="15"/>
    </row>
    <row r="3539" spans="5:6">
      <c r="E3539" s="16"/>
      <c r="F3539" s="15"/>
    </row>
    <row r="3540" spans="5:6">
      <c r="E3540" s="16"/>
      <c r="F3540" s="15"/>
    </row>
    <row r="3541" spans="5:6">
      <c r="E3541" s="16"/>
      <c r="F3541" s="15"/>
    </row>
    <row r="3542" spans="5:6">
      <c r="E3542" s="16"/>
      <c r="F3542" s="15"/>
    </row>
    <row r="3543" spans="5:6">
      <c r="E3543" s="16"/>
      <c r="F3543" s="15"/>
    </row>
    <row r="3544" spans="5:6">
      <c r="E3544" s="16"/>
      <c r="F3544" s="15"/>
    </row>
    <row r="3545" spans="5:6">
      <c r="E3545" s="16"/>
      <c r="F3545" s="15"/>
    </row>
    <row r="3546" spans="5:6">
      <c r="E3546" s="16"/>
      <c r="F3546" s="15"/>
    </row>
    <row r="3547" spans="5:6">
      <c r="E3547" s="16"/>
      <c r="F3547" s="15"/>
    </row>
    <row r="3548" spans="5:6">
      <c r="E3548" s="16"/>
      <c r="F3548" s="15"/>
    </row>
    <row r="3549" spans="5:6">
      <c r="E3549" s="16"/>
      <c r="F3549" s="15"/>
    </row>
    <row r="3550" spans="5:6">
      <c r="E3550" s="16"/>
      <c r="F3550" s="15"/>
    </row>
    <row r="3551" spans="5:6">
      <c r="E3551" s="16"/>
      <c r="F3551" s="15"/>
    </row>
    <row r="3552" spans="5:6">
      <c r="E3552" s="16"/>
      <c r="F3552" s="15"/>
    </row>
    <row r="3553" spans="5:6">
      <c r="E3553" s="16"/>
      <c r="F3553" s="15"/>
    </row>
    <row r="3554" spans="5:6">
      <c r="E3554" s="16"/>
      <c r="F3554" s="15"/>
    </row>
    <row r="3555" spans="5:6">
      <c r="E3555" s="16"/>
      <c r="F3555" s="15"/>
    </row>
    <row r="3556" spans="5:6">
      <c r="E3556" s="16"/>
      <c r="F3556" s="15"/>
    </row>
    <row r="3557" spans="5:6">
      <c r="E3557" s="16"/>
      <c r="F3557" s="15"/>
    </row>
    <row r="3558" spans="5:6">
      <c r="E3558" s="16"/>
      <c r="F3558" s="15"/>
    </row>
    <row r="3559" spans="5:6">
      <c r="E3559" s="16"/>
      <c r="F3559" s="15"/>
    </row>
    <row r="3560" spans="5:6">
      <c r="E3560" s="16"/>
      <c r="F3560" s="15"/>
    </row>
    <row r="3561" spans="5:6">
      <c r="E3561" s="16"/>
      <c r="F3561" s="15"/>
    </row>
    <row r="3562" spans="5:6">
      <c r="E3562" s="16"/>
      <c r="F3562" s="15"/>
    </row>
    <row r="3563" spans="5:6">
      <c r="E3563" s="16"/>
      <c r="F3563" s="15"/>
    </row>
    <row r="3564" spans="5:6">
      <c r="E3564" s="16"/>
      <c r="F3564" s="15"/>
    </row>
    <row r="3565" spans="5:6">
      <c r="E3565" s="16"/>
      <c r="F3565" s="15"/>
    </row>
    <row r="3566" spans="5:6">
      <c r="E3566" s="16"/>
      <c r="F3566" s="15"/>
    </row>
    <row r="3567" spans="5:6">
      <c r="E3567" s="16"/>
      <c r="F3567" s="15"/>
    </row>
    <row r="3568" spans="5:6">
      <c r="E3568" s="16"/>
      <c r="F3568" s="15"/>
    </row>
    <row r="3569" spans="5:6">
      <c r="E3569" s="16"/>
      <c r="F3569" s="15"/>
    </row>
    <row r="3570" spans="5:6">
      <c r="E3570" s="16"/>
      <c r="F3570" s="15"/>
    </row>
    <row r="3571" spans="5:6">
      <c r="E3571" s="16"/>
      <c r="F3571" s="15"/>
    </row>
    <row r="3572" spans="5:6">
      <c r="E3572" s="16"/>
      <c r="F3572" s="15"/>
    </row>
    <row r="3573" spans="5:6">
      <c r="E3573" s="16"/>
      <c r="F3573" s="15"/>
    </row>
    <row r="3574" spans="5:6">
      <c r="E3574" s="16"/>
      <c r="F3574" s="15"/>
    </row>
    <row r="3575" spans="5:6">
      <c r="E3575" s="16"/>
      <c r="F3575" s="15"/>
    </row>
    <row r="3576" spans="5:6">
      <c r="E3576" s="16"/>
      <c r="F3576" s="15"/>
    </row>
    <row r="3577" spans="5:6">
      <c r="E3577" s="16"/>
      <c r="F3577" s="15"/>
    </row>
    <row r="3578" spans="5:6">
      <c r="E3578" s="16"/>
      <c r="F3578" s="15"/>
    </row>
    <row r="3579" spans="5:6">
      <c r="E3579" s="16"/>
      <c r="F3579" s="15"/>
    </row>
    <row r="3580" spans="5:6">
      <c r="E3580" s="16"/>
      <c r="F3580" s="15"/>
    </row>
    <row r="3581" spans="5:6">
      <c r="E3581" s="16"/>
      <c r="F3581" s="15"/>
    </row>
    <row r="3582" spans="5:6">
      <c r="E3582" s="16"/>
      <c r="F3582" s="15"/>
    </row>
    <row r="3583" spans="5:6">
      <c r="E3583" s="16"/>
      <c r="F3583" s="15"/>
    </row>
    <row r="3584" spans="5:6">
      <c r="E3584" s="16"/>
      <c r="F3584" s="15"/>
    </row>
    <row r="3585" spans="5:6">
      <c r="E3585" s="16"/>
      <c r="F3585" s="15"/>
    </row>
    <row r="3586" spans="5:6">
      <c r="E3586" s="16"/>
      <c r="F3586" s="15"/>
    </row>
    <row r="3587" spans="5:6">
      <c r="E3587" s="16"/>
      <c r="F3587" s="15"/>
    </row>
    <row r="3588" spans="5:6">
      <c r="E3588" s="16"/>
      <c r="F3588" s="15"/>
    </row>
    <row r="3589" spans="5:6">
      <c r="E3589" s="16"/>
      <c r="F3589" s="15"/>
    </row>
    <row r="3590" spans="5:6">
      <c r="E3590" s="16"/>
      <c r="F3590" s="15"/>
    </row>
    <row r="3591" spans="5:6">
      <c r="E3591" s="16"/>
      <c r="F3591" s="15"/>
    </row>
    <row r="3592" spans="5:6">
      <c r="E3592" s="16"/>
      <c r="F3592" s="15"/>
    </row>
    <row r="3593" spans="5:6">
      <c r="E3593" s="16"/>
      <c r="F3593" s="15"/>
    </row>
    <row r="3594" spans="5:6">
      <c r="E3594" s="16"/>
      <c r="F3594" s="15"/>
    </row>
    <row r="3595" spans="5:6">
      <c r="E3595" s="16"/>
      <c r="F3595" s="15"/>
    </row>
    <row r="3596" spans="5:6">
      <c r="E3596" s="16"/>
      <c r="F3596" s="15"/>
    </row>
    <row r="3597" spans="5:6">
      <c r="E3597" s="16"/>
      <c r="F3597" s="15"/>
    </row>
    <row r="3598" spans="5:6">
      <c r="E3598" s="16"/>
      <c r="F3598" s="15"/>
    </row>
    <row r="3599" spans="5:6">
      <c r="E3599" s="16"/>
      <c r="F3599" s="15"/>
    </row>
    <row r="3600" spans="5:6">
      <c r="E3600" s="16"/>
      <c r="F3600" s="15"/>
    </row>
    <row r="3601" spans="5:6">
      <c r="E3601" s="16"/>
      <c r="F3601" s="15"/>
    </row>
    <row r="3602" spans="5:6">
      <c r="E3602" s="16"/>
      <c r="F3602" s="15"/>
    </row>
    <row r="3603" spans="5:6">
      <c r="E3603" s="16"/>
      <c r="F3603" s="15"/>
    </row>
    <row r="3604" spans="5:6">
      <c r="E3604" s="16"/>
      <c r="F3604" s="15"/>
    </row>
    <row r="3605" spans="5:6">
      <c r="E3605" s="16"/>
      <c r="F3605" s="15"/>
    </row>
    <row r="3606" spans="5:6">
      <c r="E3606" s="16"/>
      <c r="F3606" s="15"/>
    </row>
    <row r="3607" spans="5:6">
      <c r="E3607" s="16"/>
      <c r="F3607" s="15"/>
    </row>
    <row r="3608" spans="5:6">
      <c r="E3608" s="16"/>
      <c r="F3608" s="15"/>
    </row>
    <row r="3609" spans="5:6">
      <c r="E3609" s="16"/>
      <c r="F3609" s="15"/>
    </row>
    <row r="3610" spans="5:6">
      <c r="E3610" s="16"/>
      <c r="F3610" s="15"/>
    </row>
    <row r="3611" spans="5:6">
      <c r="E3611" s="16"/>
      <c r="F3611" s="15"/>
    </row>
    <row r="3612" spans="5:6">
      <c r="E3612" s="16"/>
      <c r="F3612" s="15"/>
    </row>
    <row r="3613" spans="5:6">
      <c r="E3613" s="16"/>
      <c r="F3613" s="15"/>
    </row>
    <row r="3614" spans="5:6">
      <c r="E3614" s="16"/>
      <c r="F3614" s="15"/>
    </row>
    <row r="3615" spans="5:6">
      <c r="E3615" s="16"/>
      <c r="F3615" s="15"/>
    </row>
    <row r="3616" spans="5:6">
      <c r="E3616" s="16"/>
      <c r="F3616" s="15"/>
    </row>
    <row r="3617" spans="5:6">
      <c r="E3617" s="16"/>
      <c r="F3617" s="15"/>
    </row>
    <row r="3618" spans="5:6">
      <c r="E3618" s="16"/>
      <c r="F3618" s="15"/>
    </row>
    <row r="3619" spans="5:6">
      <c r="E3619" s="16"/>
      <c r="F3619" s="15"/>
    </row>
    <row r="3620" spans="5:6">
      <c r="E3620" s="16"/>
      <c r="F3620" s="15"/>
    </row>
    <row r="3621" spans="5:6">
      <c r="E3621" s="16"/>
      <c r="F3621" s="15"/>
    </row>
    <row r="3622" spans="5:6">
      <c r="E3622" s="16"/>
      <c r="F3622" s="15"/>
    </row>
    <row r="3623" spans="5:6">
      <c r="E3623" s="16"/>
      <c r="F3623" s="15"/>
    </row>
    <row r="3624" spans="5:6">
      <c r="E3624" s="16"/>
      <c r="F3624" s="15"/>
    </row>
    <row r="3625" spans="5:6">
      <c r="E3625" s="16"/>
      <c r="F3625" s="15"/>
    </row>
    <row r="3626" spans="5:6">
      <c r="E3626" s="16"/>
      <c r="F3626" s="15"/>
    </row>
    <row r="3627" spans="5:6">
      <c r="E3627" s="16"/>
      <c r="F3627" s="15"/>
    </row>
    <row r="3628" spans="5:6">
      <c r="E3628" s="16"/>
      <c r="F3628" s="15"/>
    </row>
    <row r="3629" spans="5:6">
      <c r="E3629" s="16"/>
      <c r="F3629" s="15"/>
    </row>
    <row r="3630" spans="5:6">
      <c r="E3630" s="16"/>
      <c r="F3630" s="15"/>
    </row>
    <row r="3631" spans="5:6">
      <c r="E3631" s="16"/>
      <c r="F3631" s="15"/>
    </row>
    <row r="3632" spans="5:6">
      <c r="E3632" s="16"/>
      <c r="F3632" s="15"/>
    </row>
    <row r="3633" spans="5:6">
      <c r="E3633" s="16"/>
      <c r="F3633" s="15"/>
    </row>
    <row r="3634" spans="5:6">
      <c r="E3634" s="16"/>
      <c r="F3634" s="15"/>
    </row>
    <row r="3635" spans="5:6">
      <c r="E3635" s="16"/>
      <c r="F3635" s="15"/>
    </row>
    <row r="3636" spans="5:6">
      <c r="E3636" s="16"/>
      <c r="F3636" s="15"/>
    </row>
    <row r="3637" spans="5:6">
      <c r="E3637" s="16"/>
      <c r="F3637" s="15"/>
    </row>
    <row r="3638" spans="5:6">
      <c r="E3638" s="16"/>
      <c r="F3638" s="15"/>
    </row>
    <row r="3639" spans="5:6">
      <c r="E3639" s="16"/>
      <c r="F3639" s="15"/>
    </row>
    <row r="3640" spans="5:6">
      <c r="E3640" s="16"/>
      <c r="F3640" s="15"/>
    </row>
    <row r="3641" spans="5:6">
      <c r="E3641" s="16"/>
      <c r="F3641" s="15"/>
    </row>
    <row r="3642" spans="5:6">
      <c r="E3642" s="16"/>
      <c r="F3642" s="15"/>
    </row>
    <row r="3643" spans="5:6">
      <c r="E3643" s="16"/>
      <c r="F3643" s="15"/>
    </row>
    <row r="3644" spans="5:6">
      <c r="E3644" s="16"/>
      <c r="F3644" s="15"/>
    </row>
    <row r="3645" spans="5:6">
      <c r="E3645" s="16"/>
      <c r="F3645" s="15"/>
    </row>
    <row r="3646" spans="5:6">
      <c r="E3646" s="16"/>
      <c r="F3646" s="15"/>
    </row>
    <row r="3647" spans="5:6">
      <c r="E3647" s="16"/>
      <c r="F3647" s="15"/>
    </row>
    <row r="3648" spans="5:6">
      <c r="E3648" s="16"/>
      <c r="F3648" s="15"/>
    </row>
    <row r="3649" spans="5:6">
      <c r="E3649" s="16"/>
      <c r="F3649" s="15"/>
    </row>
    <row r="3650" spans="5:6">
      <c r="E3650" s="16"/>
      <c r="F3650" s="15"/>
    </row>
    <row r="3651" spans="5:6">
      <c r="E3651" s="16"/>
      <c r="F3651" s="15"/>
    </row>
    <row r="3652" spans="5:6">
      <c r="E3652" s="16"/>
      <c r="F3652" s="15"/>
    </row>
    <row r="3653" spans="5:6">
      <c r="E3653" s="16"/>
      <c r="F3653" s="15"/>
    </row>
    <row r="3654" spans="5:6">
      <c r="E3654" s="16"/>
      <c r="F3654" s="15"/>
    </row>
    <row r="3655" spans="5:6">
      <c r="E3655" s="16"/>
      <c r="F3655" s="15"/>
    </row>
    <row r="3656" spans="5:6">
      <c r="E3656" s="16"/>
      <c r="F3656" s="15"/>
    </row>
    <row r="3657" spans="5:6">
      <c r="E3657" s="16"/>
      <c r="F3657" s="15"/>
    </row>
    <row r="3658" spans="5:6">
      <c r="E3658" s="16"/>
      <c r="F3658" s="15"/>
    </row>
    <row r="3659" spans="5:6">
      <c r="E3659" s="16"/>
      <c r="F3659" s="15"/>
    </row>
    <row r="3660" spans="5:6">
      <c r="E3660" s="16"/>
      <c r="F3660" s="15"/>
    </row>
    <row r="3661" spans="5:6">
      <c r="E3661" s="16"/>
      <c r="F3661" s="15"/>
    </row>
    <row r="3662" spans="5:6">
      <c r="E3662" s="16"/>
      <c r="F3662" s="15"/>
    </row>
    <row r="3663" spans="5:6">
      <c r="E3663" s="16"/>
      <c r="F3663" s="15"/>
    </row>
    <row r="3664" spans="5:6">
      <c r="E3664" s="16"/>
      <c r="F3664" s="15"/>
    </row>
    <row r="3665" spans="5:6">
      <c r="E3665" s="16"/>
      <c r="F3665" s="15"/>
    </row>
    <row r="3666" spans="5:6">
      <c r="E3666" s="16"/>
      <c r="F3666" s="15"/>
    </row>
    <row r="3667" spans="5:6">
      <c r="E3667" s="16"/>
      <c r="F3667" s="15"/>
    </row>
    <row r="3668" spans="5:6">
      <c r="E3668" s="16"/>
      <c r="F3668" s="15"/>
    </row>
    <row r="3669" spans="5:6">
      <c r="E3669" s="16"/>
      <c r="F3669" s="15"/>
    </row>
    <row r="3670" spans="5:6">
      <c r="E3670" s="16"/>
      <c r="F3670" s="15"/>
    </row>
    <row r="3671" spans="5:6">
      <c r="E3671" s="16"/>
      <c r="F3671" s="15"/>
    </row>
    <row r="3672" spans="5:6">
      <c r="E3672" s="16"/>
      <c r="F3672" s="15"/>
    </row>
    <row r="3673" spans="5:6">
      <c r="E3673" s="16"/>
      <c r="F3673" s="15"/>
    </row>
    <row r="3674" spans="5:6">
      <c r="E3674" s="16"/>
      <c r="F3674" s="15"/>
    </row>
    <row r="3675" spans="5:6">
      <c r="E3675" s="16"/>
      <c r="F3675" s="15"/>
    </row>
    <row r="3676" spans="5:6">
      <c r="E3676" s="16"/>
      <c r="F3676" s="15"/>
    </row>
    <row r="3677" spans="5:6">
      <c r="E3677" s="16"/>
      <c r="F3677" s="15"/>
    </row>
    <row r="3678" spans="5:6">
      <c r="E3678" s="16"/>
      <c r="F3678" s="15"/>
    </row>
    <row r="3679" spans="5:6">
      <c r="E3679" s="16"/>
      <c r="F3679" s="15"/>
    </row>
    <row r="3680" spans="5:6">
      <c r="E3680" s="16"/>
      <c r="F3680" s="15"/>
    </row>
    <row r="3681" spans="5:6">
      <c r="E3681" s="16"/>
      <c r="F3681" s="15"/>
    </row>
    <row r="3682" spans="5:6">
      <c r="E3682" s="16"/>
      <c r="F3682" s="15"/>
    </row>
    <row r="3683" spans="5:6">
      <c r="E3683" s="16"/>
      <c r="F3683" s="15"/>
    </row>
    <row r="3684" spans="5:6">
      <c r="E3684" s="16"/>
      <c r="F3684" s="15"/>
    </row>
    <row r="3685" spans="5:6">
      <c r="E3685" s="16"/>
      <c r="F3685" s="15"/>
    </row>
    <row r="3686" spans="5:6">
      <c r="E3686" s="16"/>
      <c r="F3686" s="15"/>
    </row>
    <row r="3687" spans="5:6">
      <c r="E3687" s="16"/>
      <c r="F3687" s="15"/>
    </row>
    <row r="3688" spans="5:6">
      <c r="E3688" s="16"/>
      <c r="F3688" s="15"/>
    </row>
    <row r="3689" spans="5:6">
      <c r="E3689" s="16"/>
      <c r="F3689" s="15"/>
    </row>
    <row r="3690" spans="5:6">
      <c r="E3690" s="16"/>
      <c r="F3690" s="15"/>
    </row>
    <row r="3691" spans="5:6">
      <c r="E3691" s="16"/>
      <c r="F3691" s="15"/>
    </row>
    <row r="3692" spans="5:6">
      <c r="E3692" s="16"/>
      <c r="F3692" s="15"/>
    </row>
    <row r="3693" spans="5:6">
      <c r="E3693" s="16"/>
      <c r="F3693" s="15"/>
    </row>
    <row r="3694" spans="5:6">
      <c r="E3694" s="16"/>
      <c r="F3694" s="15"/>
    </row>
    <row r="3695" spans="5:6">
      <c r="E3695" s="16"/>
      <c r="F3695" s="15"/>
    </row>
    <row r="3696" spans="5:6">
      <c r="E3696" s="16"/>
      <c r="F3696" s="15"/>
    </row>
    <row r="3697" spans="5:6">
      <c r="E3697" s="16"/>
      <c r="F3697" s="15"/>
    </row>
    <row r="3698" spans="5:6">
      <c r="E3698" s="16"/>
      <c r="F3698" s="15"/>
    </row>
    <row r="3699" spans="5:6">
      <c r="E3699" s="16"/>
      <c r="F3699" s="15"/>
    </row>
    <row r="3700" spans="5:6">
      <c r="E3700" s="16"/>
      <c r="F3700" s="15"/>
    </row>
    <row r="3701" spans="5:6">
      <c r="E3701" s="16"/>
      <c r="F3701" s="15"/>
    </row>
    <row r="3702" spans="5:6">
      <c r="E3702" s="16"/>
      <c r="F3702" s="15"/>
    </row>
    <row r="3703" spans="5:6">
      <c r="E3703" s="16"/>
      <c r="F3703" s="15"/>
    </row>
    <row r="3704" spans="5:6">
      <c r="E3704" s="16"/>
      <c r="F3704" s="15"/>
    </row>
    <row r="3705" spans="5:6">
      <c r="E3705" s="16"/>
      <c r="F3705" s="15"/>
    </row>
    <row r="3706" spans="5:6">
      <c r="E3706" s="16"/>
      <c r="F3706" s="15"/>
    </row>
    <row r="3707" spans="5:6">
      <c r="E3707" s="16"/>
      <c r="F3707" s="15"/>
    </row>
    <row r="3708" spans="5:6">
      <c r="E3708" s="16"/>
      <c r="F3708" s="15"/>
    </row>
    <row r="3709" spans="5:6">
      <c r="E3709" s="16"/>
      <c r="F3709" s="15"/>
    </row>
    <row r="3710" spans="5:6">
      <c r="E3710" s="16"/>
      <c r="F3710" s="15"/>
    </row>
    <row r="3711" spans="5:6">
      <c r="E3711" s="16"/>
      <c r="F3711" s="15"/>
    </row>
    <row r="3712" spans="5:6">
      <c r="E3712" s="16"/>
      <c r="F3712" s="15"/>
    </row>
    <row r="3713" spans="5:6">
      <c r="E3713" s="16"/>
      <c r="F3713" s="15"/>
    </row>
    <row r="3714" spans="5:6">
      <c r="E3714" s="16"/>
      <c r="F3714" s="15"/>
    </row>
    <row r="3715" spans="5:6">
      <c r="E3715" s="16"/>
      <c r="F3715" s="15"/>
    </row>
    <row r="3716" spans="5:6">
      <c r="E3716" s="16"/>
      <c r="F3716" s="15"/>
    </row>
    <row r="3717" spans="5:6">
      <c r="E3717" s="16"/>
      <c r="F3717" s="15"/>
    </row>
    <row r="3718" spans="5:6">
      <c r="E3718" s="16"/>
      <c r="F3718" s="15"/>
    </row>
    <row r="3719" spans="5:6">
      <c r="E3719" s="16"/>
      <c r="F3719" s="15"/>
    </row>
    <row r="3720" spans="5:6">
      <c r="E3720" s="16"/>
      <c r="F3720" s="15"/>
    </row>
    <row r="3721" spans="5:6">
      <c r="E3721" s="16"/>
      <c r="F3721" s="15"/>
    </row>
    <row r="3722" spans="5:6">
      <c r="E3722" s="16"/>
      <c r="F3722" s="15"/>
    </row>
    <row r="3723" spans="5:6">
      <c r="E3723" s="16"/>
      <c r="F3723" s="15"/>
    </row>
    <row r="3724" spans="5:6">
      <c r="E3724" s="16"/>
      <c r="F3724" s="15"/>
    </row>
    <row r="3725" spans="5:6">
      <c r="E3725" s="16"/>
      <c r="F3725" s="15"/>
    </row>
    <row r="3726" spans="5:6">
      <c r="E3726" s="16"/>
      <c r="F3726" s="15"/>
    </row>
    <row r="3727" spans="5:6">
      <c r="E3727" s="16"/>
      <c r="F3727" s="15"/>
    </row>
    <row r="3728" spans="5:6">
      <c r="E3728" s="16"/>
      <c r="F3728" s="15"/>
    </row>
    <row r="3729" spans="5:6">
      <c r="E3729" s="16"/>
      <c r="F3729" s="15"/>
    </row>
    <row r="3730" spans="5:6">
      <c r="E3730" s="16"/>
      <c r="F3730" s="15"/>
    </row>
    <row r="3731" spans="5:6">
      <c r="E3731" s="16"/>
      <c r="F3731" s="15"/>
    </row>
    <row r="3732" spans="5:6">
      <c r="E3732" s="16"/>
      <c r="F3732" s="15"/>
    </row>
    <row r="3733" spans="5:6">
      <c r="E3733" s="16"/>
      <c r="F3733" s="15"/>
    </row>
    <row r="3734" spans="5:6">
      <c r="E3734" s="16"/>
      <c r="F3734" s="15"/>
    </row>
    <row r="3735" spans="5:6">
      <c r="E3735" s="16"/>
      <c r="F3735" s="15"/>
    </row>
    <row r="3736" spans="5:6">
      <c r="E3736" s="16"/>
      <c r="F3736" s="15"/>
    </row>
    <row r="3737" spans="5:6">
      <c r="E3737" s="16"/>
      <c r="F3737" s="15"/>
    </row>
    <row r="3738" spans="5:6">
      <c r="E3738" s="16"/>
      <c r="F3738" s="15"/>
    </row>
    <row r="3739" spans="5:6">
      <c r="E3739" s="16"/>
      <c r="F3739" s="15"/>
    </row>
    <row r="3740" spans="5:6">
      <c r="E3740" s="16"/>
      <c r="F3740" s="15"/>
    </row>
    <row r="3741" spans="5:6">
      <c r="E3741" s="16"/>
      <c r="F3741" s="15"/>
    </row>
    <row r="3742" spans="5:6">
      <c r="E3742" s="16"/>
      <c r="F3742" s="15"/>
    </row>
    <row r="3743" spans="5:6">
      <c r="E3743" s="16"/>
      <c r="F3743" s="15"/>
    </row>
    <row r="3744" spans="5:6">
      <c r="E3744" s="16"/>
      <c r="F3744" s="15"/>
    </row>
    <row r="3745" spans="5:6">
      <c r="E3745" s="16"/>
      <c r="F3745" s="15"/>
    </row>
    <row r="3746" spans="5:6">
      <c r="E3746" s="16"/>
      <c r="F3746" s="15"/>
    </row>
    <row r="3747" spans="5:6">
      <c r="E3747" s="16"/>
      <c r="F3747" s="15"/>
    </row>
    <row r="3748" spans="5:6">
      <c r="E3748" s="16"/>
      <c r="F3748" s="15"/>
    </row>
    <row r="3749" spans="5:6">
      <c r="E3749" s="16"/>
      <c r="F3749" s="15"/>
    </row>
    <row r="3750" spans="5:6">
      <c r="E3750" s="16"/>
      <c r="F3750" s="15"/>
    </row>
    <row r="3751" spans="5:6">
      <c r="E3751" s="16"/>
      <c r="F3751" s="15"/>
    </row>
    <row r="3752" spans="5:6">
      <c r="E3752" s="16"/>
      <c r="F3752" s="15"/>
    </row>
    <row r="3753" spans="5:6">
      <c r="E3753" s="16"/>
      <c r="F3753" s="15"/>
    </row>
    <row r="3754" spans="5:6">
      <c r="E3754" s="16"/>
      <c r="F3754" s="15"/>
    </row>
    <row r="3755" spans="5:6">
      <c r="E3755" s="16"/>
      <c r="F3755" s="15"/>
    </row>
    <row r="3756" spans="5:6">
      <c r="E3756" s="16"/>
      <c r="F3756" s="15"/>
    </row>
    <row r="3757" spans="5:6">
      <c r="E3757" s="16"/>
      <c r="F3757" s="15"/>
    </row>
    <row r="3758" spans="5:6">
      <c r="E3758" s="16"/>
      <c r="F3758" s="15"/>
    </row>
    <row r="3759" spans="5:6">
      <c r="E3759" s="16"/>
      <c r="F3759" s="15"/>
    </row>
    <row r="3760" spans="5:6">
      <c r="E3760" s="16"/>
      <c r="F3760" s="15"/>
    </row>
    <row r="3761" spans="5:6">
      <c r="E3761" s="16"/>
      <c r="F3761" s="15"/>
    </row>
    <row r="3762" spans="5:6">
      <c r="E3762" s="16"/>
      <c r="F3762" s="15"/>
    </row>
    <row r="3763" spans="5:6">
      <c r="E3763" s="16"/>
      <c r="F3763" s="15"/>
    </row>
    <row r="3764" spans="5:6">
      <c r="E3764" s="16"/>
      <c r="F3764" s="15"/>
    </row>
    <row r="3765" spans="5:6">
      <c r="E3765" s="16"/>
      <c r="F3765" s="15"/>
    </row>
    <row r="3766" spans="5:6">
      <c r="E3766" s="16"/>
      <c r="F3766" s="15"/>
    </row>
    <row r="3767" spans="5:6">
      <c r="E3767" s="16"/>
      <c r="F3767" s="15"/>
    </row>
    <row r="3768" spans="5:6">
      <c r="E3768" s="16"/>
      <c r="F3768" s="15"/>
    </row>
    <row r="3769" spans="5:6">
      <c r="E3769" s="16"/>
      <c r="F3769" s="15"/>
    </row>
    <row r="3770" spans="5:6">
      <c r="E3770" s="16"/>
      <c r="F3770" s="15"/>
    </row>
    <row r="3771" spans="5:6">
      <c r="E3771" s="16"/>
      <c r="F3771" s="15"/>
    </row>
    <row r="3772" spans="5:6">
      <c r="E3772" s="16"/>
      <c r="F3772" s="15"/>
    </row>
    <row r="3773" spans="5:6">
      <c r="E3773" s="16"/>
      <c r="F3773" s="15"/>
    </row>
    <row r="3774" spans="5:6">
      <c r="E3774" s="16"/>
      <c r="F3774" s="15"/>
    </row>
    <row r="3775" spans="5:6">
      <c r="E3775" s="16"/>
      <c r="F3775" s="15"/>
    </row>
    <row r="3776" spans="5:6">
      <c r="E3776" s="16"/>
      <c r="F3776" s="15"/>
    </row>
    <row r="3777" spans="5:6">
      <c r="E3777" s="16"/>
      <c r="F3777" s="15"/>
    </row>
    <row r="3778" spans="5:6">
      <c r="E3778" s="16"/>
      <c r="F3778" s="15"/>
    </row>
    <row r="3779" spans="5:6">
      <c r="E3779" s="16"/>
      <c r="F3779" s="15"/>
    </row>
    <row r="3780" spans="5:6">
      <c r="E3780" s="16"/>
      <c r="F3780" s="15"/>
    </row>
    <row r="3781" spans="5:6">
      <c r="E3781" s="16"/>
      <c r="F3781" s="15"/>
    </row>
    <row r="3782" spans="5:6">
      <c r="E3782" s="16"/>
      <c r="F3782" s="15"/>
    </row>
    <row r="3783" spans="5:6">
      <c r="E3783" s="16"/>
      <c r="F3783" s="15"/>
    </row>
    <row r="3784" spans="5:6">
      <c r="E3784" s="16"/>
      <c r="F3784" s="15"/>
    </row>
    <row r="3785" spans="5:6">
      <c r="E3785" s="16"/>
      <c r="F3785" s="15"/>
    </row>
    <row r="3786" spans="5:6">
      <c r="E3786" s="16"/>
      <c r="F3786" s="15"/>
    </row>
    <row r="3787" spans="5:6">
      <c r="E3787" s="16"/>
      <c r="F3787" s="15"/>
    </row>
    <row r="3788" spans="5:6">
      <c r="E3788" s="16"/>
      <c r="F3788" s="15"/>
    </row>
    <row r="3789" spans="5:6">
      <c r="E3789" s="16"/>
      <c r="F3789" s="15"/>
    </row>
    <row r="3790" spans="5:6">
      <c r="E3790" s="16"/>
      <c r="F3790" s="15"/>
    </row>
    <row r="3791" spans="5:6">
      <c r="E3791" s="16"/>
      <c r="F3791" s="15"/>
    </row>
    <row r="3792" spans="5:6">
      <c r="E3792" s="16"/>
      <c r="F3792" s="15"/>
    </row>
    <row r="3793" spans="5:6">
      <c r="E3793" s="16"/>
      <c r="F3793" s="15"/>
    </row>
    <row r="3794" spans="5:6">
      <c r="E3794" s="16"/>
      <c r="F3794" s="15"/>
    </row>
    <row r="3795" spans="5:6">
      <c r="E3795" s="16"/>
      <c r="F3795" s="15"/>
    </row>
    <row r="3796" spans="5:6">
      <c r="E3796" s="16"/>
      <c r="F3796" s="15"/>
    </row>
    <row r="3797" spans="5:6">
      <c r="E3797" s="16"/>
      <c r="F3797" s="15"/>
    </row>
    <row r="3798" spans="5:6">
      <c r="E3798" s="16"/>
      <c r="F3798" s="15"/>
    </row>
    <row r="3799" spans="5:6">
      <c r="E3799" s="16"/>
      <c r="F3799" s="15"/>
    </row>
    <row r="3800" spans="5:6">
      <c r="E3800" s="16"/>
      <c r="F3800" s="15"/>
    </row>
    <row r="3801" spans="5:6">
      <c r="E3801" s="16"/>
      <c r="F3801" s="15"/>
    </row>
    <row r="3802" spans="5:6">
      <c r="E3802" s="16"/>
      <c r="F3802" s="15"/>
    </row>
    <row r="3803" spans="5:6">
      <c r="E3803" s="16"/>
      <c r="F3803" s="15"/>
    </row>
    <row r="3804" spans="5:6">
      <c r="E3804" s="16"/>
      <c r="F3804" s="15"/>
    </row>
    <row r="3805" spans="5:6">
      <c r="E3805" s="16"/>
      <c r="F3805" s="15"/>
    </row>
    <row r="3806" spans="5:6">
      <c r="E3806" s="16"/>
      <c r="F3806" s="15"/>
    </row>
    <row r="3807" spans="5:6">
      <c r="E3807" s="16"/>
      <c r="F3807" s="15"/>
    </row>
    <row r="3808" spans="5:6">
      <c r="E3808" s="16"/>
      <c r="F3808" s="15"/>
    </row>
    <row r="3809" spans="5:6">
      <c r="E3809" s="16"/>
      <c r="F3809" s="15"/>
    </row>
    <row r="3810" spans="5:6">
      <c r="E3810" s="16"/>
      <c r="F3810" s="15"/>
    </row>
    <row r="3811" spans="5:6">
      <c r="E3811" s="16"/>
      <c r="F3811" s="15"/>
    </row>
    <row r="3812" spans="5:6">
      <c r="E3812" s="16"/>
      <c r="F3812" s="15"/>
    </row>
    <row r="3813" spans="5:6">
      <c r="E3813" s="16"/>
      <c r="F3813" s="15"/>
    </row>
    <row r="3814" spans="5:6">
      <c r="E3814" s="16"/>
      <c r="F3814" s="15"/>
    </row>
    <row r="3815" spans="5:6">
      <c r="E3815" s="16"/>
      <c r="F3815" s="15"/>
    </row>
    <row r="3816" spans="5:6">
      <c r="E3816" s="16"/>
      <c r="F3816" s="15"/>
    </row>
    <row r="3817" spans="5:6">
      <c r="E3817" s="16"/>
      <c r="F3817" s="15"/>
    </row>
    <row r="3818" spans="5:6">
      <c r="E3818" s="16"/>
      <c r="F3818" s="15"/>
    </row>
    <row r="3819" spans="5:6">
      <c r="E3819" s="16"/>
      <c r="F3819" s="15"/>
    </row>
    <row r="3820" spans="5:6">
      <c r="E3820" s="16"/>
      <c r="F3820" s="15"/>
    </row>
    <row r="3821" spans="5:6">
      <c r="E3821" s="16"/>
      <c r="F3821" s="15"/>
    </row>
    <row r="3822" spans="5:6">
      <c r="E3822" s="16"/>
      <c r="F3822" s="15"/>
    </row>
    <row r="3823" spans="5:6">
      <c r="E3823" s="16"/>
      <c r="F3823" s="15"/>
    </row>
    <row r="3824" spans="5:6">
      <c r="E3824" s="16"/>
      <c r="F3824" s="15"/>
    </row>
    <row r="3825" spans="5:6">
      <c r="E3825" s="16"/>
      <c r="F3825" s="15"/>
    </row>
    <row r="3826" spans="5:6">
      <c r="E3826" s="16"/>
      <c r="F3826" s="15"/>
    </row>
    <row r="3827" spans="5:6">
      <c r="E3827" s="16"/>
      <c r="F3827" s="15"/>
    </row>
    <row r="3828" spans="5:6">
      <c r="E3828" s="16"/>
      <c r="F3828" s="15"/>
    </row>
    <row r="3829" spans="5:6">
      <c r="E3829" s="16"/>
      <c r="F3829" s="15"/>
    </row>
    <row r="3830" spans="5:6">
      <c r="E3830" s="16"/>
      <c r="F3830" s="15"/>
    </row>
    <row r="3831" spans="5:6">
      <c r="E3831" s="16"/>
      <c r="F3831" s="15"/>
    </row>
    <row r="3832" spans="5:6">
      <c r="E3832" s="16"/>
      <c r="F3832" s="15"/>
    </row>
    <row r="3833" spans="5:6">
      <c r="E3833" s="16"/>
      <c r="F3833" s="15"/>
    </row>
    <row r="3834" spans="5:6">
      <c r="E3834" s="16"/>
      <c r="F3834" s="15"/>
    </row>
    <row r="3835" spans="5:6">
      <c r="E3835" s="16"/>
      <c r="F3835" s="15"/>
    </row>
    <row r="3836" spans="5:6">
      <c r="E3836" s="16"/>
      <c r="F3836" s="15"/>
    </row>
    <row r="3837" spans="5:6">
      <c r="E3837" s="16"/>
      <c r="F3837" s="15"/>
    </row>
    <row r="3838" spans="5:6">
      <c r="E3838" s="16"/>
      <c r="F3838" s="15"/>
    </row>
    <row r="3839" spans="5:6">
      <c r="E3839" s="16"/>
      <c r="F3839" s="15"/>
    </row>
    <row r="3840" spans="5:6">
      <c r="E3840" s="16"/>
      <c r="F3840" s="15"/>
    </row>
    <row r="3841" spans="5:6">
      <c r="E3841" s="16"/>
      <c r="F3841" s="15"/>
    </row>
    <row r="3842" spans="5:6">
      <c r="E3842" s="16"/>
      <c r="F3842" s="15"/>
    </row>
    <row r="3843" spans="5:6">
      <c r="E3843" s="16"/>
      <c r="F3843" s="15"/>
    </row>
    <row r="3844" spans="5:6">
      <c r="E3844" s="16"/>
      <c r="F3844" s="15"/>
    </row>
    <row r="3845" spans="5:6">
      <c r="E3845" s="16"/>
      <c r="F3845" s="15"/>
    </row>
    <row r="3846" spans="5:6">
      <c r="E3846" s="16"/>
      <c r="F3846" s="15"/>
    </row>
    <row r="3847" spans="5:6">
      <c r="E3847" s="16"/>
      <c r="F3847" s="15"/>
    </row>
    <row r="3848" spans="5:6">
      <c r="E3848" s="16"/>
      <c r="F3848" s="15"/>
    </row>
    <row r="3849" spans="5:6">
      <c r="E3849" s="16"/>
      <c r="F3849" s="15"/>
    </row>
    <row r="3850" spans="5:6">
      <c r="E3850" s="16"/>
      <c r="F3850" s="15"/>
    </row>
    <row r="3851" spans="5:6">
      <c r="E3851" s="16"/>
      <c r="F3851" s="15"/>
    </row>
    <row r="3852" spans="5:6">
      <c r="E3852" s="16"/>
      <c r="F3852" s="15"/>
    </row>
    <row r="3853" spans="5:6">
      <c r="E3853" s="16"/>
      <c r="F3853" s="15"/>
    </row>
    <row r="3854" spans="5:6">
      <c r="E3854" s="16"/>
      <c r="F3854" s="15"/>
    </row>
    <row r="3855" spans="5:6">
      <c r="E3855" s="16"/>
      <c r="F3855" s="15"/>
    </row>
    <row r="3856" spans="5:6">
      <c r="E3856" s="16"/>
      <c r="F3856" s="15"/>
    </row>
    <row r="3857" spans="5:6">
      <c r="E3857" s="16"/>
      <c r="F3857" s="15"/>
    </row>
    <row r="3858" spans="5:6">
      <c r="E3858" s="16"/>
      <c r="F3858" s="15"/>
    </row>
    <row r="3859" spans="5:6">
      <c r="E3859" s="16"/>
      <c r="F3859" s="15"/>
    </row>
    <row r="3860" spans="5:6">
      <c r="E3860" s="16"/>
      <c r="F3860" s="15"/>
    </row>
    <row r="3861" spans="5:6">
      <c r="E3861" s="16"/>
      <c r="F3861" s="15"/>
    </row>
    <row r="3862" spans="5:6">
      <c r="E3862" s="16"/>
      <c r="F3862" s="15"/>
    </row>
    <row r="3863" spans="5:6">
      <c r="E3863" s="16"/>
      <c r="F3863" s="15"/>
    </row>
    <row r="3864" spans="5:6">
      <c r="E3864" s="16"/>
      <c r="F3864" s="15"/>
    </row>
    <row r="3865" spans="5:6">
      <c r="E3865" s="16"/>
      <c r="F3865" s="15"/>
    </row>
    <row r="3866" spans="5:6">
      <c r="E3866" s="16"/>
      <c r="F3866" s="15"/>
    </row>
    <row r="3867" spans="5:6">
      <c r="E3867" s="16"/>
      <c r="F3867" s="15"/>
    </row>
    <row r="3868" spans="5:6">
      <c r="E3868" s="16"/>
      <c r="F3868" s="15"/>
    </row>
    <row r="3869" spans="5:6">
      <c r="E3869" s="16"/>
      <c r="F3869" s="15"/>
    </row>
    <row r="3870" spans="5:6">
      <c r="E3870" s="16"/>
      <c r="F3870" s="15"/>
    </row>
    <row r="3871" spans="5:6">
      <c r="E3871" s="16"/>
      <c r="F3871" s="15"/>
    </row>
    <row r="3872" spans="5:6">
      <c r="E3872" s="16"/>
      <c r="F3872" s="15"/>
    </row>
    <row r="3873" spans="5:6">
      <c r="E3873" s="16"/>
      <c r="F3873" s="15"/>
    </row>
    <row r="3874" spans="5:6">
      <c r="E3874" s="16"/>
      <c r="F3874" s="15"/>
    </row>
    <row r="3875" spans="5:6">
      <c r="E3875" s="16"/>
      <c r="F3875" s="15"/>
    </row>
    <row r="3876" spans="5:6">
      <c r="E3876" s="16"/>
      <c r="F3876" s="15"/>
    </row>
    <row r="3877" spans="5:6">
      <c r="E3877" s="16"/>
      <c r="F3877" s="15"/>
    </row>
    <row r="3878" spans="5:6">
      <c r="E3878" s="16"/>
      <c r="F3878" s="15"/>
    </row>
    <row r="3879" spans="5:6">
      <c r="E3879" s="16"/>
      <c r="F3879" s="15"/>
    </row>
    <row r="3880" spans="5:6">
      <c r="E3880" s="16"/>
      <c r="F3880" s="15"/>
    </row>
    <row r="3881" spans="5:6">
      <c r="E3881" s="16"/>
      <c r="F3881" s="15"/>
    </row>
    <row r="3882" spans="5:6">
      <c r="E3882" s="16"/>
      <c r="F3882" s="15"/>
    </row>
    <row r="3883" spans="5:6">
      <c r="E3883" s="16"/>
      <c r="F3883" s="15"/>
    </row>
    <row r="3884" spans="5:6">
      <c r="E3884" s="16"/>
      <c r="F3884" s="15"/>
    </row>
    <row r="3885" spans="5:6">
      <c r="E3885" s="16"/>
      <c r="F3885" s="15"/>
    </row>
    <row r="3886" spans="5:6">
      <c r="E3886" s="16"/>
      <c r="F3886" s="15"/>
    </row>
    <row r="3887" spans="5:6">
      <c r="E3887" s="16"/>
      <c r="F3887" s="15"/>
    </row>
    <row r="3888" spans="5:6">
      <c r="E3888" s="16"/>
      <c r="F3888" s="15"/>
    </row>
    <row r="3889" spans="5:6">
      <c r="E3889" s="16"/>
      <c r="F3889" s="15"/>
    </row>
    <row r="3890" spans="5:6">
      <c r="E3890" s="16"/>
      <c r="F3890" s="15"/>
    </row>
    <row r="3891" spans="5:6">
      <c r="E3891" s="16"/>
      <c r="F3891" s="15"/>
    </row>
    <row r="3892" spans="5:6">
      <c r="E3892" s="16"/>
      <c r="F3892" s="15"/>
    </row>
    <row r="3893" spans="5:6">
      <c r="E3893" s="16"/>
      <c r="F3893" s="15"/>
    </row>
    <row r="3894" spans="5:6">
      <c r="E3894" s="16"/>
      <c r="F3894" s="15"/>
    </row>
    <row r="3895" spans="5:6">
      <c r="E3895" s="16"/>
      <c r="F3895" s="15"/>
    </row>
    <row r="3896" spans="5:6">
      <c r="E3896" s="16"/>
      <c r="F3896" s="15"/>
    </row>
    <row r="3897" spans="5:6">
      <c r="E3897" s="16"/>
      <c r="F3897" s="15"/>
    </row>
    <row r="3898" spans="5:6">
      <c r="E3898" s="16"/>
      <c r="F3898" s="15"/>
    </row>
    <row r="3899" spans="5:6">
      <c r="E3899" s="16"/>
      <c r="F3899" s="15"/>
    </row>
    <row r="3900" spans="5:6">
      <c r="E3900" s="16"/>
      <c r="F3900" s="15"/>
    </row>
    <row r="3901" spans="5:6">
      <c r="E3901" s="16"/>
      <c r="F3901" s="15"/>
    </row>
    <row r="3902" spans="5:6">
      <c r="E3902" s="16"/>
      <c r="F3902" s="15"/>
    </row>
    <row r="3903" spans="5:6">
      <c r="E3903" s="16"/>
      <c r="F3903" s="15"/>
    </row>
    <row r="3904" spans="5:6">
      <c r="E3904" s="16"/>
      <c r="F3904" s="15"/>
    </row>
    <row r="3905" spans="5:6">
      <c r="E3905" s="16"/>
      <c r="F3905" s="15"/>
    </row>
    <row r="3906" spans="5:6">
      <c r="E3906" s="16"/>
      <c r="F3906" s="15"/>
    </row>
    <row r="3907" spans="5:6">
      <c r="E3907" s="16"/>
      <c r="F3907" s="15"/>
    </row>
    <row r="3908" spans="5:6">
      <c r="E3908" s="16"/>
      <c r="F3908" s="15"/>
    </row>
    <row r="3909" spans="5:6">
      <c r="E3909" s="16"/>
      <c r="F3909" s="15"/>
    </row>
    <row r="3910" spans="5:6">
      <c r="E3910" s="16"/>
      <c r="F3910" s="15"/>
    </row>
    <row r="3911" spans="5:6">
      <c r="E3911" s="16"/>
      <c r="F3911" s="15"/>
    </row>
    <row r="3912" spans="5:6">
      <c r="E3912" s="16"/>
      <c r="F3912" s="15"/>
    </row>
    <row r="3913" spans="5:6">
      <c r="E3913" s="16"/>
      <c r="F3913" s="15"/>
    </row>
    <row r="3914" spans="5:6">
      <c r="E3914" s="16"/>
      <c r="F3914" s="15"/>
    </row>
    <row r="3915" spans="5:6">
      <c r="E3915" s="16"/>
      <c r="F3915" s="15"/>
    </row>
    <row r="3916" spans="5:6">
      <c r="E3916" s="16"/>
      <c r="F3916" s="15"/>
    </row>
    <row r="3917" spans="5:6">
      <c r="E3917" s="16"/>
      <c r="F3917" s="15"/>
    </row>
    <row r="3918" spans="5:6">
      <c r="E3918" s="16"/>
      <c r="F3918" s="15"/>
    </row>
    <row r="3919" spans="5:6">
      <c r="E3919" s="16"/>
      <c r="F3919" s="15"/>
    </row>
    <row r="3920" spans="5:6">
      <c r="E3920" s="16"/>
      <c r="F3920" s="15"/>
    </row>
    <row r="3921" spans="5:6">
      <c r="E3921" s="16"/>
      <c r="F3921" s="15"/>
    </row>
    <row r="3922" spans="5:6">
      <c r="E3922" s="16"/>
      <c r="F3922" s="15"/>
    </row>
    <row r="3923" spans="5:6">
      <c r="E3923" s="16"/>
      <c r="F3923" s="15"/>
    </row>
    <row r="3924" spans="5:6">
      <c r="E3924" s="16"/>
      <c r="F3924" s="15"/>
    </row>
    <row r="3925" spans="5:6">
      <c r="E3925" s="16"/>
      <c r="F3925" s="15"/>
    </row>
    <row r="3926" spans="5:6">
      <c r="E3926" s="16"/>
      <c r="F3926" s="15"/>
    </row>
    <row r="3927" spans="5:6">
      <c r="E3927" s="16"/>
      <c r="F3927" s="15"/>
    </row>
    <row r="3928" spans="5:6">
      <c r="E3928" s="16"/>
      <c r="F3928" s="15"/>
    </row>
    <row r="3929" spans="5:6">
      <c r="E3929" s="16"/>
      <c r="F3929" s="15"/>
    </row>
    <row r="3930" spans="5:6">
      <c r="E3930" s="16"/>
      <c r="F3930" s="15"/>
    </row>
    <row r="3931" spans="5:6">
      <c r="E3931" s="16"/>
      <c r="F3931" s="15"/>
    </row>
    <row r="3932" spans="5:6">
      <c r="E3932" s="16"/>
      <c r="F3932" s="15"/>
    </row>
    <row r="3933" spans="5:6">
      <c r="E3933" s="16"/>
      <c r="F3933" s="15"/>
    </row>
    <row r="3934" spans="5:6">
      <c r="E3934" s="16"/>
      <c r="F3934" s="15"/>
    </row>
    <row r="3935" spans="5:6">
      <c r="E3935" s="16"/>
      <c r="F3935" s="15"/>
    </row>
    <row r="3936" spans="5:6">
      <c r="E3936" s="16"/>
      <c r="F3936" s="15"/>
    </row>
    <row r="3937" spans="5:6">
      <c r="E3937" s="16"/>
      <c r="F3937" s="15"/>
    </row>
    <row r="3938" spans="5:6">
      <c r="E3938" s="16"/>
      <c r="F3938" s="15"/>
    </row>
    <row r="3939" spans="5:6">
      <c r="E3939" s="16"/>
      <c r="F3939" s="15"/>
    </row>
    <row r="3940" spans="5:6">
      <c r="E3940" s="16"/>
      <c r="F3940" s="15"/>
    </row>
    <row r="3941" spans="5:6">
      <c r="E3941" s="16"/>
      <c r="F3941" s="15"/>
    </row>
    <row r="3942" spans="5:6">
      <c r="E3942" s="16"/>
      <c r="F3942" s="15"/>
    </row>
    <row r="3943" spans="5:6">
      <c r="E3943" s="16"/>
      <c r="F3943" s="15"/>
    </row>
    <row r="3944" spans="5:6">
      <c r="E3944" s="16"/>
      <c r="F3944" s="15"/>
    </row>
    <row r="3945" spans="5:6">
      <c r="E3945" s="16"/>
      <c r="F3945" s="15"/>
    </row>
    <row r="3946" spans="5:6">
      <c r="E3946" s="16"/>
      <c r="F3946" s="15"/>
    </row>
    <row r="3947" spans="5:6">
      <c r="E3947" s="16"/>
      <c r="F3947" s="15"/>
    </row>
    <row r="3948" spans="5:6">
      <c r="E3948" s="16"/>
      <c r="F3948" s="15"/>
    </row>
    <row r="3949" spans="5:6">
      <c r="E3949" s="16"/>
      <c r="F3949" s="15"/>
    </row>
    <row r="3950" spans="5:6">
      <c r="E3950" s="16"/>
      <c r="F3950" s="15"/>
    </row>
    <row r="3951" spans="5:6">
      <c r="E3951" s="16"/>
      <c r="F3951" s="15"/>
    </row>
    <row r="3952" spans="5:6">
      <c r="E3952" s="16"/>
      <c r="F3952" s="15"/>
    </row>
    <row r="3953" spans="5:6">
      <c r="E3953" s="16"/>
      <c r="F3953" s="15"/>
    </row>
    <row r="3954" spans="5:6">
      <c r="E3954" s="16"/>
      <c r="F3954" s="15"/>
    </row>
    <row r="3955" spans="5:6">
      <c r="E3955" s="16"/>
      <c r="F3955" s="15"/>
    </row>
    <row r="3956" spans="5:6">
      <c r="E3956" s="16"/>
      <c r="F3956" s="15"/>
    </row>
    <row r="3957" spans="5:6">
      <c r="E3957" s="16"/>
      <c r="F3957" s="15"/>
    </row>
    <row r="3958" spans="5:6">
      <c r="E3958" s="16"/>
      <c r="F3958" s="15"/>
    </row>
    <row r="3959" spans="5:6">
      <c r="E3959" s="16"/>
      <c r="F3959" s="15"/>
    </row>
    <row r="3960" spans="5:6">
      <c r="E3960" s="16"/>
      <c r="F3960" s="15"/>
    </row>
    <row r="3961" spans="5:6">
      <c r="E3961" s="16"/>
      <c r="F3961" s="15"/>
    </row>
    <row r="3962" spans="5:6">
      <c r="E3962" s="16"/>
      <c r="F3962" s="15"/>
    </row>
    <row r="3963" spans="5:6">
      <c r="E3963" s="16"/>
      <c r="F3963" s="15"/>
    </row>
    <row r="3964" spans="5:6">
      <c r="E3964" s="16"/>
      <c r="F3964" s="15"/>
    </row>
    <row r="3965" spans="5:6">
      <c r="E3965" s="16"/>
      <c r="F3965" s="15"/>
    </row>
    <row r="3966" spans="5:6">
      <c r="E3966" s="16"/>
      <c r="F3966" s="15"/>
    </row>
    <row r="3967" spans="5:6">
      <c r="E3967" s="16"/>
      <c r="F3967" s="15"/>
    </row>
    <row r="3968" spans="5:6">
      <c r="E3968" s="16"/>
      <c r="F3968" s="15"/>
    </row>
    <row r="3969" spans="5:6">
      <c r="E3969" s="16"/>
      <c r="F3969" s="15"/>
    </row>
    <row r="3970" spans="5:6">
      <c r="E3970" s="16"/>
      <c r="F3970" s="15"/>
    </row>
    <row r="3971" spans="5:6">
      <c r="E3971" s="16"/>
      <c r="F3971" s="15"/>
    </row>
    <row r="3972" spans="5:6">
      <c r="E3972" s="16"/>
      <c r="F3972" s="15"/>
    </row>
    <row r="3973" spans="5:6">
      <c r="E3973" s="16"/>
      <c r="F3973" s="15"/>
    </row>
    <row r="3974" spans="5:6">
      <c r="E3974" s="16"/>
      <c r="F3974" s="15"/>
    </row>
    <row r="3975" spans="5:6">
      <c r="E3975" s="16"/>
      <c r="F3975" s="15"/>
    </row>
    <row r="3976" spans="5:6">
      <c r="E3976" s="16"/>
      <c r="F3976" s="15"/>
    </row>
    <row r="3977" spans="5:6">
      <c r="E3977" s="16"/>
      <c r="F3977" s="15"/>
    </row>
    <row r="3978" spans="5:6">
      <c r="E3978" s="16"/>
      <c r="F3978" s="15"/>
    </row>
    <row r="3979" spans="5:6">
      <c r="E3979" s="16"/>
      <c r="F3979" s="15"/>
    </row>
    <row r="3980" spans="5:6">
      <c r="E3980" s="16"/>
      <c r="F3980" s="15"/>
    </row>
    <row r="3981" spans="5:6">
      <c r="E3981" s="16"/>
      <c r="F3981" s="15"/>
    </row>
    <row r="3982" spans="5:6">
      <c r="E3982" s="16"/>
      <c r="F3982" s="15"/>
    </row>
    <row r="3983" spans="5:6">
      <c r="E3983" s="16"/>
      <c r="F3983" s="15"/>
    </row>
    <row r="3984" spans="5:6">
      <c r="E3984" s="16"/>
      <c r="F3984" s="15"/>
    </row>
    <row r="3985" spans="5:6">
      <c r="E3985" s="16"/>
      <c r="F3985" s="15"/>
    </row>
    <row r="3986" spans="5:6">
      <c r="E3986" s="16"/>
      <c r="F3986" s="15"/>
    </row>
    <row r="3987" spans="5:6">
      <c r="E3987" s="16"/>
      <c r="F3987" s="15"/>
    </row>
    <row r="3988" spans="5:6">
      <c r="E3988" s="16"/>
      <c r="F3988" s="15"/>
    </row>
    <row r="3989" spans="5:6">
      <c r="E3989" s="16"/>
      <c r="F3989" s="15"/>
    </row>
    <row r="3990" spans="5:6">
      <c r="E3990" s="16"/>
      <c r="F3990" s="15"/>
    </row>
    <row r="3991" spans="5:6">
      <c r="E3991" s="16"/>
      <c r="F3991" s="15"/>
    </row>
    <row r="3992" spans="5:6">
      <c r="E3992" s="16"/>
      <c r="F3992" s="15"/>
    </row>
    <row r="3993" spans="5:6">
      <c r="E3993" s="16"/>
      <c r="F3993" s="15"/>
    </row>
    <row r="3994" spans="5:6">
      <c r="E3994" s="16"/>
      <c r="F3994" s="15"/>
    </row>
    <row r="3995" spans="5:6">
      <c r="E3995" s="16"/>
      <c r="F3995" s="15"/>
    </row>
    <row r="3996" spans="5:6">
      <c r="E3996" s="16"/>
      <c r="F3996" s="15"/>
    </row>
    <row r="3997" spans="5:6">
      <c r="E3997" s="16"/>
      <c r="F3997" s="15"/>
    </row>
    <row r="3998" spans="5:6">
      <c r="E3998" s="16"/>
      <c r="F3998" s="15"/>
    </row>
    <row r="3999" spans="5:6">
      <c r="E3999" s="16"/>
      <c r="F3999" s="15"/>
    </row>
    <row r="4000" spans="5:6">
      <c r="E4000" s="16"/>
      <c r="F4000" s="15"/>
    </row>
    <row r="4001" spans="5:6">
      <c r="E4001" s="16"/>
      <c r="F4001" s="15"/>
    </row>
    <row r="4002" spans="5:6">
      <c r="E4002" s="16"/>
      <c r="F4002" s="15"/>
    </row>
    <row r="4003" spans="5:6">
      <c r="E4003" s="16"/>
      <c r="F4003" s="15"/>
    </row>
    <row r="4004" spans="5:6">
      <c r="E4004" s="16"/>
      <c r="F4004" s="15"/>
    </row>
    <row r="4005" spans="5:6">
      <c r="E4005" s="16"/>
      <c r="F4005" s="15"/>
    </row>
    <row r="4006" spans="5:6">
      <c r="E4006" s="16"/>
      <c r="F4006" s="15"/>
    </row>
    <row r="4007" spans="5:6">
      <c r="E4007" s="16"/>
      <c r="F4007" s="15"/>
    </row>
    <row r="4008" spans="5:6">
      <c r="E4008" s="16"/>
      <c r="F4008" s="15"/>
    </row>
    <row r="4009" spans="5:6">
      <c r="E4009" s="16"/>
      <c r="F4009" s="15"/>
    </row>
    <row r="4010" spans="5:6">
      <c r="E4010" s="16"/>
      <c r="F4010" s="15"/>
    </row>
    <row r="4011" spans="5:6">
      <c r="E4011" s="16"/>
      <c r="F4011" s="15"/>
    </row>
    <row r="4012" spans="5:6">
      <c r="E4012" s="16"/>
      <c r="F4012" s="15"/>
    </row>
    <row r="4013" spans="5:6">
      <c r="E4013" s="16"/>
      <c r="F4013" s="15"/>
    </row>
    <row r="4014" spans="5:6">
      <c r="E4014" s="16"/>
      <c r="F4014" s="15"/>
    </row>
    <row r="4015" spans="5:6">
      <c r="E4015" s="16"/>
      <c r="F4015" s="15"/>
    </row>
    <row r="4016" spans="5:6">
      <c r="E4016" s="16"/>
      <c r="F4016" s="15"/>
    </row>
    <row r="4017" spans="5:6">
      <c r="E4017" s="16"/>
      <c r="F4017" s="15"/>
    </row>
    <row r="4018" spans="5:6">
      <c r="E4018" s="16"/>
      <c r="F4018" s="15"/>
    </row>
    <row r="4019" spans="5:6">
      <c r="E4019" s="16"/>
      <c r="F4019" s="15"/>
    </row>
    <row r="4020" spans="5:6">
      <c r="E4020" s="16"/>
      <c r="F4020" s="15"/>
    </row>
    <row r="4021" spans="5:6">
      <c r="E4021" s="16"/>
      <c r="F4021" s="15"/>
    </row>
    <row r="4022" spans="5:6">
      <c r="E4022" s="16"/>
      <c r="F4022" s="15"/>
    </row>
    <row r="4023" spans="5:6">
      <c r="E4023" s="16"/>
      <c r="F4023" s="15"/>
    </row>
    <row r="4024" spans="5:6">
      <c r="E4024" s="16"/>
      <c r="F4024" s="15"/>
    </row>
    <row r="4025" spans="5:6">
      <c r="E4025" s="16"/>
      <c r="F4025" s="15"/>
    </row>
    <row r="4026" spans="5:6">
      <c r="E4026" s="16"/>
      <c r="F4026" s="15"/>
    </row>
    <row r="4027" spans="5:6">
      <c r="E4027" s="16"/>
      <c r="F4027" s="15"/>
    </row>
    <row r="4028" spans="5:6">
      <c r="E4028" s="16"/>
      <c r="F4028" s="15"/>
    </row>
    <row r="4029" spans="5:6">
      <c r="E4029" s="16"/>
      <c r="F4029" s="15"/>
    </row>
    <row r="4030" spans="5:6">
      <c r="E4030" s="16"/>
      <c r="F4030" s="15"/>
    </row>
    <row r="4031" spans="5:6">
      <c r="E4031" s="16"/>
      <c r="F4031" s="15"/>
    </row>
    <row r="4032" spans="5:6">
      <c r="E4032" s="16"/>
      <c r="F4032" s="15"/>
    </row>
    <row r="4033" spans="5:6">
      <c r="E4033" s="16"/>
      <c r="F4033" s="15"/>
    </row>
    <row r="4034" spans="5:6">
      <c r="E4034" s="16"/>
      <c r="F4034" s="15"/>
    </row>
    <row r="4035" spans="5:6">
      <c r="E4035" s="16"/>
      <c r="F4035" s="15"/>
    </row>
    <row r="4036" spans="5:6">
      <c r="E4036" s="16"/>
      <c r="F4036" s="15"/>
    </row>
    <row r="4037" spans="5:6">
      <c r="E4037" s="16"/>
      <c r="F4037" s="15"/>
    </row>
    <row r="4038" spans="5:6">
      <c r="E4038" s="16"/>
      <c r="F4038" s="15"/>
    </row>
    <row r="4039" spans="5:6">
      <c r="E4039" s="16"/>
      <c r="F4039" s="15"/>
    </row>
    <row r="4040" spans="5:6">
      <c r="E4040" s="16"/>
      <c r="F4040" s="15"/>
    </row>
    <row r="4041" spans="5:6">
      <c r="E4041" s="16"/>
      <c r="F4041" s="15"/>
    </row>
    <row r="4042" spans="5:6">
      <c r="E4042" s="16"/>
      <c r="F4042" s="15"/>
    </row>
    <row r="4043" spans="5:6">
      <c r="E4043" s="16"/>
      <c r="F4043" s="15"/>
    </row>
    <row r="4044" spans="5:6">
      <c r="E4044" s="16"/>
      <c r="F4044" s="15"/>
    </row>
    <row r="4045" spans="5:6">
      <c r="E4045" s="16"/>
      <c r="F4045" s="15"/>
    </row>
    <row r="4046" spans="5:6">
      <c r="E4046" s="16"/>
      <c r="F4046" s="15"/>
    </row>
    <row r="4047" spans="5:6">
      <c r="E4047" s="16"/>
      <c r="F4047" s="15"/>
    </row>
    <row r="4048" spans="5:6">
      <c r="E4048" s="16"/>
      <c r="F4048" s="15"/>
    </row>
    <row r="4049" spans="5:6">
      <c r="E4049" s="16"/>
      <c r="F4049" s="15"/>
    </row>
    <row r="4050" spans="5:6">
      <c r="E4050" s="16"/>
      <c r="F4050" s="15"/>
    </row>
    <row r="4051" spans="5:6">
      <c r="E4051" s="16"/>
      <c r="F4051" s="15"/>
    </row>
    <row r="4052" spans="5:6">
      <c r="E4052" s="16"/>
      <c r="F4052" s="15"/>
    </row>
    <row r="4053" spans="5:6">
      <c r="E4053" s="16"/>
      <c r="F4053" s="15"/>
    </row>
    <row r="4054" spans="5:6">
      <c r="E4054" s="16"/>
      <c r="F4054" s="15"/>
    </row>
    <row r="4055" spans="5:6">
      <c r="E4055" s="16"/>
      <c r="F4055" s="15"/>
    </row>
    <row r="4056" spans="5:6">
      <c r="E4056" s="16"/>
      <c r="F4056" s="15"/>
    </row>
    <row r="4057" spans="5:6">
      <c r="E4057" s="16"/>
      <c r="F4057" s="15"/>
    </row>
    <row r="4058" spans="5:6">
      <c r="E4058" s="16"/>
      <c r="F4058" s="15"/>
    </row>
    <row r="4059" spans="5:6">
      <c r="E4059" s="16"/>
      <c r="F4059" s="15"/>
    </row>
    <row r="4060" spans="5:6">
      <c r="E4060" s="16"/>
      <c r="F4060" s="15"/>
    </row>
    <row r="4061" spans="5:6">
      <c r="E4061" s="16"/>
      <c r="F4061" s="15"/>
    </row>
    <row r="4062" spans="5:6">
      <c r="E4062" s="16"/>
      <c r="F4062" s="15"/>
    </row>
    <row r="4063" spans="5:6">
      <c r="E4063" s="16"/>
      <c r="F4063" s="15"/>
    </row>
    <row r="4064" spans="5:6">
      <c r="E4064" s="16"/>
      <c r="F4064" s="15"/>
    </row>
    <row r="4065" spans="5:6">
      <c r="E4065" s="16"/>
      <c r="F4065" s="15"/>
    </row>
    <row r="4066" spans="5:6">
      <c r="E4066" s="16"/>
      <c r="F4066" s="15"/>
    </row>
    <row r="4067" spans="5:6">
      <c r="E4067" s="16"/>
      <c r="F4067" s="15"/>
    </row>
    <row r="4068" spans="5:6">
      <c r="E4068" s="16"/>
      <c r="F4068" s="15"/>
    </row>
    <row r="4069" spans="5:6">
      <c r="E4069" s="16"/>
      <c r="F4069" s="15"/>
    </row>
    <row r="4070" spans="5:6">
      <c r="E4070" s="16"/>
      <c r="F4070" s="15"/>
    </row>
    <row r="4071" spans="5:6">
      <c r="E4071" s="16"/>
      <c r="F4071" s="15"/>
    </row>
    <row r="4072" spans="5:6">
      <c r="E4072" s="16"/>
      <c r="F4072" s="15"/>
    </row>
    <row r="4073" spans="5:6">
      <c r="E4073" s="16"/>
      <c r="F4073" s="15"/>
    </row>
    <row r="4074" spans="5:6">
      <c r="E4074" s="16"/>
      <c r="F4074" s="15"/>
    </row>
    <row r="4075" spans="5:6">
      <c r="E4075" s="16"/>
      <c r="F4075" s="15"/>
    </row>
    <row r="4076" spans="5:6">
      <c r="E4076" s="16"/>
      <c r="F4076" s="15"/>
    </row>
    <row r="4077" spans="5:6">
      <c r="E4077" s="16"/>
      <c r="F4077" s="15"/>
    </row>
    <row r="4078" spans="5:6">
      <c r="E4078" s="16"/>
      <c r="F4078" s="15"/>
    </row>
    <row r="4079" spans="5:6">
      <c r="E4079" s="16"/>
      <c r="F4079" s="15"/>
    </row>
    <row r="4080" spans="5:6">
      <c r="E4080" s="16"/>
      <c r="F4080" s="15"/>
    </row>
    <row r="4081" spans="5:6">
      <c r="E4081" s="16"/>
      <c r="F4081" s="15"/>
    </row>
    <row r="4082" spans="5:6">
      <c r="E4082" s="16"/>
      <c r="F4082" s="15"/>
    </row>
    <row r="4083" spans="5:6">
      <c r="E4083" s="16"/>
      <c r="F4083" s="15"/>
    </row>
    <row r="4084" spans="5:6">
      <c r="E4084" s="16"/>
      <c r="F4084" s="15"/>
    </row>
    <row r="4085" spans="5:6">
      <c r="E4085" s="16"/>
      <c r="F4085" s="15"/>
    </row>
    <row r="4086" spans="5:6">
      <c r="E4086" s="16"/>
      <c r="F4086" s="15"/>
    </row>
    <row r="4087" spans="5:6">
      <c r="E4087" s="16"/>
      <c r="F4087" s="15"/>
    </row>
    <row r="4088" spans="5:6">
      <c r="E4088" s="16"/>
      <c r="F4088" s="15"/>
    </row>
    <row r="4089" spans="5:6">
      <c r="E4089" s="16"/>
      <c r="F4089" s="15"/>
    </row>
    <row r="4090" spans="5:6">
      <c r="E4090" s="16"/>
      <c r="F4090" s="15"/>
    </row>
    <row r="4091" spans="5:6">
      <c r="E4091" s="16"/>
      <c r="F4091" s="15"/>
    </row>
    <row r="4092" spans="5:6">
      <c r="E4092" s="16"/>
      <c r="F4092" s="15"/>
    </row>
    <row r="4093" spans="5:6">
      <c r="E4093" s="16"/>
      <c r="F4093" s="15"/>
    </row>
    <row r="4094" spans="5:6">
      <c r="E4094" s="16"/>
      <c r="F4094" s="15"/>
    </row>
    <row r="4095" spans="5:6">
      <c r="E4095" s="16"/>
      <c r="F4095" s="15"/>
    </row>
    <row r="4096" spans="5:6">
      <c r="E4096" s="16"/>
      <c r="F4096" s="15"/>
    </row>
    <row r="4097" spans="5:6">
      <c r="E4097" s="16"/>
      <c r="F4097" s="15"/>
    </row>
    <row r="4098" spans="5:6">
      <c r="E4098" s="16"/>
      <c r="F4098" s="15"/>
    </row>
    <row r="4099" spans="5:6">
      <c r="E4099" s="16"/>
      <c r="F4099" s="15"/>
    </row>
    <row r="4100" spans="5:6">
      <c r="E4100" s="16"/>
      <c r="F4100" s="15"/>
    </row>
    <row r="4101" spans="5:6">
      <c r="E4101" s="16"/>
      <c r="F4101" s="15"/>
    </row>
    <row r="4102" spans="5:6">
      <c r="E4102" s="16"/>
      <c r="F4102" s="15"/>
    </row>
    <row r="4103" spans="5:6">
      <c r="E4103" s="16"/>
      <c r="F4103" s="15"/>
    </row>
    <row r="4104" spans="5:6">
      <c r="E4104" s="16"/>
      <c r="F4104" s="15"/>
    </row>
    <row r="4105" spans="5:6">
      <c r="E4105" s="16"/>
      <c r="F4105" s="15"/>
    </row>
    <row r="4106" spans="5:6">
      <c r="E4106" s="16"/>
      <c r="F4106" s="15"/>
    </row>
    <row r="4107" spans="5:6">
      <c r="E4107" s="16"/>
      <c r="F4107" s="15"/>
    </row>
    <row r="4108" spans="5:6">
      <c r="E4108" s="16"/>
      <c r="F4108" s="15"/>
    </row>
    <row r="4109" spans="5:6">
      <c r="E4109" s="16"/>
      <c r="F4109" s="15"/>
    </row>
    <row r="4110" spans="5:6">
      <c r="E4110" s="16"/>
      <c r="F4110" s="15"/>
    </row>
    <row r="4111" spans="5:6">
      <c r="E4111" s="16"/>
      <c r="F4111" s="15"/>
    </row>
    <row r="4112" spans="5:6">
      <c r="E4112" s="16"/>
      <c r="F4112" s="15"/>
    </row>
    <row r="4113" spans="5:6">
      <c r="E4113" s="16"/>
      <c r="F4113" s="15"/>
    </row>
    <row r="4114" spans="5:6">
      <c r="E4114" s="16"/>
      <c r="F4114" s="15"/>
    </row>
    <row r="4115" spans="5:6">
      <c r="E4115" s="16"/>
      <c r="F4115" s="15"/>
    </row>
    <row r="4116" spans="5:6">
      <c r="E4116" s="16"/>
      <c r="F4116" s="15"/>
    </row>
    <row r="4117" spans="5:6">
      <c r="E4117" s="16"/>
      <c r="F4117" s="15"/>
    </row>
    <row r="4118" spans="5:6">
      <c r="E4118" s="16"/>
      <c r="F4118" s="15"/>
    </row>
    <row r="4119" spans="5:6">
      <c r="E4119" s="16"/>
      <c r="F4119" s="15"/>
    </row>
    <row r="4120" spans="5:6">
      <c r="E4120" s="16"/>
      <c r="F4120" s="15"/>
    </row>
    <row r="4121" spans="5:6">
      <c r="E4121" s="16"/>
      <c r="F4121" s="15"/>
    </row>
    <row r="4122" spans="5:6">
      <c r="E4122" s="16"/>
      <c r="F4122" s="15"/>
    </row>
    <row r="4123" spans="5:6">
      <c r="E4123" s="16"/>
      <c r="F4123" s="15"/>
    </row>
    <row r="4124" spans="5:6">
      <c r="E4124" s="16"/>
      <c r="F4124" s="15"/>
    </row>
    <row r="4125" spans="5:6">
      <c r="E4125" s="16"/>
      <c r="F4125" s="15"/>
    </row>
    <row r="4126" spans="5:6">
      <c r="E4126" s="16"/>
      <c r="F4126" s="15"/>
    </row>
    <row r="4127" spans="5:6">
      <c r="E4127" s="16"/>
      <c r="F4127" s="15"/>
    </row>
    <row r="4128" spans="5:6">
      <c r="E4128" s="16"/>
      <c r="F4128" s="15"/>
    </row>
    <row r="4129" spans="5:6">
      <c r="E4129" s="16"/>
      <c r="F4129" s="15"/>
    </row>
    <row r="4130" spans="5:6">
      <c r="E4130" s="16"/>
      <c r="F4130" s="15"/>
    </row>
    <row r="4131" spans="5:6">
      <c r="E4131" s="16"/>
      <c r="F4131" s="15"/>
    </row>
    <row r="4132" spans="5:6">
      <c r="E4132" s="16"/>
      <c r="F4132" s="15"/>
    </row>
    <row r="4133" spans="5:6">
      <c r="E4133" s="16"/>
      <c r="F4133" s="15"/>
    </row>
    <row r="4134" spans="5:6">
      <c r="E4134" s="16"/>
      <c r="F4134" s="15"/>
    </row>
    <row r="4135" spans="5:6">
      <c r="E4135" s="16"/>
      <c r="F4135" s="15"/>
    </row>
    <row r="4136" spans="5:6">
      <c r="E4136" s="16"/>
      <c r="F4136" s="15"/>
    </row>
    <row r="4137" spans="5:6">
      <c r="E4137" s="16"/>
      <c r="F4137" s="15"/>
    </row>
    <row r="4138" spans="5:6">
      <c r="E4138" s="16"/>
      <c r="F4138" s="15"/>
    </row>
    <row r="4139" spans="5:6">
      <c r="E4139" s="16"/>
      <c r="F4139" s="15"/>
    </row>
    <row r="4140" spans="5:6">
      <c r="E4140" s="16"/>
      <c r="F4140" s="15"/>
    </row>
    <row r="4141" spans="5:6">
      <c r="E4141" s="16"/>
      <c r="F4141" s="15"/>
    </row>
    <row r="4142" spans="5:6">
      <c r="E4142" s="16"/>
      <c r="F4142" s="15"/>
    </row>
    <row r="4143" spans="5:6">
      <c r="E4143" s="16"/>
      <c r="F4143" s="15"/>
    </row>
    <row r="4144" spans="5:6">
      <c r="E4144" s="16"/>
      <c r="F4144" s="15"/>
    </row>
    <row r="4145" spans="5:6">
      <c r="E4145" s="16"/>
      <c r="F4145" s="15"/>
    </row>
    <row r="4146" spans="5:6">
      <c r="E4146" s="16"/>
      <c r="F4146" s="15"/>
    </row>
    <row r="4147" spans="5:6">
      <c r="E4147" s="16"/>
      <c r="F4147" s="15"/>
    </row>
    <row r="4148" spans="5:6">
      <c r="E4148" s="16"/>
      <c r="F4148" s="15"/>
    </row>
    <row r="4149" spans="5:6">
      <c r="E4149" s="16"/>
      <c r="F4149" s="15"/>
    </row>
    <row r="4150" spans="5:6">
      <c r="E4150" s="16"/>
      <c r="F4150" s="15"/>
    </row>
    <row r="4151" spans="5:6">
      <c r="E4151" s="16"/>
      <c r="F4151" s="15"/>
    </row>
    <row r="4152" spans="5:6">
      <c r="E4152" s="16"/>
      <c r="F4152" s="15"/>
    </row>
    <row r="4153" spans="5:6">
      <c r="E4153" s="16"/>
      <c r="F4153" s="15"/>
    </row>
    <row r="4154" spans="5:6">
      <c r="E4154" s="16"/>
      <c r="F4154" s="15"/>
    </row>
    <row r="4155" spans="5:6">
      <c r="E4155" s="16"/>
      <c r="F4155" s="15"/>
    </row>
    <row r="4156" spans="5:6">
      <c r="E4156" s="16"/>
      <c r="F4156" s="15"/>
    </row>
    <row r="4157" spans="5:6">
      <c r="E4157" s="16"/>
      <c r="F4157" s="15"/>
    </row>
    <row r="4158" spans="5:6">
      <c r="E4158" s="16"/>
      <c r="F4158" s="15"/>
    </row>
    <row r="4159" spans="5:6">
      <c r="E4159" s="16"/>
      <c r="F4159" s="15"/>
    </row>
    <row r="4160" spans="5:6">
      <c r="E4160" s="16"/>
      <c r="F4160" s="15"/>
    </row>
    <row r="4161" spans="5:6">
      <c r="E4161" s="16"/>
      <c r="F4161" s="15"/>
    </row>
    <row r="4162" spans="5:6">
      <c r="E4162" s="16"/>
      <c r="F4162" s="15"/>
    </row>
    <row r="4163" spans="5:6">
      <c r="E4163" s="16"/>
      <c r="F4163" s="15"/>
    </row>
    <row r="4164" spans="5:6">
      <c r="E4164" s="16"/>
      <c r="F4164" s="15"/>
    </row>
    <row r="4165" spans="5:6">
      <c r="E4165" s="16"/>
      <c r="F4165" s="15"/>
    </row>
    <row r="4166" spans="5:6">
      <c r="E4166" s="16"/>
      <c r="F4166" s="15"/>
    </row>
    <row r="4167" spans="5:6">
      <c r="E4167" s="16"/>
      <c r="F4167" s="15"/>
    </row>
    <row r="4168" spans="5:6">
      <c r="E4168" s="16"/>
      <c r="F4168" s="15"/>
    </row>
    <row r="4169" spans="5:6">
      <c r="E4169" s="16"/>
      <c r="F4169" s="15"/>
    </row>
    <row r="4170" spans="5:6">
      <c r="E4170" s="16"/>
      <c r="F4170" s="15"/>
    </row>
    <row r="4171" spans="5:6">
      <c r="E4171" s="16"/>
      <c r="F4171" s="15"/>
    </row>
    <row r="4172" spans="5:6">
      <c r="E4172" s="16"/>
      <c r="F4172" s="15"/>
    </row>
    <row r="4173" spans="5:6">
      <c r="E4173" s="16"/>
      <c r="F4173" s="15"/>
    </row>
    <row r="4174" spans="5:6">
      <c r="E4174" s="16"/>
      <c r="F4174" s="15"/>
    </row>
    <row r="4175" spans="5:6">
      <c r="E4175" s="16"/>
      <c r="F4175" s="15"/>
    </row>
    <row r="4176" spans="5:6">
      <c r="E4176" s="16"/>
      <c r="F4176" s="15"/>
    </row>
    <row r="4177" spans="5:6">
      <c r="E4177" s="16"/>
      <c r="F4177" s="15"/>
    </row>
    <row r="4178" spans="5:6">
      <c r="E4178" s="16"/>
      <c r="F4178" s="15"/>
    </row>
    <row r="4179" spans="5:6">
      <c r="E4179" s="16"/>
      <c r="F4179" s="15"/>
    </row>
    <row r="4180" spans="5:6">
      <c r="E4180" s="16"/>
      <c r="F4180" s="15"/>
    </row>
    <row r="4181" spans="5:6">
      <c r="E4181" s="16"/>
      <c r="F4181" s="15"/>
    </row>
    <row r="4182" spans="5:6">
      <c r="E4182" s="16"/>
      <c r="F4182" s="15"/>
    </row>
    <row r="4183" spans="5:6">
      <c r="E4183" s="16"/>
      <c r="F4183" s="15"/>
    </row>
    <row r="4184" spans="5:6">
      <c r="E4184" s="16"/>
      <c r="F4184" s="15"/>
    </row>
    <row r="4185" spans="5:6">
      <c r="E4185" s="16"/>
      <c r="F4185" s="15"/>
    </row>
    <row r="4186" spans="5:6">
      <c r="E4186" s="16"/>
      <c r="F4186" s="15"/>
    </row>
    <row r="4187" spans="5:6">
      <c r="E4187" s="16"/>
      <c r="F4187" s="15"/>
    </row>
    <row r="4188" spans="5:6">
      <c r="E4188" s="16"/>
      <c r="F4188" s="15"/>
    </row>
    <row r="4189" spans="5:6">
      <c r="E4189" s="16"/>
      <c r="F4189" s="15"/>
    </row>
    <row r="4190" spans="5:6">
      <c r="E4190" s="16"/>
      <c r="F4190" s="15"/>
    </row>
    <row r="4191" spans="5:6">
      <c r="E4191" s="16"/>
      <c r="F4191" s="15"/>
    </row>
    <row r="4192" spans="5:6">
      <c r="E4192" s="16"/>
      <c r="F4192" s="15"/>
    </row>
    <row r="4193" spans="5:6">
      <c r="E4193" s="16"/>
      <c r="F4193" s="15"/>
    </row>
    <row r="4194" spans="5:6">
      <c r="E4194" s="16"/>
      <c r="F4194" s="15"/>
    </row>
    <row r="4195" spans="5:6">
      <c r="E4195" s="16"/>
      <c r="F4195" s="15"/>
    </row>
    <row r="4196" spans="5:6">
      <c r="E4196" s="16"/>
      <c r="F4196" s="15"/>
    </row>
    <row r="4197" spans="5:6">
      <c r="E4197" s="16"/>
      <c r="F4197" s="15"/>
    </row>
    <row r="4198" spans="5:6">
      <c r="E4198" s="16"/>
      <c r="F4198" s="15"/>
    </row>
    <row r="4199" spans="5:6">
      <c r="E4199" s="16"/>
      <c r="F4199" s="15"/>
    </row>
    <row r="4200" spans="5:6">
      <c r="E4200" s="16"/>
      <c r="F4200" s="15"/>
    </row>
    <row r="4201" spans="5:6">
      <c r="E4201" s="16"/>
      <c r="F4201" s="15"/>
    </row>
    <row r="4202" spans="5:6">
      <c r="E4202" s="16"/>
      <c r="F4202" s="15"/>
    </row>
    <row r="4203" spans="5:6">
      <c r="E4203" s="16"/>
      <c r="F4203" s="15"/>
    </row>
    <row r="4204" spans="5:6">
      <c r="E4204" s="16"/>
      <c r="F4204" s="15"/>
    </row>
    <row r="4205" spans="5:6">
      <c r="E4205" s="16"/>
      <c r="F4205" s="15"/>
    </row>
    <row r="4206" spans="5:6">
      <c r="E4206" s="16"/>
      <c r="F4206" s="15"/>
    </row>
    <row r="4207" spans="5:6">
      <c r="E4207" s="16"/>
      <c r="F4207" s="15"/>
    </row>
    <row r="4208" spans="5:6">
      <c r="E4208" s="16"/>
      <c r="F4208" s="15"/>
    </row>
    <row r="4209" spans="5:6">
      <c r="E4209" s="16"/>
      <c r="F4209" s="15"/>
    </row>
    <row r="4210" spans="5:6">
      <c r="E4210" s="16"/>
      <c r="F4210" s="15"/>
    </row>
    <row r="4211" spans="5:6">
      <c r="E4211" s="16"/>
      <c r="F4211" s="15"/>
    </row>
    <row r="4212" spans="5:6">
      <c r="E4212" s="16"/>
      <c r="F4212" s="15"/>
    </row>
    <row r="4213" spans="5:6">
      <c r="E4213" s="16"/>
      <c r="F4213" s="15"/>
    </row>
    <row r="4214" spans="5:6">
      <c r="E4214" s="16"/>
      <c r="F4214" s="15"/>
    </row>
    <row r="4215" spans="5:6">
      <c r="E4215" s="16"/>
      <c r="F4215" s="15"/>
    </row>
    <row r="4216" spans="5:6">
      <c r="E4216" s="16"/>
      <c r="F4216" s="15"/>
    </row>
    <row r="4217" spans="5:6">
      <c r="E4217" s="16"/>
      <c r="F4217" s="15"/>
    </row>
    <row r="4218" spans="5:6">
      <c r="E4218" s="16"/>
      <c r="F4218" s="15"/>
    </row>
    <row r="4219" spans="5:6">
      <c r="E4219" s="16"/>
      <c r="F4219" s="15"/>
    </row>
    <row r="4220" spans="5:6">
      <c r="E4220" s="16"/>
      <c r="F4220" s="15"/>
    </row>
    <row r="4221" spans="5:6">
      <c r="E4221" s="16"/>
      <c r="F4221" s="15"/>
    </row>
    <row r="4222" spans="5:6">
      <c r="E4222" s="16"/>
      <c r="F4222" s="15"/>
    </row>
    <row r="4223" spans="5:6">
      <c r="E4223" s="16"/>
      <c r="F4223" s="15"/>
    </row>
    <row r="4224" spans="5:6">
      <c r="E4224" s="16"/>
      <c r="F4224" s="15"/>
    </row>
    <row r="4225" spans="5:6">
      <c r="E4225" s="16"/>
      <c r="F4225" s="15"/>
    </row>
    <row r="4226" spans="5:6">
      <c r="E4226" s="16"/>
      <c r="F4226" s="15"/>
    </row>
    <row r="4227" spans="5:6">
      <c r="E4227" s="16"/>
      <c r="F4227" s="15"/>
    </row>
    <row r="4228" spans="5:6">
      <c r="E4228" s="16"/>
      <c r="F4228" s="15"/>
    </row>
    <row r="4229" spans="5:6">
      <c r="E4229" s="16"/>
      <c r="F4229" s="15"/>
    </row>
    <row r="4230" spans="5:6">
      <c r="E4230" s="16"/>
      <c r="F4230" s="15"/>
    </row>
    <row r="4231" spans="5:6">
      <c r="E4231" s="16"/>
      <c r="F4231" s="15"/>
    </row>
    <row r="4232" spans="5:6">
      <c r="E4232" s="16"/>
      <c r="F4232" s="15"/>
    </row>
    <row r="4233" spans="5:6">
      <c r="E4233" s="16"/>
      <c r="F4233" s="15"/>
    </row>
    <row r="4234" spans="5:6">
      <c r="E4234" s="16"/>
      <c r="F4234" s="15"/>
    </row>
    <row r="4235" spans="5:6">
      <c r="E4235" s="16"/>
      <c r="F4235" s="15"/>
    </row>
    <row r="4236" spans="5:6">
      <c r="E4236" s="16"/>
      <c r="F4236" s="15"/>
    </row>
    <row r="4237" spans="5:6">
      <c r="E4237" s="16"/>
      <c r="F4237" s="15"/>
    </row>
    <row r="4238" spans="5:6">
      <c r="E4238" s="16"/>
      <c r="F4238" s="15"/>
    </row>
    <row r="4239" spans="5:6">
      <c r="E4239" s="16"/>
      <c r="F4239" s="15"/>
    </row>
    <row r="4240" spans="5:6">
      <c r="E4240" s="16"/>
      <c r="F4240" s="15"/>
    </row>
    <row r="4241" spans="5:6">
      <c r="E4241" s="16"/>
      <c r="F4241" s="15"/>
    </row>
    <row r="4242" spans="5:6">
      <c r="E4242" s="16"/>
      <c r="F4242" s="15"/>
    </row>
    <row r="4243" spans="5:6">
      <c r="E4243" s="16"/>
      <c r="F4243" s="15"/>
    </row>
    <row r="4244" spans="5:6">
      <c r="E4244" s="16"/>
      <c r="F4244" s="15"/>
    </row>
    <row r="4245" spans="5:6">
      <c r="E4245" s="16"/>
      <c r="F4245" s="15"/>
    </row>
    <row r="4246" spans="5:6">
      <c r="E4246" s="16"/>
      <c r="F4246" s="15"/>
    </row>
    <row r="4247" spans="5:6">
      <c r="E4247" s="16"/>
      <c r="F4247" s="15"/>
    </row>
    <row r="4248" spans="5:6">
      <c r="E4248" s="16"/>
      <c r="F4248" s="15"/>
    </row>
    <row r="4249" spans="5:6">
      <c r="E4249" s="16"/>
      <c r="F4249" s="15"/>
    </row>
    <row r="4250" spans="5:6">
      <c r="E4250" s="16"/>
      <c r="F4250" s="15"/>
    </row>
    <row r="4251" spans="5:6">
      <c r="E4251" s="16"/>
      <c r="F4251" s="15"/>
    </row>
    <row r="4252" spans="5:6">
      <c r="E4252" s="16"/>
      <c r="F4252" s="15"/>
    </row>
    <row r="4253" spans="5:6">
      <c r="E4253" s="16"/>
      <c r="F4253" s="15"/>
    </row>
    <row r="4254" spans="5:6">
      <c r="E4254" s="16"/>
      <c r="F4254" s="15"/>
    </row>
    <row r="4255" spans="5:6">
      <c r="E4255" s="16"/>
      <c r="F4255" s="15"/>
    </row>
    <row r="4256" spans="5:6">
      <c r="E4256" s="16"/>
      <c r="F4256" s="15"/>
    </row>
    <row r="4257" spans="5:6">
      <c r="E4257" s="16"/>
      <c r="F4257" s="15"/>
    </row>
    <row r="4258" spans="5:6">
      <c r="E4258" s="16"/>
      <c r="F4258" s="15"/>
    </row>
    <row r="4259" spans="5:6">
      <c r="E4259" s="16"/>
      <c r="F4259" s="15"/>
    </row>
    <row r="4260" spans="5:6">
      <c r="E4260" s="16"/>
      <c r="F4260" s="15"/>
    </row>
    <row r="4261" spans="5:6">
      <c r="E4261" s="16"/>
      <c r="F4261" s="15"/>
    </row>
    <row r="4262" spans="5:6">
      <c r="E4262" s="16"/>
      <c r="F4262" s="15"/>
    </row>
    <row r="4263" spans="5:6">
      <c r="E4263" s="16"/>
      <c r="F4263" s="15"/>
    </row>
    <row r="4264" spans="5:6">
      <c r="E4264" s="16"/>
      <c r="F4264" s="15"/>
    </row>
    <row r="4265" spans="5:6">
      <c r="E4265" s="16"/>
      <c r="F4265" s="15"/>
    </row>
    <row r="4266" spans="5:6">
      <c r="E4266" s="16"/>
      <c r="F4266" s="15"/>
    </row>
    <row r="4267" spans="5:6">
      <c r="E4267" s="16"/>
      <c r="F4267" s="15"/>
    </row>
    <row r="4268" spans="5:6">
      <c r="E4268" s="16"/>
      <c r="F4268" s="15"/>
    </row>
    <row r="4269" spans="5:6">
      <c r="E4269" s="16"/>
      <c r="F4269" s="15"/>
    </row>
    <row r="4270" spans="5:6">
      <c r="E4270" s="16"/>
      <c r="F4270" s="15"/>
    </row>
    <row r="4271" spans="5:6">
      <c r="E4271" s="16"/>
      <c r="F4271" s="15"/>
    </row>
    <row r="4272" spans="5:6">
      <c r="E4272" s="16"/>
      <c r="F4272" s="15"/>
    </row>
    <row r="4273" spans="5:6">
      <c r="E4273" s="16"/>
      <c r="F4273" s="15"/>
    </row>
    <row r="4274" spans="5:6">
      <c r="E4274" s="16"/>
      <c r="F4274" s="15"/>
    </row>
    <row r="4275" spans="5:6">
      <c r="E4275" s="16"/>
      <c r="F4275" s="15"/>
    </row>
    <row r="4276" spans="5:6">
      <c r="E4276" s="16"/>
      <c r="F4276" s="15"/>
    </row>
    <row r="4277" spans="5:6">
      <c r="E4277" s="16"/>
      <c r="F4277" s="15"/>
    </row>
    <row r="4278" spans="5:6">
      <c r="E4278" s="16"/>
      <c r="F4278" s="15"/>
    </row>
    <row r="4279" spans="5:6">
      <c r="E4279" s="16"/>
      <c r="F4279" s="15"/>
    </row>
    <row r="4280" spans="5:6">
      <c r="E4280" s="16"/>
      <c r="F4280" s="15"/>
    </row>
    <row r="4281" spans="5:6">
      <c r="E4281" s="16"/>
      <c r="F4281" s="15"/>
    </row>
    <row r="4282" spans="5:6">
      <c r="E4282" s="16"/>
      <c r="F4282" s="15"/>
    </row>
    <row r="4283" spans="5:6">
      <c r="E4283" s="16"/>
      <c r="F4283" s="15"/>
    </row>
    <row r="4284" spans="5:6">
      <c r="E4284" s="16"/>
      <c r="F4284" s="15"/>
    </row>
    <row r="4285" spans="5:6">
      <c r="E4285" s="16"/>
      <c r="F4285" s="15"/>
    </row>
    <row r="4286" spans="5:6">
      <c r="E4286" s="16"/>
      <c r="F4286" s="15"/>
    </row>
    <row r="4287" spans="5:6">
      <c r="E4287" s="16"/>
      <c r="F4287" s="15"/>
    </row>
    <row r="4288" spans="5:6">
      <c r="E4288" s="16"/>
      <c r="F4288" s="15"/>
    </row>
    <row r="4289" spans="5:6">
      <c r="E4289" s="16"/>
      <c r="F4289" s="15"/>
    </row>
    <row r="4290" spans="5:6">
      <c r="E4290" s="16"/>
      <c r="F4290" s="15"/>
    </row>
    <row r="4291" spans="5:6">
      <c r="E4291" s="16"/>
      <c r="F4291" s="15"/>
    </row>
    <row r="4292" spans="5:6">
      <c r="E4292" s="16"/>
      <c r="F4292" s="15"/>
    </row>
    <row r="4293" spans="5:6">
      <c r="E4293" s="16"/>
      <c r="F4293" s="15"/>
    </row>
    <row r="4294" spans="5:6">
      <c r="E4294" s="16"/>
      <c r="F4294" s="15"/>
    </row>
    <row r="4295" spans="5:6">
      <c r="E4295" s="16"/>
      <c r="F4295" s="15"/>
    </row>
    <row r="4296" spans="5:6">
      <c r="E4296" s="16"/>
      <c r="F4296" s="15"/>
    </row>
    <row r="4297" spans="5:6">
      <c r="E4297" s="16"/>
      <c r="F4297" s="15"/>
    </row>
    <row r="4298" spans="5:6">
      <c r="E4298" s="16"/>
      <c r="F4298" s="15"/>
    </row>
    <row r="4299" spans="5:6">
      <c r="E4299" s="16"/>
      <c r="F4299" s="15"/>
    </row>
    <row r="4300" spans="5:6">
      <c r="E4300" s="16"/>
      <c r="F4300" s="15"/>
    </row>
    <row r="4301" spans="5:6">
      <c r="E4301" s="16"/>
      <c r="F4301" s="15"/>
    </row>
    <row r="4302" spans="5:6">
      <c r="E4302" s="16"/>
      <c r="F4302" s="15"/>
    </row>
    <row r="4303" spans="5:6">
      <c r="E4303" s="16"/>
      <c r="F4303" s="15"/>
    </row>
    <row r="4304" spans="5:6">
      <c r="E4304" s="16"/>
      <c r="F4304" s="15"/>
    </row>
    <row r="4305" spans="5:6">
      <c r="E4305" s="16"/>
      <c r="F4305" s="15"/>
    </row>
    <row r="4306" spans="5:6">
      <c r="E4306" s="16"/>
      <c r="F4306" s="15"/>
    </row>
    <row r="4307" spans="5:6">
      <c r="E4307" s="16"/>
      <c r="F4307" s="15"/>
    </row>
    <row r="4308" spans="5:6">
      <c r="E4308" s="16"/>
      <c r="F4308" s="15"/>
    </row>
    <row r="4309" spans="5:6">
      <c r="E4309" s="16"/>
      <c r="F4309" s="15"/>
    </row>
    <row r="4310" spans="5:6">
      <c r="E4310" s="16"/>
      <c r="F4310" s="15"/>
    </row>
    <row r="4311" spans="5:6">
      <c r="E4311" s="16"/>
      <c r="F4311" s="15"/>
    </row>
    <row r="4312" spans="5:6">
      <c r="E4312" s="16"/>
      <c r="F4312" s="15"/>
    </row>
    <row r="4313" spans="5:6">
      <c r="E4313" s="16"/>
      <c r="F4313" s="15"/>
    </row>
    <row r="4314" spans="5:6">
      <c r="E4314" s="16"/>
      <c r="F4314" s="15"/>
    </row>
    <row r="4315" spans="5:6">
      <c r="E4315" s="16"/>
      <c r="F4315" s="15"/>
    </row>
    <row r="4316" spans="5:6">
      <c r="E4316" s="16"/>
      <c r="F4316" s="15"/>
    </row>
    <row r="4317" spans="5:6">
      <c r="E4317" s="16"/>
      <c r="F4317" s="15"/>
    </row>
    <row r="4318" spans="5:6">
      <c r="E4318" s="16"/>
      <c r="F4318" s="15"/>
    </row>
    <row r="4319" spans="5:6">
      <c r="E4319" s="16"/>
      <c r="F4319" s="15"/>
    </row>
    <row r="4320" spans="5:6">
      <c r="E4320" s="16"/>
      <c r="F4320" s="15"/>
    </row>
    <row r="4321" spans="5:6">
      <c r="E4321" s="16"/>
      <c r="F4321" s="15"/>
    </row>
    <row r="4322" spans="5:6">
      <c r="E4322" s="16"/>
      <c r="F4322" s="15"/>
    </row>
    <row r="4323" spans="5:6">
      <c r="E4323" s="16"/>
      <c r="F4323" s="15"/>
    </row>
    <row r="4324" spans="5:6">
      <c r="E4324" s="16"/>
      <c r="F4324" s="15"/>
    </row>
    <row r="4325" spans="5:6">
      <c r="E4325" s="16"/>
      <c r="F4325" s="15"/>
    </row>
    <row r="4326" spans="5:6">
      <c r="E4326" s="16"/>
      <c r="F4326" s="15"/>
    </row>
    <row r="4327" spans="5:6">
      <c r="E4327" s="16"/>
      <c r="F4327" s="15"/>
    </row>
    <row r="4328" spans="5:6">
      <c r="E4328" s="16"/>
      <c r="F4328" s="15"/>
    </row>
    <row r="4329" spans="5:6">
      <c r="E4329" s="16"/>
      <c r="F4329" s="15"/>
    </row>
    <row r="4330" spans="5:6">
      <c r="E4330" s="16"/>
      <c r="F4330" s="15"/>
    </row>
    <row r="4331" spans="5:6">
      <c r="E4331" s="16"/>
      <c r="F4331" s="15"/>
    </row>
    <row r="4332" spans="5:6">
      <c r="E4332" s="16"/>
      <c r="F4332" s="15"/>
    </row>
    <row r="4333" spans="5:6">
      <c r="E4333" s="16"/>
      <c r="F4333" s="15"/>
    </row>
    <row r="4334" spans="5:6">
      <c r="E4334" s="16"/>
      <c r="F4334" s="15"/>
    </row>
    <row r="4335" spans="5:6">
      <c r="E4335" s="16"/>
      <c r="F4335" s="15"/>
    </row>
    <row r="4336" spans="5:6">
      <c r="E4336" s="16"/>
      <c r="F4336" s="15"/>
    </row>
    <row r="4337" spans="5:6">
      <c r="E4337" s="16"/>
      <c r="F4337" s="15"/>
    </row>
    <row r="4338" spans="5:6">
      <c r="E4338" s="16"/>
      <c r="F4338" s="15"/>
    </row>
    <row r="4339" spans="5:6">
      <c r="E4339" s="16"/>
      <c r="F4339" s="15"/>
    </row>
    <row r="4340" spans="5:6">
      <c r="E4340" s="16"/>
      <c r="F4340" s="15"/>
    </row>
    <row r="4341" spans="5:6">
      <c r="E4341" s="16"/>
      <c r="F4341" s="15"/>
    </row>
    <row r="4342" spans="5:6">
      <c r="E4342" s="16"/>
      <c r="F4342" s="15"/>
    </row>
    <row r="4343" spans="5:6">
      <c r="E4343" s="16"/>
      <c r="F4343" s="15"/>
    </row>
    <row r="4344" spans="5:6">
      <c r="E4344" s="16"/>
      <c r="F4344" s="15"/>
    </row>
    <row r="4345" spans="5:6">
      <c r="E4345" s="16"/>
      <c r="F4345" s="15"/>
    </row>
    <row r="4346" spans="5:6">
      <c r="E4346" s="16"/>
      <c r="F4346" s="15"/>
    </row>
    <row r="4347" spans="5:6">
      <c r="E4347" s="16"/>
      <c r="F4347" s="15"/>
    </row>
    <row r="4348" spans="5:6">
      <c r="E4348" s="16"/>
      <c r="F4348" s="15"/>
    </row>
    <row r="4349" spans="5:6">
      <c r="E4349" s="16"/>
      <c r="F4349" s="15"/>
    </row>
    <row r="4350" spans="5:6">
      <c r="E4350" s="16"/>
      <c r="F4350" s="15"/>
    </row>
    <row r="4351" spans="5:6">
      <c r="E4351" s="16"/>
      <c r="F4351" s="15"/>
    </row>
    <row r="4352" spans="5:6">
      <c r="E4352" s="16"/>
      <c r="F4352" s="15"/>
    </row>
    <row r="4353" spans="5:6">
      <c r="E4353" s="16"/>
      <c r="F4353" s="15"/>
    </row>
    <row r="4354" spans="5:6">
      <c r="E4354" s="16"/>
      <c r="F4354" s="15"/>
    </row>
    <row r="4355" spans="5:6">
      <c r="E4355" s="16"/>
      <c r="F4355" s="15"/>
    </row>
    <row r="4356" spans="5:6">
      <c r="E4356" s="16"/>
      <c r="F4356" s="15"/>
    </row>
    <row r="4357" spans="5:6">
      <c r="E4357" s="16"/>
      <c r="F4357" s="15"/>
    </row>
    <row r="4358" spans="5:6">
      <c r="E4358" s="16"/>
      <c r="F4358" s="15"/>
    </row>
    <row r="4359" spans="5:6">
      <c r="E4359" s="16"/>
      <c r="F4359" s="15"/>
    </row>
    <row r="4360" spans="5:6">
      <c r="E4360" s="16"/>
      <c r="F4360" s="15"/>
    </row>
    <row r="4361" spans="5:6">
      <c r="E4361" s="16"/>
      <c r="F4361" s="15"/>
    </row>
    <row r="4362" spans="5:6">
      <c r="E4362" s="16"/>
      <c r="F4362" s="15"/>
    </row>
    <row r="4363" spans="5:6">
      <c r="E4363" s="16"/>
      <c r="F4363" s="15"/>
    </row>
    <row r="4364" spans="5:6">
      <c r="E4364" s="16"/>
      <c r="F4364" s="15"/>
    </row>
    <row r="4365" spans="5:6">
      <c r="E4365" s="16"/>
      <c r="F4365" s="15"/>
    </row>
    <row r="4366" spans="5:6">
      <c r="E4366" s="16"/>
      <c r="F4366" s="15"/>
    </row>
    <row r="4367" spans="5:6">
      <c r="E4367" s="16"/>
      <c r="F4367" s="15"/>
    </row>
    <row r="4368" spans="5:6">
      <c r="E4368" s="16"/>
      <c r="F4368" s="15"/>
    </row>
    <row r="4369" spans="5:6">
      <c r="E4369" s="16"/>
      <c r="F4369" s="15"/>
    </row>
    <row r="4370" spans="5:6">
      <c r="E4370" s="16"/>
      <c r="F4370" s="15"/>
    </row>
    <row r="4371" spans="5:6">
      <c r="E4371" s="16"/>
      <c r="F4371" s="15"/>
    </row>
    <row r="4372" spans="5:6">
      <c r="E4372" s="16"/>
      <c r="F4372" s="15"/>
    </row>
    <row r="4373" spans="5:6">
      <c r="E4373" s="16"/>
      <c r="F4373"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540"/>
  <sheetViews>
    <sheetView workbookViewId="0"/>
  </sheetViews>
  <sheetFormatPr defaultColWidth="9" defaultRowHeight="15.75"/>
  <cols>
    <col min="1" max="5" width="23.85546875" style="19" customWidth="1"/>
    <col min="6" max="9" width="23.85546875" customWidth="1"/>
    <col min="10" max="10" width="24" customWidth="1"/>
    <col min="11" max="11" width="11" customWidth="1"/>
  </cols>
  <sheetData>
    <row r="1" spans="1:10">
      <c r="A1" s="18" t="s">
        <v>8</v>
      </c>
      <c r="B1" s="18" t="s">
        <v>405</v>
      </c>
      <c r="C1" s="18" t="s">
        <v>406</v>
      </c>
      <c r="D1" s="18" t="s">
        <v>407</v>
      </c>
      <c r="E1" s="18" t="s">
        <v>408</v>
      </c>
      <c r="F1" s="28" t="s">
        <v>417</v>
      </c>
      <c r="G1" s="28" t="s">
        <v>409</v>
      </c>
      <c r="H1" s="28" t="s">
        <v>10</v>
      </c>
      <c r="I1" s="28" t="s">
        <v>410</v>
      </c>
      <c r="J1" s="44" t="s">
        <v>418</v>
      </c>
    </row>
    <row r="2" spans="1:10">
      <c r="A2" s="19" t="s">
        <v>14</v>
      </c>
      <c r="B2" s="20">
        <v>45992</v>
      </c>
      <c r="C2" s="21">
        <v>155.4</v>
      </c>
      <c r="D2" s="21">
        <v>0.5</v>
      </c>
      <c r="E2" s="21">
        <v>0.5</v>
      </c>
      <c r="F2" s="27">
        <f t="shared" ref="F2:F65" si="0">IFERROR(IF(OR(C2="",D2="",C2=0),"",D2/C2),"")</f>
        <v>3.2175032175032173E-3</v>
      </c>
      <c r="G2" s="21" t="str">
        <f>IFERROR(INDEX(Users!$A$2:$A$310,MATCH(A2,Users!$B$2:$B$310,0)),"")</f>
        <v>Service A</v>
      </c>
      <c r="H2" s="21" t="str">
        <f>IFERROR(INDEX(Users!$D$2:$D$310,MATCH(A2,Users!$B$2:$B$310,0)),"")</f>
        <v>Band 3</v>
      </c>
      <c r="I2" s="19" t="b">
        <f t="shared" ref="I2:I65" si="1">AND(G2="Service A",H2="Band 3")</f>
        <v>1</v>
      </c>
      <c r="J2" s="33" t="str">
        <f t="shared" ref="J2:J65" si="2">IF(AND(B2&gt;=DATE(2025,1,1),B2&lt;DATE(2026,1,1),G2="Service B",OR(H2="Band 3",H2="Band 5"),ISNUMBER(F2)),F2,"")</f>
        <v/>
      </c>
    </row>
    <row r="3" spans="1:10">
      <c r="A3" s="19" t="s">
        <v>14</v>
      </c>
      <c r="B3" s="20">
        <v>46023</v>
      </c>
      <c r="C3" s="21">
        <v>155.4</v>
      </c>
      <c r="D3" s="21"/>
      <c r="E3" s="21"/>
      <c r="F3" s="27" t="str">
        <f t="shared" si="0"/>
        <v/>
      </c>
      <c r="G3" s="21" t="str">
        <f>IFERROR(INDEX(Users!$A$2:$A$310,MATCH(A3,Users!$B$2:$B$310,0)),"")</f>
        <v>Service A</v>
      </c>
      <c r="H3" s="21" t="str">
        <f>IFERROR(INDEX(Users!$D$2:$D$310,MATCH(A3,Users!$B$2:$B$310,0)),"")</f>
        <v>Band 3</v>
      </c>
      <c r="I3" s="19" t="b">
        <f t="shared" si="1"/>
        <v>1</v>
      </c>
      <c r="J3" s="33" t="str">
        <f t="shared" si="2"/>
        <v/>
      </c>
    </row>
    <row r="4" spans="1:10">
      <c r="A4" s="19" t="s">
        <v>17</v>
      </c>
      <c r="B4" s="20">
        <v>45901</v>
      </c>
      <c r="C4" s="21">
        <v>51.800000000000004</v>
      </c>
      <c r="D4" s="21">
        <v>14.8</v>
      </c>
      <c r="E4" s="21"/>
      <c r="F4" s="27">
        <f t="shared" si="0"/>
        <v>0.2857142857142857</v>
      </c>
      <c r="G4" s="21" t="str">
        <f>IFERROR(INDEX(Users!$A$2:$A$310,MATCH(A4,Users!$B$2:$B$310,0)),"")</f>
        <v>Service A</v>
      </c>
      <c r="H4" s="21" t="str">
        <f>IFERROR(INDEX(Users!$D$2:$D$310,MATCH(A4,Users!$B$2:$B$310,0)),"")</f>
        <v>Band 5</v>
      </c>
      <c r="I4" s="19" t="b">
        <f t="shared" si="1"/>
        <v>0</v>
      </c>
      <c r="J4" s="33" t="str">
        <f t="shared" si="2"/>
        <v/>
      </c>
    </row>
    <row r="5" spans="1:10">
      <c r="A5" s="19" t="s">
        <v>17</v>
      </c>
      <c r="B5" s="20">
        <v>45931</v>
      </c>
      <c r="C5" s="21">
        <v>170.20000000000002</v>
      </c>
      <c r="D5" s="21">
        <v>170.70000000000002</v>
      </c>
      <c r="E5" s="21">
        <v>41</v>
      </c>
      <c r="F5" s="27">
        <f t="shared" si="0"/>
        <v>1.0029377203290246</v>
      </c>
      <c r="G5" s="21" t="str">
        <f>IFERROR(INDEX(Users!$A$2:$A$310,MATCH(A5,Users!$B$2:$B$310,0)),"")</f>
        <v>Service A</v>
      </c>
      <c r="H5" s="21" t="str">
        <f>IFERROR(INDEX(Users!$D$2:$D$310,MATCH(A5,Users!$B$2:$B$310,0)),"")</f>
        <v>Band 5</v>
      </c>
      <c r="I5" s="19" t="b">
        <f t="shared" si="1"/>
        <v>0</v>
      </c>
      <c r="J5" s="33" t="str">
        <f t="shared" si="2"/>
        <v/>
      </c>
    </row>
    <row r="6" spans="1:10">
      <c r="A6" s="19" t="s">
        <v>17</v>
      </c>
      <c r="B6" s="20">
        <v>45962</v>
      </c>
      <c r="C6" s="21">
        <v>148</v>
      </c>
      <c r="D6" s="21">
        <v>148.20333333333335</v>
      </c>
      <c r="E6" s="21">
        <v>36.119999999999997</v>
      </c>
      <c r="F6" s="27">
        <f t="shared" si="0"/>
        <v>1.001373873873874</v>
      </c>
      <c r="G6" s="21" t="str">
        <f>IFERROR(INDEX(Users!$A$2:$A$310,MATCH(A6,Users!$B$2:$B$310,0)),"")</f>
        <v>Service A</v>
      </c>
      <c r="H6" s="21" t="str">
        <f>IFERROR(INDEX(Users!$D$2:$D$310,MATCH(A6,Users!$B$2:$B$310,0)),"")</f>
        <v>Band 5</v>
      </c>
      <c r="I6" s="19" t="b">
        <f t="shared" si="1"/>
        <v>0</v>
      </c>
      <c r="J6" s="33" t="str">
        <f t="shared" si="2"/>
        <v/>
      </c>
    </row>
    <row r="7" spans="1:10" ht="15.4" customHeight="1">
      <c r="A7" s="19" t="s">
        <v>17</v>
      </c>
      <c r="B7" s="20">
        <v>45992</v>
      </c>
      <c r="C7" s="21">
        <v>155.4</v>
      </c>
      <c r="D7" s="21">
        <v>152.59666666666666</v>
      </c>
      <c r="E7" s="21">
        <v>73.03</v>
      </c>
      <c r="F7" s="27">
        <f t="shared" si="0"/>
        <v>0.9819605319605319</v>
      </c>
      <c r="G7" s="21" t="str">
        <f>IFERROR(INDEX(Users!$A$2:$A$310,MATCH(A7,Users!$B$2:$B$310,0)),"")</f>
        <v>Service A</v>
      </c>
      <c r="H7" s="21" t="str">
        <f>IFERROR(INDEX(Users!$D$2:$D$310,MATCH(A7,Users!$B$2:$B$310,0)),"")</f>
        <v>Band 5</v>
      </c>
      <c r="I7" s="19" t="b">
        <f t="shared" si="1"/>
        <v>0</v>
      </c>
      <c r="J7" s="33" t="str">
        <f t="shared" si="2"/>
        <v/>
      </c>
    </row>
    <row r="8" spans="1:10">
      <c r="A8" s="19" t="s">
        <v>17</v>
      </c>
      <c r="B8" s="20">
        <v>46023</v>
      </c>
      <c r="C8" s="21">
        <v>155.4</v>
      </c>
      <c r="D8" s="21">
        <v>157.22000000000008</v>
      </c>
      <c r="E8" s="21">
        <v>72.320000000000078</v>
      </c>
      <c r="F8" s="27">
        <f t="shared" si="0"/>
        <v>1.0117117117117123</v>
      </c>
      <c r="G8" s="21" t="str">
        <f>IFERROR(INDEX(Users!$A$2:$A$310,MATCH(A8,Users!$B$2:$B$310,0)),"")</f>
        <v>Service A</v>
      </c>
      <c r="H8" s="21" t="str">
        <f>IFERROR(INDEX(Users!$D$2:$D$310,MATCH(A8,Users!$B$2:$B$310,0)),"")</f>
        <v>Band 5</v>
      </c>
      <c r="I8" s="19" t="b">
        <f t="shared" si="1"/>
        <v>0</v>
      </c>
      <c r="J8" s="33" t="str">
        <f t="shared" si="2"/>
        <v/>
      </c>
    </row>
    <row r="9" spans="1:10">
      <c r="A9" s="19" t="s">
        <v>21</v>
      </c>
      <c r="B9" s="20">
        <v>45931</v>
      </c>
      <c r="C9" s="21">
        <v>118.40000000000003</v>
      </c>
      <c r="D9" s="21">
        <v>126.94999999999999</v>
      </c>
      <c r="E9" s="21">
        <v>96.399999999999991</v>
      </c>
      <c r="F9" s="27">
        <f t="shared" si="0"/>
        <v>1.0722128378378375</v>
      </c>
      <c r="G9" s="21" t="str">
        <f>IFERROR(INDEX(Users!$A$2:$A$310,MATCH(A9,Users!$B$2:$B$310,0)),"")</f>
        <v>Service B</v>
      </c>
      <c r="H9" s="21" t="str">
        <f>IFERROR(INDEX(Users!$D$2:$D$310,MATCH(A9,Users!$B$2:$B$310,0)),"")</f>
        <v>Band 3</v>
      </c>
      <c r="I9" s="19" t="b">
        <f t="shared" si="1"/>
        <v>0</v>
      </c>
      <c r="J9" s="33">
        <f t="shared" si="2"/>
        <v>1.0722128378378375</v>
      </c>
    </row>
    <row r="10" spans="1:10">
      <c r="A10" s="19" t="s">
        <v>21</v>
      </c>
      <c r="B10" s="20">
        <v>45962</v>
      </c>
      <c r="C10" s="21">
        <v>118.40000000000003</v>
      </c>
      <c r="D10" s="21">
        <v>58.793333333333329</v>
      </c>
      <c r="E10" s="21">
        <v>46.91</v>
      </c>
      <c r="F10" s="27">
        <f t="shared" si="0"/>
        <v>0.49656531531531511</v>
      </c>
      <c r="G10" s="21" t="str">
        <f>IFERROR(INDEX(Users!$A$2:$A$310,MATCH(A10,Users!$B$2:$B$310,0)),"")</f>
        <v>Service B</v>
      </c>
      <c r="H10" s="21" t="str">
        <f>IFERROR(INDEX(Users!$D$2:$D$310,MATCH(A10,Users!$B$2:$B$310,0)),"")</f>
        <v>Band 3</v>
      </c>
      <c r="I10" s="19" t="b">
        <f t="shared" si="1"/>
        <v>0</v>
      </c>
      <c r="J10" s="33">
        <f t="shared" si="2"/>
        <v>0.49656531531531511</v>
      </c>
    </row>
    <row r="11" spans="1:10">
      <c r="A11" s="19" t="s">
        <v>21</v>
      </c>
      <c r="B11" s="20">
        <v>45992</v>
      </c>
      <c r="C11" s="21">
        <v>118.40000000000003</v>
      </c>
      <c r="D11" s="21">
        <v>1.08</v>
      </c>
      <c r="E11" s="21">
        <v>1.08</v>
      </c>
      <c r="F11" s="27">
        <f t="shared" si="0"/>
        <v>9.1216216216216204E-3</v>
      </c>
      <c r="G11" s="21" t="str">
        <f>IFERROR(INDEX(Users!$A$2:$A$310,MATCH(A11,Users!$B$2:$B$310,0)),"")</f>
        <v>Service B</v>
      </c>
      <c r="H11" s="21" t="str">
        <f>IFERROR(INDEX(Users!$D$2:$D$310,MATCH(A11,Users!$B$2:$B$310,0)),"")</f>
        <v>Band 3</v>
      </c>
      <c r="I11" s="19" t="b">
        <f t="shared" si="1"/>
        <v>0</v>
      </c>
      <c r="J11" s="33">
        <f t="shared" si="2"/>
        <v>9.1216216216216204E-3</v>
      </c>
    </row>
    <row r="12" spans="1:10">
      <c r="A12" s="19" t="s">
        <v>21</v>
      </c>
      <c r="B12" s="20">
        <v>46023</v>
      </c>
      <c r="C12" s="21">
        <v>37</v>
      </c>
      <c r="D12" s="21">
        <v>13.033333333333333</v>
      </c>
      <c r="E12" s="21">
        <v>4</v>
      </c>
      <c r="F12" s="27">
        <f t="shared" si="0"/>
        <v>0.35225225225225226</v>
      </c>
      <c r="G12" s="21" t="str">
        <f>IFERROR(INDEX(Users!$A$2:$A$310,MATCH(A12,Users!$B$2:$B$310,0)),"")</f>
        <v>Service B</v>
      </c>
      <c r="H12" s="21" t="str">
        <f>IFERROR(INDEX(Users!$D$2:$D$310,MATCH(A12,Users!$B$2:$B$310,0)),"")</f>
        <v>Band 3</v>
      </c>
      <c r="I12" s="19" t="b">
        <f t="shared" si="1"/>
        <v>0</v>
      </c>
      <c r="J12" s="33" t="str">
        <f t="shared" si="2"/>
        <v/>
      </c>
    </row>
    <row r="13" spans="1:10">
      <c r="A13" s="19" t="s">
        <v>24</v>
      </c>
      <c r="B13" s="20">
        <v>45992</v>
      </c>
      <c r="C13" s="21">
        <v>155.4</v>
      </c>
      <c r="D13" s="21">
        <v>75.016666666666666</v>
      </c>
      <c r="E13" s="21">
        <v>0.25</v>
      </c>
      <c r="F13" s="27">
        <f t="shared" si="0"/>
        <v>0.48273273273273271</v>
      </c>
      <c r="G13" s="21" t="str">
        <f>IFERROR(INDEX(Users!$A$2:$A$310,MATCH(A13,Users!$B$2:$B$310,0)),"")</f>
        <v>Service C</v>
      </c>
      <c r="H13" s="21" t="str">
        <f>IFERROR(INDEX(Users!$D$2:$D$310,MATCH(A13,Users!$B$2:$B$310,0)),"")</f>
        <v>Band 4</v>
      </c>
      <c r="I13" s="19" t="b">
        <f t="shared" si="1"/>
        <v>0</v>
      </c>
      <c r="J13" s="33" t="str">
        <f t="shared" si="2"/>
        <v/>
      </c>
    </row>
    <row r="14" spans="1:10">
      <c r="A14" s="19" t="s">
        <v>24</v>
      </c>
      <c r="B14" s="20">
        <v>46023</v>
      </c>
      <c r="C14" s="21">
        <v>155.4</v>
      </c>
      <c r="D14" s="21">
        <v>152.05333333333337</v>
      </c>
      <c r="E14" s="21">
        <v>15.320000000000002</v>
      </c>
      <c r="F14" s="27">
        <f t="shared" si="0"/>
        <v>0.97846417846417866</v>
      </c>
      <c r="G14" s="21" t="str">
        <f>IFERROR(INDEX(Users!$A$2:$A$310,MATCH(A14,Users!$B$2:$B$310,0)),"")</f>
        <v>Service C</v>
      </c>
      <c r="H14" s="21" t="str">
        <f>IFERROR(INDEX(Users!$D$2:$D$310,MATCH(A14,Users!$B$2:$B$310,0)),"")</f>
        <v>Band 4</v>
      </c>
      <c r="I14" s="19" t="b">
        <f t="shared" si="1"/>
        <v>0</v>
      </c>
      <c r="J14" s="33" t="str">
        <f t="shared" si="2"/>
        <v/>
      </c>
    </row>
    <row r="15" spans="1:10">
      <c r="A15" s="19" t="s">
        <v>26</v>
      </c>
      <c r="B15" s="20">
        <v>45901</v>
      </c>
      <c r="C15" s="21">
        <v>92.5</v>
      </c>
      <c r="D15" s="21">
        <v>75.379999999999981</v>
      </c>
      <c r="E15" s="21">
        <v>49.379999999999974</v>
      </c>
      <c r="F15" s="27">
        <f t="shared" si="0"/>
        <v>0.81491891891891877</v>
      </c>
      <c r="G15" s="21" t="str">
        <f>IFERROR(INDEX(Users!$A$2:$A$310,MATCH(A15,Users!$B$2:$B$310,0)),"")</f>
        <v>Service A</v>
      </c>
      <c r="H15" s="21" t="str">
        <f>IFERROR(INDEX(Users!$D$2:$D$310,MATCH(A15,Users!$B$2:$B$310,0)),"")</f>
        <v>Band 5</v>
      </c>
      <c r="I15" s="19" t="b">
        <f t="shared" si="1"/>
        <v>0</v>
      </c>
      <c r="J15" s="33" t="str">
        <f t="shared" si="2"/>
        <v/>
      </c>
    </row>
    <row r="16" spans="1:10">
      <c r="A16" s="19" t="s">
        <v>26</v>
      </c>
      <c r="B16" s="20">
        <v>45931</v>
      </c>
      <c r="C16" s="21">
        <v>166.5</v>
      </c>
      <c r="D16" s="21">
        <v>150.02000000000004</v>
      </c>
      <c r="E16" s="21">
        <v>90.270000000000024</v>
      </c>
      <c r="F16" s="27">
        <f t="shared" si="0"/>
        <v>0.90102102102102122</v>
      </c>
      <c r="G16" s="21" t="str">
        <f>IFERROR(INDEX(Users!$A$2:$A$310,MATCH(A16,Users!$B$2:$B$310,0)),"")</f>
        <v>Service A</v>
      </c>
      <c r="H16" s="21" t="str">
        <f>IFERROR(INDEX(Users!$D$2:$D$310,MATCH(A16,Users!$B$2:$B$310,0)),"")</f>
        <v>Band 5</v>
      </c>
      <c r="I16" s="19" t="b">
        <f t="shared" si="1"/>
        <v>0</v>
      </c>
      <c r="J16" s="33" t="str">
        <f t="shared" si="2"/>
        <v/>
      </c>
    </row>
    <row r="17" spans="1:10">
      <c r="A17" s="19" t="s">
        <v>26</v>
      </c>
      <c r="B17" s="20">
        <v>45962</v>
      </c>
      <c r="C17" s="21">
        <v>148</v>
      </c>
      <c r="D17" s="21">
        <v>145.55000000000001</v>
      </c>
      <c r="E17" s="21">
        <v>87.550000000000026</v>
      </c>
      <c r="F17" s="27">
        <f t="shared" si="0"/>
        <v>0.98344594594594603</v>
      </c>
      <c r="G17" s="21" t="str">
        <f>IFERROR(INDEX(Users!$A$2:$A$310,MATCH(A17,Users!$B$2:$B$310,0)),"")</f>
        <v>Service A</v>
      </c>
      <c r="H17" s="21" t="str">
        <f>IFERROR(INDEX(Users!$D$2:$D$310,MATCH(A17,Users!$B$2:$B$310,0)),"")</f>
        <v>Band 5</v>
      </c>
      <c r="I17" s="19" t="b">
        <f t="shared" si="1"/>
        <v>0</v>
      </c>
      <c r="J17" s="33" t="str">
        <f t="shared" si="2"/>
        <v/>
      </c>
    </row>
    <row r="18" spans="1:10">
      <c r="A18" s="19" t="s">
        <v>26</v>
      </c>
      <c r="B18" s="20">
        <v>45992</v>
      </c>
      <c r="C18" s="21">
        <v>166.5</v>
      </c>
      <c r="D18" s="21">
        <v>154.47666666666663</v>
      </c>
      <c r="E18" s="21">
        <v>92.809999999999945</v>
      </c>
      <c r="F18" s="27">
        <f t="shared" si="0"/>
        <v>0.92778778778778759</v>
      </c>
      <c r="G18" s="21" t="str">
        <f>IFERROR(INDEX(Users!$A$2:$A$310,MATCH(A18,Users!$B$2:$B$310,0)),"")</f>
        <v>Service A</v>
      </c>
      <c r="H18" s="21" t="str">
        <f>IFERROR(INDEX(Users!$D$2:$D$310,MATCH(A18,Users!$B$2:$B$310,0)),"")</f>
        <v>Band 5</v>
      </c>
      <c r="I18" s="19" t="b">
        <f t="shared" si="1"/>
        <v>0</v>
      </c>
      <c r="J18" s="33" t="str">
        <f t="shared" si="2"/>
        <v/>
      </c>
    </row>
    <row r="19" spans="1:10">
      <c r="A19" s="19" t="s">
        <v>26</v>
      </c>
      <c r="B19" s="20">
        <v>46023</v>
      </c>
      <c r="C19" s="21">
        <v>148</v>
      </c>
      <c r="D19" s="21">
        <v>94.049999999999983</v>
      </c>
      <c r="E19" s="21">
        <v>59.499999999999979</v>
      </c>
      <c r="F19" s="27">
        <f t="shared" si="0"/>
        <v>0.63547297297297289</v>
      </c>
      <c r="G19" s="21" t="str">
        <f>IFERROR(INDEX(Users!$A$2:$A$310,MATCH(A19,Users!$B$2:$B$310,0)),"")</f>
        <v>Service A</v>
      </c>
      <c r="H19" s="21" t="str">
        <f>IFERROR(INDEX(Users!$D$2:$D$310,MATCH(A19,Users!$B$2:$B$310,0)),"")</f>
        <v>Band 5</v>
      </c>
      <c r="I19" s="19" t="b">
        <f t="shared" si="1"/>
        <v>0</v>
      </c>
      <c r="J19" s="33" t="str">
        <f t="shared" si="2"/>
        <v/>
      </c>
    </row>
    <row r="20" spans="1:10">
      <c r="A20" s="19" t="s">
        <v>28</v>
      </c>
      <c r="B20" s="20">
        <v>45931</v>
      </c>
      <c r="C20" s="21">
        <v>148.00000000000006</v>
      </c>
      <c r="D20" s="21">
        <v>117.76666666666667</v>
      </c>
      <c r="E20" s="21"/>
      <c r="F20" s="27">
        <f t="shared" si="0"/>
        <v>0.79572072072072042</v>
      </c>
      <c r="G20" s="21" t="str">
        <f>IFERROR(INDEX(Users!$A$2:$A$310,MATCH(A20,Users!$B$2:$B$310,0)),"")</f>
        <v>Service B</v>
      </c>
      <c r="H20" s="21" t="str">
        <f>IFERROR(INDEX(Users!$D$2:$D$310,MATCH(A20,Users!$B$2:$B$310,0)),"")</f>
        <v>Band 3</v>
      </c>
      <c r="I20" s="19" t="b">
        <f t="shared" si="1"/>
        <v>0</v>
      </c>
      <c r="J20" s="33">
        <f t="shared" si="2"/>
        <v>0.79572072072072042</v>
      </c>
    </row>
    <row r="21" spans="1:10">
      <c r="A21" s="19" t="s">
        <v>28</v>
      </c>
      <c r="B21" s="20">
        <v>45962</v>
      </c>
      <c r="C21" s="21">
        <v>148.00000000000006</v>
      </c>
      <c r="D21" s="21">
        <v>58.966666666666654</v>
      </c>
      <c r="E21" s="21">
        <v>2.5499999999999998</v>
      </c>
      <c r="F21" s="27">
        <f t="shared" si="0"/>
        <v>0.39842342342342318</v>
      </c>
      <c r="G21" s="21" t="str">
        <f>IFERROR(INDEX(Users!$A$2:$A$310,MATCH(A21,Users!$B$2:$B$310,0)),"")</f>
        <v>Service B</v>
      </c>
      <c r="H21" s="21" t="str">
        <f>IFERROR(INDEX(Users!$D$2:$D$310,MATCH(A21,Users!$B$2:$B$310,0)),"")</f>
        <v>Band 3</v>
      </c>
      <c r="I21" s="19" t="b">
        <f t="shared" si="1"/>
        <v>0</v>
      </c>
      <c r="J21" s="33">
        <f t="shared" si="2"/>
        <v>0.39842342342342318</v>
      </c>
    </row>
    <row r="22" spans="1:10">
      <c r="A22" s="19" t="s">
        <v>28</v>
      </c>
      <c r="B22" s="20">
        <v>45992</v>
      </c>
      <c r="C22" s="21">
        <v>155.40000000000006</v>
      </c>
      <c r="D22" s="21">
        <v>14</v>
      </c>
      <c r="E22" s="21">
        <v>14</v>
      </c>
      <c r="F22" s="27">
        <f t="shared" si="0"/>
        <v>9.0090090090090058E-2</v>
      </c>
      <c r="G22" s="21" t="str">
        <f>IFERROR(INDEX(Users!$A$2:$A$310,MATCH(A22,Users!$B$2:$B$310,0)),"")</f>
        <v>Service B</v>
      </c>
      <c r="H22" s="21" t="str">
        <f>IFERROR(INDEX(Users!$D$2:$D$310,MATCH(A22,Users!$B$2:$B$310,0)),"")</f>
        <v>Band 3</v>
      </c>
      <c r="I22" s="19" t="b">
        <f t="shared" si="1"/>
        <v>0</v>
      </c>
      <c r="J22" s="33">
        <f t="shared" si="2"/>
        <v>9.0090090090090058E-2</v>
      </c>
    </row>
    <row r="23" spans="1:10">
      <c r="A23" s="19" t="s">
        <v>28</v>
      </c>
      <c r="B23" s="20">
        <v>46023</v>
      </c>
      <c r="C23" s="21">
        <v>155.40000000000006</v>
      </c>
      <c r="D23" s="21">
        <v>150.58333333333337</v>
      </c>
      <c r="E23" s="21">
        <v>34</v>
      </c>
      <c r="F23" s="27">
        <f t="shared" si="0"/>
        <v>0.96900471900471885</v>
      </c>
      <c r="G23" s="21" t="str">
        <f>IFERROR(INDEX(Users!$A$2:$A$310,MATCH(A23,Users!$B$2:$B$310,0)),"")</f>
        <v>Service B</v>
      </c>
      <c r="H23" s="21" t="str">
        <f>IFERROR(INDEX(Users!$D$2:$D$310,MATCH(A23,Users!$B$2:$B$310,0)),"")</f>
        <v>Band 3</v>
      </c>
      <c r="I23" s="19" t="b">
        <f t="shared" si="1"/>
        <v>0</v>
      </c>
      <c r="J23" s="33" t="str">
        <f t="shared" si="2"/>
        <v/>
      </c>
    </row>
    <row r="24" spans="1:10">
      <c r="A24" s="19" t="s">
        <v>29</v>
      </c>
      <c r="B24" s="20">
        <v>45962</v>
      </c>
      <c r="C24" s="21">
        <v>148.00000000000006</v>
      </c>
      <c r="D24" s="21"/>
      <c r="E24" s="21"/>
      <c r="F24" s="27" t="str">
        <f t="shared" si="0"/>
        <v/>
      </c>
      <c r="G24" s="21" t="str">
        <f>IFERROR(INDEX(Users!$A$2:$A$310,MATCH(A24,Users!$B$2:$B$310,0)),"")</f>
        <v>Service B</v>
      </c>
      <c r="H24" s="21" t="str">
        <f>IFERROR(INDEX(Users!$D$2:$D$310,MATCH(A24,Users!$B$2:$B$310,0)),"")</f>
        <v>Band 5</v>
      </c>
      <c r="I24" s="19" t="b">
        <f t="shared" si="1"/>
        <v>0</v>
      </c>
      <c r="J24" s="33" t="str">
        <f t="shared" si="2"/>
        <v/>
      </c>
    </row>
    <row r="25" spans="1:10">
      <c r="A25" s="19" t="s">
        <v>29</v>
      </c>
      <c r="B25" s="20">
        <v>45992</v>
      </c>
      <c r="C25" s="21">
        <v>155.40000000000006</v>
      </c>
      <c r="D25" s="21"/>
      <c r="E25" s="21"/>
      <c r="F25" s="27" t="str">
        <f t="shared" si="0"/>
        <v/>
      </c>
      <c r="G25" s="21" t="str">
        <f>IFERROR(INDEX(Users!$A$2:$A$310,MATCH(A25,Users!$B$2:$B$310,0)),"")</f>
        <v>Service B</v>
      </c>
      <c r="H25" s="21" t="str">
        <f>IFERROR(INDEX(Users!$D$2:$D$310,MATCH(A25,Users!$B$2:$B$310,0)),"")</f>
        <v>Band 5</v>
      </c>
      <c r="I25" s="19" t="b">
        <f t="shared" si="1"/>
        <v>0</v>
      </c>
      <c r="J25" s="33" t="str">
        <f t="shared" si="2"/>
        <v/>
      </c>
    </row>
    <row r="26" spans="1:10">
      <c r="A26" s="19" t="s">
        <v>29</v>
      </c>
      <c r="B26" s="20">
        <v>46023</v>
      </c>
      <c r="C26" s="21">
        <v>155.40000000000006</v>
      </c>
      <c r="D26" s="21"/>
      <c r="E26" s="21"/>
      <c r="F26" s="27" t="str">
        <f t="shared" si="0"/>
        <v/>
      </c>
      <c r="G26" s="21" t="str">
        <f>IFERROR(INDEX(Users!$A$2:$A$310,MATCH(A26,Users!$B$2:$B$310,0)),"")</f>
        <v>Service B</v>
      </c>
      <c r="H26" s="21" t="str">
        <f>IFERROR(INDEX(Users!$D$2:$D$310,MATCH(A26,Users!$B$2:$B$310,0)),"")</f>
        <v>Band 5</v>
      </c>
      <c r="I26" s="19" t="b">
        <f t="shared" si="1"/>
        <v>0</v>
      </c>
      <c r="J26" s="33" t="str">
        <f t="shared" si="2"/>
        <v/>
      </c>
    </row>
    <row r="27" spans="1:10">
      <c r="A27" s="19" t="s">
        <v>31</v>
      </c>
      <c r="B27" s="20">
        <v>45931</v>
      </c>
      <c r="C27" s="21">
        <v>148.00000000000006</v>
      </c>
      <c r="D27" s="21">
        <v>52.033333333333324</v>
      </c>
      <c r="E27" s="21"/>
      <c r="F27" s="27">
        <f t="shared" si="0"/>
        <v>0.35157657657657637</v>
      </c>
      <c r="G27" s="21" t="str">
        <f>IFERROR(INDEX(Users!$A$2:$A$310,MATCH(A27,Users!$B$2:$B$310,0)),"")</f>
        <v>Service B</v>
      </c>
      <c r="H27" s="21" t="str">
        <f>IFERROR(INDEX(Users!$D$2:$D$310,MATCH(A27,Users!$B$2:$B$310,0)),"")</f>
        <v>Band 3</v>
      </c>
      <c r="I27" s="19" t="b">
        <f t="shared" si="1"/>
        <v>0</v>
      </c>
      <c r="J27" s="33">
        <f t="shared" si="2"/>
        <v>0.35157657657657637</v>
      </c>
    </row>
    <row r="28" spans="1:10">
      <c r="A28" s="19" t="s">
        <v>31</v>
      </c>
      <c r="B28" s="20">
        <v>45962</v>
      </c>
      <c r="C28" s="21">
        <v>148.00000000000006</v>
      </c>
      <c r="D28" s="21">
        <v>7.916666666666667</v>
      </c>
      <c r="E28" s="21"/>
      <c r="F28" s="27">
        <f t="shared" si="0"/>
        <v>5.3490990990990972E-2</v>
      </c>
      <c r="G28" s="21" t="str">
        <f>IFERROR(INDEX(Users!$A$2:$A$310,MATCH(A28,Users!$B$2:$B$310,0)),"")</f>
        <v>Service B</v>
      </c>
      <c r="H28" s="21" t="str">
        <f>IFERROR(INDEX(Users!$D$2:$D$310,MATCH(A28,Users!$B$2:$B$310,0)),"")</f>
        <v>Band 3</v>
      </c>
      <c r="I28" s="19" t="b">
        <f t="shared" si="1"/>
        <v>0</v>
      </c>
      <c r="J28" s="33">
        <f t="shared" si="2"/>
        <v>5.3490990990990972E-2</v>
      </c>
    </row>
    <row r="29" spans="1:10">
      <c r="A29" s="19" t="s">
        <v>31</v>
      </c>
      <c r="B29" s="20">
        <v>45992</v>
      </c>
      <c r="C29" s="21">
        <v>155.40000000000006</v>
      </c>
      <c r="D29" s="21">
        <v>1.25</v>
      </c>
      <c r="E29" s="21">
        <v>1.25</v>
      </c>
      <c r="F29" s="27">
        <f t="shared" si="0"/>
        <v>8.0437580437580404E-3</v>
      </c>
      <c r="G29" s="21" t="str">
        <f>IFERROR(INDEX(Users!$A$2:$A$310,MATCH(A29,Users!$B$2:$B$310,0)),"")</f>
        <v>Service B</v>
      </c>
      <c r="H29" s="21" t="str">
        <f>IFERROR(INDEX(Users!$D$2:$D$310,MATCH(A29,Users!$B$2:$B$310,0)),"")</f>
        <v>Band 3</v>
      </c>
      <c r="I29" s="19" t="b">
        <f t="shared" si="1"/>
        <v>0</v>
      </c>
      <c r="J29" s="33">
        <f t="shared" si="2"/>
        <v>8.0437580437580404E-3</v>
      </c>
    </row>
    <row r="30" spans="1:10">
      <c r="A30" s="19" t="s">
        <v>31</v>
      </c>
      <c r="B30" s="20">
        <v>46023</v>
      </c>
      <c r="C30" s="21">
        <v>155.40000000000006</v>
      </c>
      <c r="D30" s="21">
        <v>95.06</v>
      </c>
      <c r="E30" s="21">
        <v>22.310000000000002</v>
      </c>
      <c r="F30" s="27">
        <f t="shared" si="0"/>
        <v>0.61171171171171146</v>
      </c>
      <c r="G30" s="21" t="str">
        <f>IFERROR(INDEX(Users!$A$2:$A$310,MATCH(A30,Users!$B$2:$B$310,0)),"")</f>
        <v>Service B</v>
      </c>
      <c r="H30" s="21" t="str">
        <f>IFERROR(INDEX(Users!$D$2:$D$310,MATCH(A30,Users!$B$2:$B$310,0)),"")</f>
        <v>Band 3</v>
      </c>
      <c r="I30" s="19" t="b">
        <f t="shared" si="1"/>
        <v>0</v>
      </c>
      <c r="J30" s="33" t="str">
        <f t="shared" si="2"/>
        <v/>
      </c>
    </row>
    <row r="31" spans="1:10">
      <c r="A31" s="19" t="s">
        <v>32</v>
      </c>
      <c r="B31" s="20">
        <v>45992</v>
      </c>
      <c r="C31" s="21">
        <v>155.4</v>
      </c>
      <c r="D31" s="21">
        <v>81.400000000000006</v>
      </c>
      <c r="E31" s="21"/>
      <c r="F31" s="27">
        <f t="shared" si="0"/>
        <v>0.52380952380952384</v>
      </c>
      <c r="G31" s="21" t="str">
        <f>IFERROR(INDEX(Users!$A$2:$A$310,MATCH(A31,Users!$B$2:$B$310,0)),"")</f>
        <v>Service A</v>
      </c>
      <c r="H31" s="21" t="str">
        <f>IFERROR(INDEX(Users!$D$2:$D$310,MATCH(A31,Users!$B$2:$B$310,0)),"")</f>
        <v>Band 3</v>
      </c>
      <c r="I31" s="19" t="b">
        <f t="shared" si="1"/>
        <v>1</v>
      </c>
      <c r="J31" s="33" t="str">
        <f t="shared" si="2"/>
        <v/>
      </c>
    </row>
    <row r="32" spans="1:10">
      <c r="A32" s="19" t="s">
        <v>32</v>
      </c>
      <c r="B32" s="20">
        <v>46023</v>
      </c>
      <c r="C32" s="21">
        <v>155.4</v>
      </c>
      <c r="D32" s="21">
        <v>140.60000000000005</v>
      </c>
      <c r="E32" s="21"/>
      <c r="F32" s="27">
        <f t="shared" si="0"/>
        <v>0.9047619047619051</v>
      </c>
      <c r="G32" s="21" t="str">
        <f>IFERROR(INDEX(Users!$A$2:$A$310,MATCH(A32,Users!$B$2:$B$310,0)),"")</f>
        <v>Service A</v>
      </c>
      <c r="H32" s="21" t="str">
        <f>IFERROR(INDEX(Users!$D$2:$D$310,MATCH(A32,Users!$B$2:$B$310,0)),"")</f>
        <v>Band 3</v>
      </c>
      <c r="I32" s="19" t="b">
        <f t="shared" si="1"/>
        <v>1</v>
      </c>
      <c r="J32" s="33" t="str">
        <f t="shared" si="2"/>
        <v/>
      </c>
    </row>
    <row r="33" spans="1:10">
      <c r="A33" s="19" t="s">
        <v>33</v>
      </c>
      <c r="B33" s="20">
        <v>45901</v>
      </c>
      <c r="C33" s="21"/>
      <c r="D33" s="21"/>
      <c r="E33" s="21"/>
      <c r="F33" s="27" t="str">
        <f t="shared" si="0"/>
        <v/>
      </c>
      <c r="G33" s="21" t="str">
        <f>IFERROR(INDEX(Users!$A$2:$A$310,MATCH(A33,Users!$B$2:$B$310,0)),"")</f>
        <v>Service B</v>
      </c>
      <c r="H33" s="21" t="str">
        <f>IFERROR(INDEX(Users!$D$2:$D$310,MATCH(A33,Users!$B$2:$B$310,0)),"")</f>
        <v>Band 3</v>
      </c>
      <c r="I33" s="19" t="b">
        <f t="shared" si="1"/>
        <v>0</v>
      </c>
      <c r="J33" s="33" t="str">
        <f t="shared" si="2"/>
        <v/>
      </c>
    </row>
    <row r="34" spans="1:10">
      <c r="A34" s="19" t="s">
        <v>33</v>
      </c>
      <c r="B34" s="20">
        <v>45931</v>
      </c>
      <c r="C34" s="21">
        <v>166.5</v>
      </c>
      <c r="D34" s="21"/>
      <c r="E34" s="21"/>
      <c r="F34" s="27" t="str">
        <f t="shared" si="0"/>
        <v/>
      </c>
      <c r="G34" s="21" t="str">
        <f>IFERROR(INDEX(Users!$A$2:$A$310,MATCH(A34,Users!$B$2:$B$310,0)),"")</f>
        <v>Service B</v>
      </c>
      <c r="H34" s="21" t="str">
        <f>IFERROR(INDEX(Users!$D$2:$D$310,MATCH(A34,Users!$B$2:$B$310,0)),"")</f>
        <v>Band 3</v>
      </c>
      <c r="I34" s="19" t="b">
        <f t="shared" si="1"/>
        <v>0</v>
      </c>
      <c r="J34" s="33" t="str">
        <f t="shared" si="2"/>
        <v/>
      </c>
    </row>
    <row r="35" spans="1:10">
      <c r="A35" s="19" t="s">
        <v>33</v>
      </c>
      <c r="B35" s="20">
        <v>45962</v>
      </c>
      <c r="C35" s="21">
        <v>148</v>
      </c>
      <c r="D35" s="21">
        <v>56.781111111111109</v>
      </c>
      <c r="E35" s="21"/>
      <c r="F35" s="27">
        <f t="shared" si="0"/>
        <v>0.38365615615615611</v>
      </c>
      <c r="G35" s="21" t="str">
        <f>IFERROR(INDEX(Users!$A$2:$A$310,MATCH(A35,Users!$B$2:$B$310,0)),"")</f>
        <v>Service B</v>
      </c>
      <c r="H35" s="21" t="str">
        <f>IFERROR(INDEX(Users!$D$2:$D$310,MATCH(A35,Users!$B$2:$B$310,0)),"")</f>
        <v>Band 3</v>
      </c>
      <c r="I35" s="19" t="b">
        <f t="shared" si="1"/>
        <v>0</v>
      </c>
      <c r="J35" s="33">
        <f t="shared" si="2"/>
        <v>0.38365615615615611</v>
      </c>
    </row>
    <row r="36" spans="1:10">
      <c r="A36" s="19" t="s">
        <v>33</v>
      </c>
      <c r="B36" s="20">
        <v>45992</v>
      </c>
      <c r="C36" s="21">
        <v>166.5</v>
      </c>
      <c r="D36" s="21">
        <v>1.42</v>
      </c>
      <c r="E36" s="21">
        <v>1.42</v>
      </c>
      <c r="F36" s="27">
        <f t="shared" si="0"/>
        <v>8.5285285285285287E-3</v>
      </c>
      <c r="G36" s="21" t="str">
        <f>IFERROR(INDEX(Users!$A$2:$A$310,MATCH(A36,Users!$B$2:$B$310,0)),"")</f>
        <v>Service B</v>
      </c>
      <c r="H36" s="21" t="str">
        <f>IFERROR(INDEX(Users!$D$2:$D$310,MATCH(A36,Users!$B$2:$B$310,0)),"")</f>
        <v>Band 3</v>
      </c>
      <c r="I36" s="19" t="b">
        <f t="shared" si="1"/>
        <v>0</v>
      </c>
      <c r="J36" s="33">
        <f t="shared" si="2"/>
        <v>8.5285285285285287E-3</v>
      </c>
    </row>
    <row r="37" spans="1:10">
      <c r="A37" s="19" t="s">
        <v>33</v>
      </c>
      <c r="B37" s="20">
        <v>46023</v>
      </c>
      <c r="C37" s="21">
        <v>148</v>
      </c>
      <c r="D37" s="21">
        <v>2.5300000000000002</v>
      </c>
      <c r="E37" s="21">
        <v>2.5300000000000002</v>
      </c>
      <c r="F37" s="27">
        <f t="shared" si="0"/>
        <v>1.7094594594594597E-2</v>
      </c>
      <c r="G37" s="21" t="str">
        <f>IFERROR(INDEX(Users!$A$2:$A$310,MATCH(A37,Users!$B$2:$B$310,0)),"")</f>
        <v>Service B</v>
      </c>
      <c r="H37" s="21" t="str">
        <f>IFERROR(INDEX(Users!$D$2:$D$310,MATCH(A37,Users!$B$2:$B$310,0)),"")</f>
        <v>Band 3</v>
      </c>
      <c r="I37" s="19" t="b">
        <f t="shared" si="1"/>
        <v>0</v>
      </c>
      <c r="J37" s="33" t="str">
        <f t="shared" si="2"/>
        <v/>
      </c>
    </row>
    <row r="38" spans="1:10">
      <c r="A38" s="19" t="s">
        <v>35</v>
      </c>
      <c r="B38" s="20">
        <v>45992</v>
      </c>
      <c r="C38" s="21">
        <v>133.20000000000002</v>
      </c>
      <c r="D38" s="21"/>
      <c r="E38" s="21"/>
      <c r="F38" s="27" t="str">
        <f t="shared" si="0"/>
        <v/>
      </c>
      <c r="G38" s="21" t="str">
        <f>IFERROR(INDEX(Users!$A$2:$A$310,MATCH(A38,Users!$B$2:$B$310,0)),"")</f>
        <v>Service A</v>
      </c>
      <c r="H38" s="21" t="str">
        <f>IFERROR(INDEX(Users!$D$2:$D$310,MATCH(A38,Users!$B$2:$B$310,0)),"")</f>
        <v>Band 3</v>
      </c>
      <c r="I38" s="19" t="b">
        <f t="shared" si="1"/>
        <v>1</v>
      </c>
      <c r="J38" s="33" t="str">
        <f t="shared" si="2"/>
        <v/>
      </c>
    </row>
    <row r="39" spans="1:10">
      <c r="A39" s="19" t="s">
        <v>35</v>
      </c>
      <c r="B39" s="20">
        <v>46023</v>
      </c>
      <c r="C39" s="21">
        <v>140.6</v>
      </c>
      <c r="D39" s="21"/>
      <c r="E39" s="21"/>
      <c r="F39" s="27" t="str">
        <f t="shared" si="0"/>
        <v/>
      </c>
      <c r="G39" s="21" t="str">
        <f>IFERROR(INDEX(Users!$A$2:$A$310,MATCH(A39,Users!$B$2:$B$310,0)),"")</f>
        <v>Service A</v>
      </c>
      <c r="H39" s="21" t="str">
        <f>IFERROR(INDEX(Users!$D$2:$D$310,MATCH(A39,Users!$B$2:$B$310,0)),"")</f>
        <v>Band 3</v>
      </c>
      <c r="I39" s="19" t="b">
        <f t="shared" si="1"/>
        <v>1</v>
      </c>
      <c r="J39" s="33" t="str">
        <f t="shared" si="2"/>
        <v/>
      </c>
    </row>
    <row r="40" spans="1:10">
      <c r="A40" s="19" t="s">
        <v>37</v>
      </c>
      <c r="B40" s="20">
        <v>45901</v>
      </c>
      <c r="C40" s="21">
        <v>76</v>
      </c>
      <c r="D40" s="21">
        <v>72.903333333333336</v>
      </c>
      <c r="E40" s="21">
        <v>57.07</v>
      </c>
      <c r="F40" s="27">
        <f t="shared" si="0"/>
        <v>0.9592543859649123</v>
      </c>
      <c r="G40" s="21" t="str">
        <f>IFERROR(INDEX(Users!$A$2:$A$310,MATCH(A40,Users!$B$2:$B$310,0)),"")</f>
        <v>Service A</v>
      </c>
      <c r="H40" s="21" t="str">
        <f>IFERROR(INDEX(Users!$D$2:$D$310,MATCH(A40,Users!$B$2:$B$310,0)),"")</f>
        <v>Band 3</v>
      </c>
      <c r="I40" s="19" t="b">
        <f t="shared" si="1"/>
        <v>1</v>
      </c>
      <c r="J40" s="33" t="str">
        <f t="shared" si="2"/>
        <v/>
      </c>
    </row>
    <row r="41" spans="1:10">
      <c r="A41" s="19" t="s">
        <v>37</v>
      </c>
      <c r="B41" s="20">
        <v>45931</v>
      </c>
      <c r="C41" s="21">
        <v>134</v>
      </c>
      <c r="D41" s="21">
        <v>119.17666666666668</v>
      </c>
      <c r="E41" s="21">
        <v>87.01</v>
      </c>
      <c r="F41" s="27">
        <f t="shared" si="0"/>
        <v>0.88937810945273643</v>
      </c>
      <c r="G41" s="21" t="str">
        <f>IFERROR(INDEX(Users!$A$2:$A$310,MATCH(A41,Users!$B$2:$B$310,0)),"")</f>
        <v>Service A</v>
      </c>
      <c r="H41" s="21" t="str">
        <f>IFERROR(INDEX(Users!$D$2:$D$310,MATCH(A41,Users!$B$2:$B$310,0)),"")</f>
        <v>Band 3</v>
      </c>
      <c r="I41" s="19" t="b">
        <f t="shared" si="1"/>
        <v>1</v>
      </c>
      <c r="J41" s="33" t="str">
        <f t="shared" si="2"/>
        <v/>
      </c>
    </row>
    <row r="42" spans="1:10">
      <c r="A42" s="19" t="s">
        <v>37</v>
      </c>
      <c r="B42" s="20">
        <v>45962</v>
      </c>
      <c r="C42" s="21">
        <v>120</v>
      </c>
      <c r="D42" s="21">
        <v>107.5</v>
      </c>
      <c r="E42" s="21">
        <v>87.5</v>
      </c>
      <c r="F42" s="27">
        <f t="shared" si="0"/>
        <v>0.89583333333333337</v>
      </c>
      <c r="G42" s="21" t="str">
        <f>IFERROR(INDEX(Users!$A$2:$A$310,MATCH(A42,Users!$B$2:$B$310,0)),"")</f>
        <v>Service A</v>
      </c>
      <c r="H42" s="21" t="str">
        <f>IFERROR(INDEX(Users!$D$2:$D$310,MATCH(A42,Users!$B$2:$B$310,0)),"")</f>
        <v>Band 3</v>
      </c>
      <c r="I42" s="19" t="b">
        <f t="shared" si="1"/>
        <v>1</v>
      </c>
      <c r="J42" s="33" t="str">
        <f t="shared" si="2"/>
        <v/>
      </c>
    </row>
    <row r="43" spans="1:10">
      <c r="A43" s="19" t="s">
        <v>37</v>
      </c>
      <c r="B43" s="20">
        <v>45992</v>
      </c>
      <c r="C43" s="21">
        <v>138</v>
      </c>
      <c r="D43" s="21">
        <v>72.25</v>
      </c>
      <c r="E43" s="21">
        <v>45.25</v>
      </c>
      <c r="F43" s="27">
        <f t="shared" si="0"/>
        <v>0.52355072463768115</v>
      </c>
      <c r="G43" s="21" t="str">
        <f>IFERROR(INDEX(Users!$A$2:$A$310,MATCH(A43,Users!$B$2:$B$310,0)),"")</f>
        <v>Service A</v>
      </c>
      <c r="H43" s="21" t="str">
        <f>IFERROR(INDEX(Users!$D$2:$D$310,MATCH(A43,Users!$B$2:$B$310,0)),"")</f>
        <v>Band 3</v>
      </c>
      <c r="I43" s="19" t="b">
        <f t="shared" si="1"/>
        <v>1</v>
      </c>
      <c r="J43" s="33" t="str">
        <f t="shared" si="2"/>
        <v/>
      </c>
    </row>
    <row r="44" spans="1:10">
      <c r="A44" s="19" t="s">
        <v>37</v>
      </c>
      <c r="B44" s="20">
        <v>46023</v>
      </c>
      <c r="C44" s="21">
        <v>120</v>
      </c>
      <c r="D44" s="21">
        <v>118.07666666666667</v>
      </c>
      <c r="E44" s="21">
        <v>95.91</v>
      </c>
      <c r="F44" s="27">
        <f t="shared" si="0"/>
        <v>0.98397222222222225</v>
      </c>
      <c r="G44" s="21" t="str">
        <f>IFERROR(INDEX(Users!$A$2:$A$310,MATCH(A44,Users!$B$2:$B$310,0)),"")</f>
        <v>Service A</v>
      </c>
      <c r="H44" s="21" t="str">
        <f>IFERROR(INDEX(Users!$D$2:$D$310,MATCH(A44,Users!$B$2:$B$310,0)),"")</f>
        <v>Band 3</v>
      </c>
      <c r="I44" s="19" t="b">
        <f t="shared" si="1"/>
        <v>1</v>
      </c>
      <c r="J44" s="33" t="str">
        <f t="shared" si="2"/>
        <v/>
      </c>
    </row>
    <row r="45" spans="1:10">
      <c r="A45" s="19" t="s">
        <v>38</v>
      </c>
      <c r="B45" s="20">
        <v>45992</v>
      </c>
      <c r="C45" s="21">
        <v>155.40000000000006</v>
      </c>
      <c r="D45" s="21">
        <v>137.20000000000005</v>
      </c>
      <c r="E45" s="21">
        <v>0.3</v>
      </c>
      <c r="F45" s="27">
        <f t="shared" si="0"/>
        <v>0.88288288288288286</v>
      </c>
      <c r="G45" s="21" t="str">
        <f>IFERROR(INDEX(Users!$A$2:$A$310,MATCH(A45,Users!$B$2:$B$310,0)),"")</f>
        <v>Service B</v>
      </c>
      <c r="H45" s="21" t="str">
        <f>IFERROR(INDEX(Users!$D$2:$D$310,MATCH(A45,Users!$B$2:$B$310,0)),"")</f>
        <v>Band 3</v>
      </c>
      <c r="I45" s="19" t="b">
        <f t="shared" si="1"/>
        <v>0</v>
      </c>
      <c r="J45" s="33">
        <f t="shared" si="2"/>
        <v>0.88288288288288286</v>
      </c>
    </row>
    <row r="46" spans="1:10">
      <c r="A46" s="19" t="s">
        <v>38</v>
      </c>
      <c r="B46" s="20">
        <v>46023</v>
      </c>
      <c r="C46" s="21">
        <v>155.40000000000006</v>
      </c>
      <c r="D46" s="21">
        <v>139.3080555555556</v>
      </c>
      <c r="E46" s="21">
        <v>12.25</v>
      </c>
      <c r="F46" s="27">
        <f t="shared" si="0"/>
        <v>0.89644823394823381</v>
      </c>
      <c r="G46" s="21" t="str">
        <f>IFERROR(INDEX(Users!$A$2:$A$310,MATCH(A46,Users!$B$2:$B$310,0)),"")</f>
        <v>Service B</v>
      </c>
      <c r="H46" s="21" t="str">
        <f>IFERROR(INDEX(Users!$D$2:$D$310,MATCH(A46,Users!$B$2:$B$310,0)),"")</f>
        <v>Band 3</v>
      </c>
      <c r="I46" s="19" t="b">
        <f t="shared" si="1"/>
        <v>0</v>
      </c>
      <c r="J46" s="33" t="str">
        <f t="shared" si="2"/>
        <v/>
      </c>
    </row>
    <row r="47" spans="1:10">
      <c r="A47" s="19" t="s">
        <v>39</v>
      </c>
      <c r="B47" s="20">
        <v>45962</v>
      </c>
      <c r="C47" s="21">
        <v>111</v>
      </c>
      <c r="D47" s="21"/>
      <c r="E47" s="21"/>
      <c r="F47" s="27" t="str">
        <f t="shared" si="0"/>
        <v/>
      </c>
      <c r="G47" s="21" t="str">
        <f>IFERROR(INDEX(Users!$A$2:$A$310,MATCH(A47,Users!$B$2:$B$310,0)),"")</f>
        <v>Service B</v>
      </c>
      <c r="H47" s="21" t="str">
        <f>IFERROR(INDEX(Users!$D$2:$D$310,MATCH(A47,Users!$B$2:$B$310,0)),"")</f>
        <v>Band 3</v>
      </c>
      <c r="I47" s="19" t="b">
        <f t="shared" si="1"/>
        <v>0</v>
      </c>
      <c r="J47" s="33" t="str">
        <f t="shared" si="2"/>
        <v/>
      </c>
    </row>
    <row r="48" spans="1:10">
      <c r="A48" s="19" t="s">
        <v>39</v>
      </c>
      <c r="B48" s="20">
        <v>45992</v>
      </c>
      <c r="C48" s="21">
        <v>148</v>
      </c>
      <c r="D48" s="21">
        <v>7.1022222222222222</v>
      </c>
      <c r="E48" s="21">
        <v>7.08</v>
      </c>
      <c r="F48" s="27">
        <f t="shared" si="0"/>
        <v>4.7987987987987986E-2</v>
      </c>
      <c r="G48" s="21" t="str">
        <f>IFERROR(INDEX(Users!$A$2:$A$310,MATCH(A48,Users!$B$2:$B$310,0)),"")</f>
        <v>Service B</v>
      </c>
      <c r="H48" s="21" t="str">
        <f>IFERROR(INDEX(Users!$D$2:$D$310,MATCH(A48,Users!$B$2:$B$310,0)),"")</f>
        <v>Band 3</v>
      </c>
      <c r="I48" s="19" t="b">
        <f t="shared" si="1"/>
        <v>0</v>
      </c>
      <c r="J48" s="33">
        <f t="shared" si="2"/>
        <v>4.7987987987987986E-2</v>
      </c>
    </row>
    <row r="49" spans="1:10">
      <c r="A49" s="19" t="s">
        <v>39</v>
      </c>
      <c r="B49" s="20">
        <v>46023</v>
      </c>
      <c r="C49" s="21">
        <v>157.25</v>
      </c>
      <c r="D49" s="21">
        <v>162.37666666666667</v>
      </c>
      <c r="E49" s="21">
        <v>78.609999999999985</v>
      </c>
      <c r="F49" s="27">
        <f t="shared" si="0"/>
        <v>1.0326020137784844</v>
      </c>
      <c r="G49" s="21" t="str">
        <f>IFERROR(INDEX(Users!$A$2:$A$310,MATCH(A49,Users!$B$2:$B$310,0)),"")</f>
        <v>Service B</v>
      </c>
      <c r="H49" s="21" t="str">
        <f>IFERROR(INDEX(Users!$D$2:$D$310,MATCH(A49,Users!$B$2:$B$310,0)),"")</f>
        <v>Band 3</v>
      </c>
      <c r="I49" s="19" t="b">
        <f t="shared" si="1"/>
        <v>0</v>
      </c>
      <c r="J49" s="33" t="str">
        <f t="shared" si="2"/>
        <v/>
      </c>
    </row>
    <row r="50" spans="1:10">
      <c r="A50" s="19" t="s">
        <v>41</v>
      </c>
      <c r="B50" s="20">
        <v>45962</v>
      </c>
      <c r="C50" s="21">
        <v>148.00000000000006</v>
      </c>
      <c r="D50" s="21"/>
      <c r="E50" s="21"/>
      <c r="F50" s="27" t="str">
        <f t="shared" si="0"/>
        <v/>
      </c>
      <c r="G50" s="21" t="str">
        <f>IFERROR(INDEX(Users!$A$2:$A$310,MATCH(A50,Users!$B$2:$B$310,0)),"")</f>
        <v>Service B</v>
      </c>
      <c r="H50" s="21" t="str">
        <f>IFERROR(INDEX(Users!$D$2:$D$310,MATCH(A50,Users!$B$2:$B$310,0)),"")</f>
        <v>Band 5</v>
      </c>
      <c r="I50" s="19" t="b">
        <f t="shared" si="1"/>
        <v>0</v>
      </c>
      <c r="J50" s="33" t="str">
        <f t="shared" si="2"/>
        <v/>
      </c>
    </row>
    <row r="51" spans="1:10">
      <c r="A51" s="19" t="s">
        <v>41</v>
      </c>
      <c r="B51" s="20">
        <v>45992</v>
      </c>
      <c r="C51" s="21">
        <v>155.40000000000006</v>
      </c>
      <c r="D51" s="21">
        <v>19.053333333333335</v>
      </c>
      <c r="E51" s="21">
        <v>7.32</v>
      </c>
      <c r="F51" s="27">
        <f t="shared" si="0"/>
        <v>0.12260832260832256</v>
      </c>
      <c r="G51" s="21" t="str">
        <f>IFERROR(INDEX(Users!$A$2:$A$310,MATCH(A51,Users!$B$2:$B$310,0)),"")</f>
        <v>Service B</v>
      </c>
      <c r="H51" s="21" t="str">
        <f>IFERROR(INDEX(Users!$D$2:$D$310,MATCH(A51,Users!$B$2:$B$310,0)),"")</f>
        <v>Band 5</v>
      </c>
      <c r="I51" s="19" t="b">
        <f t="shared" si="1"/>
        <v>0</v>
      </c>
      <c r="J51" s="33">
        <f t="shared" si="2"/>
        <v>0.12260832260832256</v>
      </c>
    </row>
    <row r="52" spans="1:10">
      <c r="A52" s="19" t="s">
        <v>41</v>
      </c>
      <c r="B52" s="20">
        <v>46023</v>
      </c>
      <c r="C52" s="21">
        <v>155.40000000000006</v>
      </c>
      <c r="D52" s="21">
        <v>106.95</v>
      </c>
      <c r="E52" s="21">
        <v>73</v>
      </c>
      <c r="F52" s="27">
        <f t="shared" si="0"/>
        <v>0.68822393822393801</v>
      </c>
      <c r="G52" s="21" t="str">
        <f>IFERROR(INDEX(Users!$A$2:$A$310,MATCH(A52,Users!$B$2:$B$310,0)),"")</f>
        <v>Service B</v>
      </c>
      <c r="H52" s="21" t="str">
        <f>IFERROR(INDEX(Users!$D$2:$D$310,MATCH(A52,Users!$B$2:$B$310,0)),"")</f>
        <v>Band 5</v>
      </c>
      <c r="I52" s="19" t="b">
        <f t="shared" si="1"/>
        <v>0</v>
      </c>
      <c r="J52" s="33" t="str">
        <f t="shared" si="2"/>
        <v/>
      </c>
    </row>
    <row r="53" spans="1:10">
      <c r="A53" s="19" t="s">
        <v>42</v>
      </c>
      <c r="B53" s="20">
        <v>45992</v>
      </c>
      <c r="C53" s="21">
        <v>118.4</v>
      </c>
      <c r="D53" s="21">
        <v>105.44666666666669</v>
      </c>
      <c r="E53" s="21">
        <v>52.530000000000008</v>
      </c>
      <c r="F53" s="27">
        <f t="shared" si="0"/>
        <v>0.89059684684684692</v>
      </c>
      <c r="G53" s="21" t="str">
        <f>IFERROR(INDEX(Users!$A$2:$A$310,MATCH(A53,Users!$B$2:$B$310,0)),"")</f>
        <v>Service C</v>
      </c>
      <c r="H53" s="21" t="str">
        <f>IFERROR(INDEX(Users!$D$2:$D$310,MATCH(A53,Users!$B$2:$B$310,0)),"")</f>
        <v>Band 4</v>
      </c>
      <c r="I53" s="19" t="b">
        <f t="shared" si="1"/>
        <v>0</v>
      </c>
      <c r="J53" s="33" t="str">
        <f t="shared" si="2"/>
        <v/>
      </c>
    </row>
    <row r="54" spans="1:10">
      <c r="A54" s="19" t="s">
        <v>42</v>
      </c>
      <c r="B54" s="20">
        <v>46023</v>
      </c>
      <c r="C54" s="21">
        <v>155.4</v>
      </c>
      <c r="D54" s="21">
        <v>106.1</v>
      </c>
      <c r="E54" s="21">
        <v>46.85</v>
      </c>
      <c r="F54" s="27">
        <f t="shared" si="0"/>
        <v>0.68275418275418265</v>
      </c>
      <c r="G54" s="21" t="str">
        <f>IFERROR(INDEX(Users!$A$2:$A$310,MATCH(A54,Users!$B$2:$B$310,0)),"")</f>
        <v>Service C</v>
      </c>
      <c r="H54" s="21" t="str">
        <f>IFERROR(INDEX(Users!$D$2:$D$310,MATCH(A54,Users!$B$2:$B$310,0)),"")</f>
        <v>Band 4</v>
      </c>
      <c r="I54" s="19" t="b">
        <f t="shared" si="1"/>
        <v>0</v>
      </c>
      <c r="J54" s="33" t="str">
        <f t="shared" si="2"/>
        <v/>
      </c>
    </row>
    <row r="55" spans="1:10">
      <c r="A55" s="19" t="s">
        <v>44</v>
      </c>
      <c r="B55" s="20">
        <v>45901</v>
      </c>
      <c r="C55" s="21">
        <v>51.800000000000004</v>
      </c>
      <c r="D55" s="21">
        <v>37.686944444444443</v>
      </c>
      <c r="E55" s="21"/>
      <c r="F55" s="27">
        <f t="shared" si="0"/>
        <v>0.72754719004718993</v>
      </c>
      <c r="G55" s="21" t="str">
        <f>IFERROR(INDEX(Users!$A$2:$A$310,MATCH(A55,Users!$B$2:$B$310,0)),"")</f>
        <v>Service A</v>
      </c>
      <c r="H55" s="21" t="str">
        <f>IFERROR(INDEX(Users!$D$2:$D$310,MATCH(A55,Users!$B$2:$B$310,0)),"")</f>
        <v>Band 5</v>
      </c>
      <c r="I55" s="19" t="b">
        <f t="shared" si="1"/>
        <v>0</v>
      </c>
      <c r="J55" s="33" t="str">
        <f t="shared" si="2"/>
        <v/>
      </c>
    </row>
    <row r="56" spans="1:10">
      <c r="A56" s="19" t="s">
        <v>44</v>
      </c>
      <c r="B56" s="20">
        <v>45931</v>
      </c>
      <c r="C56" s="21">
        <v>170.20000000000002</v>
      </c>
      <c r="D56" s="21">
        <v>176.72000000000003</v>
      </c>
      <c r="E56" s="21">
        <v>20.170000000000009</v>
      </c>
      <c r="F56" s="27">
        <f t="shared" si="0"/>
        <v>1.0383078730904818</v>
      </c>
      <c r="G56" s="21" t="str">
        <f>IFERROR(INDEX(Users!$A$2:$A$310,MATCH(A56,Users!$B$2:$B$310,0)),"")</f>
        <v>Service A</v>
      </c>
      <c r="H56" s="21" t="str">
        <f>IFERROR(INDEX(Users!$D$2:$D$310,MATCH(A56,Users!$B$2:$B$310,0)),"")</f>
        <v>Band 5</v>
      </c>
      <c r="I56" s="19" t="b">
        <f t="shared" si="1"/>
        <v>0</v>
      </c>
      <c r="J56" s="33" t="str">
        <f t="shared" si="2"/>
        <v/>
      </c>
    </row>
    <row r="57" spans="1:10">
      <c r="A57" s="19" t="s">
        <v>44</v>
      </c>
      <c r="B57" s="20">
        <v>45962</v>
      </c>
      <c r="C57" s="21">
        <v>148</v>
      </c>
      <c r="D57" s="21">
        <v>130.56666666666666</v>
      </c>
      <c r="E57" s="21">
        <v>27.400000000000002</v>
      </c>
      <c r="F57" s="27">
        <f t="shared" si="0"/>
        <v>0.88220720720720713</v>
      </c>
      <c r="G57" s="21" t="str">
        <f>IFERROR(INDEX(Users!$A$2:$A$310,MATCH(A57,Users!$B$2:$B$310,0)),"")</f>
        <v>Service A</v>
      </c>
      <c r="H57" s="21" t="str">
        <f>IFERROR(INDEX(Users!$D$2:$D$310,MATCH(A57,Users!$B$2:$B$310,0)),"")</f>
        <v>Band 5</v>
      </c>
      <c r="I57" s="19" t="b">
        <f t="shared" si="1"/>
        <v>0</v>
      </c>
      <c r="J57" s="33" t="str">
        <f t="shared" si="2"/>
        <v/>
      </c>
    </row>
    <row r="58" spans="1:10">
      <c r="A58" s="19" t="s">
        <v>44</v>
      </c>
      <c r="B58" s="20">
        <v>45992</v>
      </c>
      <c r="C58" s="21">
        <v>155.4</v>
      </c>
      <c r="D58" s="21">
        <v>132.31249999999997</v>
      </c>
      <c r="E58" s="21">
        <v>59.02999999999998</v>
      </c>
      <c r="F58" s="27">
        <f t="shared" si="0"/>
        <v>0.85143178893178872</v>
      </c>
      <c r="G58" s="21" t="str">
        <f>IFERROR(INDEX(Users!$A$2:$A$310,MATCH(A58,Users!$B$2:$B$310,0)),"")</f>
        <v>Service A</v>
      </c>
      <c r="H58" s="21" t="str">
        <f>IFERROR(INDEX(Users!$D$2:$D$310,MATCH(A58,Users!$B$2:$B$310,0)),"")</f>
        <v>Band 5</v>
      </c>
      <c r="I58" s="19" t="b">
        <f t="shared" si="1"/>
        <v>0</v>
      </c>
      <c r="J58" s="33" t="str">
        <f t="shared" si="2"/>
        <v/>
      </c>
    </row>
    <row r="59" spans="1:10">
      <c r="A59" s="19" t="s">
        <v>44</v>
      </c>
      <c r="B59" s="20">
        <v>46023</v>
      </c>
      <c r="C59" s="21">
        <v>155.4</v>
      </c>
      <c r="D59" s="21">
        <v>158.91333333333333</v>
      </c>
      <c r="E59" s="21">
        <v>106.18</v>
      </c>
      <c r="F59" s="27">
        <f t="shared" si="0"/>
        <v>1.0226083226083225</v>
      </c>
      <c r="G59" s="21" t="str">
        <f>IFERROR(INDEX(Users!$A$2:$A$310,MATCH(A59,Users!$B$2:$B$310,0)),"")</f>
        <v>Service A</v>
      </c>
      <c r="H59" s="21" t="str">
        <f>IFERROR(INDEX(Users!$D$2:$D$310,MATCH(A59,Users!$B$2:$B$310,0)),"")</f>
        <v>Band 5</v>
      </c>
      <c r="I59" s="19" t="b">
        <f t="shared" si="1"/>
        <v>0</v>
      </c>
      <c r="J59" s="33" t="str">
        <f t="shared" si="2"/>
        <v/>
      </c>
    </row>
    <row r="60" spans="1:10">
      <c r="A60" s="19" t="s">
        <v>45</v>
      </c>
      <c r="B60" s="20">
        <v>45992</v>
      </c>
      <c r="C60" s="21">
        <v>127.5</v>
      </c>
      <c r="D60" s="21">
        <v>94.576666666666682</v>
      </c>
      <c r="E60" s="21">
        <v>59.660000000000004</v>
      </c>
      <c r="F60" s="27">
        <f t="shared" si="0"/>
        <v>0.74177777777777787</v>
      </c>
      <c r="G60" s="21" t="str">
        <f>IFERROR(INDEX(Users!$A$2:$A$310,MATCH(A60,Users!$B$2:$B$310,0)),"")</f>
        <v>Service A</v>
      </c>
      <c r="H60" s="21" t="str">
        <f>IFERROR(INDEX(Users!$D$2:$D$310,MATCH(A60,Users!$B$2:$B$310,0)),"")</f>
        <v>Band 3</v>
      </c>
      <c r="I60" s="19" t="b">
        <f t="shared" si="1"/>
        <v>1</v>
      </c>
      <c r="J60" s="33" t="str">
        <f t="shared" si="2"/>
        <v/>
      </c>
    </row>
    <row r="61" spans="1:10">
      <c r="A61" s="19" t="s">
        <v>45</v>
      </c>
      <c r="B61" s="20">
        <v>46023</v>
      </c>
      <c r="C61" s="21">
        <v>120</v>
      </c>
      <c r="D61" s="21">
        <v>127.84666666666668</v>
      </c>
      <c r="E61" s="21">
        <v>88.43</v>
      </c>
      <c r="F61" s="27">
        <f t="shared" si="0"/>
        <v>1.0653888888888889</v>
      </c>
      <c r="G61" s="21" t="str">
        <f>IFERROR(INDEX(Users!$A$2:$A$310,MATCH(A61,Users!$B$2:$B$310,0)),"")</f>
        <v>Service A</v>
      </c>
      <c r="H61" s="21" t="str">
        <f>IFERROR(INDEX(Users!$D$2:$D$310,MATCH(A61,Users!$B$2:$B$310,0)),"")</f>
        <v>Band 3</v>
      </c>
      <c r="I61" s="19" t="b">
        <f t="shared" si="1"/>
        <v>1</v>
      </c>
      <c r="J61" s="33" t="str">
        <f t="shared" si="2"/>
        <v/>
      </c>
    </row>
    <row r="62" spans="1:10">
      <c r="A62" s="19" t="s">
        <v>46</v>
      </c>
      <c r="B62" s="20">
        <v>45658</v>
      </c>
      <c r="C62" s="21">
        <v>162.80000000000001</v>
      </c>
      <c r="D62" s="21"/>
      <c r="E62" s="21"/>
      <c r="F62" s="27" t="str">
        <f t="shared" si="0"/>
        <v/>
      </c>
      <c r="G62" s="21" t="str">
        <f>IFERROR(INDEX(Users!$A$2:$A$310,MATCH(A62,Users!$B$2:$B$310,0)),"")</f>
        <v>Service A</v>
      </c>
      <c r="H62" s="21" t="str">
        <f>IFERROR(INDEX(Users!$D$2:$D$310,MATCH(A62,Users!$B$2:$B$310,0)),"")</f>
        <v>Band 3</v>
      </c>
      <c r="I62" s="19" t="b">
        <f t="shared" si="1"/>
        <v>1</v>
      </c>
      <c r="J62" s="33" t="str">
        <f t="shared" si="2"/>
        <v/>
      </c>
    </row>
    <row r="63" spans="1:10">
      <c r="A63" s="19" t="s">
        <v>46</v>
      </c>
      <c r="B63" s="20">
        <v>45689</v>
      </c>
      <c r="C63" s="21">
        <v>74</v>
      </c>
      <c r="D63" s="21"/>
      <c r="E63" s="21"/>
      <c r="F63" s="27" t="str">
        <f t="shared" si="0"/>
        <v/>
      </c>
      <c r="G63" s="21" t="str">
        <f>IFERROR(INDEX(Users!$A$2:$A$310,MATCH(A63,Users!$B$2:$B$310,0)),"")</f>
        <v>Service A</v>
      </c>
      <c r="H63" s="21" t="str">
        <f>IFERROR(INDEX(Users!$D$2:$D$310,MATCH(A63,Users!$B$2:$B$310,0)),"")</f>
        <v>Band 3</v>
      </c>
      <c r="I63" s="19" t="b">
        <f t="shared" si="1"/>
        <v>1</v>
      </c>
      <c r="J63" s="33" t="str">
        <f t="shared" si="2"/>
        <v/>
      </c>
    </row>
    <row r="64" spans="1:10">
      <c r="A64" s="19" t="s">
        <v>48</v>
      </c>
      <c r="B64" s="20">
        <v>45658</v>
      </c>
      <c r="C64" s="21">
        <v>162.80000000000001</v>
      </c>
      <c r="D64" s="21">
        <v>88.953333333333319</v>
      </c>
      <c r="E64" s="21">
        <v>6.42</v>
      </c>
      <c r="F64" s="27">
        <f t="shared" si="0"/>
        <v>0.54639639639639626</v>
      </c>
      <c r="G64" s="21" t="str">
        <f>IFERROR(INDEX(Users!$A$2:$A$310,MATCH(A64,Users!$B$2:$B$310,0)),"")</f>
        <v>Service B</v>
      </c>
      <c r="H64" s="21" t="str">
        <f>IFERROR(INDEX(Users!$D$2:$D$310,MATCH(A64,Users!$B$2:$B$310,0)),"")</f>
        <v>Band 3</v>
      </c>
      <c r="I64" s="19" t="b">
        <f t="shared" si="1"/>
        <v>0</v>
      </c>
      <c r="J64" s="33">
        <f t="shared" si="2"/>
        <v>0.54639639639639626</v>
      </c>
    </row>
    <row r="65" spans="1:10">
      <c r="A65" s="19" t="s">
        <v>48</v>
      </c>
      <c r="B65" s="20">
        <v>45689</v>
      </c>
      <c r="C65" s="21">
        <v>148</v>
      </c>
      <c r="D65" s="21">
        <v>159.98666666666668</v>
      </c>
      <c r="E65" s="21">
        <v>27.620000000000005</v>
      </c>
      <c r="F65" s="27">
        <f t="shared" si="0"/>
        <v>1.0809909909909912</v>
      </c>
      <c r="G65" s="21" t="str">
        <f>IFERROR(INDEX(Users!$A$2:$A$310,MATCH(A65,Users!$B$2:$B$310,0)),"")</f>
        <v>Service B</v>
      </c>
      <c r="H65" s="21" t="str">
        <f>IFERROR(INDEX(Users!$D$2:$D$310,MATCH(A65,Users!$B$2:$B$310,0)),"")</f>
        <v>Band 3</v>
      </c>
      <c r="I65" s="19" t="b">
        <f t="shared" si="1"/>
        <v>0</v>
      </c>
      <c r="J65" s="33">
        <f t="shared" si="2"/>
        <v>1.0809909909909912</v>
      </c>
    </row>
    <row r="66" spans="1:10">
      <c r="A66" s="19" t="s">
        <v>48</v>
      </c>
      <c r="B66" s="20">
        <v>45717</v>
      </c>
      <c r="C66" s="21">
        <v>155.4</v>
      </c>
      <c r="D66" s="21">
        <v>150.65000000000003</v>
      </c>
      <c r="E66" s="21">
        <v>49.20000000000001</v>
      </c>
      <c r="F66" s="27">
        <f t="shared" ref="F66:F129" si="3">IFERROR(IF(OR(C66="",D66="",C66=0),"",D66/C66),"")</f>
        <v>0.96943371943371959</v>
      </c>
      <c r="G66" s="21" t="str">
        <f>IFERROR(INDEX(Users!$A$2:$A$310,MATCH(A66,Users!$B$2:$B$310,0)),"")</f>
        <v>Service B</v>
      </c>
      <c r="H66" s="21" t="str">
        <f>IFERROR(INDEX(Users!$D$2:$D$310,MATCH(A66,Users!$B$2:$B$310,0)),"")</f>
        <v>Band 3</v>
      </c>
      <c r="I66" s="19" t="b">
        <f t="shared" ref="I66:I129" si="4">AND(G66="Service A",H66="Band 3")</f>
        <v>0</v>
      </c>
      <c r="J66" s="33">
        <f t="shared" ref="J66:J129" si="5">IF(AND(B66&gt;=DATE(2025,1,1),B66&lt;DATE(2026,1,1),G66="Service B",OR(H66="Band 3",H66="Band 5"),ISNUMBER(F66)),F66,"")</f>
        <v>0.96943371943371959</v>
      </c>
    </row>
    <row r="67" spans="1:10">
      <c r="A67" s="19" t="s">
        <v>48</v>
      </c>
      <c r="B67" s="20">
        <v>45748</v>
      </c>
      <c r="C67" s="21">
        <v>148</v>
      </c>
      <c r="D67" s="21">
        <v>138.27333333333334</v>
      </c>
      <c r="E67" s="21">
        <v>55.690000000000005</v>
      </c>
      <c r="F67" s="27">
        <f t="shared" si="3"/>
        <v>0.93427927927927934</v>
      </c>
      <c r="G67" s="21" t="str">
        <f>IFERROR(INDEX(Users!$A$2:$A$310,MATCH(A67,Users!$B$2:$B$310,0)),"")</f>
        <v>Service B</v>
      </c>
      <c r="H67" s="21" t="str">
        <f>IFERROR(INDEX(Users!$D$2:$D$310,MATCH(A67,Users!$B$2:$B$310,0)),"")</f>
        <v>Band 3</v>
      </c>
      <c r="I67" s="19" t="b">
        <f t="shared" si="4"/>
        <v>0</v>
      </c>
      <c r="J67" s="33">
        <f t="shared" si="5"/>
        <v>0.93427927927927934</v>
      </c>
    </row>
    <row r="68" spans="1:10">
      <c r="A68" s="19" t="s">
        <v>48</v>
      </c>
      <c r="B68" s="20">
        <v>45778</v>
      </c>
      <c r="C68" s="21">
        <v>148</v>
      </c>
      <c r="D68" s="21">
        <v>135.94</v>
      </c>
      <c r="E68" s="21">
        <v>63.440000000000005</v>
      </c>
      <c r="F68" s="27">
        <f t="shared" si="3"/>
        <v>0.91851351351351351</v>
      </c>
      <c r="G68" s="21" t="str">
        <f>IFERROR(INDEX(Users!$A$2:$A$310,MATCH(A68,Users!$B$2:$B$310,0)),"")</f>
        <v>Service B</v>
      </c>
      <c r="H68" s="21" t="str">
        <f>IFERROR(INDEX(Users!$D$2:$D$310,MATCH(A68,Users!$B$2:$B$310,0)),"")</f>
        <v>Band 3</v>
      </c>
      <c r="I68" s="19" t="b">
        <f t="shared" si="4"/>
        <v>0</v>
      </c>
      <c r="J68" s="33">
        <f t="shared" si="5"/>
        <v>0.91851351351351351</v>
      </c>
    </row>
    <row r="69" spans="1:10">
      <c r="A69" s="19" t="s">
        <v>48</v>
      </c>
      <c r="B69" s="20">
        <v>45809</v>
      </c>
      <c r="C69" s="21">
        <v>155.4</v>
      </c>
      <c r="D69" s="21">
        <v>136.32666666666665</v>
      </c>
      <c r="E69" s="21">
        <v>87.259999999999991</v>
      </c>
      <c r="F69" s="27">
        <f t="shared" si="3"/>
        <v>0.87726297726297719</v>
      </c>
      <c r="G69" s="21" t="str">
        <f>IFERROR(INDEX(Users!$A$2:$A$310,MATCH(A69,Users!$B$2:$B$310,0)),"")</f>
        <v>Service B</v>
      </c>
      <c r="H69" s="21" t="str">
        <f>IFERROR(INDEX(Users!$D$2:$D$310,MATCH(A69,Users!$B$2:$B$310,0)),"")</f>
        <v>Band 3</v>
      </c>
      <c r="I69" s="19" t="b">
        <f t="shared" si="4"/>
        <v>0</v>
      </c>
      <c r="J69" s="33">
        <f t="shared" si="5"/>
        <v>0.87726297726297719</v>
      </c>
    </row>
    <row r="70" spans="1:10">
      <c r="A70" s="19" t="s">
        <v>48</v>
      </c>
      <c r="B70" s="20">
        <v>45839</v>
      </c>
      <c r="C70" s="21">
        <v>170.20000000000002</v>
      </c>
      <c r="D70" s="21">
        <v>116.9733333333333</v>
      </c>
      <c r="E70" s="21">
        <v>60.589999999999996</v>
      </c>
      <c r="F70" s="27">
        <f t="shared" si="3"/>
        <v>0.68726987857422617</v>
      </c>
      <c r="G70" s="21" t="str">
        <f>IFERROR(INDEX(Users!$A$2:$A$310,MATCH(A70,Users!$B$2:$B$310,0)),"")</f>
        <v>Service B</v>
      </c>
      <c r="H70" s="21" t="str">
        <f>IFERROR(INDEX(Users!$D$2:$D$310,MATCH(A70,Users!$B$2:$B$310,0)),"")</f>
        <v>Band 3</v>
      </c>
      <c r="I70" s="19" t="b">
        <f t="shared" si="4"/>
        <v>0</v>
      </c>
      <c r="J70" s="33">
        <f t="shared" si="5"/>
        <v>0.68726987857422617</v>
      </c>
    </row>
    <row r="71" spans="1:10">
      <c r="A71" s="19" t="s">
        <v>48</v>
      </c>
      <c r="B71" s="20">
        <v>45870</v>
      </c>
      <c r="C71" s="21">
        <v>148</v>
      </c>
      <c r="D71" s="21">
        <v>108.17666666666668</v>
      </c>
      <c r="E71" s="21">
        <v>61.760000000000005</v>
      </c>
      <c r="F71" s="27">
        <f t="shared" si="3"/>
        <v>0.73092342342342354</v>
      </c>
      <c r="G71" s="21" t="str">
        <f>IFERROR(INDEX(Users!$A$2:$A$310,MATCH(A71,Users!$B$2:$B$310,0)),"")</f>
        <v>Service B</v>
      </c>
      <c r="H71" s="21" t="str">
        <f>IFERROR(INDEX(Users!$D$2:$D$310,MATCH(A71,Users!$B$2:$B$310,0)),"")</f>
        <v>Band 3</v>
      </c>
      <c r="I71" s="19" t="b">
        <f t="shared" si="4"/>
        <v>0</v>
      </c>
      <c r="J71" s="33">
        <f t="shared" si="5"/>
        <v>0.73092342342342354</v>
      </c>
    </row>
    <row r="72" spans="1:10">
      <c r="A72" s="19" t="s">
        <v>48</v>
      </c>
      <c r="B72" s="20">
        <v>45901</v>
      </c>
      <c r="C72" s="21">
        <v>162.80000000000001</v>
      </c>
      <c r="D72" s="21">
        <v>148.77333333333331</v>
      </c>
      <c r="E72" s="21">
        <v>92.19</v>
      </c>
      <c r="F72" s="27">
        <f t="shared" si="3"/>
        <v>0.91384111384111366</v>
      </c>
      <c r="G72" s="21" t="str">
        <f>IFERROR(INDEX(Users!$A$2:$A$310,MATCH(A72,Users!$B$2:$B$310,0)),"")</f>
        <v>Service B</v>
      </c>
      <c r="H72" s="21" t="str">
        <f>IFERROR(INDEX(Users!$D$2:$D$310,MATCH(A72,Users!$B$2:$B$310,0)),"")</f>
        <v>Band 3</v>
      </c>
      <c r="I72" s="19" t="b">
        <f t="shared" si="4"/>
        <v>0</v>
      </c>
      <c r="J72" s="33">
        <f t="shared" si="5"/>
        <v>0.91384111384111366</v>
      </c>
    </row>
    <row r="73" spans="1:10">
      <c r="A73" s="19" t="s">
        <v>48</v>
      </c>
      <c r="B73" s="20">
        <v>45931</v>
      </c>
      <c r="C73" s="21">
        <v>170.20000000000002</v>
      </c>
      <c r="D73" s="21">
        <v>133.83000000000001</v>
      </c>
      <c r="E73" s="21">
        <v>77.38000000000001</v>
      </c>
      <c r="F73" s="27">
        <f t="shared" si="3"/>
        <v>0.78631022326674505</v>
      </c>
      <c r="G73" s="21" t="str">
        <f>IFERROR(INDEX(Users!$A$2:$A$310,MATCH(A73,Users!$B$2:$B$310,0)),"")</f>
        <v>Service B</v>
      </c>
      <c r="H73" s="21" t="str">
        <f>IFERROR(INDEX(Users!$D$2:$D$310,MATCH(A73,Users!$B$2:$B$310,0)),"")</f>
        <v>Band 3</v>
      </c>
      <c r="I73" s="19" t="b">
        <f t="shared" si="4"/>
        <v>0</v>
      </c>
      <c r="J73" s="33">
        <f t="shared" si="5"/>
        <v>0.78631022326674505</v>
      </c>
    </row>
    <row r="74" spans="1:10">
      <c r="A74" s="19" t="s">
        <v>48</v>
      </c>
      <c r="B74" s="20">
        <v>45962</v>
      </c>
      <c r="C74" s="21">
        <v>148</v>
      </c>
      <c r="D74" s="21">
        <v>99.793333333333337</v>
      </c>
      <c r="E74" s="21">
        <v>37.460000000000008</v>
      </c>
      <c r="F74" s="27">
        <f t="shared" si="3"/>
        <v>0.67427927927927933</v>
      </c>
      <c r="G74" s="21" t="str">
        <f>IFERROR(INDEX(Users!$A$2:$A$310,MATCH(A74,Users!$B$2:$B$310,0)),"")</f>
        <v>Service B</v>
      </c>
      <c r="H74" s="21" t="str">
        <f>IFERROR(INDEX(Users!$D$2:$D$310,MATCH(A74,Users!$B$2:$B$310,0)),"")</f>
        <v>Band 3</v>
      </c>
      <c r="I74" s="19" t="b">
        <f t="shared" si="4"/>
        <v>0</v>
      </c>
      <c r="J74" s="33">
        <f t="shared" si="5"/>
        <v>0.67427927927927933</v>
      </c>
    </row>
    <row r="75" spans="1:10">
      <c r="A75" s="19" t="s">
        <v>48</v>
      </c>
      <c r="B75" s="20">
        <v>45992</v>
      </c>
      <c r="C75" s="21">
        <v>155.4</v>
      </c>
      <c r="D75" s="21">
        <v>117.25666666666666</v>
      </c>
      <c r="E75" s="21">
        <v>81.040000000000006</v>
      </c>
      <c r="F75" s="27">
        <f t="shared" si="3"/>
        <v>0.75454740454740443</v>
      </c>
      <c r="G75" s="21" t="str">
        <f>IFERROR(INDEX(Users!$A$2:$A$310,MATCH(A75,Users!$B$2:$B$310,0)),"")</f>
        <v>Service B</v>
      </c>
      <c r="H75" s="21" t="str">
        <f>IFERROR(INDEX(Users!$D$2:$D$310,MATCH(A75,Users!$B$2:$B$310,0)),"")</f>
        <v>Band 3</v>
      </c>
      <c r="I75" s="19" t="b">
        <f t="shared" si="4"/>
        <v>0</v>
      </c>
      <c r="J75" s="33">
        <f t="shared" si="5"/>
        <v>0.75454740454740443</v>
      </c>
    </row>
    <row r="76" spans="1:10">
      <c r="A76" s="19" t="s">
        <v>48</v>
      </c>
      <c r="B76" s="20">
        <v>46023</v>
      </c>
      <c r="C76" s="21">
        <v>155.4</v>
      </c>
      <c r="D76" s="21">
        <v>149.94000000000003</v>
      </c>
      <c r="E76" s="21">
        <v>122.19000000000003</v>
      </c>
      <c r="F76" s="27">
        <f t="shared" si="3"/>
        <v>0.964864864864865</v>
      </c>
      <c r="G76" s="21" t="str">
        <f>IFERROR(INDEX(Users!$A$2:$A$310,MATCH(A76,Users!$B$2:$B$310,0)),"")</f>
        <v>Service B</v>
      </c>
      <c r="H76" s="21" t="str">
        <f>IFERROR(INDEX(Users!$D$2:$D$310,MATCH(A76,Users!$B$2:$B$310,0)),"")</f>
        <v>Band 3</v>
      </c>
      <c r="I76" s="19" t="b">
        <f t="shared" si="4"/>
        <v>0</v>
      </c>
      <c r="J76" s="33" t="str">
        <f t="shared" si="5"/>
        <v/>
      </c>
    </row>
    <row r="77" spans="1:10">
      <c r="A77" s="19" t="s">
        <v>50</v>
      </c>
      <c r="B77" s="20">
        <v>45901</v>
      </c>
      <c r="C77" s="21">
        <v>51.8</v>
      </c>
      <c r="D77" s="21"/>
      <c r="E77" s="21"/>
      <c r="F77" s="27" t="str">
        <f t="shared" si="3"/>
        <v/>
      </c>
      <c r="G77" s="21" t="str">
        <f>IFERROR(INDEX(Users!$A$2:$A$310,MATCH(A77,Users!$B$2:$B$310,0)),"")</f>
        <v>Service B</v>
      </c>
      <c r="H77" s="21" t="str">
        <f>IFERROR(INDEX(Users!$D$2:$D$310,MATCH(A77,Users!$B$2:$B$310,0)),"")</f>
        <v>Band 5</v>
      </c>
      <c r="I77" s="19" t="b">
        <f t="shared" si="4"/>
        <v>0</v>
      </c>
      <c r="J77" s="33" t="str">
        <f t="shared" si="5"/>
        <v/>
      </c>
    </row>
    <row r="78" spans="1:10">
      <c r="A78" s="19" t="s">
        <v>50</v>
      </c>
      <c r="B78" s="20">
        <v>45931</v>
      </c>
      <c r="C78" s="21">
        <v>170.20000000000007</v>
      </c>
      <c r="D78" s="21">
        <v>194.52333333333343</v>
      </c>
      <c r="E78" s="21">
        <v>6.4399999999999995</v>
      </c>
      <c r="F78" s="27">
        <f t="shared" si="3"/>
        <v>1.1429103016059539</v>
      </c>
      <c r="G78" s="21" t="str">
        <f>IFERROR(INDEX(Users!$A$2:$A$310,MATCH(A78,Users!$B$2:$B$310,0)),"")</f>
        <v>Service B</v>
      </c>
      <c r="H78" s="21" t="str">
        <f>IFERROR(INDEX(Users!$D$2:$D$310,MATCH(A78,Users!$B$2:$B$310,0)),"")</f>
        <v>Band 5</v>
      </c>
      <c r="I78" s="19" t="b">
        <f t="shared" si="4"/>
        <v>0</v>
      </c>
      <c r="J78" s="33">
        <f t="shared" si="5"/>
        <v>1.1429103016059539</v>
      </c>
    </row>
    <row r="79" spans="1:10">
      <c r="A79" s="19" t="s">
        <v>50</v>
      </c>
      <c r="B79" s="20">
        <v>45962</v>
      </c>
      <c r="C79" s="21">
        <v>148.00000000000006</v>
      </c>
      <c r="D79" s="21">
        <v>154.73000000000002</v>
      </c>
      <c r="E79" s="21">
        <v>31.429999999999986</v>
      </c>
      <c r="F79" s="27">
        <f t="shared" si="3"/>
        <v>1.0454729729729726</v>
      </c>
      <c r="G79" s="21" t="str">
        <f>IFERROR(INDEX(Users!$A$2:$A$310,MATCH(A79,Users!$B$2:$B$310,0)),"")</f>
        <v>Service B</v>
      </c>
      <c r="H79" s="21" t="str">
        <f>IFERROR(INDEX(Users!$D$2:$D$310,MATCH(A79,Users!$B$2:$B$310,0)),"")</f>
        <v>Band 5</v>
      </c>
      <c r="I79" s="19" t="b">
        <f t="shared" si="4"/>
        <v>0</v>
      </c>
      <c r="J79" s="33">
        <f t="shared" si="5"/>
        <v>1.0454729729729726</v>
      </c>
    </row>
    <row r="80" spans="1:10">
      <c r="A80" s="19" t="s">
        <v>50</v>
      </c>
      <c r="B80" s="20">
        <v>45992</v>
      </c>
      <c r="C80" s="21">
        <v>155.40000000000006</v>
      </c>
      <c r="D80" s="21">
        <v>92.006666666666661</v>
      </c>
      <c r="E80" s="21">
        <v>28.840000000000003</v>
      </c>
      <c r="F80" s="27">
        <f t="shared" si="3"/>
        <v>0.59206349206349174</v>
      </c>
      <c r="G80" s="21" t="str">
        <f>IFERROR(INDEX(Users!$A$2:$A$310,MATCH(A80,Users!$B$2:$B$310,0)),"")</f>
        <v>Service B</v>
      </c>
      <c r="H80" s="21" t="str">
        <f>IFERROR(INDEX(Users!$D$2:$D$310,MATCH(A80,Users!$B$2:$B$310,0)),"")</f>
        <v>Band 5</v>
      </c>
      <c r="I80" s="19" t="b">
        <f t="shared" si="4"/>
        <v>0</v>
      </c>
      <c r="J80" s="33">
        <f t="shared" si="5"/>
        <v>0.59206349206349174</v>
      </c>
    </row>
    <row r="81" spans="1:10">
      <c r="A81" s="19" t="s">
        <v>50</v>
      </c>
      <c r="B81" s="20">
        <v>46023</v>
      </c>
      <c r="C81" s="21">
        <v>155.40000000000006</v>
      </c>
      <c r="D81" s="21">
        <v>118.61333333333332</v>
      </c>
      <c r="E81" s="21">
        <v>43.329999999999984</v>
      </c>
      <c r="F81" s="27">
        <f t="shared" si="3"/>
        <v>0.76327756327756291</v>
      </c>
      <c r="G81" s="21" t="str">
        <f>IFERROR(INDEX(Users!$A$2:$A$310,MATCH(A81,Users!$B$2:$B$310,0)),"")</f>
        <v>Service B</v>
      </c>
      <c r="H81" s="21" t="str">
        <f>IFERROR(INDEX(Users!$D$2:$D$310,MATCH(A81,Users!$B$2:$B$310,0)),"")</f>
        <v>Band 5</v>
      </c>
      <c r="I81" s="19" t="b">
        <f t="shared" si="4"/>
        <v>0</v>
      </c>
      <c r="J81" s="33" t="str">
        <f t="shared" si="5"/>
        <v/>
      </c>
    </row>
    <row r="82" spans="1:10">
      <c r="A82" s="19" t="s">
        <v>51</v>
      </c>
      <c r="B82" s="20">
        <v>45658</v>
      </c>
      <c r="C82" s="21">
        <v>162.80000000000001</v>
      </c>
      <c r="D82" s="21">
        <v>138</v>
      </c>
      <c r="E82" s="21">
        <v>99.75</v>
      </c>
      <c r="F82" s="27">
        <f t="shared" si="3"/>
        <v>0.84766584766584763</v>
      </c>
      <c r="G82" s="21" t="str">
        <f>IFERROR(INDEX(Users!$A$2:$A$310,MATCH(A82,Users!$B$2:$B$310,0)),"")</f>
        <v>Service A</v>
      </c>
      <c r="H82" s="21" t="str">
        <f>IFERROR(INDEX(Users!$D$2:$D$310,MATCH(A82,Users!$B$2:$B$310,0)),"")</f>
        <v>Band 3</v>
      </c>
      <c r="I82" s="19" t="b">
        <f t="shared" si="4"/>
        <v>1</v>
      </c>
      <c r="J82" s="33" t="str">
        <f t="shared" si="5"/>
        <v/>
      </c>
    </row>
    <row r="83" spans="1:10">
      <c r="A83" s="19" t="s">
        <v>51</v>
      </c>
      <c r="B83" s="20">
        <v>45689</v>
      </c>
      <c r="C83" s="21">
        <v>148</v>
      </c>
      <c r="D83" s="21">
        <v>90.7</v>
      </c>
      <c r="E83" s="21">
        <v>73.5</v>
      </c>
      <c r="F83" s="27">
        <f t="shared" si="3"/>
        <v>0.61283783783783785</v>
      </c>
      <c r="G83" s="21" t="str">
        <f>IFERROR(INDEX(Users!$A$2:$A$310,MATCH(A83,Users!$B$2:$B$310,0)),"")</f>
        <v>Service A</v>
      </c>
      <c r="H83" s="21" t="str">
        <f>IFERROR(INDEX(Users!$D$2:$D$310,MATCH(A83,Users!$B$2:$B$310,0)),"")</f>
        <v>Band 3</v>
      </c>
      <c r="I83" s="19" t="b">
        <f t="shared" si="4"/>
        <v>1</v>
      </c>
      <c r="J83" s="33" t="str">
        <f t="shared" si="5"/>
        <v/>
      </c>
    </row>
    <row r="84" spans="1:10">
      <c r="A84" s="19" t="s">
        <v>51</v>
      </c>
      <c r="B84" s="20">
        <v>45717</v>
      </c>
      <c r="C84" s="21">
        <v>155.4</v>
      </c>
      <c r="D84" s="21">
        <v>136.94999999999999</v>
      </c>
      <c r="E84" s="21">
        <v>66</v>
      </c>
      <c r="F84" s="27">
        <f t="shared" si="3"/>
        <v>0.88127413127413112</v>
      </c>
      <c r="G84" s="21" t="str">
        <f>IFERROR(INDEX(Users!$A$2:$A$310,MATCH(A84,Users!$B$2:$B$310,0)),"")</f>
        <v>Service A</v>
      </c>
      <c r="H84" s="21" t="str">
        <f>IFERROR(INDEX(Users!$D$2:$D$310,MATCH(A84,Users!$B$2:$B$310,0)),"")</f>
        <v>Band 3</v>
      </c>
      <c r="I84" s="19" t="b">
        <f t="shared" si="4"/>
        <v>1</v>
      </c>
      <c r="J84" s="33" t="str">
        <f t="shared" si="5"/>
        <v/>
      </c>
    </row>
    <row r="85" spans="1:10">
      <c r="A85" s="19" t="s">
        <v>51</v>
      </c>
      <c r="B85" s="20">
        <v>45748</v>
      </c>
      <c r="C85" s="21">
        <v>148</v>
      </c>
      <c r="D85" s="21">
        <v>81.396666666666661</v>
      </c>
      <c r="E85" s="21">
        <v>40.33</v>
      </c>
      <c r="F85" s="27">
        <f t="shared" si="3"/>
        <v>0.54997747747747749</v>
      </c>
      <c r="G85" s="21" t="str">
        <f>IFERROR(INDEX(Users!$A$2:$A$310,MATCH(A85,Users!$B$2:$B$310,0)),"")</f>
        <v>Service A</v>
      </c>
      <c r="H85" s="21" t="str">
        <f>IFERROR(INDEX(Users!$D$2:$D$310,MATCH(A85,Users!$B$2:$B$310,0)),"")</f>
        <v>Band 3</v>
      </c>
      <c r="I85" s="19" t="b">
        <f t="shared" si="4"/>
        <v>1</v>
      </c>
      <c r="J85" s="33" t="str">
        <f t="shared" si="5"/>
        <v/>
      </c>
    </row>
    <row r="86" spans="1:10">
      <c r="A86" s="19" t="s">
        <v>51</v>
      </c>
      <c r="B86" s="20">
        <v>45778</v>
      </c>
      <c r="C86" s="21">
        <v>148</v>
      </c>
      <c r="D86" s="21">
        <v>113.75999999999999</v>
      </c>
      <c r="E86" s="21">
        <v>80.010000000000005</v>
      </c>
      <c r="F86" s="27">
        <f t="shared" si="3"/>
        <v>0.76864864864864857</v>
      </c>
      <c r="G86" s="21" t="str">
        <f>IFERROR(INDEX(Users!$A$2:$A$310,MATCH(A86,Users!$B$2:$B$310,0)),"")</f>
        <v>Service A</v>
      </c>
      <c r="H86" s="21" t="str">
        <f>IFERROR(INDEX(Users!$D$2:$D$310,MATCH(A86,Users!$B$2:$B$310,0)),"")</f>
        <v>Band 3</v>
      </c>
      <c r="I86" s="19" t="b">
        <f t="shared" si="4"/>
        <v>1</v>
      </c>
      <c r="J86" s="33" t="str">
        <f t="shared" si="5"/>
        <v/>
      </c>
    </row>
    <row r="87" spans="1:10">
      <c r="A87" s="19" t="s">
        <v>51</v>
      </c>
      <c r="B87" s="20">
        <v>45809</v>
      </c>
      <c r="C87" s="21">
        <v>155.4</v>
      </c>
      <c r="D87" s="21">
        <v>155.55333333333334</v>
      </c>
      <c r="E87" s="21">
        <v>82.42</v>
      </c>
      <c r="F87" s="27">
        <f t="shared" si="3"/>
        <v>1.0009867009867011</v>
      </c>
      <c r="G87" s="21" t="str">
        <f>IFERROR(INDEX(Users!$A$2:$A$310,MATCH(A87,Users!$B$2:$B$310,0)),"")</f>
        <v>Service A</v>
      </c>
      <c r="H87" s="21" t="str">
        <f>IFERROR(INDEX(Users!$D$2:$D$310,MATCH(A87,Users!$B$2:$B$310,0)),"")</f>
        <v>Band 3</v>
      </c>
      <c r="I87" s="19" t="b">
        <f t="shared" si="4"/>
        <v>1</v>
      </c>
      <c r="J87" s="33" t="str">
        <f t="shared" si="5"/>
        <v/>
      </c>
    </row>
    <row r="88" spans="1:10">
      <c r="A88" s="19" t="s">
        <v>51</v>
      </c>
      <c r="B88" s="20">
        <v>45839</v>
      </c>
      <c r="C88" s="21">
        <v>170.20000000000002</v>
      </c>
      <c r="D88" s="21">
        <v>156.16999999999999</v>
      </c>
      <c r="E88" s="21">
        <v>113.22</v>
      </c>
      <c r="F88" s="27">
        <f t="shared" si="3"/>
        <v>0.91756756756756741</v>
      </c>
      <c r="G88" s="21" t="str">
        <f>IFERROR(INDEX(Users!$A$2:$A$310,MATCH(A88,Users!$B$2:$B$310,0)),"")</f>
        <v>Service A</v>
      </c>
      <c r="H88" s="21" t="str">
        <f>IFERROR(INDEX(Users!$D$2:$D$310,MATCH(A88,Users!$B$2:$B$310,0)),"")</f>
        <v>Band 3</v>
      </c>
      <c r="I88" s="19" t="b">
        <f t="shared" si="4"/>
        <v>1</v>
      </c>
      <c r="J88" s="33" t="str">
        <f t="shared" si="5"/>
        <v/>
      </c>
    </row>
    <row r="89" spans="1:10">
      <c r="A89" s="19" t="s">
        <v>51</v>
      </c>
      <c r="B89" s="20">
        <v>45870</v>
      </c>
      <c r="C89" s="21">
        <v>148</v>
      </c>
      <c r="D89" s="21">
        <v>112.81000000000003</v>
      </c>
      <c r="E89" s="21">
        <v>65.910000000000025</v>
      </c>
      <c r="F89" s="27">
        <f t="shared" si="3"/>
        <v>0.76222972972972991</v>
      </c>
      <c r="G89" s="21" t="str">
        <f>IFERROR(INDEX(Users!$A$2:$A$310,MATCH(A89,Users!$B$2:$B$310,0)),"")</f>
        <v>Service A</v>
      </c>
      <c r="H89" s="21" t="str">
        <f>IFERROR(INDEX(Users!$D$2:$D$310,MATCH(A89,Users!$B$2:$B$310,0)),"")</f>
        <v>Band 3</v>
      </c>
      <c r="I89" s="19" t="b">
        <f t="shared" si="4"/>
        <v>1</v>
      </c>
      <c r="J89" s="33" t="str">
        <f t="shared" si="5"/>
        <v/>
      </c>
    </row>
    <row r="90" spans="1:10">
      <c r="A90" s="19" t="s">
        <v>51</v>
      </c>
      <c r="B90" s="20">
        <v>45901</v>
      </c>
      <c r="C90" s="21">
        <v>162.80000000000001</v>
      </c>
      <c r="D90" s="21">
        <v>166.05666666666667</v>
      </c>
      <c r="E90" s="21">
        <v>111.79000000000002</v>
      </c>
      <c r="F90" s="27">
        <f t="shared" si="3"/>
        <v>1.0200040950040949</v>
      </c>
      <c r="G90" s="21" t="str">
        <f>IFERROR(INDEX(Users!$A$2:$A$310,MATCH(A90,Users!$B$2:$B$310,0)),"")</f>
        <v>Service A</v>
      </c>
      <c r="H90" s="21" t="str">
        <f>IFERROR(INDEX(Users!$D$2:$D$310,MATCH(A90,Users!$B$2:$B$310,0)),"")</f>
        <v>Band 3</v>
      </c>
      <c r="I90" s="19" t="b">
        <f t="shared" si="4"/>
        <v>1</v>
      </c>
      <c r="J90" s="33" t="str">
        <f t="shared" si="5"/>
        <v/>
      </c>
    </row>
    <row r="91" spans="1:10">
      <c r="A91" s="19" t="s">
        <v>51</v>
      </c>
      <c r="B91" s="20">
        <v>45931</v>
      </c>
      <c r="C91" s="21">
        <v>170.20000000000002</v>
      </c>
      <c r="D91" s="21">
        <v>153.80333333333334</v>
      </c>
      <c r="E91" s="21">
        <v>102.42000000000002</v>
      </c>
      <c r="F91" s="27">
        <f t="shared" si="3"/>
        <v>0.90366235801018402</v>
      </c>
      <c r="G91" s="21" t="str">
        <f>IFERROR(INDEX(Users!$A$2:$A$310,MATCH(A91,Users!$B$2:$B$310,0)),"")</f>
        <v>Service A</v>
      </c>
      <c r="H91" s="21" t="str">
        <f>IFERROR(INDEX(Users!$D$2:$D$310,MATCH(A91,Users!$B$2:$B$310,0)),"")</f>
        <v>Band 3</v>
      </c>
      <c r="I91" s="19" t="b">
        <f t="shared" si="4"/>
        <v>1</v>
      </c>
      <c r="J91" s="33" t="str">
        <f t="shared" si="5"/>
        <v/>
      </c>
    </row>
    <row r="92" spans="1:10">
      <c r="A92" s="19" t="s">
        <v>51</v>
      </c>
      <c r="B92" s="20">
        <v>45962</v>
      </c>
      <c r="C92" s="21">
        <v>148</v>
      </c>
      <c r="D92" s="21">
        <v>144.37333333333336</v>
      </c>
      <c r="E92" s="21">
        <v>106.44000000000003</v>
      </c>
      <c r="F92" s="27">
        <f t="shared" si="3"/>
        <v>0.97549549549549575</v>
      </c>
      <c r="G92" s="21" t="str">
        <f>IFERROR(INDEX(Users!$A$2:$A$310,MATCH(A92,Users!$B$2:$B$310,0)),"")</f>
        <v>Service A</v>
      </c>
      <c r="H92" s="21" t="str">
        <f>IFERROR(INDEX(Users!$D$2:$D$310,MATCH(A92,Users!$B$2:$B$310,0)),"")</f>
        <v>Band 3</v>
      </c>
      <c r="I92" s="19" t="b">
        <f t="shared" si="4"/>
        <v>1</v>
      </c>
      <c r="J92" s="33" t="str">
        <f t="shared" si="5"/>
        <v/>
      </c>
    </row>
    <row r="93" spans="1:10">
      <c r="A93" s="19" t="s">
        <v>51</v>
      </c>
      <c r="B93" s="20">
        <v>45992</v>
      </c>
      <c r="C93" s="21">
        <v>155.4</v>
      </c>
      <c r="D93" s="21">
        <v>106.70333333333332</v>
      </c>
      <c r="E93" s="21">
        <v>72.22</v>
      </c>
      <c r="F93" s="27">
        <f t="shared" si="3"/>
        <v>0.68663663663663654</v>
      </c>
      <c r="G93" s="21" t="str">
        <f>IFERROR(INDEX(Users!$A$2:$A$310,MATCH(A93,Users!$B$2:$B$310,0)),"")</f>
        <v>Service A</v>
      </c>
      <c r="H93" s="21" t="str">
        <f>IFERROR(INDEX(Users!$D$2:$D$310,MATCH(A93,Users!$B$2:$B$310,0)),"")</f>
        <v>Band 3</v>
      </c>
      <c r="I93" s="19" t="b">
        <f t="shared" si="4"/>
        <v>1</v>
      </c>
      <c r="J93" s="33" t="str">
        <f t="shared" si="5"/>
        <v/>
      </c>
    </row>
    <row r="94" spans="1:10">
      <c r="A94" s="19" t="s">
        <v>51</v>
      </c>
      <c r="B94" s="20">
        <v>46023</v>
      </c>
      <c r="C94" s="21">
        <v>155.4</v>
      </c>
      <c r="D94" s="21">
        <v>150.59333333333333</v>
      </c>
      <c r="E94" s="21">
        <v>97.259999999999991</v>
      </c>
      <c r="F94" s="27">
        <f t="shared" si="3"/>
        <v>0.96906906906906909</v>
      </c>
      <c r="G94" s="21" t="str">
        <f>IFERROR(INDEX(Users!$A$2:$A$310,MATCH(A94,Users!$B$2:$B$310,0)),"")</f>
        <v>Service A</v>
      </c>
      <c r="H94" s="21" t="str">
        <f>IFERROR(INDEX(Users!$D$2:$D$310,MATCH(A94,Users!$B$2:$B$310,0)),"")</f>
        <v>Band 3</v>
      </c>
      <c r="I94" s="19" t="b">
        <f t="shared" si="4"/>
        <v>1</v>
      </c>
      <c r="J94" s="33" t="str">
        <f t="shared" si="5"/>
        <v/>
      </c>
    </row>
    <row r="95" spans="1:10">
      <c r="A95" s="19" t="s">
        <v>53</v>
      </c>
      <c r="B95" s="20">
        <v>45658</v>
      </c>
      <c r="C95" s="21">
        <v>162.80000000000001</v>
      </c>
      <c r="D95" s="21">
        <v>150.5</v>
      </c>
      <c r="E95" s="21">
        <v>116</v>
      </c>
      <c r="F95" s="27">
        <f t="shared" si="3"/>
        <v>0.92444717444717439</v>
      </c>
      <c r="G95" s="21" t="str">
        <f>IFERROR(INDEX(Users!$A$2:$A$310,MATCH(A95,Users!$B$2:$B$310,0)),"")</f>
        <v>Service A</v>
      </c>
      <c r="H95" s="21" t="str">
        <f>IFERROR(INDEX(Users!$D$2:$D$310,MATCH(A95,Users!$B$2:$B$310,0)),"")</f>
        <v>Band 3</v>
      </c>
      <c r="I95" s="19" t="b">
        <f t="shared" si="4"/>
        <v>1</v>
      </c>
      <c r="J95" s="33" t="str">
        <f t="shared" si="5"/>
        <v/>
      </c>
    </row>
    <row r="96" spans="1:10">
      <c r="A96" s="19" t="s">
        <v>53</v>
      </c>
      <c r="B96" s="20">
        <v>45689</v>
      </c>
      <c r="C96" s="21">
        <v>148</v>
      </c>
      <c r="D96" s="21">
        <v>145.5</v>
      </c>
      <c r="E96" s="21">
        <v>119</v>
      </c>
      <c r="F96" s="27">
        <f t="shared" si="3"/>
        <v>0.98310810810810811</v>
      </c>
      <c r="G96" s="21" t="str">
        <f>IFERROR(INDEX(Users!$A$2:$A$310,MATCH(A96,Users!$B$2:$B$310,0)),"")</f>
        <v>Service A</v>
      </c>
      <c r="H96" s="21" t="str">
        <f>IFERROR(INDEX(Users!$D$2:$D$310,MATCH(A96,Users!$B$2:$B$310,0)),"")</f>
        <v>Band 3</v>
      </c>
      <c r="I96" s="19" t="b">
        <f t="shared" si="4"/>
        <v>1</v>
      </c>
      <c r="J96" s="33" t="str">
        <f t="shared" si="5"/>
        <v/>
      </c>
    </row>
    <row r="97" spans="1:10">
      <c r="A97" s="19" t="s">
        <v>53</v>
      </c>
      <c r="B97" s="20">
        <v>45717</v>
      </c>
      <c r="C97" s="21">
        <v>155.4</v>
      </c>
      <c r="D97" s="21">
        <v>145.5</v>
      </c>
      <c r="E97" s="21">
        <v>118</v>
      </c>
      <c r="F97" s="27">
        <f t="shared" si="3"/>
        <v>0.93629343629343631</v>
      </c>
      <c r="G97" s="21" t="str">
        <f>IFERROR(INDEX(Users!$A$2:$A$310,MATCH(A97,Users!$B$2:$B$310,0)),"")</f>
        <v>Service A</v>
      </c>
      <c r="H97" s="21" t="str">
        <f>IFERROR(INDEX(Users!$D$2:$D$310,MATCH(A97,Users!$B$2:$B$310,0)),"")</f>
        <v>Band 3</v>
      </c>
      <c r="I97" s="19" t="b">
        <f t="shared" si="4"/>
        <v>1</v>
      </c>
      <c r="J97" s="33" t="str">
        <f t="shared" si="5"/>
        <v/>
      </c>
    </row>
    <row r="98" spans="1:10">
      <c r="A98" s="19" t="s">
        <v>53</v>
      </c>
      <c r="B98" s="20">
        <v>45748</v>
      </c>
      <c r="C98" s="21">
        <v>148</v>
      </c>
      <c r="D98" s="21">
        <v>101</v>
      </c>
      <c r="E98" s="21">
        <v>70</v>
      </c>
      <c r="F98" s="27">
        <f t="shared" si="3"/>
        <v>0.68243243243243246</v>
      </c>
      <c r="G98" s="21" t="str">
        <f>IFERROR(INDEX(Users!$A$2:$A$310,MATCH(A98,Users!$B$2:$B$310,0)),"")</f>
        <v>Service A</v>
      </c>
      <c r="H98" s="21" t="str">
        <f>IFERROR(INDEX(Users!$D$2:$D$310,MATCH(A98,Users!$B$2:$B$310,0)),"")</f>
        <v>Band 3</v>
      </c>
      <c r="I98" s="19" t="b">
        <f t="shared" si="4"/>
        <v>1</v>
      </c>
      <c r="J98" s="33" t="str">
        <f t="shared" si="5"/>
        <v/>
      </c>
    </row>
    <row r="99" spans="1:10">
      <c r="A99" s="19" t="s">
        <v>53</v>
      </c>
      <c r="B99" s="20">
        <v>45778</v>
      </c>
      <c r="C99" s="21">
        <v>148</v>
      </c>
      <c r="D99" s="21">
        <v>147.32999999999998</v>
      </c>
      <c r="E99" s="21">
        <v>116.33</v>
      </c>
      <c r="F99" s="27">
        <f t="shared" si="3"/>
        <v>0.99547297297297288</v>
      </c>
      <c r="G99" s="21" t="str">
        <f>IFERROR(INDEX(Users!$A$2:$A$310,MATCH(A99,Users!$B$2:$B$310,0)),"")</f>
        <v>Service A</v>
      </c>
      <c r="H99" s="21" t="str">
        <f>IFERROR(INDEX(Users!$D$2:$D$310,MATCH(A99,Users!$B$2:$B$310,0)),"")</f>
        <v>Band 3</v>
      </c>
      <c r="I99" s="19" t="b">
        <f t="shared" si="4"/>
        <v>1</v>
      </c>
      <c r="J99" s="33" t="str">
        <f t="shared" si="5"/>
        <v/>
      </c>
    </row>
    <row r="100" spans="1:10">
      <c r="A100" s="19" t="s">
        <v>53</v>
      </c>
      <c r="B100" s="20">
        <v>45809</v>
      </c>
      <c r="C100" s="21">
        <v>155.4</v>
      </c>
      <c r="D100" s="21">
        <v>103.5</v>
      </c>
      <c r="E100" s="21">
        <v>81</v>
      </c>
      <c r="F100" s="27">
        <f t="shared" si="3"/>
        <v>0.66602316602316602</v>
      </c>
      <c r="G100" s="21" t="str">
        <f>IFERROR(INDEX(Users!$A$2:$A$310,MATCH(A100,Users!$B$2:$B$310,0)),"")</f>
        <v>Service A</v>
      </c>
      <c r="H100" s="21" t="str">
        <f>IFERROR(INDEX(Users!$D$2:$D$310,MATCH(A100,Users!$B$2:$B$310,0)),"")</f>
        <v>Band 3</v>
      </c>
      <c r="I100" s="19" t="b">
        <f t="shared" si="4"/>
        <v>1</v>
      </c>
      <c r="J100" s="33" t="str">
        <f t="shared" si="5"/>
        <v/>
      </c>
    </row>
    <row r="101" spans="1:10">
      <c r="A101" s="19" t="s">
        <v>53</v>
      </c>
      <c r="B101" s="20">
        <v>45839</v>
      </c>
      <c r="C101" s="21">
        <v>170.20000000000002</v>
      </c>
      <c r="D101" s="21">
        <v>97.9</v>
      </c>
      <c r="E101" s="21">
        <v>72</v>
      </c>
      <c r="F101" s="27">
        <f t="shared" si="3"/>
        <v>0.57520564042303168</v>
      </c>
      <c r="G101" s="21" t="str">
        <f>IFERROR(INDEX(Users!$A$2:$A$310,MATCH(A101,Users!$B$2:$B$310,0)),"")</f>
        <v>Service A</v>
      </c>
      <c r="H101" s="21" t="str">
        <f>IFERROR(INDEX(Users!$D$2:$D$310,MATCH(A101,Users!$B$2:$B$310,0)),"")</f>
        <v>Band 3</v>
      </c>
      <c r="I101" s="19" t="b">
        <f t="shared" si="4"/>
        <v>1</v>
      </c>
      <c r="J101" s="33" t="str">
        <f t="shared" si="5"/>
        <v/>
      </c>
    </row>
    <row r="102" spans="1:10">
      <c r="A102" s="19" t="s">
        <v>53</v>
      </c>
      <c r="B102" s="20">
        <v>45870</v>
      </c>
      <c r="C102" s="21">
        <v>148</v>
      </c>
      <c r="D102" s="21">
        <v>149.5</v>
      </c>
      <c r="E102" s="21">
        <v>122.5</v>
      </c>
      <c r="F102" s="27">
        <f t="shared" si="3"/>
        <v>1.0101351351351351</v>
      </c>
      <c r="G102" s="21" t="str">
        <f>IFERROR(INDEX(Users!$A$2:$A$310,MATCH(A102,Users!$B$2:$B$310,0)),"")</f>
        <v>Service A</v>
      </c>
      <c r="H102" s="21" t="str">
        <f>IFERROR(INDEX(Users!$D$2:$D$310,MATCH(A102,Users!$B$2:$B$310,0)),"")</f>
        <v>Band 3</v>
      </c>
      <c r="I102" s="19" t="b">
        <f t="shared" si="4"/>
        <v>1</v>
      </c>
      <c r="J102" s="33" t="str">
        <f t="shared" si="5"/>
        <v/>
      </c>
    </row>
    <row r="103" spans="1:10">
      <c r="A103" s="19" t="s">
        <v>53</v>
      </c>
      <c r="B103" s="20">
        <v>45901</v>
      </c>
      <c r="C103" s="21">
        <v>162.80000000000001</v>
      </c>
      <c r="D103" s="21">
        <v>159.5</v>
      </c>
      <c r="E103" s="21">
        <v>125.5</v>
      </c>
      <c r="F103" s="27">
        <f t="shared" si="3"/>
        <v>0.97972972972972971</v>
      </c>
      <c r="G103" s="21" t="str">
        <f>IFERROR(INDEX(Users!$A$2:$A$310,MATCH(A103,Users!$B$2:$B$310,0)),"")</f>
        <v>Service A</v>
      </c>
      <c r="H103" s="21" t="str">
        <f>IFERROR(INDEX(Users!$D$2:$D$310,MATCH(A103,Users!$B$2:$B$310,0)),"")</f>
        <v>Band 3</v>
      </c>
      <c r="I103" s="19" t="b">
        <f t="shared" si="4"/>
        <v>1</v>
      </c>
      <c r="J103" s="33" t="str">
        <f t="shared" si="5"/>
        <v/>
      </c>
    </row>
    <row r="104" spans="1:10">
      <c r="A104" s="19" t="s">
        <v>53</v>
      </c>
      <c r="B104" s="20">
        <v>45931</v>
      </c>
      <c r="C104" s="21">
        <v>170.20000000000002</v>
      </c>
      <c r="D104" s="21">
        <v>130</v>
      </c>
      <c r="E104" s="21">
        <v>98</v>
      </c>
      <c r="F104" s="27">
        <f t="shared" si="3"/>
        <v>0.76380728554641586</v>
      </c>
      <c r="G104" s="21" t="str">
        <f>IFERROR(INDEX(Users!$A$2:$A$310,MATCH(A104,Users!$B$2:$B$310,0)),"")</f>
        <v>Service A</v>
      </c>
      <c r="H104" s="21" t="str">
        <f>IFERROR(INDEX(Users!$D$2:$D$310,MATCH(A104,Users!$B$2:$B$310,0)),"")</f>
        <v>Band 3</v>
      </c>
      <c r="I104" s="19" t="b">
        <f t="shared" si="4"/>
        <v>1</v>
      </c>
      <c r="J104" s="33" t="str">
        <f t="shared" si="5"/>
        <v/>
      </c>
    </row>
    <row r="105" spans="1:10">
      <c r="A105" s="19" t="s">
        <v>53</v>
      </c>
      <c r="B105" s="20">
        <v>45962</v>
      </c>
      <c r="C105" s="21">
        <v>148</v>
      </c>
      <c r="D105" s="21">
        <v>142.5</v>
      </c>
      <c r="E105" s="21">
        <v>110</v>
      </c>
      <c r="F105" s="27">
        <f t="shared" si="3"/>
        <v>0.96283783783783783</v>
      </c>
      <c r="G105" s="21" t="str">
        <f>IFERROR(INDEX(Users!$A$2:$A$310,MATCH(A105,Users!$B$2:$B$310,0)),"")</f>
        <v>Service A</v>
      </c>
      <c r="H105" s="21" t="str">
        <f>IFERROR(INDEX(Users!$D$2:$D$310,MATCH(A105,Users!$B$2:$B$310,0)),"")</f>
        <v>Band 3</v>
      </c>
      <c r="I105" s="19" t="b">
        <f t="shared" si="4"/>
        <v>1</v>
      </c>
      <c r="J105" s="33" t="str">
        <f t="shared" si="5"/>
        <v/>
      </c>
    </row>
    <row r="106" spans="1:10">
      <c r="A106" s="19" t="s">
        <v>53</v>
      </c>
      <c r="B106" s="20">
        <v>45992</v>
      </c>
      <c r="C106" s="21">
        <v>155.4</v>
      </c>
      <c r="D106" s="21">
        <v>109.5</v>
      </c>
      <c r="E106" s="21">
        <v>83</v>
      </c>
      <c r="F106" s="27">
        <f t="shared" si="3"/>
        <v>0.70463320463320456</v>
      </c>
      <c r="G106" s="21" t="str">
        <f>IFERROR(INDEX(Users!$A$2:$A$310,MATCH(A106,Users!$B$2:$B$310,0)),"")</f>
        <v>Service A</v>
      </c>
      <c r="H106" s="21" t="str">
        <f>IFERROR(INDEX(Users!$D$2:$D$310,MATCH(A106,Users!$B$2:$B$310,0)),"")</f>
        <v>Band 3</v>
      </c>
      <c r="I106" s="19" t="b">
        <f t="shared" si="4"/>
        <v>1</v>
      </c>
      <c r="J106" s="33" t="str">
        <f t="shared" si="5"/>
        <v/>
      </c>
    </row>
    <row r="107" spans="1:10">
      <c r="A107" s="19" t="s">
        <v>53</v>
      </c>
      <c r="B107" s="20">
        <v>46023</v>
      </c>
      <c r="C107" s="21">
        <v>155.4</v>
      </c>
      <c r="D107" s="21">
        <v>115.5</v>
      </c>
      <c r="E107" s="21">
        <v>100</v>
      </c>
      <c r="F107" s="27">
        <f t="shared" si="3"/>
        <v>0.7432432432432432</v>
      </c>
      <c r="G107" s="21" t="str">
        <f>IFERROR(INDEX(Users!$A$2:$A$310,MATCH(A107,Users!$B$2:$B$310,0)),"")</f>
        <v>Service A</v>
      </c>
      <c r="H107" s="21" t="str">
        <f>IFERROR(INDEX(Users!$D$2:$D$310,MATCH(A107,Users!$B$2:$B$310,0)),"")</f>
        <v>Band 3</v>
      </c>
      <c r="I107" s="19" t="b">
        <f t="shared" si="4"/>
        <v>1</v>
      </c>
      <c r="J107" s="33" t="str">
        <f t="shared" si="5"/>
        <v/>
      </c>
    </row>
    <row r="108" spans="1:10">
      <c r="A108" s="19" t="s">
        <v>55</v>
      </c>
      <c r="B108" s="20">
        <v>45658</v>
      </c>
      <c r="C108" s="21">
        <v>162.80000000000001</v>
      </c>
      <c r="D108" s="21">
        <v>132.5</v>
      </c>
      <c r="E108" s="21">
        <v>83</v>
      </c>
      <c r="F108" s="27">
        <f t="shared" si="3"/>
        <v>0.81388206388206386</v>
      </c>
      <c r="G108" s="21" t="str">
        <f>IFERROR(INDEX(Users!$A$2:$A$310,MATCH(A108,Users!$B$2:$B$310,0)),"")</f>
        <v>Service A</v>
      </c>
      <c r="H108" s="21" t="str">
        <f>IFERROR(INDEX(Users!$D$2:$D$310,MATCH(A108,Users!$B$2:$B$310,0)),"")</f>
        <v>Band 3</v>
      </c>
      <c r="I108" s="19" t="b">
        <f t="shared" si="4"/>
        <v>1</v>
      </c>
      <c r="J108" s="33" t="str">
        <f t="shared" si="5"/>
        <v/>
      </c>
    </row>
    <row r="109" spans="1:10">
      <c r="A109" s="19" t="s">
        <v>55</v>
      </c>
      <c r="B109" s="20">
        <v>45689</v>
      </c>
      <c r="C109" s="21">
        <v>148</v>
      </c>
      <c r="D109" s="21">
        <v>142.5</v>
      </c>
      <c r="E109" s="21">
        <v>98.5</v>
      </c>
      <c r="F109" s="27">
        <f t="shared" si="3"/>
        <v>0.96283783783783783</v>
      </c>
      <c r="G109" s="21" t="str">
        <f>IFERROR(INDEX(Users!$A$2:$A$310,MATCH(A109,Users!$B$2:$B$310,0)),"")</f>
        <v>Service A</v>
      </c>
      <c r="H109" s="21" t="str">
        <f>IFERROR(INDEX(Users!$D$2:$D$310,MATCH(A109,Users!$B$2:$B$310,0)),"")</f>
        <v>Band 3</v>
      </c>
      <c r="I109" s="19" t="b">
        <f t="shared" si="4"/>
        <v>1</v>
      </c>
      <c r="J109" s="33" t="str">
        <f t="shared" si="5"/>
        <v/>
      </c>
    </row>
    <row r="110" spans="1:10">
      <c r="A110" s="19" t="s">
        <v>55</v>
      </c>
      <c r="B110" s="20">
        <v>45717</v>
      </c>
      <c r="C110" s="21">
        <v>155.4</v>
      </c>
      <c r="D110" s="21">
        <v>117.5</v>
      </c>
      <c r="E110" s="21">
        <v>79.5</v>
      </c>
      <c r="F110" s="27">
        <f t="shared" si="3"/>
        <v>0.75611325611325608</v>
      </c>
      <c r="G110" s="21" t="str">
        <f>IFERROR(INDEX(Users!$A$2:$A$310,MATCH(A110,Users!$B$2:$B$310,0)),"")</f>
        <v>Service A</v>
      </c>
      <c r="H110" s="21" t="str">
        <f>IFERROR(INDEX(Users!$D$2:$D$310,MATCH(A110,Users!$B$2:$B$310,0)),"")</f>
        <v>Band 3</v>
      </c>
      <c r="I110" s="19" t="b">
        <f t="shared" si="4"/>
        <v>1</v>
      </c>
      <c r="J110" s="33" t="str">
        <f t="shared" si="5"/>
        <v/>
      </c>
    </row>
    <row r="111" spans="1:10">
      <c r="A111" s="19" t="s">
        <v>55</v>
      </c>
      <c r="B111" s="20">
        <v>45748</v>
      </c>
      <c r="C111" s="21">
        <v>148</v>
      </c>
      <c r="D111" s="21">
        <v>94.5</v>
      </c>
      <c r="E111" s="21">
        <v>63.5</v>
      </c>
      <c r="F111" s="27">
        <f t="shared" si="3"/>
        <v>0.63851351351351349</v>
      </c>
      <c r="G111" s="21" t="str">
        <f>IFERROR(INDEX(Users!$A$2:$A$310,MATCH(A111,Users!$B$2:$B$310,0)),"")</f>
        <v>Service A</v>
      </c>
      <c r="H111" s="21" t="str">
        <f>IFERROR(INDEX(Users!$D$2:$D$310,MATCH(A111,Users!$B$2:$B$310,0)),"")</f>
        <v>Band 3</v>
      </c>
      <c r="I111" s="19" t="b">
        <f t="shared" si="4"/>
        <v>1</v>
      </c>
      <c r="J111" s="33" t="str">
        <f t="shared" si="5"/>
        <v/>
      </c>
    </row>
    <row r="112" spans="1:10">
      <c r="A112" s="19" t="s">
        <v>55</v>
      </c>
      <c r="B112" s="20">
        <v>45778</v>
      </c>
      <c r="C112" s="21">
        <v>148</v>
      </c>
      <c r="D112" s="21">
        <v>99.5</v>
      </c>
      <c r="E112" s="21">
        <v>66</v>
      </c>
      <c r="F112" s="27">
        <f t="shared" si="3"/>
        <v>0.67229729729729726</v>
      </c>
      <c r="G112" s="21" t="str">
        <f>IFERROR(INDEX(Users!$A$2:$A$310,MATCH(A112,Users!$B$2:$B$310,0)),"")</f>
        <v>Service A</v>
      </c>
      <c r="H112" s="21" t="str">
        <f>IFERROR(INDEX(Users!$D$2:$D$310,MATCH(A112,Users!$B$2:$B$310,0)),"")</f>
        <v>Band 3</v>
      </c>
      <c r="I112" s="19" t="b">
        <f t="shared" si="4"/>
        <v>1</v>
      </c>
      <c r="J112" s="33" t="str">
        <f t="shared" si="5"/>
        <v/>
      </c>
    </row>
    <row r="113" spans="1:10">
      <c r="A113" s="19" t="s">
        <v>55</v>
      </c>
      <c r="B113" s="20">
        <v>45809</v>
      </c>
      <c r="C113" s="21">
        <v>155.4</v>
      </c>
      <c r="D113" s="21">
        <v>63</v>
      </c>
      <c r="E113" s="21">
        <v>29.5</v>
      </c>
      <c r="F113" s="27">
        <f t="shared" si="3"/>
        <v>0.40540540540540537</v>
      </c>
      <c r="G113" s="21" t="str">
        <f>IFERROR(INDEX(Users!$A$2:$A$310,MATCH(A113,Users!$B$2:$B$310,0)),"")</f>
        <v>Service A</v>
      </c>
      <c r="H113" s="21" t="str">
        <f>IFERROR(INDEX(Users!$D$2:$D$310,MATCH(A113,Users!$B$2:$B$310,0)),"")</f>
        <v>Band 3</v>
      </c>
      <c r="I113" s="19" t="b">
        <f t="shared" si="4"/>
        <v>1</v>
      </c>
      <c r="J113" s="33" t="str">
        <f t="shared" si="5"/>
        <v/>
      </c>
    </row>
    <row r="114" spans="1:10">
      <c r="A114" s="19" t="s">
        <v>55</v>
      </c>
      <c r="B114" s="20">
        <v>45839</v>
      </c>
      <c r="C114" s="21">
        <v>170.20000000000002</v>
      </c>
      <c r="D114" s="21">
        <v>129</v>
      </c>
      <c r="E114" s="21">
        <v>64</v>
      </c>
      <c r="F114" s="27">
        <f t="shared" si="3"/>
        <v>0.75793184488836651</v>
      </c>
      <c r="G114" s="21" t="str">
        <f>IFERROR(INDEX(Users!$A$2:$A$310,MATCH(A114,Users!$B$2:$B$310,0)),"")</f>
        <v>Service A</v>
      </c>
      <c r="H114" s="21" t="str">
        <f>IFERROR(INDEX(Users!$D$2:$D$310,MATCH(A114,Users!$B$2:$B$310,0)),"")</f>
        <v>Band 3</v>
      </c>
      <c r="I114" s="19" t="b">
        <f t="shared" si="4"/>
        <v>1</v>
      </c>
      <c r="J114" s="33" t="str">
        <f t="shared" si="5"/>
        <v/>
      </c>
    </row>
    <row r="115" spans="1:10">
      <c r="A115" s="19" t="s">
        <v>55</v>
      </c>
      <c r="B115" s="20">
        <v>45870</v>
      </c>
      <c r="C115" s="21">
        <v>148</v>
      </c>
      <c r="D115" s="21">
        <v>68.5</v>
      </c>
      <c r="E115" s="21">
        <v>33</v>
      </c>
      <c r="F115" s="27">
        <f t="shared" si="3"/>
        <v>0.46283783783783783</v>
      </c>
      <c r="G115" s="21" t="str">
        <f>IFERROR(INDEX(Users!$A$2:$A$310,MATCH(A115,Users!$B$2:$B$310,0)),"")</f>
        <v>Service A</v>
      </c>
      <c r="H115" s="21" t="str">
        <f>IFERROR(INDEX(Users!$D$2:$D$310,MATCH(A115,Users!$B$2:$B$310,0)),"")</f>
        <v>Band 3</v>
      </c>
      <c r="I115" s="19" t="b">
        <f t="shared" si="4"/>
        <v>1</v>
      </c>
      <c r="J115" s="33" t="str">
        <f t="shared" si="5"/>
        <v/>
      </c>
    </row>
    <row r="116" spans="1:10">
      <c r="A116" s="19" t="s">
        <v>55</v>
      </c>
      <c r="B116" s="20">
        <v>45901</v>
      </c>
      <c r="C116" s="21">
        <v>162.80000000000001</v>
      </c>
      <c r="D116" s="21">
        <v>130</v>
      </c>
      <c r="E116" s="21">
        <v>64.5</v>
      </c>
      <c r="F116" s="27">
        <f t="shared" si="3"/>
        <v>0.79852579852579852</v>
      </c>
      <c r="G116" s="21" t="str">
        <f>IFERROR(INDEX(Users!$A$2:$A$310,MATCH(A116,Users!$B$2:$B$310,0)),"")</f>
        <v>Service A</v>
      </c>
      <c r="H116" s="21" t="str">
        <f>IFERROR(INDEX(Users!$D$2:$D$310,MATCH(A116,Users!$B$2:$B$310,0)),"")</f>
        <v>Band 3</v>
      </c>
      <c r="I116" s="19" t="b">
        <f t="shared" si="4"/>
        <v>1</v>
      </c>
      <c r="J116" s="33" t="str">
        <f t="shared" si="5"/>
        <v/>
      </c>
    </row>
    <row r="117" spans="1:10">
      <c r="A117" s="19" t="s">
        <v>55</v>
      </c>
      <c r="B117" s="20">
        <v>45931</v>
      </c>
      <c r="C117" s="21">
        <v>170.20000000000002</v>
      </c>
      <c r="D117" s="21">
        <v>69.5</v>
      </c>
      <c r="E117" s="21">
        <v>33.5</v>
      </c>
      <c r="F117" s="27">
        <f t="shared" si="3"/>
        <v>0.40834312573443005</v>
      </c>
      <c r="G117" s="21" t="str">
        <f>IFERROR(INDEX(Users!$A$2:$A$310,MATCH(A117,Users!$B$2:$B$310,0)),"")</f>
        <v>Service A</v>
      </c>
      <c r="H117" s="21" t="str">
        <f>IFERROR(INDEX(Users!$D$2:$D$310,MATCH(A117,Users!$B$2:$B$310,0)),"")</f>
        <v>Band 3</v>
      </c>
      <c r="I117" s="19" t="b">
        <f t="shared" si="4"/>
        <v>1</v>
      </c>
      <c r="J117" s="33" t="str">
        <f t="shared" si="5"/>
        <v/>
      </c>
    </row>
    <row r="118" spans="1:10">
      <c r="A118" s="19" t="s">
        <v>55</v>
      </c>
      <c r="B118" s="20">
        <v>45962</v>
      </c>
      <c r="C118" s="21">
        <v>148</v>
      </c>
      <c r="D118" s="21">
        <v>112.25</v>
      </c>
      <c r="E118" s="21">
        <v>68.5</v>
      </c>
      <c r="F118" s="27">
        <f t="shared" si="3"/>
        <v>0.75844594594594594</v>
      </c>
      <c r="G118" s="21" t="str">
        <f>IFERROR(INDEX(Users!$A$2:$A$310,MATCH(A118,Users!$B$2:$B$310,0)),"")</f>
        <v>Service A</v>
      </c>
      <c r="H118" s="21" t="str">
        <f>IFERROR(INDEX(Users!$D$2:$D$310,MATCH(A118,Users!$B$2:$B$310,0)),"")</f>
        <v>Band 3</v>
      </c>
      <c r="I118" s="19" t="b">
        <f t="shared" si="4"/>
        <v>1</v>
      </c>
      <c r="J118" s="33" t="str">
        <f t="shared" si="5"/>
        <v/>
      </c>
    </row>
    <row r="119" spans="1:10">
      <c r="A119" s="19" t="s">
        <v>55</v>
      </c>
      <c r="B119" s="20">
        <v>45992</v>
      </c>
      <c r="C119" s="21">
        <v>155.4</v>
      </c>
      <c r="D119" s="21">
        <v>89</v>
      </c>
      <c r="E119" s="21">
        <v>48</v>
      </c>
      <c r="F119" s="27">
        <f t="shared" si="3"/>
        <v>0.57271557271557272</v>
      </c>
      <c r="G119" s="21" t="str">
        <f>IFERROR(INDEX(Users!$A$2:$A$310,MATCH(A119,Users!$B$2:$B$310,0)),"")</f>
        <v>Service A</v>
      </c>
      <c r="H119" s="21" t="str">
        <f>IFERROR(INDEX(Users!$D$2:$D$310,MATCH(A119,Users!$B$2:$B$310,0)),"")</f>
        <v>Band 3</v>
      </c>
      <c r="I119" s="19" t="b">
        <f t="shared" si="4"/>
        <v>1</v>
      </c>
      <c r="J119" s="33" t="str">
        <f t="shared" si="5"/>
        <v/>
      </c>
    </row>
    <row r="120" spans="1:10">
      <c r="A120" s="19" t="s">
        <v>55</v>
      </c>
      <c r="B120" s="20">
        <v>46023</v>
      </c>
      <c r="C120" s="21">
        <v>155.4</v>
      </c>
      <c r="D120" s="21">
        <v>121</v>
      </c>
      <c r="E120" s="21">
        <v>68</v>
      </c>
      <c r="F120" s="27">
        <f t="shared" si="3"/>
        <v>0.7786357786357786</v>
      </c>
      <c r="G120" s="21" t="str">
        <f>IFERROR(INDEX(Users!$A$2:$A$310,MATCH(A120,Users!$B$2:$B$310,0)),"")</f>
        <v>Service A</v>
      </c>
      <c r="H120" s="21" t="str">
        <f>IFERROR(INDEX(Users!$D$2:$D$310,MATCH(A120,Users!$B$2:$B$310,0)),"")</f>
        <v>Band 3</v>
      </c>
      <c r="I120" s="19" t="b">
        <f t="shared" si="4"/>
        <v>1</v>
      </c>
      <c r="J120" s="33" t="str">
        <f t="shared" si="5"/>
        <v/>
      </c>
    </row>
    <row r="121" spans="1:10">
      <c r="A121" s="19" t="s">
        <v>58</v>
      </c>
      <c r="B121" s="20">
        <v>45658</v>
      </c>
      <c r="C121" s="21">
        <v>157.25</v>
      </c>
      <c r="D121" s="21">
        <v>29.666666666666668</v>
      </c>
      <c r="E121" s="21"/>
      <c r="F121" s="27">
        <f t="shared" si="3"/>
        <v>0.1886592474827769</v>
      </c>
      <c r="G121" s="21" t="str">
        <f>IFERROR(INDEX(Users!$A$2:$A$310,MATCH(A121,Users!$B$2:$B$310,0)),"")</f>
        <v>Service D</v>
      </c>
      <c r="H121" s="21" t="str">
        <f>IFERROR(INDEX(Users!$D$2:$D$310,MATCH(A121,Users!$B$2:$B$310,0)),"")</f>
        <v>Band 3</v>
      </c>
      <c r="I121" s="19" t="b">
        <f t="shared" si="4"/>
        <v>0</v>
      </c>
      <c r="J121" s="33" t="str">
        <f t="shared" si="5"/>
        <v/>
      </c>
    </row>
    <row r="122" spans="1:10">
      <c r="A122" s="19" t="s">
        <v>58</v>
      </c>
      <c r="B122" s="20">
        <v>45689</v>
      </c>
      <c r="C122" s="21">
        <v>148</v>
      </c>
      <c r="D122" s="21"/>
      <c r="E122" s="21"/>
      <c r="F122" s="27" t="str">
        <f t="shared" si="3"/>
        <v/>
      </c>
      <c r="G122" s="21" t="str">
        <f>IFERROR(INDEX(Users!$A$2:$A$310,MATCH(A122,Users!$B$2:$B$310,0)),"")</f>
        <v>Service D</v>
      </c>
      <c r="H122" s="21" t="str">
        <f>IFERROR(INDEX(Users!$D$2:$D$310,MATCH(A122,Users!$B$2:$B$310,0)),"")</f>
        <v>Band 3</v>
      </c>
      <c r="I122" s="19" t="b">
        <f t="shared" si="4"/>
        <v>0</v>
      </c>
      <c r="J122" s="33" t="str">
        <f t="shared" si="5"/>
        <v/>
      </c>
    </row>
    <row r="123" spans="1:10">
      <c r="A123" s="19" t="s">
        <v>58</v>
      </c>
      <c r="B123" s="20">
        <v>45717</v>
      </c>
      <c r="C123" s="21">
        <v>157.25</v>
      </c>
      <c r="D123" s="21"/>
      <c r="E123" s="21"/>
      <c r="F123" s="27" t="str">
        <f t="shared" si="3"/>
        <v/>
      </c>
      <c r="G123" s="21" t="str">
        <f>IFERROR(INDEX(Users!$A$2:$A$310,MATCH(A123,Users!$B$2:$B$310,0)),"")</f>
        <v>Service D</v>
      </c>
      <c r="H123" s="21" t="str">
        <f>IFERROR(INDEX(Users!$D$2:$D$310,MATCH(A123,Users!$B$2:$B$310,0)),"")</f>
        <v>Band 3</v>
      </c>
      <c r="I123" s="19" t="b">
        <f t="shared" si="4"/>
        <v>0</v>
      </c>
      <c r="J123" s="33" t="str">
        <f t="shared" si="5"/>
        <v/>
      </c>
    </row>
    <row r="124" spans="1:10">
      <c r="A124" s="19" t="s">
        <v>58</v>
      </c>
      <c r="B124" s="20">
        <v>45748</v>
      </c>
      <c r="C124" s="21">
        <v>157.25</v>
      </c>
      <c r="D124" s="21"/>
      <c r="E124" s="21"/>
      <c r="F124" s="27" t="str">
        <f t="shared" si="3"/>
        <v/>
      </c>
      <c r="G124" s="21" t="str">
        <f>IFERROR(INDEX(Users!$A$2:$A$310,MATCH(A124,Users!$B$2:$B$310,0)),"")</f>
        <v>Service D</v>
      </c>
      <c r="H124" s="21" t="str">
        <f>IFERROR(INDEX(Users!$D$2:$D$310,MATCH(A124,Users!$B$2:$B$310,0)),"")</f>
        <v>Band 3</v>
      </c>
      <c r="I124" s="19" t="b">
        <f t="shared" si="4"/>
        <v>0</v>
      </c>
      <c r="J124" s="33" t="str">
        <f t="shared" si="5"/>
        <v/>
      </c>
    </row>
    <row r="125" spans="1:10">
      <c r="A125" s="19" t="s">
        <v>60</v>
      </c>
      <c r="B125" s="20">
        <v>45658</v>
      </c>
      <c r="C125" s="21">
        <v>162.80000000000001</v>
      </c>
      <c r="D125" s="21">
        <v>156.96666666666667</v>
      </c>
      <c r="E125" s="21">
        <v>110.9</v>
      </c>
      <c r="F125" s="27">
        <f t="shared" si="3"/>
        <v>0.96416871416871408</v>
      </c>
      <c r="G125" s="21" t="str">
        <f>IFERROR(INDEX(Users!$A$2:$A$310,MATCH(A125,Users!$B$2:$B$310,0)),"")</f>
        <v>Service A</v>
      </c>
      <c r="H125" s="21" t="str">
        <f>IFERROR(INDEX(Users!$D$2:$D$310,MATCH(A125,Users!$B$2:$B$310,0)),"")</f>
        <v>Band 3</v>
      </c>
      <c r="I125" s="19" t="b">
        <f t="shared" si="4"/>
        <v>1</v>
      </c>
      <c r="J125" s="33" t="str">
        <f t="shared" si="5"/>
        <v/>
      </c>
    </row>
    <row r="126" spans="1:10">
      <c r="A126" s="19" t="s">
        <v>60</v>
      </c>
      <c r="B126" s="20">
        <v>45689</v>
      </c>
      <c r="C126" s="21">
        <v>148</v>
      </c>
      <c r="D126" s="21">
        <v>131.19000000000003</v>
      </c>
      <c r="E126" s="21">
        <v>102.69000000000001</v>
      </c>
      <c r="F126" s="27">
        <f t="shared" si="3"/>
        <v>0.88641891891891911</v>
      </c>
      <c r="G126" s="21" t="str">
        <f>IFERROR(INDEX(Users!$A$2:$A$310,MATCH(A126,Users!$B$2:$B$310,0)),"")</f>
        <v>Service A</v>
      </c>
      <c r="H126" s="21" t="str">
        <f>IFERROR(INDEX(Users!$D$2:$D$310,MATCH(A126,Users!$B$2:$B$310,0)),"")</f>
        <v>Band 3</v>
      </c>
      <c r="I126" s="19" t="b">
        <f t="shared" si="4"/>
        <v>1</v>
      </c>
      <c r="J126" s="33" t="str">
        <f t="shared" si="5"/>
        <v/>
      </c>
    </row>
    <row r="127" spans="1:10">
      <c r="A127" s="19" t="s">
        <v>60</v>
      </c>
      <c r="B127" s="20">
        <v>45717</v>
      </c>
      <c r="C127" s="21">
        <v>155.4</v>
      </c>
      <c r="D127" s="21">
        <v>123.58</v>
      </c>
      <c r="E127" s="21">
        <v>70.72999999999999</v>
      </c>
      <c r="F127" s="27">
        <f t="shared" si="3"/>
        <v>0.79523809523809519</v>
      </c>
      <c r="G127" s="21" t="str">
        <f>IFERROR(INDEX(Users!$A$2:$A$310,MATCH(A127,Users!$B$2:$B$310,0)),"")</f>
        <v>Service A</v>
      </c>
      <c r="H127" s="21" t="str">
        <f>IFERROR(INDEX(Users!$D$2:$D$310,MATCH(A127,Users!$B$2:$B$310,0)),"")</f>
        <v>Band 3</v>
      </c>
      <c r="I127" s="19" t="b">
        <f t="shared" si="4"/>
        <v>1</v>
      </c>
      <c r="J127" s="33" t="str">
        <f t="shared" si="5"/>
        <v/>
      </c>
    </row>
    <row r="128" spans="1:10">
      <c r="A128" s="19" t="s">
        <v>60</v>
      </c>
      <c r="B128" s="20">
        <v>45748</v>
      </c>
      <c r="C128" s="21">
        <v>148</v>
      </c>
      <c r="D128" s="21">
        <v>116.40666666666667</v>
      </c>
      <c r="E128" s="21">
        <v>73.239999999999995</v>
      </c>
      <c r="F128" s="27">
        <f t="shared" si="3"/>
        <v>0.78653153153153155</v>
      </c>
      <c r="G128" s="21" t="str">
        <f>IFERROR(INDEX(Users!$A$2:$A$310,MATCH(A128,Users!$B$2:$B$310,0)),"")</f>
        <v>Service A</v>
      </c>
      <c r="H128" s="21" t="str">
        <f>IFERROR(INDEX(Users!$D$2:$D$310,MATCH(A128,Users!$B$2:$B$310,0)),"")</f>
        <v>Band 3</v>
      </c>
      <c r="I128" s="19" t="b">
        <f t="shared" si="4"/>
        <v>1</v>
      </c>
      <c r="J128" s="33" t="str">
        <f t="shared" si="5"/>
        <v/>
      </c>
    </row>
    <row r="129" spans="1:10">
      <c r="A129" s="19" t="s">
        <v>60</v>
      </c>
      <c r="B129" s="20">
        <v>45778</v>
      </c>
      <c r="C129" s="21">
        <v>148</v>
      </c>
      <c r="D129" s="21">
        <v>134.83000000000001</v>
      </c>
      <c r="E129" s="21">
        <v>90.330000000000013</v>
      </c>
      <c r="F129" s="27">
        <f t="shared" si="3"/>
        <v>0.91101351351351356</v>
      </c>
      <c r="G129" s="21" t="str">
        <f>IFERROR(INDEX(Users!$A$2:$A$310,MATCH(A129,Users!$B$2:$B$310,0)),"")</f>
        <v>Service A</v>
      </c>
      <c r="H129" s="21" t="str">
        <f>IFERROR(INDEX(Users!$D$2:$D$310,MATCH(A129,Users!$B$2:$B$310,0)),"")</f>
        <v>Band 3</v>
      </c>
      <c r="I129" s="19" t="b">
        <f t="shared" si="4"/>
        <v>1</v>
      </c>
      <c r="J129" s="33" t="str">
        <f t="shared" si="5"/>
        <v/>
      </c>
    </row>
    <row r="130" spans="1:10">
      <c r="A130" s="19" t="s">
        <v>60</v>
      </c>
      <c r="B130" s="20">
        <v>45809</v>
      </c>
      <c r="C130" s="21">
        <v>155.4</v>
      </c>
      <c r="D130" s="21">
        <v>113.84</v>
      </c>
      <c r="E130" s="21">
        <v>73.59</v>
      </c>
      <c r="F130" s="27">
        <f t="shared" ref="F130:F193" si="6">IFERROR(IF(OR(C130="",D130="",C130=0),"",D130/C130),"")</f>
        <v>0.73256113256113253</v>
      </c>
      <c r="G130" s="21" t="str">
        <f>IFERROR(INDEX(Users!$A$2:$A$310,MATCH(A130,Users!$B$2:$B$310,0)),"")</f>
        <v>Service A</v>
      </c>
      <c r="H130" s="21" t="str">
        <f>IFERROR(INDEX(Users!$D$2:$D$310,MATCH(A130,Users!$B$2:$B$310,0)),"")</f>
        <v>Band 3</v>
      </c>
      <c r="I130" s="19" t="b">
        <f t="shared" ref="I130:I193" si="7">AND(G130="Service A",H130="Band 3")</f>
        <v>1</v>
      </c>
      <c r="J130" s="33" t="str">
        <f t="shared" ref="J130:J193" si="8">IF(AND(B130&gt;=DATE(2025,1,1),B130&lt;DATE(2026,1,1),G130="Service B",OR(H130="Band 3",H130="Band 5"),ISNUMBER(F130)),F130,"")</f>
        <v/>
      </c>
    </row>
    <row r="131" spans="1:10">
      <c r="A131" s="19" t="s">
        <v>60</v>
      </c>
      <c r="B131" s="20">
        <v>45839</v>
      </c>
      <c r="C131" s="21">
        <v>170.20000000000002</v>
      </c>
      <c r="D131" s="21">
        <v>143.5</v>
      </c>
      <c r="E131" s="21">
        <v>104</v>
      </c>
      <c r="F131" s="27">
        <f t="shared" si="6"/>
        <v>0.84312573443008221</v>
      </c>
      <c r="G131" s="21" t="str">
        <f>IFERROR(INDEX(Users!$A$2:$A$310,MATCH(A131,Users!$B$2:$B$310,0)),"")</f>
        <v>Service A</v>
      </c>
      <c r="H131" s="21" t="str">
        <f>IFERROR(INDEX(Users!$D$2:$D$310,MATCH(A131,Users!$B$2:$B$310,0)),"")</f>
        <v>Band 3</v>
      </c>
      <c r="I131" s="19" t="b">
        <f t="shared" si="7"/>
        <v>1</v>
      </c>
      <c r="J131" s="33" t="str">
        <f t="shared" si="8"/>
        <v/>
      </c>
    </row>
    <row r="132" spans="1:10">
      <c r="A132" s="19" t="s">
        <v>60</v>
      </c>
      <c r="B132" s="20">
        <v>45870</v>
      </c>
      <c r="C132" s="21">
        <v>148</v>
      </c>
      <c r="D132" s="21">
        <v>67.930000000000007</v>
      </c>
      <c r="E132" s="21">
        <v>42.68</v>
      </c>
      <c r="F132" s="27">
        <f t="shared" si="6"/>
        <v>0.45898648648648654</v>
      </c>
      <c r="G132" s="21" t="str">
        <f>IFERROR(INDEX(Users!$A$2:$A$310,MATCH(A132,Users!$B$2:$B$310,0)),"")</f>
        <v>Service A</v>
      </c>
      <c r="H132" s="21" t="str">
        <f>IFERROR(INDEX(Users!$D$2:$D$310,MATCH(A132,Users!$B$2:$B$310,0)),"")</f>
        <v>Band 3</v>
      </c>
      <c r="I132" s="19" t="b">
        <f t="shared" si="7"/>
        <v>1</v>
      </c>
      <c r="J132" s="33" t="str">
        <f t="shared" si="8"/>
        <v/>
      </c>
    </row>
    <row r="133" spans="1:10">
      <c r="A133" s="19" t="s">
        <v>60</v>
      </c>
      <c r="B133" s="20">
        <v>45901</v>
      </c>
      <c r="C133" s="21">
        <v>162.80000000000001</v>
      </c>
      <c r="D133" s="21">
        <v>156.61333333333334</v>
      </c>
      <c r="E133" s="21">
        <v>79.38000000000001</v>
      </c>
      <c r="F133" s="27">
        <f t="shared" si="6"/>
        <v>0.96199836199836197</v>
      </c>
      <c r="G133" s="21" t="str">
        <f>IFERROR(INDEX(Users!$A$2:$A$310,MATCH(A133,Users!$B$2:$B$310,0)),"")</f>
        <v>Service A</v>
      </c>
      <c r="H133" s="21" t="str">
        <f>IFERROR(INDEX(Users!$D$2:$D$310,MATCH(A133,Users!$B$2:$B$310,0)),"")</f>
        <v>Band 3</v>
      </c>
      <c r="I133" s="19" t="b">
        <f t="shared" si="7"/>
        <v>1</v>
      </c>
      <c r="J133" s="33" t="str">
        <f t="shared" si="8"/>
        <v/>
      </c>
    </row>
    <row r="134" spans="1:10">
      <c r="A134" s="19" t="s">
        <v>60</v>
      </c>
      <c r="B134" s="20">
        <v>45931</v>
      </c>
      <c r="C134" s="21">
        <v>170.20000000000002</v>
      </c>
      <c r="D134" s="21">
        <v>146.25666666666666</v>
      </c>
      <c r="E134" s="21">
        <v>101.28999999999999</v>
      </c>
      <c r="F134" s="27">
        <f t="shared" si="6"/>
        <v>0.85932236584410482</v>
      </c>
      <c r="G134" s="21" t="str">
        <f>IFERROR(INDEX(Users!$A$2:$A$310,MATCH(A134,Users!$B$2:$B$310,0)),"")</f>
        <v>Service A</v>
      </c>
      <c r="H134" s="21" t="str">
        <f>IFERROR(INDEX(Users!$D$2:$D$310,MATCH(A134,Users!$B$2:$B$310,0)),"")</f>
        <v>Band 3</v>
      </c>
      <c r="I134" s="19" t="b">
        <f t="shared" si="7"/>
        <v>1</v>
      </c>
      <c r="J134" s="33" t="str">
        <f t="shared" si="8"/>
        <v/>
      </c>
    </row>
    <row r="135" spans="1:10">
      <c r="A135" s="19" t="s">
        <v>60</v>
      </c>
      <c r="B135" s="20">
        <v>45962</v>
      </c>
      <c r="C135" s="21">
        <v>148</v>
      </c>
      <c r="D135" s="21">
        <v>120.99</v>
      </c>
      <c r="E135" s="21">
        <v>82.789999999999992</v>
      </c>
      <c r="F135" s="27">
        <f t="shared" si="6"/>
        <v>0.8175</v>
      </c>
      <c r="G135" s="21" t="str">
        <f>IFERROR(INDEX(Users!$A$2:$A$310,MATCH(A135,Users!$B$2:$B$310,0)),"")</f>
        <v>Service A</v>
      </c>
      <c r="H135" s="21" t="str">
        <f>IFERROR(INDEX(Users!$D$2:$D$310,MATCH(A135,Users!$B$2:$B$310,0)),"")</f>
        <v>Band 3</v>
      </c>
      <c r="I135" s="19" t="b">
        <f t="shared" si="7"/>
        <v>1</v>
      </c>
      <c r="J135" s="33" t="str">
        <f t="shared" si="8"/>
        <v/>
      </c>
    </row>
    <row r="136" spans="1:10">
      <c r="A136" s="19" t="s">
        <v>60</v>
      </c>
      <c r="B136" s="20">
        <v>45992</v>
      </c>
      <c r="C136" s="21">
        <v>155.4</v>
      </c>
      <c r="D136" s="21">
        <v>128.64666666666665</v>
      </c>
      <c r="E136" s="21">
        <v>90.48</v>
      </c>
      <c r="F136" s="27">
        <f t="shared" si="6"/>
        <v>0.82784212784212774</v>
      </c>
      <c r="G136" s="21" t="str">
        <f>IFERROR(INDEX(Users!$A$2:$A$310,MATCH(A136,Users!$B$2:$B$310,0)),"")</f>
        <v>Service A</v>
      </c>
      <c r="H136" s="21" t="str">
        <f>IFERROR(INDEX(Users!$D$2:$D$310,MATCH(A136,Users!$B$2:$B$310,0)),"")</f>
        <v>Band 3</v>
      </c>
      <c r="I136" s="19" t="b">
        <f t="shared" si="7"/>
        <v>1</v>
      </c>
      <c r="J136" s="33" t="str">
        <f t="shared" si="8"/>
        <v/>
      </c>
    </row>
    <row r="137" spans="1:10">
      <c r="A137" s="19" t="s">
        <v>60</v>
      </c>
      <c r="B137" s="20">
        <v>46023</v>
      </c>
      <c r="C137" s="21">
        <v>155.4</v>
      </c>
      <c r="D137" s="21">
        <v>102.10333333333332</v>
      </c>
      <c r="E137" s="21">
        <v>57.819999999999993</v>
      </c>
      <c r="F137" s="27">
        <f t="shared" si="6"/>
        <v>0.65703560703560693</v>
      </c>
      <c r="G137" s="21" t="str">
        <f>IFERROR(INDEX(Users!$A$2:$A$310,MATCH(A137,Users!$B$2:$B$310,0)),"")</f>
        <v>Service A</v>
      </c>
      <c r="H137" s="21" t="str">
        <f>IFERROR(INDEX(Users!$D$2:$D$310,MATCH(A137,Users!$B$2:$B$310,0)),"")</f>
        <v>Band 3</v>
      </c>
      <c r="I137" s="19" t="b">
        <f t="shared" si="7"/>
        <v>1</v>
      </c>
      <c r="J137" s="33" t="str">
        <f t="shared" si="8"/>
        <v/>
      </c>
    </row>
    <row r="138" spans="1:10">
      <c r="A138" s="19" t="s">
        <v>61</v>
      </c>
      <c r="B138" s="20">
        <v>45778</v>
      </c>
      <c r="C138" s="21"/>
      <c r="D138" s="21">
        <v>3.25</v>
      </c>
      <c r="E138" s="21"/>
      <c r="F138" s="27" t="str">
        <f t="shared" si="6"/>
        <v/>
      </c>
      <c r="G138" s="21" t="str">
        <f>IFERROR(INDEX(Users!$A$2:$A$310,MATCH(A138,Users!$B$2:$B$310,0)),"")</f>
        <v>Service C</v>
      </c>
      <c r="H138" s="21" t="str">
        <f>IFERROR(INDEX(Users!$D$2:$D$310,MATCH(A138,Users!$B$2:$B$310,0)),"")</f>
        <v>Band 3</v>
      </c>
      <c r="I138" s="19" t="b">
        <f t="shared" si="7"/>
        <v>0</v>
      </c>
      <c r="J138" s="33" t="str">
        <f t="shared" si="8"/>
        <v/>
      </c>
    </row>
    <row r="139" spans="1:10">
      <c r="A139" s="19" t="s">
        <v>61</v>
      </c>
      <c r="B139" s="20">
        <v>45901</v>
      </c>
      <c r="C139" s="21">
        <v>51.800000000000004</v>
      </c>
      <c r="D139" s="21">
        <v>16</v>
      </c>
      <c r="E139" s="21"/>
      <c r="F139" s="27">
        <f t="shared" si="6"/>
        <v>0.30888030888030887</v>
      </c>
      <c r="G139" s="21" t="str">
        <f>IFERROR(INDEX(Users!$A$2:$A$310,MATCH(A139,Users!$B$2:$B$310,0)),"")</f>
        <v>Service C</v>
      </c>
      <c r="H139" s="21" t="str">
        <f>IFERROR(INDEX(Users!$D$2:$D$310,MATCH(A139,Users!$B$2:$B$310,0)),"")</f>
        <v>Band 3</v>
      </c>
      <c r="I139" s="19" t="b">
        <f t="shared" si="7"/>
        <v>0</v>
      </c>
      <c r="J139" s="33" t="str">
        <f t="shared" si="8"/>
        <v/>
      </c>
    </row>
    <row r="140" spans="1:10">
      <c r="A140" s="19" t="s">
        <v>61</v>
      </c>
      <c r="B140" s="20">
        <v>45931</v>
      </c>
      <c r="C140" s="21">
        <v>170.20000000000002</v>
      </c>
      <c r="D140" s="21">
        <v>179.50000000000006</v>
      </c>
      <c r="E140" s="21"/>
      <c r="F140" s="27">
        <f t="shared" si="6"/>
        <v>1.0546415981198591</v>
      </c>
      <c r="G140" s="21" t="str">
        <f>IFERROR(INDEX(Users!$A$2:$A$310,MATCH(A140,Users!$B$2:$B$310,0)),"")</f>
        <v>Service C</v>
      </c>
      <c r="H140" s="21" t="str">
        <f>IFERROR(INDEX(Users!$D$2:$D$310,MATCH(A140,Users!$B$2:$B$310,0)),"")</f>
        <v>Band 3</v>
      </c>
      <c r="I140" s="19" t="b">
        <f t="shared" si="7"/>
        <v>0</v>
      </c>
      <c r="J140" s="33" t="str">
        <f t="shared" si="8"/>
        <v/>
      </c>
    </row>
    <row r="141" spans="1:10">
      <c r="A141" s="19" t="s">
        <v>61</v>
      </c>
      <c r="B141" s="20">
        <v>45962</v>
      </c>
      <c r="C141" s="21">
        <v>148</v>
      </c>
      <c r="D141" s="21">
        <v>112.83333333333337</v>
      </c>
      <c r="E141" s="21"/>
      <c r="F141" s="27">
        <f t="shared" si="6"/>
        <v>0.76238738738738765</v>
      </c>
      <c r="G141" s="21" t="str">
        <f>IFERROR(INDEX(Users!$A$2:$A$310,MATCH(A141,Users!$B$2:$B$310,0)),"")</f>
        <v>Service C</v>
      </c>
      <c r="H141" s="21" t="str">
        <f>IFERROR(INDEX(Users!$D$2:$D$310,MATCH(A141,Users!$B$2:$B$310,0)),"")</f>
        <v>Band 3</v>
      </c>
      <c r="I141" s="19" t="b">
        <f t="shared" si="7"/>
        <v>0</v>
      </c>
      <c r="J141" s="33" t="str">
        <f t="shared" si="8"/>
        <v/>
      </c>
    </row>
    <row r="142" spans="1:10">
      <c r="A142" s="19" t="s">
        <v>61</v>
      </c>
      <c r="B142" s="20">
        <v>45992</v>
      </c>
      <c r="C142" s="21">
        <v>155.4</v>
      </c>
      <c r="D142" s="21">
        <v>149.8033333333334</v>
      </c>
      <c r="E142" s="21">
        <v>6.72</v>
      </c>
      <c r="F142" s="27">
        <f t="shared" si="6"/>
        <v>0.96398541398541437</v>
      </c>
      <c r="G142" s="21" t="str">
        <f>IFERROR(INDEX(Users!$A$2:$A$310,MATCH(A142,Users!$B$2:$B$310,0)),"")</f>
        <v>Service C</v>
      </c>
      <c r="H142" s="21" t="str">
        <f>IFERROR(INDEX(Users!$D$2:$D$310,MATCH(A142,Users!$B$2:$B$310,0)),"")</f>
        <v>Band 3</v>
      </c>
      <c r="I142" s="19" t="b">
        <f t="shared" si="7"/>
        <v>0</v>
      </c>
      <c r="J142" s="33" t="str">
        <f t="shared" si="8"/>
        <v/>
      </c>
    </row>
    <row r="143" spans="1:10">
      <c r="A143" s="19" t="s">
        <v>61</v>
      </c>
      <c r="B143" s="20">
        <v>46023</v>
      </c>
      <c r="C143" s="21">
        <v>155.4</v>
      </c>
      <c r="D143" s="21">
        <v>160.40333333333331</v>
      </c>
      <c r="E143" s="21">
        <v>20.82</v>
      </c>
      <c r="F143" s="27">
        <f t="shared" si="6"/>
        <v>1.032196482196482</v>
      </c>
      <c r="G143" s="21" t="str">
        <f>IFERROR(INDEX(Users!$A$2:$A$310,MATCH(A143,Users!$B$2:$B$310,0)),"")</f>
        <v>Service C</v>
      </c>
      <c r="H143" s="21" t="str">
        <f>IFERROR(INDEX(Users!$D$2:$D$310,MATCH(A143,Users!$B$2:$B$310,0)),"")</f>
        <v>Band 3</v>
      </c>
      <c r="I143" s="19" t="b">
        <f t="shared" si="7"/>
        <v>0</v>
      </c>
      <c r="J143" s="33" t="str">
        <f t="shared" si="8"/>
        <v/>
      </c>
    </row>
    <row r="144" spans="1:10">
      <c r="A144" s="19" t="s">
        <v>62</v>
      </c>
      <c r="B144" s="20">
        <v>45658</v>
      </c>
      <c r="C144" s="21">
        <v>88.800000000000011</v>
      </c>
      <c r="D144" s="21">
        <v>120.58</v>
      </c>
      <c r="E144" s="21">
        <v>10.83</v>
      </c>
      <c r="F144" s="27">
        <f t="shared" si="6"/>
        <v>1.3578828828828826</v>
      </c>
      <c r="G144" s="21" t="str">
        <f>IFERROR(INDEX(Users!$A$2:$A$310,MATCH(A144,Users!$B$2:$B$310,0)),"")</f>
        <v>Service B</v>
      </c>
      <c r="H144" s="21" t="str">
        <f>IFERROR(INDEX(Users!$D$2:$D$310,MATCH(A144,Users!$B$2:$B$310,0)),"")</f>
        <v>Band 3</v>
      </c>
      <c r="I144" s="19" t="b">
        <f t="shared" si="7"/>
        <v>0</v>
      </c>
      <c r="J144" s="33">
        <f t="shared" si="8"/>
        <v>1.3578828828828826</v>
      </c>
    </row>
    <row r="145" spans="1:10">
      <c r="A145" s="19" t="s">
        <v>62</v>
      </c>
      <c r="B145" s="20">
        <v>45689</v>
      </c>
      <c r="C145" s="21">
        <v>88.800000000000011</v>
      </c>
      <c r="D145" s="21">
        <v>104.66999999999999</v>
      </c>
      <c r="E145" s="21">
        <v>37.919999999999995</v>
      </c>
      <c r="F145" s="27">
        <f t="shared" si="6"/>
        <v>1.1787162162162159</v>
      </c>
      <c r="G145" s="21" t="str">
        <f>IFERROR(INDEX(Users!$A$2:$A$310,MATCH(A145,Users!$B$2:$B$310,0)),"")</f>
        <v>Service B</v>
      </c>
      <c r="H145" s="21" t="str">
        <f>IFERROR(INDEX(Users!$D$2:$D$310,MATCH(A145,Users!$B$2:$B$310,0)),"")</f>
        <v>Band 3</v>
      </c>
      <c r="I145" s="19" t="b">
        <f t="shared" si="7"/>
        <v>0</v>
      </c>
      <c r="J145" s="33">
        <f t="shared" si="8"/>
        <v>1.1787162162162159</v>
      </c>
    </row>
    <row r="146" spans="1:10">
      <c r="A146" s="19" t="s">
        <v>62</v>
      </c>
      <c r="B146" s="20">
        <v>45717</v>
      </c>
      <c r="C146" s="21">
        <v>96.2</v>
      </c>
      <c r="D146" s="21">
        <v>112.71333333333334</v>
      </c>
      <c r="E146" s="21">
        <v>46.129999999999995</v>
      </c>
      <c r="F146" s="27">
        <f t="shared" si="6"/>
        <v>1.1716562716562717</v>
      </c>
      <c r="G146" s="21" t="str">
        <f>IFERROR(INDEX(Users!$A$2:$A$310,MATCH(A146,Users!$B$2:$B$310,0)),"")</f>
        <v>Service B</v>
      </c>
      <c r="H146" s="21" t="str">
        <f>IFERROR(INDEX(Users!$D$2:$D$310,MATCH(A146,Users!$B$2:$B$310,0)),"")</f>
        <v>Band 3</v>
      </c>
      <c r="I146" s="19" t="b">
        <f t="shared" si="7"/>
        <v>0</v>
      </c>
      <c r="J146" s="33">
        <f t="shared" si="8"/>
        <v>1.1716562716562717</v>
      </c>
    </row>
    <row r="147" spans="1:10">
      <c r="A147" s="19" t="s">
        <v>62</v>
      </c>
      <c r="B147" s="20">
        <v>45748</v>
      </c>
      <c r="C147" s="21">
        <v>96.2</v>
      </c>
      <c r="D147" s="21">
        <v>111.78333333333333</v>
      </c>
      <c r="E147" s="21">
        <v>63.95</v>
      </c>
      <c r="F147" s="27">
        <f t="shared" si="6"/>
        <v>1.161988911988912</v>
      </c>
      <c r="G147" s="21" t="str">
        <f>IFERROR(INDEX(Users!$A$2:$A$310,MATCH(A147,Users!$B$2:$B$310,0)),"")</f>
        <v>Service B</v>
      </c>
      <c r="H147" s="21" t="str">
        <f>IFERROR(INDEX(Users!$D$2:$D$310,MATCH(A147,Users!$B$2:$B$310,0)),"")</f>
        <v>Band 3</v>
      </c>
      <c r="I147" s="19" t="b">
        <f t="shared" si="7"/>
        <v>0</v>
      </c>
      <c r="J147" s="33">
        <f t="shared" si="8"/>
        <v>1.161988911988912</v>
      </c>
    </row>
    <row r="148" spans="1:10">
      <c r="A148" s="19" t="s">
        <v>62</v>
      </c>
      <c r="B148" s="20">
        <v>45778</v>
      </c>
      <c r="C148" s="21">
        <v>74</v>
      </c>
      <c r="D148" s="21">
        <v>97.563333333333347</v>
      </c>
      <c r="E148" s="21">
        <v>62.230000000000004</v>
      </c>
      <c r="F148" s="27">
        <f t="shared" si="6"/>
        <v>1.3184234234234236</v>
      </c>
      <c r="G148" s="21" t="str">
        <f>IFERROR(INDEX(Users!$A$2:$A$310,MATCH(A148,Users!$B$2:$B$310,0)),"")</f>
        <v>Service B</v>
      </c>
      <c r="H148" s="21" t="str">
        <f>IFERROR(INDEX(Users!$D$2:$D$310,MATCH(A148,Users!$B$2:$B$310,0)),"")</f>
        <v>Band 3</v>
      </c>
      <c r="I148" s="19" t="b">
        <f t="shared" si="7"/>
        <v>0</v>
      </c>
      <c r="J148" s="33">
        <f t="shared" si="8"/>
        <v>1.3184234234234236</v>
      </c>
    </row>
    <row r="149" spans="1:10">
      <c r="A149" s="19" t="s">
        <v>62</v>
      </c>
      <c r="B149" s="20">
        <v>45809</v>
      </c>
      <c r="C149" s="21">
        <v>96.2</v>
      </c>
      <c r="D149" s="21">
        <v>35.456666666666663</v>
      </c>
      <c r="E149" s="21">
        <v>21.29</v>
      </c>
      <c r="F149" s="27">
        <f t="shared" si="6"/>
        <v>0.36857241857241851</v>
      </c>
      <c r="G149" s="21" t="str">
        <f>IFERROR(INDEX(Users!$A$2:$A$310,MATCH(A149,Users!$B$2:$B$310,0)),"")</f>
        <v>Service B</v>
      </c>
      <c r="H149" s="21" t="str">
        <f>IFERROR(INDEX(Users!$D$2:$D$310,MATCH(A149,Users!$B$2:$B$310,0)),"")</f>
        <v>Band 3</v>
      </c>
      <c r="I149" s="19" t="b">
        <f t="shared" si="7"/>
        <v>0</v>
      </c>
      <c r="J149" s="33">
        <f t="shared" si="8"/>
        <v>0.36857241857241851</v>
      </c>
    </row>
    <row r="150" spans="1:10">
      <c r="A150" s="19" t="s">
        <v>62</v>
      </c>
      <c r="B150" s="20">
        <v>45839</v>
      </c>
      <c r="C150" s="21">
        <v>103.60000000000001</v>
      </c>
      <c r="D150" s="21">
        <v>130.15333333333331</v>
      </c>
      <c r="E150" s="21">
        <v>82.819999999999979</v>
      </c>
      <c r="F150" s="27">
        <f t="shared" si="6"/>
        <v>1.256306306306306</v>
      </c>
      <c r="G150" s="21" t="str">
        <f>IFERROR(INDEX(Users!$A$2:$A$310,MATCH(A150,Users!$B$2:$B$310,0)),"")</f>
        <v>Service B</v>
      </c>
      <c r="H150" s="21" t="str">
        <f>IFERROR(INDEX(Users!$D$2:$D$310,MATCH(A150,Users!$B$2:$B$310,0)),"")</f>
        <v>Band 3</v>
      </c>
      <c r="I150" s="19" t="b">
        <f t="shared" si="7"/>
        <v>0</v>
      </c>
      <c r="J150" s="33">
        <f t="shared" si="8"/>
        <v>1.256306306306306</v>
      </c>
    </row>
    <row r="151" spans="1:10">
      <c r="A151" s="19" t="s">
        <v>62</v>
      </c>
      <c r="B151" s="20">
        <v>45870</v>
      </c>
      <c r="C151" s="21">
        <v>81.400000000000006</v>
      </c>
      <c r="D151" s="21">
        <v>86.853333333333339</v>
      </c>
      <c r="E151" s="21">
        <v>51.519999999999996</v>
      </c>
      <c r="F151" s="27">
        <f t="shared" si="6"/>
        <v>1.0669942669942669</v>
      </c>
      <c r="G151" s="21" t="str">
        <f>IFERROR(INDEX(Users!$A$2:$A$310,MATCH(A151,Users!$B$2:$B$310,0)),"")</f>
        <v>Service B</v>
      </c>
      <c r="H151" s="21" t="str">
        <f>IFERROR(INDEX(Users!$D$2:$D$310,MATCH(A151,Users!$B$2:$B$310,0)),"")</f>
        <v>Band 3</v>
      </c>
      <c r="I151" s="19" t="b">
        <f t="shared" si="7"/>
        <v>0</v>
      </c>
      <c r="J151" s="33">
        <f t="shared" si="8"/>
        <v>1.0669942669942669</v>
      </c>
    </row>
    <row r="152" spans="1:10">
      <c r="A152" s="19" t="s">
        <v>62</v>
      </c>
      <c r="B152" s="20">
        <v>45901</v>
      </c>
      <c r="C152" s="21">
        <v>103.60000000000001</v>
      </c>
      <c r="D152" s="21">
        <v>77.59333333333332</v>
      </c>
      <c r="E152" s="21">
        <v>58.259999999999991</v>
      </c>
      <c r="F152" s="27">
        <f t="shared" si="6"/>
        <v>0.74897039897039874</v>
      </c>
      <c r="G152" s="21" t="str">
        <f>IFERROR(INDEX(Users!$A$2:$A$310,MATCH(A152,Users!$B$2:$B$310,0)),"")</f>
        <v>Service B</v>
      </c>
      <c r="H152" s="21" t="str">
        <f>IFERROR(INDEX(Users!$D$2:$D$310,MATCH(A152,Users!$B$2:$B$310,0)),"")</f>
        <v>Band 3</v>
      </c>
      <c r="I152" s="19" t="b">
        <f t="shared" si="7"/>
        <v>0</v>
      </c>
      <c r="J152" s="33">
        <f t="shared" si="8"/>
        <v>0.74897039897039874</v>
      </c>
    </row>
    <row r="153" spans="1:10">
      <c r="A153" s="19" t="s">
        <v>62</v>
      </c>
      <c r="B153" s="20">
        <v>45931</v>
      </c>
      <c r="C153" s="21">
        <v>96.2</v>
      </c>
      <c r="D153" s="21">
        <v>115.62666666666667</v>
      </c>
      <c r="E153" s="21">
        <v>79.459999999999994</v>
      </c>
      <c r="F153" s="27">
        <f t="shared" si="6"/>
        <v>1.2019404019404019</v>
      </c>
      <c r="G153" s="21" t="str">
        <f>IFERROR(INDEX(Users!$A$2:$A$310,MATCH(A153,Users!$B$2:$B$310,0)),"")</f>
        <v>Service B</v>
      </c>
      <c r="H153" s="21" t="str">
        <f>IFERROR(INDEX(Users!$D$2:$D$310,MATCH(A153,Users!$B$2:$B$310,0)),"")</f>
        <v>Band 3</v>
      </c>
      <c r="I153" s="19" t="b">
        <f t="shared" si="7"/>
        <v>0</v>
      </c>
      <c r="J153" s="33">
        <f t="shared" si="8"/>
        <v>1.2019404019404019</v>
      </c>
    </row>
    <row r="154" spans="1:10">
      <c r="A154" s="19" t="s">
        <v>62</v>
      </c>
      <c r="B154" s="20">
        <v>45962</v>
      </c>
      <c r="C154" s="21">
        <v>88.800000000000011</v>
      </c>
      <c r="D154" s="21">
        <v>102.24666666666667</v>
      </c>
      <c r="E154" s="21">
        <v>71.33</v>
      </c>
      <c r="F154" s="27">
        <f t="shared" si="6"/>
        <v>1.1514264264264262</v>
      </c>
      <c r="G154" s="21" t="str">
        <f>IFERROR(INDEX(Users!$A$2:$A$310,MATCH(A154,Users!$B$2:$B$310,0)),"")</f>
        <v>Service B</v>
      </c>
      <c r="H154" s="21" t="str">
        <f>IFERROR(INDEX(Users!$D$2:$D$310,MATCH(A154,Users!$B$2:$B$310,0)),"")</f>
        <v>Band 3</v>
      </c>
      <c r="I154" s="19" t="b">
        <f t="shared" si="7"/>
        <v>0</v>
      </c>
      <c r="J154" s="33">
        <f t="shared" si="8"/>
        <v>1.1514264264264262</v>
      </c>
    </row>
    <row r="155" spans="1:10">
      <c r="A155" s="19" t="s">
        <v>62</v>
      </c>
      <c r="B155" s="20">
        <v>45992</v>
      </c>
      <c r="C155" s="21">
        <v>111</v>
      </c>
      <c r="D155" s="21">
        <v>98.796666666666653</v>
      </c>
      <c r="E155" s="21">
        <v>69.38</v>
      </c>
      <c r="F155" s="27">
        <f t="shared" si="6"/>
        <v>0.89006006006005989</v>
      </c>
      <c r="G155" s="21" t="str">
        <f>IFERROR(INDEX(Users!$A$2:$A$310,MATCH(A155,Users!$B$2:$B$310,0)),"")</f>
        <v>Service B</v>
      </c>
      <c r="H155" s="21" t="str">
        <f>IFERROR(INDEX(Users!$D$2:$D$310,MATCH(A155,Users!$B$2:$B$310,0)),"")</f>
        <v>Band 3</v>
      </c>
      <c r="I155" s="19" t="b">
        <f t="shared" si="7"/>
        <v>0</v>
      </c>
      <c r="J155" s="33">
        <f t="shared" si="8"/>
        <v>0.89006006006005989</v>
      </c>
    </row>
    <row r="156" spans="1:10">
      <c r="A156" s="19" t="s">
        <v>62</v>
      </c>
      <c r="B156" s="20">
        <v>46023</v>
      </c>
      <c r="C156" s="21">
        <v>88.800000000000011</v>
      </c>
      <c r="D156" s="21">
        <v>132.27333333333334</v>
      </c>
      <c r="E156" s="21">
        <v>89.190000000000012</v>
      </c>
      <c r="F156" s="27">
        <f t="shared" si="6"/>
        <v>1.4895645645645645</v>
      </c>
      <c r="G156" s="21" t="str">
        <f>IFERROR(INDEX(Users!$A$2:$A$310,MATCH(A156,Users!$B$2:$B$310,0)),"")</f>
        <v>Service B</v>
      </c>
      <c r="H156" s="21" t="str">
        <f>IFERROR(INDEX(Users!$D$2:$D$310,MATCH(A156,Users!$B$2:$B$310,0)),"")</f>
        <v>Band 3</v>
      </c>
      <c r="I156" s="19" t="b">
        <f t="shared" si="7"/>
        <v>0</v>
      </c>
      <c r="J156" s="33" t="str">
        <f t="shared" si="8"/>
        <v/>
      </c>
    </row>
    <row r="157" spans="1:10">
      <c r="A157" s="19" t="s">
        <v>63</v>
      </c>
      <c r="B157" s="20">
        <v>45658</v>
      </c>
      <c r="C157" s="21">
        <v>162.80000000000001</v>
      </c>
      <c r="D157" s="21">
        <v>157</v>
      </c>
      <c r="E157" s="21">
        <v>114.5</v>
      </c>
      <c r="F157" s="27">
        <f t="shared" si="6"/>
        <v>0.96437346437346427</v>
      </c>
      <c r="G157" s="21" t="str">
        <f>IFERROR(INDEX(Users!$A$2:$A$310,MATCH(A157,Users!$B$2:$B$310,0)),"")</f>
        <v>Service A</v>
      </c>
      <c r="H157" s="21" t="str">
        <f>IFERROR(INDEX(Users!$D$2:$D$310,MATCH(A157,Users!$B$2:$B$310,0)),"")</f>
        <v>Band 3</v>
      </c>
      <c r="I157" s="19" t="b">
        <f t="shared" si="7"/>
        <v>1</v>
      </c>
      <c r="J157" s="33" t="str">
        <f t="shared" si="8"/>
        <v/>
      </c>
    </row>
    <row r="158" spans="1:10">
      <c r="A158" s="19" t="s">
        <v>63</v>
      </c>
      <c r="B158" s="20">
        <v>45689</v>
      </c>
      <c r="C158" s="21">
        <v>148</v>
      </c>
      <c r="D158" s="21">
        <v>124.63</v>
      </c>
      <c r="E158" s="21">
        <v>98.63</v>
      </c>
      <c r="F158" s="27">
        <f t="shared" si="6"/>
        <v>0.84209459459459457</v>
      </c>
      <c r="G158" s="21" t="str">
        <f>IFERROR(INDEX(Users!$A$2:$A$310,MATCH(A158,Users!$B$2:$B$310,0)),"")</f>
        <v>Service A</v>
      </c>
      <c r="H158" s="21" t="str">
        <f>IFERROR(INDEX(Users!$D$2:$D$310,MATCH(A158,Users!$B$2:$B$310,0)),"")</f>
        <v>Band 3</v>
      </c>
      <c r="I158" s="19" t="b">
        <f t="shared" si="7"/>
        <v>1</v>
      </c>
      <c r="J158" s="33" t="str">
        <f t="shared" si="8"/>
        <v/>
      </c>
    </row>
    <row r="159" spans="1:10">
      <c r="A159" s="19" t="s">
        <v>63</v>
      </c>
      <c r="B159" s="20">
        <v>45717</v>
      </c>
      <c r="C159" s="21">
        <v>155.4</v>
      </c>
      <c r="D159" s="21">
        <v>143.29333333333335</v>
      </c>
      <c r="E159" s="21">
        <v>117.71000000000001</v>
      </c>
      <c r="F159" s="27">
        <f t="shared" si="6"/>
        <v>0.92209352209352213</v>
      </c>
      <c r="G159" s="21" t="str">
        <f>IFERROR(INDEX(Users!$A$2:$A$310,MATCH(A159,Users!$B$2:$B$310,0)),"")</f>
        <v>Service A</v>
      </c>
      <c r="H159" s="21" t="str">
        <f>IFERROR(INDEX(Users!$D$2:$D$310,MATCH(A159,Users!$B$2:$B$310,0)),"")</f>
        <v>Band 3</v>
      </c>
      <c r="I159" s="19" t="b">
        <f t="shared" si="7"/>
        <v>1</v>
      </c>
      <c r="J159" s="33" t="str">
        <f t="shared" si="8"/>
        <v/>
      </c>
    </row>
    <row r="160" spans="1:10">
      <c r="A160" s="19" t="s">
        <v>63</v>
      </c>
      <c r="B160" s="20">
        <v>45748</v>
      </c>
      <c r="C160" s="21">
        <v>148</v>
      </c>
      <c r="D160" s="21">
        <v>139.52333333333334</v>
      </c>
      <c r="E160" s="21">
        <v>111.69</v>
      </c>
      <c r="F160" s="27">
        <f t="shared" si="6"/>
        <v>0.94272522522522528</v>
      </c>
      <c r="G160" s="21" t="str">
        <f>IFERROR(INDEX(Users!$A$2:$A$310,MATCH(A160,Users!$B$2:$B$310,0)),"")</f>
        <v>Service A</v>
      </c>
      <c r="H160" s="21" t="str">
        <f>IFERROR(INDEX(Users!$D$2:$D$310,MATCH(A160,Users!$B$2:$B$310,0)),"")</f>
        <v>Band 3</v>
      </c>
      <c r="I160" s="19" t="b">
        <f t="shared" si="7"/>
        <v>1</v>
      </c>
      <c r="J160" s="33" t="str">
        <f t="shared" si="8"/>
        <v/>
      </c>
    </row>
    <row r="161" spans="1:10">
      <c r="A161" s="19" t="s">
        <v>63</v>
      </c>
      <c r="B161" s="20">
        <v>45778</v>
      </c>
      <c r="C161" s="21">
        <v>148</v>
      </c>
      <c r="D161" s="21">
        <v>81</v>
      </c>
      <c r="E161" s="21">
        <v>54.75</v>
      </c>
      <c r="F161" s="27">
        <f t="shared" si="6"/>
        <v>0.54729729729729726</v>
      </c>
      <c r="G161" s="21" t="str">
        <f>IFERROR(INDEX(Users!$A$2:$A$310,MATCH(A161,Users!$B$2:$B$310,0)),"")</f>
        <v>Service A</v>
      </c>
      <c r="H161" s="21" t="str">
        <f>IFERROR(INDEX(Users!$D$2:$D$310,MATCH(A161,Users!$B$2:$B$310,0)),"")</f>
        <v>Band 3</v>
      </c>
      <c r="I161" s="19" t="b">
        <f t="shared" si="7"/>
        <v>1</v>
      </c>
      <c r="J161" s="33" t="str">
        <f t="shared" si="8"/>
        <v/>
      </c>
    </row>
    <row r="162" spans="1:10">
      <c r="A162" s="19" t="s">
        <v>63</v>
      </c>
      <c r="B162" s="20">
        <v>45809</v>
      </c>
      <c r="C162" s="21">
        <v>155.4</v>
      </c>
      <c r="D162" s="21">
        <v>144.58333333333334</v>
      </c>
      <c r="E162" s="21">
        <v>116.5</v>
      </c>
      <c r="F162" s="27">
        <f t="shared" si="6"/>
        <v>0.93039468039468043</v>
      </c>
      <c r="G162" s="21" t="str">
        <f>IFERROR(INDEX(Users!$A$2:$A$310,MATCH(A162,Users!$B$2:$B$310,0)),"")</f>
        <v>Service A</v>
      </c>
      <c r="H162" s="21" t="str">
        <f>IFERROR(INDEX(Users!$D$2:$D$310,MATCH(A162,Users!$B$2:$B$310,0)),"")</f>
        <v>Band 3</v>
      </c>
      <c r="I162" s="19" t="b">
        <f t="shared" si="7"/>
        <v>1</v>
      </c>
      <c r="J162" s="33" t="str">
        <f t="shared" si="8"/>
        <v/>
      </c>
    </row>
    <row r="163" spans="1:10">
      <c r="A163" s="19" t="s">
        <v>63</v>
      </c>
      <c r="B163" s="20">
        <v>45839</v>
      </c>
      <c r="C163" s="21">
        <v>170.20000000000002</v>
      </c>
      <c r="D163" s="21">
        <v>115.16666666666666</v>
      </c>
      <c r="E163" s="21">
        <v>88.25</v>
      </c>
      <c r="F163" s="27">
        <f t="shared" si="6"/>
        <v>0.67665491578535042</v>
      </c>
      <c r="G163" s="21" t="str">
        <f>IFERROR(INDEX(Users!$A$2:$A$310,MATCH(A163,Users!$B$2:$B$310,0)),"")</f>
        <v>Service A</v>
      </c>
      <c r="H163" s="21" t="str">
        <f>IFERROR(INDEX(Users!$D$2:$D$310,MATCH(A163,Users!$B$2:$B$310,0)),"")</f>
        <v>Band 3</v>
      </c>
      <c r="I163" s="19" t="b">
        <f t="shared" si="7"/>
        <v>1</v>
      </c>
      <c r="J163" s="33" t="str">
        <f t="shared" si="8"/>
        <v/>
      </c>
    </row>
    <row r="164" spans="1:10">
      <c r="A164" s="19" t="s">
        <v>63</v>
      </c>
      <c r="B164" s="20">
        <v>45870</v>
      </c>
      <c r="C164" s="21">
        <v>148</v>
      </c>
      <c r="D164" s="21">
        <v>116.66333333333333</v>
      </c>
      <c r="E164" s="21">
        <v>88.08</v>
      </c>
      <c r="F164" s="27">
        <f t="shared" si="6"/>
        <v>0.78826576576576568</v>
      </c>
      <c r="G164" s="21" t="str">
        <f>IFERROR(INDEX(Users!$A$2:$A$310,MATCH(A164,Users!$B$2:$B$310,0)),"")</f>
        <v>Service A</v>
      </c>
      <c r="H164" s="21" t="str">
        <f>IFERROR(INDEX(Users!$D$2:$D$310,MATCH(A164,Users!$B$2:$B$310,0)),"")</f>
        <v>Band 3</v>
      </c>
      <c r="I164" s="19" t="b">
        <f t="shared" si="7"/>
        <v>1</v>
      </c>
      <c r="J164" s="33" t="str">
        <f t="shared" si="8"/>
        <v/>
      </c>
    </row>
    <row r="165" spans="1:10">
      <c r="A165" s="19" t="s">
        <v>63</v>
      </c>
      <c r="B165" s="20">
        <v>45901</v>
      </c>
      <c r="C165" s="21">
        <v>162.80000000000001</v>
      </c>
      <c r="D165" s="21">
        <v>134.33333333333334</v>
      </c>
      <c r="E165" s="21">
        <v>100.75</v>
      </c>
      <c r="F165" s="27">
        <f t="shared" si="6"/>
        <v>0.82514332514332511</v>
      </c>
      <c r="G165" s="21" t="str">
        <f>IFERROR(INDEX(Users!$A$2:$A$310,MATCH(A165,Users!$B$2:$B$310,0)),"")</f>
        <v>Service A</v>
      </c>
      <c r="H165" s="21" t="str">
        <f>IFERROR(INDEX(Users!$D$2:$D$310,MATCH(A165,Users!$B$2:$B$310,0)),"")</f>
        <v>Band 3</v>
      </c>
      <c r="I165" s="19" t="b">
        <f t="shared" si="7"/>
        <v>1</v>
      </c>
      <c r="J165" s="33" t="str">
        <f t="shared" si="8"/>
        <v/>
      </c>
    </row>
    <row r="166" spans="1:10">
      <c r="A166" s="19" t="s">
        <v>63</v>
      </c>
      <c r="B166" s="20">
        <v>45931</v>
      </c>
      <c r="C166" s="21">
        <v>170.20000000000002</v>
      </c>
      <c r="D166" s="21">
        <v>141.06666666666666</v>
      </c>
      <c r="E166" s="21">
        <v>99</v>
      </c>
      <c r="F166" s="27">
        <f t="shared" si="6"/>
        <v>0.82882882882882869</v>
      </c>
      <c r="G166" s="21" t="str">
        <f>IFERROR(INDEX(Users!$A$2:$A$310,MATCH(A166,Users!$B$2:$B$310,0)),"")</f>
        <v>Service A</v>
      </c>
      <c r="H166" s="21" t="str">
        <f>IFERROR(INDEX(Users!$D$2:$D$310,MATCH(A166,Users!$B$2:$B$310,0)),"")</f>
        <v>Band 3</v>
      </c>
      <c r="I166" s="19" t="b">
        <f t="shared" si="7"/>
        <v>1</v>
      </c>
      <c r="J166" s="33" t="str">
        <f t="shared" si="8"/>
        <v/>
      </c>
    </row>
    <row r="167" spans="1:10">
      <c r="A167" s="19" t="s">
        <v>63</v>
      </c>
      <c r="B167" s="20">
        <v>45962</v>
      </c>
      <c r="C167" s="21">
        <v>148</v>
      </c>
      <c r="D167" s="21">
        <v>133.66666666666669</v>
      </c>
      <c r="E167" s="21">
        <v>97.25</v>
      </c>
      <c r="F167" s="27">
        <f t="shared" si="6"/>
        <v>0.90315315315315325</v>
      </c>
      <c r="G167" s="21" t="str">
        <f>IFERROR(INDEX(Users!$A$2:$A$310,MATCH(A167,Users!$B$2:$B$310,0)),"")</f>
        <v>Service A</v>
      </c>
      <c r="H167" s="21" t="str">
        <f>IFERROR(INDEX(Users!$D$2:$D$310,MATCH(A167,Users!$B$2:$B$310,0)),"")</f>
        <v>Band 3</v>
      </c>
      <c r="I167" s="19" t="b">
        <f t="shared" si="7"/>
        <v>1</v>
      </c>
      <c r="J167" s="33" t="str">
        <f t="shared" si="8"/>
        <v/>
      </c>
    </row>
    <row r="168" spans="1:10">
      <c r="A168" s="19" t="s">
        <v>63</v>
      </c>
      <c r="B168" s="20">
        <v>45992</v>
      </c>
      <c r="C168" s="21">
        <v>155.4</v>
      </c>
      <c r="D168" s="21">
        <v>102.33</v>
      </c>
      <c r="E168" s="21">
        <v>77.83</v>
      </c>
      <c r="F168" s="27">
        <f t="shared" si="6"/>
        <v>0.65849420849420848</v>
      </c>
      <c r="G168" s="21" t="str">
        <f>IFERROR(INDEX(Users!$A$2:$A$310,MATCH(A168,Users!$B$2:$B$310,0)),"")</f>
        <v>Service A</v>
      </c>
      <c r="H168" s="21" t="str">
        <f>IFERROR(INDEX(Users!$D$2:$D$310,MATCH(A168,Users!$B$2:$B$310,0)),"")</f>
        <v>Band 3</v>
      </c>
      <c r="I168" s="19" t="b">
        <f t="shared" si="7"/>
        <v>1</v>
      </c>
      <c r="J168" s="33" t="str">
        <f t="shared" si="8"/>
        <v/>
      </c>
    </row>
    <row r="169" spans="1:10">
      <c r="A169" s="19" t="s">
        <v>63</v>
      </c>
      <c r="B169" s="20">
        <v>46023</v>
      </c>
      <c r="C169" s="21">
        <v>155.4</v>
      </c>
      <c r="D169" s="21">
        <v>132</v>
      </c>
      <c r="E169" s="21">
        <v>90.5</v>
      </c>
      <c r="F169" s="27">
        <f t="shared" si="6"/>
        <v>0.84942084942084939</v>
      </c>
      <c r="G169" s="21" t="str">
        <f>IFERROR(INDEX(Users!$A$2:$A$310,MATCH(A169,Users!$B$2:$B$310,0)),"")</f>
        <v>Service A</v>
      </c>
      <c r="H169" s="21" t="str">
        <f>IFERROR(INDEX(Users!$D$2:$D$310,MATCH(A169,Users!$B$2:$B$310,0)),"")</f>
        <v>Band 3</v>
      </c>
      <c r="I169" s="19" t="b">
        <f t="shared" si="7"/>
        <v>1</v>
      </c>
      <c r="J169" s="33" t="str">
        <f t="shared" si="8"/>
        <v/>
      </c>
    </row>
    <row r="170" spans="1:10">
      <c r="A170" s="19" t="s">
        <v>65</v>
      </c>
      <c r="B170" s="20">
        <v>45658</v>
      </c>
      <c r="C170" s="21">
        <v>162.80000000000001</v>
      </c>
      <c r="D170" s="21">
        <v>12.97</v>
      </c>
      <c r="E170" s="21">
        <v>12.97</v>
      </c>
      <c r="F170" s="27">
        <f t="shared" si="6"/>
        <v>7.9668304668304671E-2</v>
      </c>
      <c r="G170" s="21" t="str">
        <f>IFERROR(INDEX(Users!$A$2:$A$310,MATCH(A170,Users!$B$2:$B$310,0)),"")</f>
        <v>Service B</v>
      </c>
      <c r="H170" s="21" t="str">
        <f>IFERROR(INDEX(Users!$D$2:$D$310,MATCH(A170,Users!$B$2:$B$310,0)),"")</f>
        <v>Band 3</v>
      </c>
      <c r="I170" s="19" t="b">
        <f t="shared" si="7"/>
        <v>0</v>
      </c>
      <c r="J170" s="33">
        <f t="shared" si="8"/>
        <v>7.9668304668304671E-2</v>
      </c>
    </row>
    <row r="171" spans="1:10">
      <c r="A171" s="19" t="s">
        <v>65</v>
      </c>
      <c r="B171" s="20">
        <v>45689</v>
      </c>
      <c r="C171" s="21">
        <v>148</v>
      </c>
      <c r="D171" s="21">
        <v>109.31333333333333</v>
      </c>
      <c r="E171" s="21">
        <v>42.73</v>
      </c>
      <c r="F171" s="27">
        <f t="shared" si="6"/>
        <v>0.73860360360360355</v>
      </c>
      <c r="G171" s="21" t="str">
        <f>IFERROR(INDEX(Users!$A$2:$A$310,MATCH(A171,Users!$B$2:$B$310,0)),"")</f>
        <v>Service B</v>
      </c>
      <c r="H171" s="21" t="str">
        <f>IFERROR(INDEX(Users!$D$2:$D$310,MATCH(A171,Users!$B$2:$B$310,0)),"")</f>
        <v>Band 3</v>
      </c>
      <c r="I171" s="19" t="b">
        <f t="shared" si="7"/>
        <v>0</v>
      </c>
      <c r="J171" s="33">
        <f t="shared" si="8"/>
        <v>0.73860360360360355</v>
      </c>
    </row>
    <row r="172" spans="1:10">
      <c r="A172" s="19" t="s">
        <v>65</v>
      </c>
      <c r="B172" s="20">
        <v>45717</v>
      </c>
      <c r="C172" s="21">
        <v>155.4</v>
      </c>
      <c r="D172" s="21">
        <v>145.20000000000002</v>
      </c>
      <c r="E172" s="21">
        <v>34.500000000000007</v>
      </c>
      <c r="F172" s="27">
        <f t="shared" si="6"/>
        <v>0.93436293436293438</v>
      </c>
      <c r="G172" s="21" t="str">
        <f>IFERROR(INDEX(Users!$A$2:$A$310,MATCH(A172,Users!$B$2:$B$310,0)),"")</f>
        <v>Service B</v>
      </c>
      <c r="H172" s="21" t="str">
        <f>IFERROR(INDEX(Users!$D$2:$D$310,MATCH(A172,Users!$B$2:$B$310,0)),"")</f>
        <v>Band 3</v>
      </c>
      <c r="I172" s="19" t="b">
        <f t="shared" si="7"/>
        <v>0</v>
      </c>
      <c r="J172" s="33">
        <f t="shared" si="8"/>
        <v>0.93436293436293438</v>
      </c>
    </row>
    <row r="173" spans="1:10">
      <c r="A173" s="19" t="s">
        <v>65</v>
      </c>
      <c r="B173" s="20">
        <v>45748</v>
      </c>
      <c r="C173" s="21">
        <v>148</v>
      </c>
      <c r="D173" s="21">
        <v>125.34000000000003</v>
      </c>
      <c r="E173" s="21">
        <v>34.590000000000025</v>
      </c>
      <c r="F173" s="27">
        <f t="shared" si="6"/>
        <v>0.84689189189189207</v>
      </c>
      <c r="G173" s="21" t="str">
        <f>IFERROR(INDEX(Users!$A$2:$A$310,MATCH(A173,Users!$B$2:$B$310,0)),"")</f>
        <v>Service B</v>
      </c>
      <c r="H173" s="21" t="str">
        <f>IFERROR(INDEX(Users!$D$2:$D$310,MATCH(A173,Users!$B$2:$B$310,0)),"")</f>
        <v>Band 3</v>
      </c>
      <c r="I173" s="19" t="b">
        <f t="shared" si="7"/>
        <v>0</v>
      </c>
      <c r="J173" s="33">
        <f t="shared" si="8"/>
        <v>0.84689189189189207</v>
      </c>
    </row>
    <row r="174" spans="1:10">
      <c r="A174" s="19" t="s">
        <v>65</v>
      </c>
      <c r="B174" s="20">
        <v>45778</v>
      </c>
      <c r="C174" s="21">
        <v>148</v>
      </c>
      <c r="D174" s="21">
        <v>132.90333333333331</v>
      </c>
      <c r="E174" s="21">
        <v>44.32</v>
      </c>
      <c r="F174" s="27">
        <f t="shared" si="6"/>
        <v>0.89799549549549529</v>
      </c>
      <c r="G174" s="21" t="str">
        <f>IFERROR(INDEX(Users!$A$2:$A$310,MATCH(A174,Users!$B$2:$B$310,0)),"")</f>
        <v>Service B</v>
      </c>
      <c r="H174" s="21" t="str">
        <f>IFERROR(INDEX(Users!$D$2:$D$310,MATCH(A174,Users!$B$2:$B$310,0)),"")</f>
        <v>Band 3</v>
      </c>
      <c r="I174" s="19" t="b">
        <f t="shared" si="7"/>
        <v>0</v>
      </c>
      <c r="J174" s="33">
        <f t="shared" si="8"/>
        <v>0.89799549549549529</v>
      </c>
    </row>
    <row r="175" spans="1:10">
      <c r="A175" s="19" t="s">
        <v>65</v>
      </c>
      <c r="B175" s="20">
        <v>45809</v>
      </c>
      <c r="C175" s="21">
        <v>155.4</v>
      </c>
      <c r="D175" s="21">
        <v>110.47666666666666</v>
      </c>
      <c r="E175" s="21">
        <v>32.06</v>
      </c>
      <c r="F175" s="27">
        <f t="shared" si="6"/>
        <v>0.71091806091806087</v>
      </c>
      <c r="G175" s="21" t="str">
        <f>IFERROR(INDEX(Users!$A$2:$A$310,MATCH(A175,Users!$B$2:$B$310,0)),"")</f>
        <v>Service B</v>
      </c>
      <c r="H175" s="21" t="str">
        <f>IFERROR(INDEX(Users!$D$2:$D$310,MATCH(A175,Users!$B$2:$B$310,0)),"")</f>
        <v>Band 3</v>
      </c>
      <c r="I175" s="19" t="b">
        <f t="shared" si="7"/>
        <v>0</v>
      </c>
      <c r="J175" s="33">
        <f t="shared" si="8"/>
        <v>0.71091806091806087</v>
      </c>
    </row>
    <row r="176" spans="1:10">
      <c r="A176" s="19" t="s">
        <v>65</v>
      </c>
      <c r="B176" s="20">
        <v>45839</v>
      </c>
      <c r="C176" s="21">
        <v>170.20000000000002</v>
      </c>
      <c r="D176" s="21">
        <v>155.56</v>
      </c>
      <c r="E176" s="21">
        <v>61.559999999999981</v>
      </c>
      <c r="F176" s="27">
        <f t="shared" si="6"/>
        <v>0.91398354876615739</v>
      </c>
      <c r="G176" s="21" t="str">
        <f>IFERROR(INDEX(Users!$A$2:$A$310,MATCH(A176,Users!$B$2:$B$310,0)),"")</f>
        <v>Service B</v>
      </c>
      <c r="H176" s="21" t="str">
        <f>IFERROR(INDEX(Users!$D$2:$D$310,MATCH(A176,Users!$B$2:$B$310,0)),"")</f>
        <v>Band 3</v>
      </c>
      <c r="I176" s="19" t="b">
        <f t="shared" si="7"/>
        <v>0</v>
      </c>
      <c r="J176" s="33">
        <f t="shared" si="8"/>
        <v>0.91398354876615739</v>
      </c>
    </row>
    <row r="177" spans="1:10">
      <c r="A177" s="19" t="s">
        <v>65</v>
      </c>
      <c r="B177" s="20">
        <v>45870</v>
      </c>
      <c r="C177" s="21">
        <v>148</v>
      </c>
      <c r="D177" s="21">
        <v>86.13333333333334</v>
      </c>
      <c r="E177" s="21">
        <v>56.300000000000004</v>
      </c>
      <c r="F177" s="27">
        <f t="shared" si="6"/>
        <v>0.58198198198198203</v>
      </c>
      <c r="G177" s="21" t="str">
        <f>IFERROR(INDEX(Users!$A$2:$A$310,MATCH(A177,Users!$B$2:$B$310,0)),"")</f>
        <v>Service B</v>
      </c>
      <c r="H177" s="21" t="str">
        <f>IFERROR(INDEX(Users!$D$2:$D$310,MATCH(A177,Users!$B$2:$B$310,0)),"")</f>
        <v>Band 3</v>
      </c>
      <c r="I177" s="19" t="b">
        <f t="shared" si="7"/>
        <v>0</v>
      </c>
      <c r="J177" s="33">
        <f t="shared" si="8"/>
        <v>0.58198198198198203</v>
      </c>
    </row>
    <row r="178" spans="1:10">
      <c r="A178" s="19" t="s">
        <v>65</v>
      </c>
      <c r="B178" s="20">
        <v>45901</v>
      </c>
      <c r="C178" s="21">
        <v>162.80000000000001</v>
      </c>
      <c r="D178" s="21">
        <v>164.05333333333334</v>
      </c>
      <c r="E178" s="21">
        <v>80.069999999999993</v>
      </c>
      <c r="F178" s="27">
        <f t="shared" si="6"/>
        <v>1.0076986076986076</v>
      </c>
      <c r="G178" s="21" t="str">
        <f>IFERROR(INDEX(Users!$A$2:$A$310,MATCH(A178,Users!$B$2:$B$310,0)),"")</f>
        <v>Service B</v>
      </c>
      <c r="H178" s="21" t="str">
        <f>IFERROR(INDEX(Users!$D$2:$D$310,MATCH(A178,Users!$B$2:$B$310,0)),"")</f>
        <v>Band 3</v>
      </c>
      <c r="I178" s="19" t="b">
        <f t="shared" si="7"/>
        <v>0</v>
      </c>
      <c r="J178" s="33">
        <f t="shared" si="8"/>
        <v>1.0076986076986076</v>
      </c>
    </row>
    <row r="179" spans="1:10">
      <c r="A179" s="19" t="s">
        <v>65</v>
      </c>
      <c r="B179" s="20">
        <v>45931</v>
      </c>
      <c r="C179" s="21">
        <v>170.20000000000002</v>
      </c>
      <c r="D179" s="21">
        <v>123.85</v>
      </c>
      <c r="E179" s="21">
        <v>78.2</v>
      </c>
      <c r="F179" s="27">
        <f t="shared" si="6"/>
        <v>0.72767332549941233</v>
      </c>
      <c r="G179" s="21" t="str">
        <f>IFERROR(INDEX(Users!$A$2:$A$310,MATCH(A179,Users!$B$2:$B$310,0)),"")</f>
        <v>Service B</v>
      </c>
      <c r="H179" s="21" t="str">
        <f>IFERROR(INDEX(Users!$D$2:$D$310,MATCH(A179,Users!$B$2:$B$310,0)),"")</f>
        <v>Band 3</v>
      </c>
      <c r="I179" s="19" t="b">
        <f t="shared" si="7"/>
        <v>0</v>
      </c>
      <c r="J179" s="33">
        <f t="shared" si="8"/>
        <v>0.72767332549941233</v>
      </c>
    </row>
    <row r="180" spans="1:10">
      <c r="A180" s="19" t="s">
        <v>65</v>
      </c>
      <c r="B180" s="20">
        <v>45962</v>
      </c>
      <c r="C180" s="21">
        <v>148</v>
      </c>
      <c r="D180" s="21">
        <v>76.47999999999999</v>
      </c>
      <c r="E180" s="21">
        <v>60.47999999999999</v>
      </c>
      <c r="F180" s="27">
        <f t="shared" si="6"/>
        <v>0.5167567567567567</v>
      </c>
      <c r="G180" s="21" t="str">
        <f>IFERROR(INDEX(Users!$A$2:$A$310,MATCH(A180,Users!$B$2:$B$310,0)),"")</f>
        <v>Service B</v>
      </c>
      <c r="H180" s="21" t="str">
        <f>IFERROR(INDEX(Users!$D$2:$D$310,MATCH(A180,Users!$B$2:$B$310,0)),"")</f>
        <v>Band 3</v>
      </c>
      <c r="I180" s="19" t="b">
        <f t="shared" si="7"/>
        <v>0</v>
      </c>
      <c r="J180" s="33">
        <f t="shared" si="8"/>
        <v>0.5167567567567567</v>
      </c>
    </row>
    <row r="181" spans="1:10">
      <c r="A181" s="19" t="s">
        <v>65</v>
      </c>
      <c r="B181" s="20">
        <v>45992</v>
      </c>
      <c r="C181" s="21">
        <v>155.4</v>
      </c>
      <c r="D181" s="21">
        <v>124.11</v>
      </c>
      <c r="E181" s="21">
        <v>69.36</v>
      </c>
      <c r="F181" s="27">
        <f t="shared" si="6"/>
        <v>0.7986486486486486</v>
      </c>
      <c r="G181" s="21" t="str">
        <f>IFERROR(INDEX(Users!$A$2:$A$310,MATCH(A181,Users!$B$2:$B$310,0)),"")</f>
        <v>Service B</v>
      </c>
      <c r="H181" s="21" t="str">
        <f>IFERROR(INDEX(Users!$D$2:$D$310,MATCH(A181,Users!$B$2:$B$310,0)),"")</f>
        <v>Band 3</v>
      </c>
      <c r="I181" s="19" t="b">
        <f t="shared" si="7"/>
        <v>0</v>
      </c>
      <c r="J181" s="33">
        <f t="shared" si="8"/>
        <v>0.7986486486486486</v>
      </c>
    </row>
    <row r="182" spans="1:10">
      <c r="A182" s="19" t="s">
        <v>65</v>
      </c>
      <c r="B182" s="20">
        <v>46023</v>
      </c>
      <c r="C182" s="21">
        <v>155.4</v>
      </c>
      <c r="D182" s="21">
        <v>73.376666666666665</v>
      </c>
      <c r="E182" s="21">
        <v>28.209999999999994</v>
      </c>
      <c r="F182" s="27">
        <f t="shared" si="6"/>
        <v>0.47217932217932213</v>
      </c>
      <c r="G182" s="21" t="str">
        <f>IFERROR(INDEX(Users!$A$2:$A$310,MATCH(A182,Users!$B$2:$B$310,0)),"")</f>
        <v>Service B</v>
      </c>
      <c r="H182" s="21" t="str">
        <f>IFERROR(INDEX(Users!$D$2:$D$310,MATCH(A182,Users!$B$2:$B$310,0)),"")</f>
        <v>Band 3</v>
      </c>
      <c r="I182" s="19" t="b">
        <f t="shared" si="7"/>
        <v>0</v>
      </c>
      <c r="J182" s="33" t="str">
        <f t="shared" si="8"/>
        <v/>
      </c>
    </row>
    <row r="183" spans="1:10">
      <c r="A183" s="19" t="s">
        <v>67</v>
      </c>
      <c r="B183" s="20">
        <v>45658</v>
      </c>
      <c r="C183" s="21">
        <v>162.80000000000001</v>
      </c>
      <c r="D183" s="21">
        <v>163.09666666666669</v>
      </c>
      <c r="E183" s="21">
        <v>83.83</v>
      </c>
      <c r="F183" s="27">
        <f t="shared" si="6"/>
        <v>1.0018222768222769</v>
      </c>
      <c r="G183" s="21" t="str">
        <f>IFERROR(INDEX(Users!$A$2:$A$310,MATCH(A183,Users!$B$2:$B$310,0)),"")</f>
        <v>Service D</v>
      </c>
      <c r="H183" s="21" t="str">
        <f>IFERROR(INDEX(Users!$D$2:$D$310,MATCH(A183,Users!$B$2:$B$310,0)),"")</f>
        <v>Band 3</v>
      </c>
      <c r="I183" s="19" t="b">
        <f t="shared" si="7"/>
        <v>0</v>
      </c>
      <c r="J183" s="33" t="str">
        <f t="shared" si="8"/>
        <v/>
      </c>
    </row>
    <row r="184" spans="1:10">
      <c r="A184" s="19" t="s">
        <v>67</v>
      </c>
      <c r="B184" s="20">
        <v>45689</v>
      </c>
      <c r="C184" s="21">
        <v>148</v>
      </c>
      <c r="D184" s="21">
        <v>100.89999999999998</v>
      </c>
      <c r="E184" s="21">
        <v>49.75</v>
      </c>
      <c r="F184" s="27">
        <f t="shared" si="6"/>
        <v>0.68175675675675662</v>
      </c>
      <c r="G184" s="21" t="str">
        <f>IFERROR(INDEX(Users!$A$2:$A$310,MATCH(A184,Users!$B$2:$B$310,0)),"")</f>
        <v>Service D</v>
      </c>
      <c r="H184" s="21" t="str">
        <f>IFERROR(INDEX(Users!$D$2:$D$310,MATCH(A184,Users!$B$2:$B$310,0)),"")</f>
        <v>Band 3</v>
      </c>
      <c r="I184" s="19" t="b">
        <f t="shared" si="7"/>
        <v>0</v>
      </c>
      <c r="J184" s="33" t="str">
        <f t="shared" si="8"/>
        <v/>
      </c>
    </row>
    <row r="185" spans="1:10">
      <c r="A185" s="19" t="s">
        <v>67</v>
      </c>
      <c r="B185" s="20">
        <v>45717</v>
      </c>
      <c r="C185" s="21">
        <v>155.4</v>
      </c>
      <c r="D185" s="21">
        <v>155.89999999999998</v>
      </c>
      <c r="E185" s="21">
        <v>84.25</v>
      </c>
      <c r="F185" s="27">
        <f t="shared" si="6"/>
        <v>1.003217503217503</v>
      </c>
      <c r="G185" s="21" t="str">
        <f>IFERROR(INDEX(Users!$A$2:$A$310,MATCH(A185,Users!$B$2:$B$310,0)),"")</f>
        <v>Service D</v>
      </c>
      <c r="H185" s="21" t="str">
        <f>IFERROR(INDEX(Users!$D$2:$D$310,MATCH(A185,Users!$B$2:$B$310,0)),"")</f>
        <v>Band 3</v>
      </c>
      <c r="I185" s="19" t="b">
        <f t="shared" si="7"/>
        <v>0</v>
      </c>
      <c r="J185" s="33" t="str">
        <f t="shared" si="8"/>
        <v/>
      </c>
    </row>
    <row r="186" spans="1:10">
      <c r="A186" s="19" t="s">
        <v>67</v>
      </c>
      <c r="B186" s="20">
        <v>45748</v>
      </c>
      <c r="C186" s="21">
        <v>148</v>
      </c>
      <c r="D186" s="21">
        <v>147.5</v>
      </c>
      <c r="E186" s="21">
        <v>65.5</v>
      </c>
      <c r="F186" s="27">
        <f t="shared" si="6"/>
        <v>0.9966216216216216</v>
      </c>
      <c r="G186" s="21" t="str">
        <f>IFERROR(INDEX(Users!$A$2:$A$310,MATCH(A186,Users!$B$2:$B$310,0)),"")</f>
        <v>Service D</v>
      </c>
      <c r="H186" s="21" t="str">
        <f>IFERROR(INDEX(Users!$D$2:$D$310,MATCH(A186,Users!$B$2:$B$310,0)),"")</f>
        <v>Band 3</v>
      </c>
      <c r="I186" s="19" t="b">
        <f t="shared" si="7"/>
        <v>0</v>
      </c>
      <c r="J186" s="33" t="str">
        <f t="shared" si="8"/>
        <v/>
      </c>
    </row>
    <row r="187" spans="1:10">
      <c r="A187" s="19" t="s">
        <v>67</v>
      </c>
      <c r="B187" s="20">
        <v>45778</v>
      </c>
      <c r="C187" s="21">
        <v>148</v>
      </c>
      <c r="D187" s="21">
        <v>133.19999999999999</v>
      </c>
      <c r="E187" s="21">
        <v>72</v>
      </c>
      <c r="F187" s="27">
        <f t="shared" si="6"/>
        <v>0.89999999999999991</v>
      </c>
      <c r="G187" s="21" t="str">
        <f>IFERROR(INDEX(Users!$A$2:$A$310,MATCH(A187,Users!$B$2:$B$310,0)),"")</f>
        <v>Service D</v>
      </c>
      <c r="H187" s="21" t="str">
        <f>IFERROR(INDEX(Users!$D$2:$D$310,MATCH(A187,Users!$B$2:$B$310,0)),"")</f>
        <v>Band 3</v>
      </c>
      <c r="I187" s="19" t="b">
        <f t="shared" si="7"/>
        <v>0</v>
      </c>
      <c r="J187" s="33" t="str">
        <f t="shared" si="8"/>
        <v/>
      </c>
    </row>
    <row r="188" spans="1:10">
      <c r="A188" s="19" t="s">
        <v>67</v>
      </c>
      <c r="B188" s="20">
        <v>45809</v>
      </c>
      <c r="C188" s="21">
        <v>155.4</v>
      </c>
      <c r="D188" s="21">
        <v>131.5</v>
      </c>
      <c r="E188" s="21">
        <v>51</v>
      </c>
      <c r="F188" s="27">
        <f t="shared" si="6"/>
        <v>0.84620334620334614</v>
      </c>
      <c r="G188" s="21" t="str">
        <f>IFERROR(INDEX(Users!$A$2:$A$310,MATCH(A188,Users!$B$2:$B$310,0)),"")</f>
        <v>Service D</v>
      </c>
      <c r="H188" s="21" t="str">
        <f>IFERROR(INDEX(Users!$D$2:$D$310,MATCH(A188,Users!$B$2:$B$310,0)),"")</f>
        <v>Band 3</v>
      </c>
      <c r="I188" s="19" t="b">
        <f t="shared" si="7"/>
        <v>0</v>
      </c>
      <c r="J188" s="33" t="str">
        <f t="shared" si="8"/>
        <v/>
      </c>
    </row>
    <row r="189" spans="1:10">
      <c r="A189" s="19" t="s">
        <v>67</v>
      </c>
      <c r="B189" s="20">
        <v>45839</v>
      </c>
      <c r="C189" s="21">
        <v>170.20000000000002</v>
      </c>
      <c r="D189" s="21">
        <v>118.4</v>
      </c>
      <c r="E189" s="21">
        <v>54.75</v>
      </c>
      <c r="F189" s="27">
        <f t="shared" si="6"/>
        <v>0.69565217391304346</v>
      </c>
      <c r="G189" s="21" t="str">
        <f>IFERROR(INDEX(Users!$A$2:$A$310,MATCH(A189,Users!$B$2:$B$310,0)),"")</f>
        <v>Service D</v>
      </c>
      <c r="H189" s="21" t="str">
        <f>IFERROR(INDEX(Users!$D$2:$D$310,MATCH(A189,Users!$B$2:$B$310,0)),"")</f>
        <v>Band 3</v>
      </c>
      <c r="I189" s="19" t="b">
        <f t="shared" si="7"/>
        <v>0</v>
      </c>
      <c r="J189" s="33" t="str">
        <f t="shared" si="8"/>
        <v/>
      </c>
    </row>
    <row r="190" spans="1:10">
      <c r="A190" s="19" t="s">
        <v>67</v>
      </c>
      <c r="B190" s="20">
        <v>45870</v>
      </c>
      <c r="C190" s="21">
        <v>148</v>
      </c>
      <c r="D190" s="21">
        <v>110.99999999999999</v>
      </c>
      <c r="E190" s="21">
        <v>70</v>
      </c>
      <c r="F190" s="27">
        <f t="shared" si="6"/>
        <v>0.74999999999999989</v>
      </c>
      <c r="G190" s="21" t="str">
        <f>IFERROR(INDEX(Users!$A$2:$A$310,MATCH(A190,Users!$B$2:$B$310,0)),"")</f>
        <v>Service D</v>
      </c>
      <c r="H190" s="21" t="str">
        <f>IFERROR(INDEX(Users!$D$2:$D$310,MATCH(A190,Users!$B$2:$B$310,0)),"")</f>
        <v>Band 3</v>
      </c>
      <c r="I190" s="19" t="b">
        <f t="shared" si="7"/>
        <v>0</v>
      </c>
      <c r="J190" s="33" t="str">
        <f t="shared" si="8"/>
        <v/>
      </c>
    </row>
    <row r="191" spans="1:10">
      <c r="A191" s="19" t="s">
        <v>67</v>
      </c>
      <c r="B191" s="20">
        <v>45901</v>
      </c>
      <c r="C191" s="21">
        <v>162.80000000000001</v>
      </c>
      <c r="D191" s="21">
        <v>159.1</v>
      </c>
      <c r="E191" s="21">
        <v>85</v>
      </c>
      <c r="F191" s="27">
        <f t="shared" si="6"/>
        <v>0.97727272727272718</v>
      </c>
      <c r="G191" s="21" t="str">
        <f>IFERROR(INDEX(Users!$A$2:$A$310,MATCH(A191,Users!$B$2:$B$310,0)),"")</f>
        <v>Service D</v>
      </c>
      <c r="H191" s="21" t="str">
        <f>IFERROR(INDEX(Users!$D$2:$D$310,MATCH(A191,Users!$B$2:$B$310,0)),"")</f>
        <v>Band 3</v>
      </c>
      <c r="I191" s="19" t="b">
        <f t="shared" si="7"/>
        <v>0</v>
      </c>
      <c r="J191" s="33" t="str">
        <f t="shared" si="8"/>
        <v/>
      </c>
    </row>
    <row r="192" spans="1:10">
      <c r="A192" s="19" t="s">
        <v>67</v>
      </c>
      <c r="B192" s="20">
        <v>45931</v>
      </c>
      <c r="C192" s="21">
        <v>170.20000000000002</v>
      </c>
      <c r="D192" s="21">
        <v>159.1</v>
      </c>
      <c r="E192" s="21">
        <v>70</v>
      </c>
      <c r="F192" s="27">
        <f t="shared" si="6"/>
        <v>0.934782608695652</v>
      </c>
      <c r="G192" s="21" t="str">
        <f>IFERROR(INDEX(Users!$A$2:$A$310,MATCH(A192,Users!$B$2:$B$310,0)),"")</f>
        <v>Service D</v>
      </c>
      <c r="H192" s="21" t="str">
        <f>IFERROR(INDEX(Users!$D$2:$D$310,MATCH(A192,Users!$B$2:$B$310,0)),"")</f>
        <v>Band 3</v>
      </c>
      <c r="I192" s="19" t="b">
        <f t="shared" si="7"/>
        <v>0</v>
      </c>
      <c r="J192" s="33" t="str">
        <f t="shared" si="8"/>
        <v/>
      </c>
    </row>
    <row r="193" spans="1:10">
      <c r="A193" s="19" t="s">
        <v>67</v>
      </c>
      <c r="B193" s="20">
        <v>45962</v>
      </c>
      <c r="C193" s="21">
        <v>148</v>
      </c>
      <c r="D193" s="21">
        <v>147.99999999999997</v>
      </c>
      <c r="E193" s="21">
        <v>49.5</v>
      </c>
      <c r="F193" s="27">
        <f t="shared" si="6"/>
        <v>0.99999999999999978</v>
      </c>
      <c r="G193" s="21" t="str">
        <f>IFERROR(INDEX(Users!$A$2:$A$310,MATCH(A193,Users!$B$2:$B$310,0)),"")</f>
        <v>Service D</v>
      </c>
      <c r="H193" s="21" t="str">
        <f>IFERROR(INDEX(Users!$D$2:$D$310,MATCH(A193,Users!$B$2:$B$310,0)),"")</f>
        <v>Band 3</v>
      </c>
      <c r="I193" s="19" t="b">
        <f t="shared" si="7"/>
        <v>0</v>
      </c>
      <c r="J193" s="33" t="str">
        <f t="shared" si="8"/>
        <v/>
      </c>
    </row>
    <row r="194" spans="1:10">
      <c r="A194" s="19" t="s">
        <v>67</v>
      </c>
      <c r="B194" s="20">
        <v>45992</v>
      </c>
      <c r="C194" s="21">
        <v>37</v>
      </c>
      <c r="D194" s="21">
        <v>37</v>
      </c>
      <c r="E194" s="21"/>
      <c r="F194" s="27">
        <f t="shared" ref="F194:F257" si="9">IFERROR(IF(OR(C194="",D194="",C194=0),"",D194/C194),"")</f>
        <v>1</v>
      </c>
      <c r="G194" s="21" t="str">
        <f>IFERROR(INDEX(Users!$A$2:$A$310,MATCH(A194,Users!$B$2:$B$310,0)),"")</f>
        <v>Service D</v>
      </c>
      <c r="H194" s="21" t="str">
        <f>IFERROR(INDEX(Users!$D$2:$D$310,MATCH(A194,Users!$B$2:$B$310,0)),"")</f>
        <v>Band 3</v>
      </c>
      <c r="I194" s="19" t="b">
        <f t="shared" ref="I194:I257" si="10">AND(G194="Service A",H194="Band 3")</f>
        <v>0</v>
      </c>
      <c r="J194" s="33" t="str">
        <f t="shared" ref="J194:J257" si="11">IF(AND(B194&gt;=DATE(2025,1,1),B194&lt;DATE(2026,1,1),G194="Service B",OR(H194="Band 3",H194="Band 5"),ISNUMBER(F194)),F194,"")</f>
        <v/>
      </c>
    </row>
    <row r="195" spans="1:10">
      <c r="A195" s="19" t="s">
        <v>69</v>
      </c>
      <c r="B195" s="20">
        <v>45658</v>
      </c>
      <c r="C195" s="21">
        <v>162.80000000000001</v>
      </c>
      <c r="D195" s="21">
        <v>162.83000000000001</v>
      </c>
      <c r="E195" s="21">
        <v>112.08000000000001</v>
      </c>
      <c r="F195" s="27">
        <f t="shared" si="9"/>
        <v>1.0001842751842751</v>
      </c>
      <c r="G195" s="21" t="str">
        <f>IFERROR(INDEX(Users!$A$2:$A$310,MATCH(A195,Users!$B$2:$B$310,0)),"")</f>
        <v>Service D</v>
      </c>
      <c r="H195" s="21" t="str">
        <f>IFERROR(INDEX(Users!$D$2:$D$310,MATCH(A195,Users!$B$2:$B$310,0)),"")</f>
        <v>Band 3</v>
      </c>
      <c r="I195" s="19" t="b">
        <f t="shared" si="10"/>
        <v>0</v>
      </c>
      <c r="J195" s="33" t="str">
        <f t="shared" si="11"/>
        <v/>
      </c>
    </row>
    <row r="196" spans="1:10">
      <c r="A196" s="19" t="s">
        <v>69</v>
      </c>
      <c r="B196" s="20">
        <v>45689</v>
      </c>
      <c r="C196" s="21">
        <v>148</v>
      </c>
      <c r="D196" s="21">
        <v>118.39000000000001</v>
      </c>
      <c r="E196" s="21">
        <v>76.39</v>
      </c>
      <c r="F196" s="27">
        <f t="shared" si="9"/>
        <v>0.79993243243243251</v>
      </c>
      <c r="G196" s="21" t="str">
        <f>IFERROR(INDEX(Users!$A$2:$A$310,MATCH(A196,Users!$B$2:$B$310,0)),"")</f>
        <v>Service D</v>
      </c>
      <c r="H196" s="21" t="str">
        <f>IFERROR(INDEX(Users!$D$2:$D$310,MATCH(A196,Users!$B$2:$B$310,0)),"")</f>
        <v>Band 3</v>
      </c>
      <c r="I196" s="19" t="b">
        <f t="shared" si="10"/>
        <v>0</v>
      </c>
      <c r="J196" s="33" t="str">
        <f t="shared" si="11"/>
        <v/>
      </c>
    </row>
    <row r="197" spans="1:10">
      <c r="A197" s="19" t="s">
        <v>69</v>
      </c>
      <c r="B197" s="20">
        <v>45717</v>
      </c>
      <c r="C197" s="21">
        <v>155.4</v>
      </c>
      <c r="D197" s="21">
        <v>148.22999999999999</v>
      </c>
      <c r="E197" s="21">
        <v>109.97999999999999</v>
      </c>
      <c r="F197" s="27">
        <f t="shared" si="9"/>
        <v>0.95386100386100381</v>
      </c>
      <c r="G197" s="21" t="str">
        <f>IFERROR(INDEX(Users!$A$2:$A$310,MATCH(A197,Users!$B$2:$B$310,0)),"")</f>
        <v>Service D</v>
      </c>
      <c r="H197" s="21" t="str">
        <f>IFERROR(INDEX(Users!$D$2:$D$310,MATCH(A197,Users!$B$2:$B$310,0)),"")</f>
        <v>Band 3</v>
      </c>
      <c r="I197" s="19" t="b">
        <f t="shared" si="10"/>
        <v>0</v>
      </c>
      <c r="J197" s="33" t="str">
        <f t="shared" si="11"/>
        <v/>
      </c>
    </row>
    <row r="198" spans="1:10">
      <c r="A198" s="19" t="s">
        <v>69</v>
      </c>
      <c r="B198" s="20">
        <v>45748</v>
      </c>
      <c r="C198" s="21">
        <v>148</v>
      </c>
      <c r="D198" s="21">
        <v>136.99333333333334</v>
      </c>
      <c r="E198" s="21">
        <v>112.66</v>
      </c>
      <c r="F198" s="27">
        <f t="shared" si="9"/>
        <v>0.92563063063063067</v>
      </c>
      <c r="G198" s="21" t="str">
        <f>IFERROR(INDEX(Users!$A$2:$A$310,MATCH(A198,Users!$B$2:$B$310,0)),"")</f>
        <v>Service D</v>
      </c>
      <c r="H198" s="21" t="str">
        <f>IFERROR(INDEX(Users!$D$2:$D$310,MATCH(A198,Users!$B$2:$B$310,0)),"")</f>
        <v>Band 3</v>
      </c>
      <c r="I198" s="19" t="b">
        <f t="shared" si="10"/>
        <v>0</v>
      </c>
      <c r="J198" s="33" t="str">
        <f t="shared" si="11"/>
        <v/>
      </c>
    </row>
    <row r="199" spans="1:10">
      <c r="A199" s="19" t="s">
        <v>69</v>
      </c>
      <c r="B199" s="20">
        <v>45778</v>
      </c>
      <c r="C199" s="21">
        <v>148</v>
      </c>
      <c r="D199" s="21">
        <v>126.22333333333333</v>
      </c>
      <c r="E199" s="21">
        <v>88.639999999999986</v>
      </c>
      <c r="F199" s="27">
        <f t="shared" si="9"/>
        <v>0.85286036036036028</v>
      </c>
      <c r="G199" s="21" t="str">
        <f>IFERROR(INDEX(Users!$A$2:$A$310,MATCH(A199,Users!$B$2:$B$310,0)),"")</f>
        <v>Service D</v>
      </c>
      <c r="H199" s="21" t="str">
        <f>IFERROR(INDEX(Users!$D$2:$D$310,MATCH(A199,Users!$B$2:$B$310,0)),"")</f>
        <v>Band 3</v>
      </c>
      <c r="I199" s="19" t="b">
        <f t="shared" si="10"/>
        <v>0</v>
      </c>
      <c r="J199" s="33" t="str">
        <f t="shared" si="11"/>
        <v/>
      </c>
    </row>
    <row r="200" spans="1:10">
      <c r="A200" s="19" t="s">
        <v>69</v>
      </c>
      <c r="B200" s="20">
        <v>45809</v>
      </c>
      <c r="C200" s="21">
        <v>155.4</v>
      </c>
      <c r="D200" s="21">
        <v>117.93</v>
      </c>
      <c r="E200" s="21">
        <v>93.18</v>
      </c>
      <c r="F200" s="27">
        <f t="shared" si="9"/>
        <v>0.75888030888030888</v>
      </c>
      <c r="G200" s="21" t="str">
        <f>IFERROR(INDEX(Users!$A$2:$A$310,MATCH(A200,Users!$B$2:$B$310,0)),"")</f>
        <v>Service D</v>
      </c>
      <c r="H200" s="21" t="str">
        <f>IFERROR(INDEX(Users!$D$2:$D$310,MATCH(A200,Users!$B$2:$B$310,0)),"")</f>
        <v>Band 3</v>
      </c>
      <c r="I200" s="19" t="b">
        <f t="shared" si="10"/>
        <v>0</v>
      </c>
      <c r="J200" s="33" t="str">
        <f t="shared" si="11"/>
        <v/>
      </c>
    </row>
    <row r="201" spans="1:10">
      <c r="A201" s="19" t="s">
        <v>69</v>
      </c>
      <c r="B201" s="20">
        <v>45839</v>
      </c>
      <c r="C201" s="21">
        <v>170.20000000000002</v>
      </c>
      <c r="D201" s="21">
        <v>159.19</v>
      </c>
      <c r="E201" s="21">
        <v>110.84</v>
      </c>
      <c r="F201" s="27">
        <f t="shared" si="9"/>
        <v>0.93531139835487653</v>
      </c>
      <c r="G201" s="21" t="str">
        <f>IFERROR(INDEX(Users!$A$2:$A$310,MATCH(A201,Users!$B$2:$B$310,0)),"")</f>
        <v>Service D</v>
      </c>
      <c r="H201" s="21" t="str">
        <f>IFERROR(INDEX(Users!$D$2:$D$310,MATCH(A201,Users!$B$2:$B$310,0)),"")</f>
        <v>Band 3</v>
      </c>
      <c r="I201" s="19" t="b">
        <f t="shared" si="10"/>
        <v>0</v>
      </c>
      <c r="J201" s="33" t="str">
        <f t="shared" si="11"/>
        <v/>
      </c>
    </row>
    <row r="202" spans="1:10">
      <c r="A202" s="19" t="s">
        <v>69</v>
      </c>
      <c r="B202" s="20">
        <v>45870</v>
      </c>
      <c r="C202" s="21">
        <v>148</v>
      </c>
      <c r="D202" s="21">
        <v>111.15666666666667</v>
      </c>
      <c r="E202" s="21">
        <v>90.24</v>
      </c>
      <c r="F202" s="27">
        <f t="shared" si="9"/>
        <v>0.75105855855855852</v>
      </c>
      <c r="G202" s="21" t="str">
        <f>IFERROR(INDEX(Users!$A$2:$A$310,MATCH(A202,Users!$B$2:$B$310,0)),"")</f>
        <v>Service D</v>
      </c>
      <c r="H202" s="21" t="str">
        <f>IFERROR(INDEX(Users!$D$2:$D$310,MATCH(A202,Users!$B$2:$B$310,0)),"")</f>
        <v>Band 3</v>
      </c>
      <c r="I202" s="19" t="b">
        <f t="shared" si="10"/>
        <v>0</v>
      </c>
      <c r="J202" s="33" t="str">
        <f t="shared" si="11"/>
        <v/>
      </c>
    </row>
    <row r="203" spans="1:10">
      <c r="A203" s="19" t="s">
        <v>69</v>
      </c>
      <c r="B203" s="20">
        <v>45901</v>
      </c>
      <c r="C203" s="21">
        <v>162.80000000000001</v>
      </c>
      <c r="D203" s="21">
        <v>158.86333333333334</v>
      </c>
      <c r="E203" s="21">
        <v>123.33</v>
      </c>
      <c r="F203" s="27">
        <f t="shared" si="9"/>
        <v>0.97581900081900086</v>
      </c>
      <c r="G203" s="21" t="str">
        <f>IFERROR(INDEX(Users!$A$2:$A$310,MATCH(A203,Users!$B$2:$B$310,0)),"")</f>
        <v>Service D</v>
      </c>
      <c r="H203" s="21" t="str">
        <f>IFERROR(INDEX(Users!$D$2:$D$310,MATCH(A203,Users!$B$2:$B$310,0)),"")</f>
        <v>Band 3</v>
      </c>
      <c r="I203" s="19" t="b">
        <f t="shared" si="10"/>
        <v>0</v>
      </c>
      <c r="J203" s="33" t="str">
        <f t="shared" si="11"/>
        <v/>
      </c>
    </row>
    <row r="204" spans="1:10">
      <c r="A204" s="19" t="s">
        <v>69</v>
      </c>
      <c r="B204" s="20">
        <v>45931</v>
      </c>
      <c r="C204" s="21">
        <v>170.20000000000002</v>
      </c>
      <c r="D204" s="21">
        <v>86.163333333333341</v>
      </c>
      <c r="E204" s="21">
        <v>51.830000000000005</v>
      </c>
      <c r="F204" s="27">
        <f t="shared" si="9"/>
        <v>0.50624755189972581</v>
      </c>
      <c r="G204" s="21" t="str">
        <f>IFERROR(INDEX(Users!$A$2:$A$310,MATCH(A204,Users!$B$2:$B$310,0)),"")</f>
        <v>Service D</v>
      </c>
      <c r="H204" s="21" t="str">
        <f>IFERROR(INDEX(Users!$D$2:$D$310,MATCH(A204,Users!$B$2:$B$310,0)),"")</f>
        <v>Band 3</v>
      </c>
      <c r="I204" s="19" t="b">
        <f t="shared" si="10"/>
        <v>0</v>
      </c>
      <c r="J204" s="33" t="str">
        <f t="shared" si="11"/>
        <v/>
      </c>
    </row>
    <row r="205" spans="1:10">
      <c r="A205" s="19" t="s">
        <v>69</v>
      </c>
      <c r="B205" s="20">
        <v>45962</v>
      </c>
      <c r="C205" s="21">
        <v>148</v>
      </c>
      <c r="D205" s="21">
        <v>36.566666666666663</v>
      </c>
      <c r="E205" s="21">
        <v>20.5</v>
      </c>
      <c r="F205" s="27">
        <f t="shared" si="9"/>
        <v>0.24707207207207205</v>
      </c>
      <c r="G205" s="21" t="str">
        <f>IFERROR(INDEX(Users!$A$2:$A$310,MATCH(A205,Users!$B$2:$B$310,0)),"")</f>
        <v>Service D</v>
      </c>
      <c r="H205" s="21" t="str">
        <f>IFERROR(INDEX(Users!$D$2:$D$310,MATCH(A205,Users!$B$2:$B$310,0)),"")</f>
        <v>Band 3</v>
      </c>
      <c r="I205" s="19" t="b">
        <f t="shared" si="10"/>
        <v>0</v>
      </c>
      <c r="J205" s="33" t="str">
        <f t="shared" si="11"/>
        <v/>
      </c>
    </row>
    <row r="206" spans="1:10">
      <c r="A206" s="19" t="s">
        <v>69</v>
      </c>
      <c r="B206" s="20">
        <v>45992</v>
      </c>
      <c r="C206" s="21">
        <v>155.4</v>
      </c>
      <c r="D206" s="21">
        <v>93.556666666666672</v>
      </c>
      <c r="E206" s="21">
        <v>69.673333333333332</v>
      </c>
      <c r="F206" s="27">
        <f t="shared" si="9"/>
        <v>0.60203775203775201</v>
      </c>
      <c r="G206" s="21" t="str">
        <f>IFERROR(INDEX(Users!$A$2:$A$310,MATCH(A206,Users!$B$2:$B$310,0)),"")</f>
        <v>Service D</v>
      </c>
      <c r="H206" s="21" t="str">
        <f>IFERROR(INDEX(Users!$D$2:$D$310,MATCH(A206,Users!$B$2:$B$310,0)),"")</f>
        <v>Band 3</v>
      </c>
      <c r="I206" s="19" t="b">
        <f t="shared" si="10"/>
        <v>0</v>
      </c>
      <c r="J206" s="33" t="str">
        <f t="shared" si="11"/>
        <v/>
      </c>
    </row>
    <row r="207" spans="1:10">
      <c r="A207" s="19" t="s">
        <v>69</v>
      </c>
      <c r="B207" s="20">
        <v>46023</v>
      </c>
      <c r="C207" s="21">
        <v>155.4</v>
      </c>
      <c r="D207" s="21">
        <v>146.58666666666664</v>
      </c>
      <c r="E207" s="21">
        <v>96.42</v>
      </c>
      <c r="F207" s="27">
        <f t="shared" si="9"/>
        <v>0.94328614328614313</v>
      </c>
      <c r="G207" s="21" t="str">
        <f>IFERROR(INDEX(Users!$A$2:$A$310,MATCH(A207,Users!$B$2:$B$310,0)),"")</f>
        <v>Service D</v>
      </c>
      <c r="H207" s="21" t="str">
        <f>IFERROR(INDEX(Users!$D$2:$D$310,MATCH(A207,Users!$B$2:$B$310,0)),"")</f>
        <v>Band 3</v>
      </c>
      <c r="I207" s="19" t="b">
        <f t="shared" si="10"/>
        <v>0</v>
      </c>
      <c r="J207" s="33" t="str">
        <f t="shared" si="11"/>
        <v/>
      </c>
    </row>
    <row r="208" spans="1:10">
      <c r="A208" s="19" t="s">
        <v>71</v>
      </c>
      <c r="B208" s="20">
        <v>45658</v>
      </c>
      <c r="C208" s="21">
        <v>162.80000000000001</v>
      </c>
      <c r="D208" s="21">
        <v>154.33333333333331</v>
      </c>
      <c r="E208" s="21">
        <v>58</v>
      </c>
      <c r="F208" s="27">
        <f t="shared" si="9"/>
        <v>0.94799344799344776</v>
      </c>
      <c r="G208" s="21" t="str">
        <f>IFERROR(INDEX(Users!$A$2:$A$310,MATCH(A208,Users!$B$2:$B$310,0)),"")</f>
        <v>Service D</v>
      </c>
      <c r="H208" s="21" t="str">
        <f>IFERROR(INDEX(Users!$D$2:$D$310,MATCH(A208,Users!$B$2:$B$310,0)),"")</f>
        <v>Band 3</v>
      </c>
      <c r="I208" s="19" t="b">
        <f t="shared" si="10"/>
        <v>0</v>
      </c>
      <c r="J208" s="33" t="str">
        <f t="shared" si="11"/>
        <v/>
      </c>
    </row>
    <row r="209" spans="1:10">
      <c r="A209" s="19" t="s">
        <v>71</v>
      </c>
      <c r="B209" s="20">
        <v>45689</v>
      </c>
      <c r="C209" s="21">
        <v>148</v>
      </c>
      <c r="D209" s="21">
        <v>107.67</v>
      </c>
      <c r="E209" s="21">
        <v>14.92</v>
      </c>
      <c r="F209" s="27">
        <f t="shared" si="9"/>
        <v>0.72750000000000004</v>
      </c>
      <c r="G209" s="21" t="str">
        <f>IFERROR(INDEX(Users!$A$2:$A$310,MATCH(A209,Users!$B$2:$B$310,0)),"")</f>
        <v>Service D</v>
      </c>
      <c r="H209" s="21" t="str">
        <f>IFERROR(INDEX(Users!$D$2:$D$310,MATCH(A209,Users!$B$2:$B$310,0)),"")</f>
        <v>Band 3</v>
      </c>
      <c r="I209" s="19" t="b">
        <f t="shared" si="10"/>
        <v>0</v>
      </c>
      <c r="J209" s="33" t="str">
        <f t="shared" si="11"/>
        <v/>
      </c>
    </row>
    <row r="210" spans="1:10">
      <c r="A210" s="19" t="s">
        <v>71</v>
      </c>
      <c r="B210" s="20">
        <v>45717</v>
      </c>
      <c r="C210" s="21">
        <v>155.4</v>
      </c>
      <c r="D210" s="21">
        <v>155.16666666666666</v>
      </c>
      <c r="E210" s="21">
        <v>46.25</v>
      </c>
      <c r="F210" s="27">
        <f t="shared" si="9"/>
        <v>0.99849849849849837</v>
      </c>
      <c r="G210" s="21" t="str">
        <f>IFERROR(INDEX(Users!$A$2:$A$310,MATCH(A210,Users!$B$2:$B$310,0)),"")</f>
        <v>Service D</v>
      </c>
      <c r="H210" s="21" t="str">
        <f>IFERROR(INDEX(Users!$D$2:$D$310,MATCH(A210,Users!$B$2:$B$310,0)),"")</f>
        <v>Band 3</v>
      </c>
      <c r="I210" s="19" t="b">
        <f t="shared" si="10"/>
        <v>0</v>
      </c>
      <c r="J210" s="33" t="str">
        <f t="shared" si="11"/>
        <v/>
      </c>
    </row>
    <row r="211" spans="1:10">
      <c r="A211" s="19" t="s">
        <v>71</v>
      </c>
      <c r="B211" s="20">
        <v>45748</v>
      </c>
      <c r="C211" s="21">
        <v>148</v>
      </c>
      <c r="D211" s="21">
        <v>101.41666666666666</v>
      </c>
      <c r="E211" s="21">
        <v>30.25</v>
      </c>
      <c r="F211" s="27">
        <f t="shared" si="9"/>
        <v>0.68524774774774766</v>
      </c>
      <c r="G211" s="21" t="str">
        <f>IFERROR(INDEX(Users!$A$2:$A$310,MATCH(A211,Users!$B$2:$B$310,0)),"")</f>
        <v>Service D</v>
      </c>
      <c r="H211" s="21" t="str">
        <f>IFERROR(INDEX(Users!$D$2:$D$310,MATCH(A211,Users!$B$2:$B$310,0)),"")</f>
        <v>Band 3</v>
      </c>
      <c r="I211" s="19" t="b">
        <f t="shared" si="10"/>
        <v>0</v>
      </c>
      <c r="J211" s="33" t="str">
        <f t="shared" si="11"/>
        <v/>
      </c>
    </row>
    <row r="212" spans="1:10">
      <c r="A212" s="19" t="s">
        <v>71</v>
      </c>
      <c r="B212" s="20">
        <v>45778</v>
      </c>
      <c r="C212" s="21">
        <v>148</v>
      </c>
      <c r="D212" s="21">
        <v>135.58333333333331</v>
      </c>
      <c r="E212" s="21">
        <v>32.25</v>
      </c>
      <c r="F212" s="27">
        <f t="shared" si="9"/>
        <v>0.91610360360360343</v>
      </c>
      <c r="G212" s="21" t="str">
        <f>IFERROR(INDEX(Users!$A$2:$A$310,MATCH(A212,Users!$B$2:$B$310,0)),"")</f>
        <v>Service D</v>
      </c>
      <c r="H212" s="21" t="str">
        <f>IFERROR(INDEX(Users!$D$2:$D$310,MATCH(A212,Users!$B$2:$B$310,0)),"")</f>
        <v>Band 3</v>
      </c>
      <c r="I212" s="19" t="b">
        <f t="shared" si="10"/>
        <v>0</v>
      </c>
      <c r="J212" s="33" t="str">
        <f t="shared" si="11"/>
        <v/>
      </c>
    </row>
    <row r="213" spans="1:10">
      <c r="A213" s="19" t="s">
        <v>71</v>
      </c>
      <c r="B213" s="20">
        <v>45809</v>
      </c>
      <c r="C213" s="21">
        <v>155.4</v>
      </c>
      <c r="D213" s="21">
        <v>156.5</v>
      </c>
      <c r="E213" s="21">
        <v>37</v>
      </c>
      <c r="F213" s="27">
        <f t="shared" si="9"/>
        <v>1.0070785070785071</v>
      </c>
      <c r="G213" s="21" t="str">
        <f>IFERROR(INDEX(Users!$A$2:$A$310,MATCH(A213,Users!$B$2:$B$310,0)),"")</f>
        <v>Service D</v>
      </c>
      <c r="H213" s="21" t="str">
        <f>IFERROR(INDEX(Users!$D$2:$D$310,MATCH(A213,Users!$B$2:$B$310,0)),"")</f>
        <v>Band 3</v>
      </c>
      <c r="I213" s="19" t="b">
        <f t="shared" si="10"/>
        <v>0</v>
      </c>
      <c r="J213" s="33" t="str">
        <f t="shared" si="11"/>
        <v/>
      </c>
    </row>
    <row r="214" spans="1:10">
      <c r="A214" s="19" t="s">
        <v>71</v>
      </c>
      <c r="B214" s="20">
        <v>45839</v>
      </c>
      <c r="C214" s="21">
        <v>170.20000000000002</v>
      </c>
      <c r="D214" s="21">
        <v>116.41333333333334</v>
      </c>
      <c r="E214" s="21">
        <v>46.08</v>
      </c>
      <c r="F214" s="27">
        <f t="shared" si="9"/>
        <v>0.68397963180571875</v>
      </c>
      <c r="G214" s="21" t="str">
        <f>IFERROR(INDEX(Users!$A$2:$A$310,MATCH(A214,Users!$B$2:$B$310,0)),"")</f>
        <v>Service D</v>
      </c>
      <c r="H214" s="21" t="str">
        <f>IFERROR(INDEX(Users!$D$2:$D$310,MATCH(A214,Users!$B$2:$B$310,0)),"")</f>
        <v>Band 3</v>
      </c>
      <c r="I214" s="19" t="b">
        <f t="shared" si="10"/>
        <v>0</v>
      </c>
      <c r="J214" s="33" t="str">
        <f t="shared" si="11"/>
        <v/>
      </c>
    </row>
    <row r="215" spans="1:10">
      <c r="A215" s="19" t="s">
        <v>71</v>
      </c>
      <c r="B215" s="20">
        <v>45870</v>
      </c>
      <c r="C215" s="21">
        <v>148</v>
      </c>
      <c r="D215" s="21">
        <v>137.82333333333332</v>
      </c>
      <c r="E215" s="21">
        <v>64.09</v>
      </c>
      <c r="F215" s="27">
        <f t="shared" si="9"/>
        <v>0.93123873873873864</v>
      </c>
      <c r="G215" s="21" t="str">
        <f>IFERROR(INDEX(Users!$A$2:$A$310,MATCH(A215,Users!$B$2:$B$310,0)),"")</f>
        <v>Service D</v>
      </c>
      <c r="H215" s="21" t="str">
        <f>IFERROR(INDEX(Users!$D$2:$D$310,MATCH(A215,Users!$B$2:$B$310,0)),"")</f>
        <v>Band 3</v>
      </c>
      <c r="I215" s="19" t="b">
        <f t="shared" si="10"/>
        <v>0</v>
      </c>
      <c r="J215" s="33" t="str">
        <f t="shared" si="11"/>
        <v/>
      </c>
    </row>
    <row r="216" spans="1:10">
      <c r="A216" s="19" t="s">
        <v>71</v>
      </c>
      <c r="B216" s="20">
        <v>45901</v>
      </c>
      <c r="C216" s="21">
        <v>162.80000000000001</v>
      </c>
      <c r="D216" s="21">
        <v>170.99</v>
      </c>
      <c r="E216" s="21">
        <v>76.989999999999995</v>
      </c>
      <c r="F216" s="27">
        <f t="shared" si="9"/>
        <v>1.0503071253071252</v>
      </c>
      <c r="G216" s="21" t="str">
        <f>IFERROR(INDEX(Users!$A$2:$A$310,MATCH(A216,Users!$B$2:$B$310,0)),"")</f>
        <v>Service D</v>
      </c>
      <c r="H216" s="21" t="str">
        <f>IFERROR(INDEX(Users!$D$2:$D$310,MATCH(A216,Users!$B$2:$B$310,0)),"")</f>
        <v>Band 3</v>
      </c>
      <c r="I216" s="19" t="b">
        <f t="shared" si="10"/>
        <v>0</v>
      </c>
      <c r="J216" s="33" t="str">
        <f t="shared" si="11"/>
        <v/>
      </c>
    </row>
    <row r="217" spans="1:10">
      <c r="A217" s="19" t="s">
        <v>71</v>
      </c>
      <c r="B217" s="20">
        <v>45931</v>
      </c>
      <c r="C217" s="21">
        <v>170.20000000000002</v>
      </c>
      <c r="D217" s="21">
        <v>168.06333333333333</v>
      </c>
      <c r="E217" s="21">
        <v>88.97999999999999</v>
      </c>
      <c r="F217" s="27">
        <f t="shared" si="9"/>
        <v>0.98744614179396772</v>
      </c>
      <c r="G217" s="21" t="str">
        <f>IFERROR(INDEX(Users!$A$2:$A$310,MATCH(A217,Users!$B$2:$B$310,0)),"")</f>
        <v>Service D</v>
      </c>
      <c r="H217" s="21" t="str">
        <f>IFERROR(INDEX(Users!$D$2:$D$310,MATCH(A217,Users!$B$2:$B$310,0)),"")</f>
        <v>Band 3</v>
      </c>
      <c r="I217" s="19" t="b">
        <f t="shared" si="10"/>
        <v>0</v>
      </c>
      <c r="J217" s="33" t="str">
        <f t="shared" si="11"/>
        <v/>
      </c>
    </row>
    <row r="218" spans="1:10">
      <c r="A218" s="19" t="s">
        <v>71</v>
      </c>
      <c r="B218" s="20">
        <v>45962</v>
      </c>
      <c r="C218" s="21">
        <v>148</v>
      </c>
      <c r="D218" s="21">
        <v>145.82999999999998</v>
      </c>
      <c r="E218" s="21">
        <v>67.83</v>
      </c>
      <c r="F218" s="27">
        <f t="shared" si="9"/>
        <v>0.98533783783783768</v>
      </c>
      <c r="G218" s="21" t="str">
        <f>IFERROR(INDEX(Users!$A$2:$A$310,MATCH(A218,Users!$B$2:$B$310,0)),"")</f>
        <v>Service D</v>
      </c>
      <c r="H218" s="21" t="str">
        <f>IFERROR(INDEX(Users!$D$2:$D$310,MATCH(A218,Users!$B$2:$B$310,0)),"")</f>
        <v>Band 3</v>
      </c>
      <c r="I218" s="19" t="b">
        <f t="shared" si="10"/>
        <v>0</v>
      </c>
      <c r="J218" s="33" t="str">
        <f t="shared" si="11"/>
        <v/>
      </c>
    </row>
    <row r="219" spans="1:10">
      <c r="A219" s="19" t="s">
        <v>71</v>
      </c>
      <c r="B219" s="20">
        <v>45992</v>
      </c>
      <c r="C219" s="21">
        <v>155.4</v>
      </c>
      <c r="D219" s="21">
        <v>96.823333333333338</v>
      </c>
      <c r="E219" s="21">
        <v>38.24</v>
      </c>
      <c r="F219" s="27">
        <f t="shared" si="9"/>
        <v>0.62305877305877311</v>
      </c>
      <c r="G219" s="21" t="str">
        <f>IFERROR(INDEX(Users!$A$2:$A$310,MATCH(A219,Users!$B$2:$B$310,0)),"")</f>
        <v>Service D</v>
      </c>
      <c r="H219" s="21" t="str">
        <f>IFERROR(INDEX(Users!$D$2:$D$310,MATCH(A219,Users!$B$2:$B$310,0)),"")</f>
        <v>Band 3</v>
      </c>
      <c r="I219" s="19" t="b">
        <f t="shared" si="10"/>
        <v>0</v>
      </c>
      <c r="J219" s="33" t="str">
        <f t="shared" si="11"/>
        <v/>
      </c>
    </row>
    <row r="220" spans="1:10">
      <c r="A220" s="19" t="s">
        <v>71</v>
      </c>
      <c r="B220" s="20">
        <v>46023</v>
      </c>
      <c r="C220" s="21">
        <v>155.4</v>
      </c>
      <c r="D220" s="21">
        <v>138.82</v>
      </c>
      <c r="E220" s="21">
        <v>64.569999999999993</v>
      </c>
      <c r="F220" s="27">
        <f t="shared" si="9"/>
        <v>0.89330759330759324</v>
      </c>
      <c r="G220" s="21" t="str">
        <f>IFERROR(INDEX(Users!$A$2:$A$310,MATCH(A220,Users!$B$2:$B$310,0)),"")</f>
        <v>Service D</v>
      </c>
      <c r="H220" s="21" t="str">
        <f>IFERROR(INDEX(Users!$D$2:$D$310,MATCH(A220,Users!$B$2:$B$310,0)),"")</f>
        <v>Band 3</v>
      </c>
      <c r="I220" s="19" t="b">
        <f t="shared" si="10"/>
        <v>0</v>
      </c>
      <c r="J220" s="33" t="str">
        <f t="shared" si="11"/>
        <v/>
      </c>
    </row>
    <row r="221" spans="1:10">
      <c r="A221" s="19" t="s">
        <v>73</v>
      </c>
      <c r="B221" s="20">
        <v>45689</v>
      </c>
      <c r="C221" s="21">
        <v>37</v>
      </c>
      <c r="D221" s="21"/>
      <c r="E221" s="21"/>
      <c r="F221" s="27" t="str">
        <f t="shared" si="9"/>
        <v/>
      </c>
      <c r="G221" s="21" t="str">
        <f>IFERROR(INDEX(Users!$A$2:$A$310,MATCH(A221,Users!$B$2:$B$310,0)),"")</f>
        <v>Service B</v>
      </c>
      <c r="H221" s="21" t="str">
        <f>IFERROR(INDEX(Users!$D$2:$D$310,MATCH(A221,Users!$B$2:$B$310,0)),"")</f>
        <v>Band 3</v>
      </c>
      <c r="I221" s="19" t="b">
        <f t="shared" si="10"/>
        <v>0</v>
      </c>
      <c r="J221" s="33" t="str">
        <f t="shared" si="11"/>
        <v/>
      </c>
    </row>
    <row r="222" spans="1:10">
      <c r="A222" s="19" t="s">
        <v>73</v>
      </c>
      <c r="B222" s="20">
        <v>45717</v>
      </c>
      <c r="C222" s="21">
        <v>155.40000000000006</v>
      </c>
      <c r="D222" s="21"/>
      <c r="E222" s="21"/>
      <c r="F222" s="27" t="str">
        <f t="shared" si="9"/>
        <v/>
      </c>
      <c r="G222" s="21" t="str">
        <f>IFERROR(INDEX(Users!$A$2:$A$310,MATCH(A222,Users!$B$2:$B$310,0)),"")</f>
        <v>Service B</v>
      </c>
      <c r="H222" s="21" t="str">
        <f>IFERROR(INDEX(Users!$D$2:$D$310,MATCH(A222,Users!$B$2:$B$310,0)),"")</f>
        <v>Band 3</v>
      </c>
      <c r="I222" s="19" t="b">
        <f t="shared" si="10"/>
        <v>0</v>
      </c>
      <c r="J222" s="33" t="str">
        <f t="shared" si="11"/>
        <v/>
      </c>
    </row>
    <row r="223" spans="1:10">
      <c r="A223" s="19" t="s">
        <v>73</v>
      </c>
      <c r="B223" s="20">
        <v>45748</v>
      </c>
      <c r="C223" s="21">
        <v>148.00000000000006</v>
      </c>
      <c r="D223" s="21">
        <v>29.43</v>
      </c>
      <c r="E223" s="21">
        <v>12.68</v>
      </c>
      <c r="F223" s="27">
        <f t="shared" si="9"/>
        <v>0.19885135135135126</v>
      </c>
      <c r="G223" s="21" t="str">
        <f>IFERROR(INDEX(Users!$A$2:$A$310,MATCH(A223,Users!$B$2:$B$310,0)),"")</f>
        <v>Service B</v>
      </c>
      <c r="H223" s="21" t="str">
        <f>IFERROR(INDEX(Users!$D$2:$D$310,MATCH(A223,Users!$B$2:$B$310,0)),"")</f>
        <v>Band 3</v>
      </c>
      <c r="I223" s="19" t="b">
        <f t="shared" si="10"/>
        <v>0</v>
      </c>
      <c r="J223" s="33">
        <f t="shared" si="11"/>
        <v>0.19885135135135126</v>
      </c>
    </row>
    <row r="224" spans="1:10">
      <c r="A224" s="19" t="s">
        <v>73</v>
      </c>
      <c r="B224" s="20">
        <v>45778</v>
      </c>
      <c r="C224" s="21">
        <v>148.00000000000006</v>
      </c>
      <c r="D224" s="21">
        <v>72.5</v>
      </c>
      <c r="E224" s="21">
        <v>10.75</v>
      </c>
      <c r="F224" s="27">
        <f t="shared" si="9"/>
        <v>0.48986486486486469</v>
      </c>
      <c r="G224" s="21" t="str">
        <f>IFERROR(INDEX(Users!$A$2:$A$310,MATCH(A224,Users!$B$2:$B$310,0)),"")</f>
        <v>Service B</v>
      </c>
      <c r="H224" s="21" t="str">
        <f>IFERROR(INDEX(Users!$D$2:$D$310,MATCH(A224,Users!$B$2:$B$310,0)),"")</f>
        <v>Band 3</v>
      </c>
      <c r="I224" s="19" t="b">
        <f t="shared" si="10"/>
        <v>0</v>
      </c>
      <c r="J224" s="33">
        <f t="shared" si="11"/>
        <v>0.48986486486486469</v>
      </c>
    </row>
    <row r="225" spans="1:10">
      <c r="A225" s="19" t="s">
        <v>73</v>
      </c>
      <c r="B225" s="20">
        <v>45809</v>
      </c>
      <c r="C225" s="21">
        <v>155.40000000000006</v>
      </c>
      <c r="D225" s="21">
        <v>130.90333333333334</v>
      </c>
      <c r="E225" s="21">
        <v>9.57</v>
      </c>
      <c r="F225" s="27">
        <f t="shared" si="9"/>
        <v>0.842363792363792</v>
      </c>
      <c r="G225" s="21" t="str">
        <f>IFERROR(INDEX(Users!$A$2:$A$310,MATCH(A225,Users!$B$2:$B$310,0)),"")</f>
        <v>Service B</v>
      </c>
      <c r="H225" s="21" t="str">
        <f>IFERROR(INDEX(Users!$D$2:$D$310,MATCH(A225,Users!$B$2:$B$310,0)),"")</f>
        <v>Band 3</v>
      </c>
      <c r="I225" s="19" t="b">
        <f t="shared" si="10"/>
        <v>0</v>
      </c>
      <c r="J225" s="33">
        <f t="shared" si="11"/>
        <v>0.842363792363792</v>
      </c>
    </row>
    <row r="226" spans="1:10">
      <c r="A226" s="19" t="s">
        <v>73</v>
      </c>
      <c r="B226" s="20">
        <v>45839</v>
      </c>
      <c r="C226" s="21">
        <v>170.20000000000007</v>
      </c>
      <c r="D226" s="21">
        <v>133.13333333333333</v>
      </c>
      <c r="E226" s="21">
        <v>65.5</v>
      </c>
      <c r="F226" s="27">
        <f t="shared" si="9"/>
        <v>0.7822169996083036</v>
      </c>
      <c r="G226" s="21" t="str">
        <f>IFERROR(INDEX(Users!$A$2:$A$310,MATCH(A226,Users!$B$2:$B$310,0)),"")</f>
        <v>Service B</v>
      </c>
      <c r="H226" s="21" t="str">
        <f>IFERROR(INDEX(Users!$D$2:$D$310,MATCH(A226,Users!$B$2:$B$310,0)),"")</f>
        <v>Band 3</v>
      </c>
      <c r="I226" s="19" t="b">
        <f t="shared" si="10"/>
        <v>0</v>
      </c>
      <c r="J226" s="33">
        <f t="shared" si="11"/>
        <v>0.7822169996083036</v>
      </c>
    </row>
    <row r="227" spans="1:10">
      <c r="A227" s="19" t="s">
        <v>73</v>
      </c>
      <c r="B227" s="20">
        <v>45870</v>
      </c>
      <c r="C227" s="21">
        <v>148.00000000000006</v>
      </c>
      <c r="D227" s="21">
        <v>111.56333333333335</v>
      </c>
      <c r="E227" s="21">
        <v>58.230000000000011</v>
      </c>
      <c r="F227" s="27">
        <f t="shared" si="9"/>
        <v>0.75380630630630607</v>
      </c>
      <c r="G227" s="21" t="str">
        <f>IFERROR(INDEX(Users!$A$2:$A$310,MATCH(A227,Users!$B$2:$B$310,0)),"")</f>
        <v>Service B</v>
      </c>
      <c r="H227" s="21" t="str">
        <f>IFERROR(INDEX(Users!$D$2:$D$310,MATCH(A227,Users!$B$2:$B$310,0)),"")</f>
        <v>Band 3</v>
      </c>
      <c r="I227" s="19" t="b">
        <f t="shared" si="10"/>
        <v>0</v>
      </c>
      <c r="J227" s="33">
        <f t="shared" si="11"/>
        <v>0.75380630630630607</v>
      </c>
    </row>
    <row r="228" spans="1:10">
      <c r="A228" s="19" t="s">
        <v>73</v>
      </c>
      <c r="B228" s="20">
        <v>45901</v>
      </c>
      <c r="C228" s="21">
        <v>162.80000000000007</v>
      </c>
      <c r="D228" s="21">
        <v>102.06666666666663</v>
      </c>
      <c r="E228" s="21">
        <v>55.89999999999997</v>
      </c>
      <c r="F228" s="27">
        <f t="shared" si="9"/>
        <v>0.6269451269451265</v>
      </c>
      <c r="G228" s="21" t="str">
        <f>IFERROR(INDEX(Users!$A$2:$A$310,MATCH(A228,Users!$B$2:$B$310,0)),"")</f>
        <v>Service B</v>
      </c>
      <c r="H228" s="21" t="str">
        <f>IFERROR(INDEX(Users!$D$2:$D$310,MATCH(A228,Users!$B$2:$B$310,0)),"")</f>
        <v>Band 3</v>
      </c>
      <c r="I228" s="19" t="b">
        <f t="shared" si="10"/>
        <v>0</v>
      </c>
      <c r="J228" s="33">
        <f t="shared" si="11"/>
        <v>0.6269451269451265</v>
      </c>
    </row>
    <row r="229" spans="1:10">
      <c r="A229" s="19" t="s">
        <v>73</v>
      </c>
      <c r="B229" s="20">
        <v>45931</v>
      </c>
      <c r="C229" s="21">
        <v>170.20000000000007</v>
      </c>
      <c r="D229" s="21">
        <v>80.399999999999991</v>
      </c>
      <c r="E229" s="21">
        <v>22.4</v>
      </c>
      <c r="F229" s="27">
        <f t="shared" si="9"/>
        <v>0.47238542890716778</v>
      </c>
      <c r="G229" s="21" t="str">
        <f>IFERROR(INDEX(Users!$A$2:$A$310,MATCH(A229,Users!$B$2:$B$310,0)),"")</f>
        <v>Service B</v>
      </c>
      <c r="H229" s="21" t="str">
        <f>IFERROR(INDEX(Users!$D$2:$D$310,MATCH(A229,Users!$B$2:$B$310,0)),"")</f>
        <v>Band 3</v>
      </c>
      <c r="I229" s="19" t="b">
        <f t="shared" si="10"/>
        <v>0</v>
      </c>
      <c r="J229" s="33">
        <f t="shared" si="11"/>
        <v>0.47238542890716778</v>
      </c>
    </row>
    <row r="230" spans="1:10">
      <c r="A230" s="19" t="s">
        <v>73</v>
      </c>
      <c r="B230" s="20">
        <v>45962</v>
      </c>
      <c r="C230" s="21">
        <v>148.00000000000006</v>
      </c>
      <c r="D230" s="21">
        <v>74.093333333333334</v>
      </c>
      <c r="E230" s="21">
        <v>24.009999999999998</v>
      </c>
      <c r="F230" s="27">
        <f t="shared" si="9"/>
        <v>0.5006306306306304</v>
      </c>
      <c r="G230" s="21" t="str">
        <f>IFERROR(INDEX(Users!$A$2:$A$310,MATCH(A230,Users!$B$2:$B$310,0)),"")</f>
        <v>Service B</v>
      </c>
      <c r="H230" s="21" t="str">
        <f>IFERROR(INDEX(Users!$D$2:$D$310,MATCH(A230,Users!$B$2:$B$310,0)),"")</f>
        <v>Band 3</v>
      </c>
      <c r="I230" s="19" t="b">
        <f t="shared" si="10"/>
        <v>0</v>
      </c>
      <c r="J230" s="33">
        <f t="shared" si="11"/>
        <v>0.5006306306306304</v>
      </c>
    </row>
    <row r="231" spans="1:10">
      <c r="A231" s="19" t="s">
        <v>73</v>
      </c>
      <c r="B231" s="20">
        <v>45992</v>
      </c>
      <c r="C231" s="21">
        <v>155.40000000000006</v>
      </c>
      <c r="D231" s="21">
        <v>106.07333333333334</v>
      </c>
      <c r="E231" s="21">
        <v>38.99</v>
      </c>
      <c r="F231" s="27">
        <f t="shared" si="9"/>
        <v>0.68258258258258231</v>
      </c>
      <c r="G231" s="21" t="str">
        <f>IFERROR(INDEX(Users!$A$2:$A$310,MATCH(A231,Users!$B$2:$B$310,0)),"")</f>
        <v>Service B</v>
      </c>
      <c r="H231" s="21" t="str">
        <f>IFERROR(INDEX(Users!$D$2:$D$310,MATCH(A231,Users!$B$2:$B$310,0)),"")</f>
        <v>Band 3</v>
      </c>
      <c r="I231" s="19" t="b">
        <f t="shared" si="10"/>
        <v>0</v>
      </c>
      <c r="J231" s="33">
        <f t="shared" si="11"/>
        <v>0.68258258258258231</v>
      </c>
    </row>
    <row r="232" spans="1:10">
      <c r="A232" s="19" t="s">
        <v>73</v>
      </c>
      <c r="B232" s="20">
        <v>46023</v>
      </c>
      <c r="C232" s="21">
        <v>155.40000000000006</v>
      </c>
      <c r="D232" s="21">
        <v>133.85666666666663</v>
      </c>
      <c r="E232" s="21">
        <v>45.689999999999976</v>
      </c>
      <c r="F232" s="27">
        <f t="shared" si="9"/>
        <v>0.86136851136851078</v>
      </c>
      <c r="G232" s="21" t="str">
        <f>IFERROR(INDEX(Users!$A$2:$A$310,MATCH(A232,Users!$B$2:$B$310,0)),"")</f>
        <v>Service B</v>
      </c>
      <c r="H232" s="21" t="str">
        <f>IFERROR(INDEX(Users!$D$2:$D$310,MATCH(A232,Users!$B$2:$B$310,0)),"")</f>
        <v>Band 3</v>
      </c>
      <c r="I232" s="19" t="b">
        <f t="shared" si="10"/>
        <v>0</v>
      </c>
      <c r="J232" s="33" t="str">
        <f t="shared" si="11"/>
        <v/>
      </c>
    </row>
    <row r="233" spans="1:10">
      <c r="A233" s="19" t="s">
        <v>75</v>
      </c>
      <c r="B233" s="20">
        <v>45658</v>
      </c>
      <c r="C233" s="21">
        <v>162.80000000000001</v>
      </c>
      <c r="D233" s="21">
        <v>151.53</v>
      </c>
      <c r="E233" s="21">
        <v>110.78</v>
      </c>
      <c r="F233" s="27">
        <f t="shared" si="9"/>
        <v>0.93077395577395572</v>
      </c>
      <c r="G233" s="21" t="str">
        <f>IFERROR(INDEX(Users!$A$2:$A$310,MATCH(A233,Users!$B$2:$B$310,0)),"")</f>
        <v>Service B</v>
      </c>
      <c r="H233" s="21" t="str">
        <f>IFERROR(INDEX(Users!$D$2:$D$310,MATCH(A233,Users!$B$2:$B$310,0)),"")</f>
        <v>Band 3</v>
      </c>
      <c r="I233" s="19" t="b">
        <f t="shared" si="10"/>
        <v>0</v>
      </c>
      <c r="J233" s="33">
        <f t="shared" si="11"/>
        <v>0.93077395577395572</v>
      </c>
    </row>
    <row r="234" spans="1:10">
      <c r="A234" s="19" t="s">
        <v>75</v>
      </c>
      <c r="B234" s="20">
        <v>45689</v>
      </c>
      <c r="C234" s="21">
        <v>148</v>
      </c>
      <c r="D234" s="21">
        <v>84.816666666666663</v>
      </c>
      <c r="E234" s="21">
        <v>71.150000000000006</v>
      </c>
      <c r="F234" s="27">
        <f t="shared" si="9"/>
        <v>0.57308558558558553</v>
      </c>
      <c r="G234" s="21" t="str">
        <f>IFERROR(INDEX(Users!$A$2:$A$310,MATCH(A234,Users!$B$2:$B$310,0)),"")</f>
        <v>Service B</v>
      </c>
      <c r="H234" s="21" t="str">
        <f>IFERROR(INDEX(Users!$D$2:$D$310,MATCH(A234,Users!$B$2:$B$310,0)),"")</f>
        <v>Band 3</v>
      </c>
      <c r="I234" s="19" t="b">
        <f t="shared" si="10"/>
        <v>0</v>
      </c>
      <c r="J234" s="33">
        <f t="shared" si="11"/>
        <v>0.57308558558558553</v>
      </c>
    </row>
    <row r="235" spans="1:10">
      <c r="A235" s="19" t="s">
        <v>75</v>
      </c>
      <c r="B235" s="20">
        <v>45717</v>
      </c>
      <c r="C235" s="21">
        <v>155.4</v>
      </c>
      <c r="D235" s="21">
        <v>128.77999999999997</v>
      </c>
      <c r="E235" s="21">
        <v>86.279999999999987</v>
      </c>
      <c r="F235" s="27">
        <f t="shared" si="9"/>
        <v>0.82870012870012855</v>
      </c>
      <c r="G235" s="21" t="str">
        <f>IFERROR(INDEX(Users!$A$2:$A$310,MATCH(A235,Users!$B$2:$B$310,0)),"")</f>
        <v>Service B</v>
      </c>
      <c r="H235" s="21" t="str">
        <f>IFERROR(INDEX(Users!$D$2:$D$310,MATCH(A235,Users!$B$2:$B$310,0)),"")</f>
        <v>Band 3</v>
      </c>
      <c r="I235" s="19" t="b">
        <f t="shared" si="10"/>
        <v>0</v>
      </c>
      <c r="J235" s="33">
        <f t="shared" si="11"/>
        <v>0.82870012870012855</v>
      </c>
    </row>
    <row r="236" spans="1:10">
      <c r="A236" s="19" t="s">
        <v>75</v>
      </c>
      <c r="B236" s="20">
        <v>45748</v>
      </c>
      <c r="C236" s="21">
        <v>148</v>
      </c>
      <c r="D236" s="21">
        <v>90.796666666666653</v>
      </c>
      <c r="E236" s="21">
        <v>73.63</v>
      </c>
      <c r="F236" s="27">
        <f t="shared" si="9"/>
        <v>0.61349099099099091</v>
      </c>
      <c r="G236" s="21" t="str">
        <f>IFERROR(INDEX(Users!$A$2:$A$310,MATCH(A236,Users!$B$2:$B$310,0)),"")</f>
        <v>Service B</v>
      </c>
      <c r="H236" s="21" t="str">
        <f>IFERROR(INDEX(Users!$D$2:$D$310,MATCH(A236,Users!$B$2:$B$310,0)),"")</f>
        <v>Band 3</v>
      </c>
      <c r="I236" s="19" t="b">
        <f t="shared" si="10"/>
        <v>0</v>
      </c>
      <c r="J236" s="33">
        <f t="shared" si="11"/>
        <v>0.61349099099099091</v>
      </c>
    </row>
    <row r="237" spans="1:10">
      <c r="A237" s="19" t="s">
        <v>75</v>
      </c>
      <c r="B237" s="20">
        <v>45778</v>
      </c>
      <c r="C237" s="21">
        <v>148</v>
      </c>
      <c r="D237" s="21">
        <v>146.56666666666663</v>
      </c>
      <c r="E237" s="21">
        <v>122.39999999999998</v>
      </c>
      <c r="F237" s="27">
        <f t="shared" si="9"/>
        <v>0.99031531531531514</v>
      </c>
      <c r="G237" s="21" t="str">
        <f>IFERROR(INDEX(Users!$A$2:$A$310,MATCH(A237,Users!$B$2:$B$310,0)),"")</f>
        <v>Service B</v>
      </c>
      <c r="H237" s="21" t="str">
        <f>IFERROR(INDEX(Users!$D$2:$D$310,MATCH(A237,Users!$B$2:$B$310,0)),"")</f>
        <v>Band 3</v>
      </c>
      <c r="I237" s="19" t="b">
        <f t="shared" si="10"/>
        <v>0</v>
      </c>
      <c r="J237" s="33">
        <f t="shared" si="11"/>
        <v>0.99031531531531514</v>
      </c>
    </row>
    <row r="238" spans="1:10">
      <c r="A238" s="19" t="s">
        <v>75</v>
      </c>
      <c r="B238" s="20">
        <v>45809</v>
      </c>
      <c r="C238" s="21">
        <v>155.4</v>
      </c>
      <c r="D238" s="21">
        <v>129.77333333333334</v>
      </c>
      <c r="E238" s="21">
        <v>104.19</v>
      </c>
      <c r="F238" s="27">
        <f t="shared" si="9"/>
        <v>0.83509223509223507</v>
      </c>
      <c r="G238" s="21" t="str">
        <f>IFERROR(INDEX(Users!$A$2:$A$310,MATCH(A238,Users!$B$2:$B$310,0)),"")</f>
        <v>Service B</v>
      </c>
      <c r="H238" s="21" t="str">
        <f>IFERROR(INDEX(Users!$D$2:$D$310,MATCH(A238,Users!$B$2:$B$310,0)),"")</f>
        <v>Band 3</v>
      </c>
      <c r="I238" s="19" t="b">
        <f t="shared" si="10"/>
        <v>0</v>
      </c>
      <c r="J238" s="33">
        <f t="shared" si="11"/>
        <v>0.83509223509223507</v>
      </c>
    </row>
    <row r="239" spans="1:10">
      <c r="A239" s="19" t="s">
        <v>75</v>
      </c>
      <c r="B239" s="20">
        <v>45839</v>
      </c>
      <c r="C239" s="21">
        <v>170.20000000000002</v>
      </c>
      <c r="D239" s="21">
        <v>144.7833333333333</v>
      </c>
      <c r="E239" s="21">
        <v>112.19999999999996</v>
      </c>
      <c r="F239" s="27">
        <f t="shared" si="9"/>
        <v>0.8506658832745787</v>
      </c>
      <c r="G239" s="21" t="str">
        <f>IFERROR(INDEX(Users!$A$2:$A$310,MATCH(A239,Users!$B$2:$B$310,0)),"")</f>
        <v>Service B</v>
      </c>
      <c r="H239" s="21" t="str">
        <f>IFERROR(INDEX(Users!$D$2:$D$310,MATCH(A239,Users!$B$2:$B$310,0)),"")</f>
        <v>Band 3</v>
      </c>
      <c r="I239" s="19" t="b">
        <f t="shared" si="10"/>
        <v>0</v>
      </c>
      <c r="J239" s="33">
        <f t="shared" si="11"/>
        <v>0.8506658832745787</v>
      </c>
    </row>
    <row r="240" spans="1:10">
      <c r="A240" s="19" t="s">
        <v>75</v>
      </c>
      <c r="B240" s="20">
        <v>45870</v>
      </c>
      <c r="C240" s="21">
        <v>7.4</v>
      </c>
      <c r="D240" s="21">
        <v>0.57999999999999996</v>
      </c>
      <c r="E240" s="21">
        <v>0.57999999999999996</v>
      </c>
      <c r="F240" s="27">
        <f t="shared" si="9"/>
        <v>7.8378378378378369E-2</v>
      </c>
      <c r="G240" s="21" t="str">
        <f>IFERROR(INDEX(Users!$A$2:$A$310,MATCH(A240,Users!$B$2:$B$310,0)),"")</f>
        <v>Service B</v>
      </c>
      <c r="H240" s="21" t="str">
        <f>IFERROR(INDEX(Users!$D$2:$D$310,MATCH(A240,Users!$B$2:$B$310,0)),"")</f>
        <v>Band 3</v>
      </c>
      <c r="I240" s="19" t="b">
        <f t="shared" si="10"/>
        <v>0</v>
      </c>
      <c r="J240" s="33">
        <f t="shared" si="11"/>
        <v>7.8378378378378369E-2</v>
      </c>
    </row>
    <row r="241" spans="1:10">
      <c r="A241" s="19" t="s">
        <v>77</v>
      </c>
      <c r="B241" s="20">
        <v>45658</v>
      </c>
      <c r="C241" s="21">
        <v>164.44444444444443</v>
      </c>
      <c r="D241" s="21">
        <v>112.19</v>
      </c>
      <c r="E241" s="21">
        <v>60.99</v>
      </c>
      <c r="F241" s="27">
        <f t="shared" si="9"/>
        <v>0.68223648648648649</v>
      </c>
      <c r="G241" s="21" t="str">
        <f>IFERROR(INDEX(Users!$A$2:$A$310,MATCH(A241,Users!$B$2:$B$310,0)),"")</f>
        <v>Service B</v>
      </c>
      <c r="H241" s="21" t="str">
        <f>IFERROR(INDEX(Users!$D$2:$D$310,MATCH(A241,Users!$B$2:$B$310,0)),"")</f>
        <v>Band 3</v>
      </c>
      <c r="I241" s="19" t="b">
        <f t="shared" si="10"/>
        <v>0</v>
      </c>
      <c r="J241" s="33">
        <f t="shared" si="11"/>
        <v>0.68223648648648649</v>
      </c>
    </row>
    <row r="242" spans="1:10">
      <c r="A242" s="19" t="s">
        <v>77</v>
      </c>
      <c r="B242" s="20">
        <v>45689</v>
      </c>
      <c r="C242" s="21">
        <v>148</v>
      </c>
      <c r="D242" s="21">
        <v>139.09333333333333</v>
      </c>
      <c r="E242" s="21">
        <v>86.71</v>
      </c>
      <c r="F242" s="27">
        <f t="shared" si="9"/>
        <v>0.93981981981981977</v>
      </c>
      <c r="G242" s="21" t="str">
        <f>IFERROR(INDEX(Users!$A$2:$A$310,MATCH(A242,Users!$B$2:$B$310,0)),"")</f>
        <v>Service B</v>
      </c>
      <c r="H242" s="21" t="str">
        <f>IFERROR(INDEX(Users!$D$2:$D$310,MATCH(A242,Users!$B$2:$B$310,0)),"")</f>
        <v>Band 3</v>
      </c>
      <c r="I242" s="19" t="b">
        <f t="shared" si="10"/>
        <v>0</v>
      </c>
      <c r="J242" s="33">
        <f t="shared" si="11"/>
        <v>0.93981981981981977</v>
      </c>
    </row>
    <row r="243" spans="1:10">
      <c r="A243" s="19" t="s">
        <v>77</v>
      </c>
      <c r="B243" s="20">
        <v>45717</v>
      </c>
      <c r="C243" s="21">
        <v>106.88888888888889</v>
      </c>
      <c r="D243" s="21">
        <v>123.58666666666666</v>
      </c>
      <c r="E243" s="21">
        <v>77.22</v>
      </c>
      <c r="F243" s="27">
        <f t="shared" si="9"/>
        <v>1.1562162162162162</v>
      </c>
      <c r="G243" s="21" t="str">
        <f>IFERROR(INDEX(Users!$A$2:$A$310,MATCH(A243,Users!$B$2:$B$310,0)),"")</f>
        <v>Service B</v>
      </c>
      <c r="H243" s="21" t="str">
        <f>IFERROR(INDEX(Users!$D$2:$D$310,MATCH(A243,Users!$B$2:$B$310,0)),"")</f>
        <v>Band 3</v>
      </c>
      <c r="I243" s="19" t="b">
        <f t="shared" si="10"/>
        <v>0</v>
      </c>
      <c r="J243" s="33">
        <f t="shared" si="11"/>
        <v>1.1562162162162162</v>
      </c>
    </row>
    <row r="244" spans="1:10">
      <c r="A244" s="19" t="s">
        <v>78</v>
      </c>
      <c r="B244" s="20">
        <v>45717</v>
      </c>
      <c r="C244" s="21">
        <v>118.40000000000003</v>
      </c>
      <c r="D244" s="21"/>
      <c r="E244" s="21"/>
      <c r="F244" s="27" t="str">
        <f t="shared" si="9"/>
        <v/>
      </c>
      <c r="G244" s="21" t="str">
        <f>IFERROR(INDEX(Users!$A$2:$A$310,MATCH(A244,Users!$B$2:$B$310,0)),"")</f>
        <v>Service B</v>
      </c>
      <c r="H244" s="21" t="str">
        <f>IFERROR(INDEX(Users!$D$2:$D$310,MATCH(A244,Users!$B$2:$B$310,0)),"")</f>
        <v>Band 3</v>
      </c>
      <c r="I244" s="19" t="b">
        <f t="shared" si="10"/>
        <v>0</v>
      </c>
      <c r="J244" s="33" t="str">
        <f t="shared" si="11"/>
        <v/>
      </c>
    </row>
    <row r="245" spans="1:10">
      <c r="A245" s="19" t="s">
        <v>78</v>
      </c>
      <c r="B245" s="20">
        <v>45748</v>
      </c>
      <c r="C245" s="21">
        <v>148.00000000000006</v>
      </c>
      <c r="D245" s="21">
        <v>0.17</v>
      </c>
      <c r="E245" s="21">
        <v>0.17</v>
      </c>
      <c r="F245" s="27">
        <f t="shared" si="9"/>
        <v>1.1486486486486482E-3</v>
      </c>
      <c r="G245" s="21" t="str">
        <f>IFERROR(INDEX(Users!$A$2:$A$310,MATCH(A245,Users!$B$2:$B$310,0)),"")</f>
        <v>Service B</v>
      </c>
      <c r="H245" s="21" t="str">
        <f>IFERROR(INDEX(Users!$D$2:$D$310,MATCH(A245,Users!$B$2:$B$310,0)),"")</f>
        <v>Band 3</v>
      </c>
      <c r="I245" s="19" t="b">
        <f t="shared" si="10"/>
        <v>0</v>
      </c>
      <c r="J245" s="33">
        <f t="shared" si="11"/>
        <v>1.1486486486486482E-3</v>
      </c>
    </row>
    <row r="246" spans="1:10">
      <c r="A246" s="19" t="s">
        <v>78</v>
      </c>
      <c r="B246" s="20">
        <v>45778</v>
      </c>
      <c r="C246" s="21">
        <v>148.00000000000006</v>
      </c>
      <c r="D246" s="21">
        <v>109.49333333333334</v>
      </c>
      <c r="E246" s="21">
        <v>52.66</v>
      </c>
      <c r="F246" s="27">
        <f t="shared" si="9"/>
        <v>0.73981981981981959</v>
      </c>
      <c r="G246" s="21" t="str">
        <f>IFERROR(INDEX(Users!$A$2:$A$310,MATCH(A246,Users!$B$2:$B$310,0)),"")</f>
        <v>Service B</v>
      </c>
      <c r="H246" s="21" t="str">
        <f>IFERROR(INDEX(Users!$D$2:$D$310,MATCH(A246,Users!$B$2:$B$310,0)),"")</f>
        <v>Band 3</v>
      </c>
      <c r="I246" s="19" t="b">
        <f t="shared" si="10"/>
        <v>0</v>
      </c>
      <c r="J246" s="33">
        <f t="shared" si="11"/>
        <v>0.73981981981981959</v>
      </c>
    </row>
    <row r="247" spans="1:10">
      <c r="A247" s="19" t="s">
        <v>78</v>
      </c>
      <c r="B247" s="20">
        <v>45809</v>
      </c>
      <c r="C247" s="21">
        <v>155.40000000000006</v>
      </c>
      <c r="D247" s="21">
        <v>98.476666666666659</v>
      </c>
      <c r="E247" s="21">
        <v>50.81</v>
      </c>
      <c r="F247" s="27">
        <f t="shared" si="9"/>
        <v>0.63369798369798336</v>
      </c>
      <c r="G247" s="21" t="str">
        <f>IFERROR(INDEX(Users!$A$2:$A$310,MATCH(A247,Users!$B$2:$B$310,0)),"")</f>
        <v>Service B</v>
      </c>
      <c r="H247" s="21" t="str">
        <f>IFERROR(INDEX(Users!$D$2:$D$310,MATCH(A247,Users!$B$2:$B$310,0)),"")</f>
        <v>Band 3</v>
      </c>
      <c r="I247" s="19" t="b">
        <f t="shared" si="10"/>
        <v>0</v>
      </c>
      <c r="J247" s="33">
        <f t="shared" si="11"/>
        <v>0.63369798369798336</v>
      </c>
    </row>
    <row r="248" spans="1:10">
      <c r="A248" s="19" t="s">
        <v>78</v>
      </c>
      <c r="B248" s="20">
        <v>45839</v>
      </c>
      <c r="C248" s="21">
        <v>170.20000000000007</v>
      </c>
      <c r="D248" s="21">
        <v>134.98666666666665</v>
      </c>
      <c r="E248" s="21">
        <v>87.32</v>
      </c>
      <c r="F248" s="27">
        <f t="shared" si="9"/>
        <v>0.79310614962788828</v>
      </c>
      <c r="G248" s="21" t="str">
        <f>IFERROR(INDEX(Users!$A$2:$A$310,MATCH(A248,Users!$B$2:$B$310,0)),"")</f>
        <v>Service B</v>
      </c>
      <c r="H248" s="21" t="str">
        <f>IFERROR(INDEX(Users!$D$2:$D$310,MATCH(A248,Users!$B$2:$B$310,0)),"")</f>
        <v>Band 3</v>
      </c>
      <c r="I248" s="19" t="b">
        <f t="shared" si="10"/>
        <v>0</v>
      </c>
      <c r="J248" s="33">
        <f t="shared" si="11"/>
        <v>0.79310614962788828</v>
      </c>
    </row>
    <row r="249" spans="1:10">
      <c r="A249" s="19" t="s">
        <v>78</v>
      </c>
      <c r="B249" s="20">
        <v>45870</v>
      </c>
      <c r="C249" s="21">
        <v>148.00000000000006</v>
      </c>
      <c r="D249" s="21">
        <v>136.62666666666667</v>
      </c>
      <c r="E249" s="21">
        <v>106.71000000000001</v>
      </c>
      <c r="F249" s="27">
        <f t="shared" si="9"/>
        <v>0.92315315315315283</v>
      </c>
      <c r="G249" s="21" t="str">
        <f>IFERROR(INDEX(Users!$A$2:$A$310,MATCH(A249,Users!$B$2:$B$310,0)),"")</f>
        <v>Service B</v>
      </c>
      <c r="H249" s="21" t="str">
        <f>IFERROR(INDEX(Users!$D$2:$D$310,MATCH(A249,Users!$B$2:$B$310,0)),"")</f>
        <v>Band 3</v>
      </c>
      <c r="I249" s="19" t="b">
        <f t="shared" si="10"/>
        <v>0</v>
      </c>
      <c r="J249" s="33">
        <f t="shared" si="11"/>
        <v>0.92315315315315283</v>
      </c>
    </row>
    <row r="250" spans="1:10">
      <c r="A250" s="19" t="s">
        <v>78</v>
      </c>
      <c r="B250" s="20">
        <v>45901</v>
      </c>
      <c r="C250" s="21">
        <v>162.80000000000007</v>
      </c>
      <c r="D250" s="21">
        <v>122.64000000000001</v>
      </c>
      <c r="E250" s="21">
        <v>95.640000000000015</v>
      </c>
      <c r="F250" s="27">
        <f t="shared" si="9"/>
        <v>0.75331695331695314</v>
      </c>
      <c r="G250" s="21" t="str">
        <f>IFERROR(INDEX(Users!$A$2:$A$310,MATCH(A250,Users!$B$2:$B$310,0)),"")</f>
        <v>Service B</v>
      </c>
      <c r="H250" s="21" t="str">
        <f>IFERROR(INDEX(Users!$D$2:$D$310,MATCH(A250,Users!$B$2:$B$310,0)),"")</f>
        <v>Band 3</v>
      </c>
      <c r="I250" s="19" t="b">
        <f t="shared" si="10"/>
        <v>0</v>
      </c>
      <c r="J250" s="33">
        <f t="shared" si="11"/>
        <v>0.75331695331695314</v>
      </c>
    </row>
    <row r="251" spans="1:10">
      <c r="A251" s="19" t="s">
        <v>78</v>
      </c>
      <c r="B251" s="20">
        <v>45931</v>
      </c>
      <c r="C251" s="21">
        <v>170.20000000000007</v>
      </c>
      <c r="D251" s="21">
        <v>167.44</v>
      </c>
      <c r="E251" s="21">
        <v>128.44</v>
      </c>
      <c r="F251" s="27">
        <f t="shared" si="9"/>
        <v>0.98378378378378339</v>
      </c>
      <c r="G251" s="21" t="str">
        <f>IFERROR(INDEX(Users!$A$2:$A$310,MATCH(A251,Users!$B$2:$B$310,0)),"")</f>
        <v>Service B</v>
      </c>
      <c r="H251" s="21" t="str">
        <f>IFERROR(INDEX(Users!$D$2:$D$310,MATCH(A251,Users!$B$2:$B$310,0)),"")</f>
        <v>Band 3</v>
      </c>
      <c r="I251" s="19" t="b">
        <f t="shared" si="10"/>
        <v>0</v>
      </c>
      <c r="J251" s="33">
        <f t="shared" si="11"/>
        <v>0.98378378378378339</v>
      </c>
    </row>
    <row r="252" spans="1:10">
      <c r="A252" s="19" t="s">
        <v>78</v>
      </c>
      <c r="B252" s="20">
        <v>45962</v>
      </c>
      <c r="C252" s="21">
        <v>148.00000000000006</v>
      </c>
      <c r="D252" s="21">
        <v>157.57</v>
      </c>
      <c r="E252" s="21">
        <v>125.57000000000001</v>
      </c>
      <c r="F252" s="27">
        <f t="shared" si="9"/>
        <v>1.0646621621621617</v>
      </c>
      <c r="G252" s="21" t="str">
        <f>IFERROR(INDEX(Users!$A$2:$A$310,MATCH(A252,Users!$B$2:$B$310,0)),"")</f>
        <v>Service B</v>
      </c>
      <c r="H252" s="21" t="str">
        <f>IFERROR(INDEX(Users!$D$2:$D$310,MATCH(A252,Users!$B$2:$B$310,0)),"")</f>
        <v>Band 3</v>
      </c>
      <c r="I252" s="19" t="b">
        <f t="shared" si="10"/>
        <v>0</v>
      </c>
      <c r="J252" s="33">
        <f t="shared" si="11"/>
        <v>1.0646621621621617</v>
      </c>
    </row>
    <row r="253" spans="1:10">
      <c r="A253" s="19" t="s">
        <v>78</v>
      </c>
      <c r="B253" s="20">
        <v>45992</v>
      </c>
      <c r="C253" s="21">
        <v>155.40000000000006</v>
      </c>
      <c r="D253" s="21">
        <v>125.12999999999998</v>
      </c>
      <c r="E253" s="21">
        <v>103.62999999999998</v>
      </c>
      <c r="F253" s="27">
        <f t="shared" si="9"/>
        <v>0.80521235521235479</v>
      </c>
      <c r="G253" s="21" t="str">
        <f>IFERROR(INDEX(Users!$A$2:$A$310,MATCH(A253,Users!$B$2:$B$310,0)),"")</f>
        <v>Service B</v>
      </c>
      <c r="H253" s="21" t="str">
        <f>IFERROR(INDEX(Users!$D$2:$D$310,MATCH(A253,Users!$B$2:$B$310,0)),"")</f>
        <v>Band 3</v>
      </c>
      <c r="I253" s="19" t="b">
        <f t="shared" si="10"/>
        <v>0</v>
      </c>
      <c r="J253" s="33">
        <f t="shared" si="11"/>
        <v>0.80521235521235479</v>
      </c>
    </row>
    <row r="254" spans="1:10">
      <c r="A254" s="19" t="s">
        <v>78</v>
      </c>
      <c r="B254" s="20">
        <v>46023</v>
      </c>
      <c r="C254" s="21">
        <v>155.40000000000006</v>
      </c>
      <c r="D254" s="21">
        <v>138.74333333333334</v>
      </c>
      <c r="E254" s="21">
        <v>106.91</v>
      </c>
      <c r="F254" s="27">
        <f t="shared" si="9"/>
        <v>0.89281424281424249</v>
      </c>
      <c r="G254" s="21" t="str">
        <f>IFERROR(INDEX(Users!$A$2:$A$310,MATCH(A254,Users!$B$2:$B$310,0)),"")</f>
        <v>Service B</v>
      </c>
      <c r="H254" s="21" t="str">
        <f>IFERROR(INDEX(Users!$D$2:$D$310,MATCH(A254,Users!$B$2:$B$310,0)),"")</f>
        <v>Band 3</v>
      </c>
      <c r="I254" s="19" t="b">
        <f t="shared" si="10"/>
        <v>0</v>
      </c>
      <c r="J254" s="33" t="str">
        <f t="shared" si="11"/>
        <v/>
      </c>
    </row>
    <row r="255" spans="1:10">
      <c r="A255" s="19" t="s">
        <v>80</v>
      </c>
      <c r="B255" s="20">
        <v>45658</v>
      </c>
      <c r="C255" s="21">
        <v>96.200000000000017</v>
      </c>
      <c r="D255" s="21">
        <v>86.398611111111109</v>
      </c>
      <c r="E255" s="21">
        <v>19.990000000000002</v>
      </c>
      <c r="F255" s="27">
        <f t="shared" si="9"/>
        <v>0.89811446061446043</v>
      </c>
      <c r="G255" s="21" t="str">
        <f>IFERROR(INDEX(Users!$A$2:$A$310,MATCH(A255,Users!$B$2:$B$310,0)),"")</f>
        <v>Service C</v>
      </c>
      <c r="H255" s="21" t="str">
        <f>IFERROR(INDEX(Users!$D$2:$D$310,MATCH(A255,Users!$B$2:$B$310,0)),"")</f>
        <v>Band 5</v>
      </c>
      <c r="I255" s="19" t="b">
        <f t="shared" si="10"/>
        <v>0</v>
      </c>
      <c r="J255" s="33" t="str">
        <f t="shared" si="11"/>
        <v/>
      </c>
    </row>
    <row r="256" spans="1:10">
      <c r="A256" s="19" t="s">
        <v>80</v>
      </c>
      <c r="B256" s="20">
        <v>45689</v>
      </c>
      <c r="C256" s="21">
        <v>88.800000000000011</v>
      </c>
      <c r="D256" s="21">
        <v>92.206666666666649</v>
      </c>
      <c r="E256" s="21">
        <v>11.54</v>
      </c>
      <c r="F256" s="27">
        <f t="shared" si="9"/>
        <v>1.0383633633633631</v>
      </c>
      <c r="G256" s="21" t="str">
        <f>IFERROR(INDEX(Users!$A$2:$A$310,MATCH(A256,Users!$B$2:$B$310,0)),"")</f>
        <v>Service C</v>
      </c>
      <c r="H256" s="21" t="str">
        <f>IFERROR(INDEX(Users!$D$2:$D$310,MATCH(A256,Users!$B$2:$B$310,0)),"")</f>
        <v>Band 5</v>
      </c>
      <c r="I256" s="19" t="b">
        <f t="shared" si="10"/>
        <v>0</v>
      </c>
      <c r="J256" s="33" t="str">
        <f t="shared" si="11"/>
        <v/>
      </c>
    </row>
    <row r="257" spans="1:10">
      <c r="A257" s="19" t="s">
        <v>80</v>
      </c>
      <c r="B257" s="20">
        <v>45717</v>
      </c>
      <c r="C257" s="21">
        <v>96.2</v>
      </c>
      <c r="D257" s="21">
        <v>88.743333333333339</v>
      </c>
      <c r="E257" s="21">
        <v>16.410000000000004</v>
      </c>
      <c r="F257" s="27">
        <f t="shared" si="9"/>
        <v>0.92248787248787256</v>
      </c>
      <c r="G257" s="21" t="str">
        <f>IFERROR(INDEX(Users!$A$2:$A$310,MATCH(A257,Users!$B$2:$B$310,0)),"")</f>
        <v>Service C</v>
      </c>
      <c r="H257" s="21" t="str">
        <f>IFERROR(INDEX(Users!$D$2:$D$310,MATCH(A257,Users!$B$2:$B$310,0)),"")</f>
        <v>Band 5</v>
      </c>
      <c r="I257" s="19" t="b">
        <f t="shared" si="10"/>
        <v>0</v>
      </c>
      <c r="J257" s="33" t="str">
        <f t="shared" si="11"/>
        <v/>
      </c>
    </row>
    <row r="258" spans="1:10">
      <c r="A258" s="19" t="s">
        <v>80</v>
      </c>
      <c r="B258" s="20">
        <v>45748</v>
      </c>
      <c r="C258" s="21">
        <v>88.800000000000011</v>
      </c>
      <c r="D258" s="21">
        <v>59.953333333333333</v>
      </c>
      <c r="E258" s="21">
        <v>10.62</v>
      </c>
      <c r="F258" s="27">
        <f t="shared" ref="F258:F321" si="12">IFERROR(IF(OR(C258="",D258="",C258=0),"",D258/C258),"")</f>
        <v>0.67515015015015001</v>
      </c>
      <c r="G258" s="21" t="str">
        <f>IFERROR(INDEX(Users!$A$2:$A$310,MATCH(A258,Users!$B$2:$B$310,0)),"")</f>
        <v>Service C</v>
      </c>
      <c r="H258" s="21" t="str">
        <f>IFERROR(INDEX(Users!$D$2:$D$310,MATCH(A258,Users!$B$2:$B$310,0)),"")</f>
        <v>Band 5</v>
      </c>
      <c r="I258" s="19" t="b">
        <f t="shared" ref="I258:I321" si="13">AND(G258="Service A",H258="Band 3")</f>
        <v>0</v>
      </c>
      <c r="J258" s="33" t="str">
        <f t="shared" ref="J258:J321" si="14">IF(AND(B258&gt;=DATE(2025,1,1),B258&lt;DATE(2026,1,1),G258="Service B",OR(H258="Band 3",H258="Band 5"),ISNUMBER(F258)),F258,"")</f>
        <v/>
      </c>
    </row>
    <row r="259" spans="1:10">
      <c r="A259" s="19" t="s">
        <v>80</v>
      </c>
      <c r="B259" s="20">
        <v>45778</v>
      </c>
      <c r="C259" s="21">
        <v>81.400000000000006</v>
      </c>
      <c r="D259" s="21">
        <v>53.86</v>
      </c>
      <c r="E259" s="21">
        <v>3.8600000000000008</v>
      </c>
      <c r="F259" s="27">
        <f t="shared" si="12"/>
        <v>0.66167076167076166</v>
      </c>
      <c r="G259" s="21" t="str">
        <f>IFERROR(INDEX(Users!$A$2:$A$310,MATCH(A259,Users!$B$2:$B$310,0)),"")</f>
        <v>Service C</v>
      </c>
      <c r="H259" s="21" t="str">
        <f>IFERROR(INDEX(Users!$D$2:$D$310,MATCH(A259,Users!$B$2:$B$310,0)),"")</f>
        <v>Band 5</v>
      </c>
      <c r="I259" s="19" t="b">
        <f t="shared" si="13"/>
        <v>0</v>
      </c>
      <c r="J259" s="33" t="str">
        <f t="shared" si="14"/>
        <v/>
      </c>
    </row>
    <row r="260" spans="1:10">
      <c r="A260" s="19" t="s">
        <v>80</v>
      </c>
      <c r="B260" s="20">
        <v>45809</v>
      </c>
      <c r="C260" s="21">
        <v>96.2</v>
      </c>
      <c r="D260" s="21">
        <v>97.556666666666672</v>
      </c>
      <c r="E260" s="21">
        <v>20.64</v>
      </c>
      <c r="F260" s="27">
        <f t="shared" si="12"/>
        <v>1.0141025641025641</v>
      </c>
      <c r="G260" s="21" t="str">
        <f>IFERROR(INDEX(Users!$A$2:$A$310,MATCH(A260,Users!$B$2:$B$310,0)),"")</f>
        <v>Service C</v>
      </c>
      <c r="H260" s="21" t="str">
        <f>IFERROR(INDEX(Users!$D$2:$D$310,MATCH(A260,Users!$B$2:$B$310,0)),"")</f>
        <v>Band 5</v>
      </c>
      <c r="I260" s="19" t="b">
        <f t="shared" si="13"/>
        <v>0</v>
      </c>
      <c r="J260" s="33" t="str">
        <f t="shared" si="14"/>
        <v/>
      </c>
    </row>
    <row r="261" spans="1:10">
      <c r="A261" s="19" t="s">
        <v>80</v>
      </c>
      <c r="B261" s="20">
        <v>45839</v>
      </c>
      <c r="C261" s="21">
        <v>103.6</v>
      </c>
      <c r="D261" s="21">
        <v>82.873333333333335</v>
      </c>
      <c r="E261" s="21">
        <v>24.290000000000003</v>
      </c>
      <c r="F261" s="27">
        <f t="shared" si="12"/>
        <v>0.79993564993565003</v>
      </c>
      <c r="G261" s="21" t="str">
        <f>IFERROR(INDEX(Users!$A$2:$A$310,MATCH(A261,Users!$B$2:$B$310,0)),"")</f>
        <v>Service C</v>
      </c>
      <c r="H261" s="21" t="str">
        <f>IFERROR(INDEX(Users!$D$2:$D$310,MATCH(A261,Users!$B$2:$B$310,0)),"")</f>
        <v>Band 5</v>
      </c>
      <c r="I261" s="19" t="b">
        <f t="shared" si="13"/>
        <v>0</v>
      </c>
      <c r="J261" s="33" t="str">
        <f t="shared" si="14"/>
        <v/>
      </c>
    </row>
    <row r="262" spans="1:10">
      <c r="A262" s="19" t="s">
        <v>80</v>
      </c>
      <c r="B262" s="20">
        <v>45870</v>
      </c>
      <c r="C262" s="21">
        <v>81.400000000000006</v>
      </c>
      <c r="D262" s="21">
        <v>60.21</v>
      </c>
      <c r="E262" s="21">
        <v>20.209999999999997</v>
      </c>
      <c r="F262" s="27">
        <f t="shared" si="12"/>
        <v>0.73968058968058958</v>
      </c>
      <c r="G262" s="21" t="str">
        <f>IFERROR(INDEX(Users!$A$2:$A$310,MATCH(A262,Users!$B$2:$B$310,0)),"")</f>
        <v>Service C</v>
      </c>
      <c r="H262" s="21" t="str">
        <f>IFERROR(INDEX(Users!$D$2:$D$310,MATCH(A262,Users!$B$2:$B$310,0)),"")</f>
        <v>Band 5</v>
      </c>
      <c r="I262" s="19" t="b">
        <f t="shared" si="13"/>
        <v>0</v>
      </c>
      <c r="J262" s="33" t="str">
        <f t="shared" si="14"/>
        <v/>
      </c>
    </row>
    <row r="263" spans="1:10">
      <c r="A263" s="19" t="s">
        <v>80</v>
      </c>
      <c r="B263" s="20">
        <v>45901</v>
      </c>
      <c r="C263" s="21">
        <v>103.60000000000001</v>
      </c>
      <c r="D263" s="21">
        <v>102.73666666666666</v>
      </c>
      <c r="E263" s="21">
        <v>39.82</v>
      </c>
      <c r="F263" s="27">
        <f t="shared" si="12"/>
        <v>0.99166666666666659</v>
      </c>
      <c r="G263" s="21" t="str">
        <f>IFERROR(INDEX(Users!$A$2:$A$310,MATCH(A263,Users!$B$2:$B$310,0)),"")</f>
        <v>Service C</v>
      </c>
      <c r="H263" s="21" t="str">
        <f>IFERROR(INDEX(Users!$D$2:$D$310,MATCH(A263,Users!$B$2:$B$310,0)),"")</f>
        <v>Band 5</v>
      </c>
      <c r="I263" s="19" t="b">
        <f t="shared" si="13"/>
        <v>0</v>
      </c>
      <c r="J263" s="33" t="str">
        <f t="shared" si="14"/>
        <v/>
      </c>
    </row>
    <row r="264" spans="1:10">
      <c r="A264" s="19" t="s">
        <v>80</v>
      </c>
      <c r="B264" s="20">
        <v>45931</v>
      </c>
      <c r="C264" s="21">
        <v>96.200000000000017</v>
      </c>
      <c r="D264" s="21">
        <v>78.193333333333342</v>
      </c>
      <c r="E264" s="21">
        <v>39.860000000000007</v>
      </c>
      <c r="F264" s="27">
        <f t="shared" si="12"/>
        <v>0.81282051282051282</v>
      </c>
      <c r="G264" s="21" t="str">
        <f>IFERROR(INDEX(Users!$A$2:$A$310,MATCH(A264,Users!$B$2:$B$310,0)),"")</f>
        <v>Service C</v>
      </c>
      <c r="H264" s="21" t="str">
        <f>IFERROR(INDEX(Users!$D$2:$D$310,MATCH(A264,Users!$B$2:$B$310,0)),"")</f>
        <v>Band 5</v>
      </c>
      <c r="I264" s="19" t="b">
        <f t="shared" si="13"/>
        <v>0</v>
      </c>
      <c r="J264" s="33" t="str">
        <f t="shared" si="14"/>
        <v/>
      </c>
    </row>
    <row r="265" spans="1:10">
      <c r="A265" s="19" t="s">
        <v>80</v>
      </c>
      <c r="B265" s="20">
        <v>45962</v>
      </c>
      <c r="C265" s="21">
        <v>88.800000000000011</v>
      </c>
      <c r="D265" s="21">
        <v>89.51</v>
      </c>
      <c r="E265" s="21">
        <v>43.760000000000005</v>
      </c>
      <c r="F265" s="27">
        <f t="shared" si="12"/>
        <v>1.0079954954954955</v>
      </c>
      <c r="G265" s="21" t="str">
        <f>IFERROR(INDEX(Users!$A$2:$A$310,MATCH(A265,Users!$B$2:$B$310,0)),"")</f>
        <v>Service C</v>
      </c>
      <c r="H265" s="21" t="str">
        <f>IFERROR(INDEX(Users!$D$2:$D$310,MATCH(A265,Users!$B$2:$B$310,0)),"")</f>
        <v>Band 5</v>
      </c>
      <c r="I265" s="19" t="b">
        <f t="shared" si="13"/>
        <v>0</v>
      </c>
      <c r="J265" s="33" t="str">
        <f t="shared" si="14"/>
        <v/>
      </c>
    </row>
    <row r="266" spans="1:10">
      <c r="A266" s="19" t="s">
        <v>80</v>
      </c>
      <c r="B266" s="20">
        <v>45992</v>
      </c>
      <c r="C266" s="21">
        <v>96.2</v>
      </c>
      <c r="D266" s="21">
        <v>77.150000000000006</v>
      </c>
      <c r="E266" s="21">
        <v>31.150000000000002</v>
      </c>
      <c r="F266" s="27">
        <f t="shared" si="12"/>
        <v>0.80197505197505203</v>
      </c>
      <c r="G266" s="21" t="str">
        <f>IFERROR(INDEX(Users!$A$2:$A$310,MATCH(A266,Users!$B$2:$B$310,0)),"")</f>
        <v>Service C</v>
      </c>
      <c r="H266" s="21" t="str">
        <f>IFERROR(INDEX(Users!$D$2:$D$310,MATCH(A266,Users!$B$2:$B$310,0)),"")</f>
        <v>Band 5</v>
      </c>
      <c r="I266" s="19" t="b">
        <f t="shared" si="13"/>
        <v>0</v>
      </c>
      <c r="J266" s="33" t="str">
        <f t="shared" si="14"/>
        <v/>
      </c>
    </row>
    <row r="267" spans="1:10">
      <c r="A267" s="19" t="s">
        <v>80</v>
      </c>
      <c r="B267" s="20">
        <v>46023</v>
      </c>
      <c r="C267" s="21">
        <v>88.800000000000011</v>
      </c>
      <c r="D267" s="21">
        <v>104.24666666666667</v>
      </c>
      <c r="E267" s="21">
        <v>34.83</v>
      </c>
      <c r="F267" s="27">
        <f t="shared" si="12"/>
        <v>1.1739489489489487</v>
      </c>
      <c r="G267" s="21" t="str">
        <f>IFERROR(INDEX(Users!$A$2:$A$310,MATCH(A267,Users!$B$2:$B$310,0)),"")</f>
        <v>Service C</v>
      </c>
      <c r="H267" s="21" t="str">
        <f>IFERROR(INDEX(Users!$D$2:$D$310,MATCH(A267,Users!$B$2:$B$310,0)),"")</f>
        <v>Band 5</v>
      </c>
      <c r="I267" s="19" t="b">
        <f t="shared" si="13"/>
        <v>0</v>
      </c>
      <c r="J267" s="33" t="str">
        <f t="shared" si="14"/>
        <v/>
      </c>
    </row>
    <row r="268" spans="1:10">
      <c r="A268" s="19" t="s">
        <v>81</v>
      </c>
      <c r="B268" s="20"/>
      <c r="C268" s="21"/>
      <c r="D268" s="21">
        <v>0</v>
      </c>
      <c r="E268" s="21">
        <v>0</v>
      </c>
      <c r="F268" s="27" t="str">
        <f t="shared" si="12"/>
        <v/>
      </c>
      <c r="G268" s="21" t="str">
        <f>IFERROR(INDEX(Users!$A$2:$A$310,MATCH(A268,Users!$B$2:$B$310,0)),"")</f>
        <v>Service A</v>
      </c>
      <c r="H268" s="21" t="str">
        <f>IFERROR(INDEX(Users!$D$2:$D$310,MATCH(A268,Users!$B$2:$B$310,0)),"")</f>
        <v>Band 3</v>
      </c>
      <c r="I268" s="19" t="b">
        <f t="shared" si="13"/>
        <v>1</v>
      </c>
      <c r="J268" s="33" t="str">
        <f t="shared" si="14"/>
        <v/>
      </c>
    </row>
    <row r="269" spans="1:10">
      <c r="A269" s="19" t="s">
        <v>81</v>
      </c>
      <c r="B269" s="20">
        <v>45658</v>
      </c>
      <c r="C269" s="21">
        <v>162.80000000000001</v>
      </c>
      <c r="D269" s="21">
        <v>150.9</v>
      </c>
      <c r="E269" s="21">
        <v>97</v>
      </c>
      <c r="F269" s="27">
        <f t="shared" si="12"/>
        <v>0.92690417690417692</v>
      </c>
      <c r="G269" s="21" t="str">
        <f>IFERROR(INDEX(Users!$A$2:$A$310,MATCH(A269,Users!$B$2:$B$310,0)),"")</f>
        <v>Service A</v>
      </c>
      <c r="H269" s="21" t="str">
        <f>IFERROR(INDEX(Users!$D$2:$D$310,MATCH(A269,Users!$B$2:$B$310,0)),"")</f>
        <v>Band 3</v>
      </c>
      <c r="I269" s="19" t="b">
        <f t="shared" si="13"/>
        <v>1</v>
      </c>
      <c r="J269" s="33" t="str">
        <f t="shared" si="14"/>
        <v/>
      </c>
    </row>
    <row r="270" spans="1:10">
      <c r="A270" s="19" t="s">
        <v>81</v>
      </c>
      <c r="B270" s="20">
        <v>45689</v>
      </c>
      <c r="C270" s="21">
        <v>148</v>
      </c>
      <c r="D270" s="21">
        <v>101.2</v>
      </c>
      <c r="E270" s="21">
        <v>69.45</v>
      </c>
      <c r="F270" s="27">
        <f t="shared" si="12"/>
        <v>0.68378378378378379</v>
      </c>
      <c r="G270" s="21" t="str">
        <f>IFERROR(INDEX(Users!$A$2:$A$310,MATCH(A270,Users!$B$2:$B$310,0)),"")</f>
        <v>Service A</v>
      </c>
      <c r="H270" s="21" t="str">
        <f>IFERROR(INDEX(Users!$D$2:$D$310,MATCH(A270,Users!$B$2:$B$310,0)),"")</f>
        <v>Band 3</v>
      </c>
      <c r="I270" s="19" t="b">
        <f t="shared" si="13"/>
        <v>1</v>
      </c>
      <c r="J270" s="33" t="str">
        <f t="shared" si="14"/>
        <v/>
      </c>
    </row>
    <row r="271" spans="1:10">
      <c r="A271" s="19" t="s">
        <v>81</v>
      </c>
      <c r="B271" s="20">
        <v>45717</v>
      </c>
      <c r="C271" s="21">
        <v>155.4</v>
      </c>
      <c r="D271" s="21">
        <v>159.76999999999998</v>
      </c>
      <c r="E271" s="21">
        <v>114.27</v>
      </c>
      <c r="F271" s="27">
        <f t="shared" si="12"/>
        <v>1.0281209781209779</v>
      </c>
      <c r="G271" s="21" t="str">
        <f>IFERROR(INDEX(Users!$A$2:$A$310,MATCH(A271,Users!$B$2:$B$310,0)),"")</f>
        <v>Service A</v>
      </c>
      <c r="H271" s="21" t="str">
        <f>IFERROR(INDEX(Users!$D$2:$D$310,MATCH(A271,Users!$B$2:$B$310,0)),"")</f>
        <v>Band 3</v>
      </c>
      <c r="I271" s="19" t="b">
        <f t="shared" si="13"/>
        <v>1</v>
      </c>
      <c r="J271" s="33" t="str">
        <f t="shared" si="14"/>
        <v/>
      </c>
    </row>
    <row r="272" spans="1:10">
      <c r="A272" s="19" t="s">
        <v>81</v>
      </c>
      <c r="B272" s="20">
        <v>45748</v>
      </c>
      <c r="C272" s="21">
        <v>148</v>
      </c>
      <c r="D272" s="21">
        <v>130.25</v>
      </c>
      <c r="E272" s="21">
        <v>83.5</v>
      </c>
      <c r="F272" s="27">
        <f t="shared" si="12"/>
        <v>0.88006756756756754</v>
      </c>
      <c r="G272" s="21" t="str">
        <f>IFERROR(INDEX(Users!$A$2:$A$310,MATCH(A272,Users!$B$2:$B$310,0)),"")</f>
        <v>Service A</v>
      </c>
      <c r="H272" s="21" t="str">
        <f>IFERROR(INDEX(Users!$D$2:$D$310,MATCH(A272,Users!$B$2:$B$310,0)),"")</f>
        <v>Band 3</v>
      </c>
      <c r="I272" s="19" t="b">
        <f t="shared" si="13"/>
        <v>1</v>
      </c>
      <c r="J272" s="33" t="str">
        <f t="shared" si="14"/>
        <v/>
      </c>
    </row>
    <row r="273" spans="1:10">
      <c r="A273" s="19" t="s">
        <v>81</v>
      </c>
      <c r="B273" s="20">
        <v>45778</v>
      </c>
      <c r="C273" s="21">
        <v>148</v>
      </c>
      <c r="D273" s="21">
        <v>147.62</v>
      </c>
      <c r="E273" s="21">
        <v>108.12</v>
      </c>
      <c r="F273" s="27">
        <f t="shared" si="12"/>
        <v>0.99743243243243251</v>
      </c>
      <c r="G273" s="21" t="str">
        <f>IFERROR(INDEX(Users!$A$2:$A$310,MATCH(A273,Users!$B$2:$B$310,0)),"")</f>
        <v>Service A</v>
      </c>
      <c r="H273" s="21" t="str">
        <f>IFERROR(INDEX(Users!$D$2:$D$310,MATCH(A273,Users!$B$2:$B$310,0)),"")</f>
        <v>Band 3</v>
      </c>
      <c r="I273" s="19" t="b">
        <f t="shared" si="13"/>
        <v>1</v>
      </c>
      <c r="J273" s="33" t="str">
        <f t="shared" si="14"/>
        <v/>
      </c>
    </row>
    <row r="274" spans="1:10">
      <c r="A274" s="19" t="s">
        <v>81</v>
      </c>
      <c r="B274" s="20">
        <v>45809</v>
      </c>
      <c r="C274" s="21">
        <v>155.4</v>
      </c>
      <c r="D274" s="21">
        <v>140.04</v>
      </c>
      <c r="E274" s="21">
        <v>99.039999999999992</v>
      </c>
      <c r="F274" s="27">
        <f t="shared" si="12"/>
        <v>0.90115830115830109</v>
      </c>
      <c r="G274" s="21" t="str">
        <f>IFERROR(INDEX(Users!$A$2:$A$310,MATCH(A274,Users!$B$2:$B$310,0)),"")</f>
        <v>Service A</v>
      </c>
      <c r="H274" s="21" t="str">
        <f>IFERROR(INDEX(Users!$D$2:$D$310,MATCH(A274,Users!$B$2:$B$310,0)),"")</f>
        <v>Band 3</v>
      </c>
      <c r="I274" s="19" t="b">
        <f t="shared" si="13"/>
        <v>1</v>
      </c>
      <c r="J274" s="33" t="str">
        <f t="shared" si="14"/>
        <v/>
      </c>
    </row>
    <row r="275" spans="1:10">
      <c r="A275" s="19" t="s">
        <v>81</v>
      </c>
      <c r="B275" s="20">
        <v>45839</v>
      </c>
      <c r="C275" s="21">
        <v>170.20000000000002</v>
      </c>
      <c r="D275" s="21">
        <v>126.35333333333334</v>
      </c>
      <c r="E275" s="21">
        <v>91.52000000000001</v>
      </c>
      <c r="F275" s="27">
        <f t="shared" si="12"/>
        <v>0.7423815119467293</v>
      </c>
      <c r="G275" s="21" t="str">
        <f>IFERROR(INDEX(Users!$A$2:$A$310,MATCH(A275,Users!$B$2:$B$310,0)),"")</f>
        <v>Service A</v>
      </c>
      <c r="H275" s="21" t="str">
        <f>IFERROR(INDEX(Users!$D$2:$D$310,MATCH(A275,Users!$B$2:$B$310,0)),"")</f>
        <v>Band 3</v>
      </c>
      <c r="I275" s="19" t="b">
        <f t="shared" si="13"/>
        <v>1</v>
      </c>
      <c r="J275" s="33" t="str">
        <f t="shared" si="14"/>
        <v/>
      </c>
    </row>
    <row r="276" spans="1:10">
      <c r="A276" s="19" t="s">
        <v>81</v>
      </c>
      <c r="B276" s="20">
        <v>45870</v>
      </c>
      <c r="C276" s="21">
        <v>148</v>
      </c>
      <c r="D276" s="21">
        <v>142.08666666666667</v>
      </c>
      <c r="E276" s="21">
        <v>104.17</v>
      </c>
      <c r="F276" s="27">
        <f t="shared" si="12"/>
        <v>0.96004504504504506</v>
      </c>
      <c r="G276" s="21" t="str">
        <f>IFERROR(INDEX(Users!$A$2:$A$310,MATCH(A276,Users!$B$2:$B$310,0)),"")</f>
        <v>Service A</v>
      </c>
      <c r="H276" s="21" t="str">
        <f>IFERROR(INDEX(Users!$D$2:$D$310,MATCH(A276,Users!$B$2:$B$310,0)),"")</f>
        <v>Band 3</v>
      </c>
      <c r="I276" s="19" t="b">
        <f t="shared" si="13"/>
        <v>1</v>
      </c>
      <c r="J276" s="33" t="str">
        <f t="shared" si="14"/>
        <v/>
      </c>
    </row>
    <row r="277" spans="1:10">
      <c r="A277" s="19" t="s">
        <v>81</v>
      </c>
      <c r="B277" s="20">
        <v>45901</v>
      </c>
      <c r="C277" s="21">
        <v>162.80000000000001</v>
      </c>
      <c r="D277" s="21">
        <v>155.42000000000002</v>
      </c>
      <c r="E277" s="21">
        <v>110.42</v>
      </c>
      <c r="F277" s="27">
        <f t="shared" si="12"/>
        <v>0.95466830466830466</v>
      </c>
      <c r="G277" s="21" t="str">
        <f>IFERROR(INDEX(Users!$A$2:$A$310,MATCH(A277,Users!$B$2:$B$310,0)),"")</f>
        <v>Service A</v>
      </c>
      <c r="H277" s="21" t="str">
        <f>IFERROR(INDEX(Users!$D$2:$D$310,MATCH(A277,Users!$B$2:$B$310,0)),"")</f>
        <v>Band 3</v>
      </c>
      <c r="I277" s="19" t="b">
        <f t="shared" si="13"/>
        <v>1</v>
      </c>
      <c r="J277" s="33" t="str">
        <f t="shared" si="14"/>
        <v/>
      </c>
    </row>
    <row r="278" spans="1:10">
      <c r="A278" s="19" t="s">
        <v>81</v>
      </c>
      <c r="B278" s="20">
        <v>45931</v>
      </c>
      <c r="C278" s="21">
        <v>170.20000000000002</v>
      </c>
      <c r="D278" s="21">
        <v>171.4</v>
      </c>
      <c r="E278" s="21">
        <v>121.25</v>
      </c>
      <c r="F278" s="27">
        <f t="shared" si="12"/>
        <v>1.0070505287896592</v>
      </c>
      <c r="G278" s="21" t="str">
        <f>IFERROR(INDEX(Users!$A$2:$A$310,MATCH(A278,Users!$B$2:$B$310,0)),"")</f>
        <v>Service A</v>
      </c>
      <c r="H278" s="21" t="str">
        <f>IFERROR(INDEX(Users!$D$2:$D$310,MATCH(A278,Users!$B$2:$B$310,0)),"")</f>
        <v>Band 3</v>
      </c>
      <c r="I278" s="19" t="b">
        <f t="shared" si="13"/>
        <v>1</v>
      </c>
      <c r="J278" s="33" t="str">
        <f t="shared" si="14"/>
        <v/>
      </c>
    </row>
    <row r="279" spans="1:10">
      <c r="A279" s="19" t="s">
        <v>81</v>
      </c>
      <c r="B279" s="20">
        <v>45962</v>
      </c>
      <c r="C279" s="21">
        <v>148</v>
      </c>
      <c r="D279" s="21">
        <v>148.77000000000001</v>
      </c>
      <c r="E279" s="21">
        <v>114.77000000000001</v>
      </c>
      <c r="F279" s="27">
        <f t="shared" si="12"/>
        <v>1.0052027027027028</v>
      </c>
      <c r="G279" s="21" t="str">
        <f>IFERROR(INDEX(Users!$A$2:$A$310,MATCH(A279,Users!$B$2:$B$310,0)),"")</f>
        <v>Service A</v>
      </c>
      <c r="H279" s="21" t="str">
        <f>IFERROR(INDEX(Users!$D$2:$D$310,MATCH(A279,Users!$B$2:$B$310,0)),"")</f>
        <v>Band 3</v>
      </c>
      <c r="I279" s="19" t="b">
        <f t="shared" si="13"/>
        <v>1</v>
      </c>
      <c r="J279" s="33" t="str">
        <f t="shared" si="14"/>
        <v/>
      </c>
    </row>
    <row r="280" spans="1:10">
      <c r="A280" s="19" t="s">
        <v>81</v>
      </c>
      <c r="B280" s="20">
        <v>45992</v>
      </c>
      <c r="C280" s="21">
        <v>155.4</v>
      </c>
      <c r="D280" s="21">
        <v>157.25</v>
      </c>
      <c r="E280" s="21">
        <v>118.5</v>
      </c>
      <c r="F280" s="27">
        <f t="shared" si="12"/>
        <v>1.0119047619047619</v>
      </c>
      <c r="G280" s="21" t="str">
        <f>IFERROR(INDEX(Users!$A$2:$A$310,MATCH(A280,Users!$B$2:$B$310,0)),"")</f>
        <v>Service A</v>
      </c>
      <c r="H280" s="21" t="str">
        <f>IFERROR(INDEX(Users!$D$2:$D$310,MATCH(A280,Users!$B$2:$B$310,0)),"")</f>
        <v>Band 3</v>
      </c>
      <c r="I280" s="19" t="b">
        <f t="shared" si="13"/>
        <v>1</v>
      </c>
      <c r="J280" s="33" t="str">
        <f t="shared" si="14"/>
        <v/>
      </c>
    </row>
    <row r="281" spans="1:10">
      <c r="A281" s="19" t="s">
        <v>81</v>
      </c>
      <c r="B281" s="20">
        <v>46023</v>
      </c>
      <c r="C281" s="21">
        <v>155.4</v>
      </c>
      <c r="D281" s="21">
        <v>152.5</v>
      </c>
      <c r="E281" s="21">
        <v>114.5</v>
      </c>
      <c r="F281" s="27">
        <f t="shared" si="12"/>
        <v>0.98133848133848134</v>
      </c>
      <c r="G281" s="21" t="str">
        <f>IFERROR(INDEX(Users!$A$2:$A$310,MATCH(A281,Users!$B$2:$B$310,0)),"")</f>
        <v>Service A</v>
      </c>
      <c r="H281" s="21" t="str">
        <f>IFERROR(INDEX(Users!$D$2:$D$310,MATCH(A281,Users!$B$2:$B$310,0)),"")</f>
        <v>Band 3</v>
      </c>
      <c r="I281" s="19" t="b">
        <f t="shared" si="13"/>
        <v>1</v>
      </c>
      <c r="J281" s="33" t="str">
        <f t="shared" si="14"/>
        <v/>
      </c>
    </row>
    <row r="282" spans="1:10">
      <c r="A282" s="19" t="s">
        <v>82</v>
      </c>
      <c r="B282" s="20">
        <v>45658</v>
      </c>
      <c r="C282" s="21">
        <v>162.80000000000001</v>
      </c>
      <c r="D282" s="21">
        <v>137.36111111111109</v>
      </c>
      <c r="E282" s="21">
        <v>11.68</v>
      </c>
      <c r="F282" s="27">
        <f t="shared" si="12"/>
        <v>0.84374146874146849</v>
      </c>
      <c r="G282" s="21" t="str">
        <f>IFERROR(INDEX(Users!$A$2:$A$310,MATCH(A282,Users!$B$2:$B$310,0)),"")</f>
        <v>Service B</v>
      </c>
      <c r="H282" s="21" t="str">
        <f>IFERROR(INDEX(Users!$D$2:$D$310,MATCH(A282,Users!$B$2:$B$310,0)),"")</f>
        <v>Band 3</v>
      </c>
      <c r="I282" s="19" t="b">
        <f t="shared" si="13"/>
        <v>0</v>
      </c>
      <c r="J282" s="33">
        <f t="shared" si="14"/>
        <v>0.84374146874146849</v>
      </c>
    </row>
    <row r="283" spans="1:10">
      <c r="A283" s="19" t="s">
        <v>82</v>
      </c>
      <c r="B283" s="20">
        <v>45689</v>
      </c>
      <c r="C283" s="21">
        <v>148</v>
      </c>
      <c r="D283" s="21">
        <v>141.81972222222225</v>
      </c>
      <c r="E283" s="21">
        <v>31.490000000000002</v>
      </c>
      <c r="F283" s="27">
        <f t="shared" si="12"/>
        <v>0.95824136636636659</v>
      </c>
      <c r="G283" s="21" t="str">
        <f>IFERROR(INDEX(Users!$A$2:$A$310,MATCH(A283,Users!$B$2:$B$310,0)),"")</f>
        <v>Service B</v>
      </c>
      <c r="H283" s="21" t="str">
        <f>IFERROR(INDEX(Users!$D$2:$D$310,MATCH(A283,Users!$B$2:$B$310,0)),"")</f>
        <v>Band 3</v>
      </c>
      <c r="I283" s="19" t="b">
        <f t="shared" si="13"/>
        <v>0</v>
      </c>
      <c r="J283" s="33">
        <f t="shared" si="14"/>
        <v>0.95824136636636659</v>
      </c>
    </row>
    <row r="284" spans="1:10">
      <c r="A284" s="19" t="s">
        <v>82</v>
      </c>
      <c r="B284" s="20">
        <v>45717</v>
      </c>
      <c r="C284" s="21">
        <v>155.4</v>
      </c>
      <c r="D284" s="21">
        <v>117.82</v>
      </c>
      <c r="E284" s="21">
        <v>44.019999999999996</v>
      </c>
      <c r="F284" s="27">
        <f t="shared" si="12"/>
        <v>0.75817245817245815</v>
      </c>
      <c r="G284" s="21" t="str">
        <f>IFERROR(INDEX(Users!$A$2:$A$310,MATCH(A284,Users!$B$2:$B$310,0)),"")</f>
        <v>Service B</v>
      </c>
      <c r="H284" s="21" t="str">
        <f>IFERROR(INDEX(Users!$D$2:$D$310,MATCH(A284,Users!$B$2:$B$310,0)),"")</f>
        <v>Band 3</v>
      </c>
      <c r="I284" s="19" t="b">
        <f t="shared" si="13"/>
        <v>0</v>
      </c>
      <c r="J284" s="33">
        <f t="shared" si="14"/>
        <v>0.75817245817245815</v>
      </c>
    </row>
    <row r="285" spans="1:10">
      <c r="A285" s="19" t="s">
        <v>82</v>
      </c>
      <c r="B285" s="20">
        <v>45748</v>
      </c>
      <c r="C285" s="21">
        <v>148</v>
      </c>
      <c r="D285" s="21">
        <v>140.00333333333333</v>
      </c>
      <c r="E285" s="21">
        <v>84.02</v>
      </c>
      <c r="F285" s="27">
        <f t="shared" si="12"/>
        <v>0.94596846846846849</v>
      </c>
      <c r="G285" s="21" t="str">
        <f>IFERROR(INDEX(Users!$A$2:$A$310,MATCH(A285,Users!$B$2:$B$310,0)),"")</f>
        <v>Service B</v>
      </c>
      <c r="H285" s="21" t="str">
        <f>IFERROR(INDEX(Users!$D$2:$D$310,MATCH(A285,Users!$B$2:$B$310,0)),"")</f>
        <v>Band 3</v>
      </c>
      <c r="I285" s="19" t="b">
        <f t="shared" si="13"/>
        <v>0</v>
      </c>
      <c r="J285" s="33">
        <f t="shared" si="14"/>
        <v>0.94596846846846849</v>
      </c>
    </row>
    <row r="286" spans="1:10">
      <c r="A286" s="19" t="s">
        <v>82</v>
      </c>
      <c r="B286" s="20">
        <v>45778</v>
      </c>
      <c r="C286" s="21">
        <v>148</v>
      </c>
      <c r="D286" s="21">
        <v>131.48999999999998</v>
      </c>
      <c r="E286" s="21">
        <v>77.189999999999984</v>
      </c>
      <c r="F286" s="27">
        <f t="shared" si="12"/>
        <v>0.88844594594594584</v>
      </c>
      <c r="G286" s="21" t="str">
        <f>IFERROR(INDEX(Users!$A$2:$A$310,MATCH(A286,Users!$B$2:$B$310,0)),"")</f>
        <v>Service B</v>
      </c>
      <c r="H286" s="21" t="str">
        <f>IFERROR(INDEX(Users!$D$2:$D$310,MATCH(A286,Users!$B$2:$B$310,0)),"")</f>
        <v>Band 3</v>
      </c>
      <c r="I286" s="19" t="b">
        <f t="shared" si="13"/>
        <v>0</v>
      </c>
      <c r="J286" s="33">
        <f t="shared" si="14"/>
        <v>0.88844594594594584</v>
      </c>
    </row>
    <row r="287" spans="1:10">
      <c r="A287" s="19" t="s">
        <v>82</v>
      </c>
      <c r="B287" s="20">
        <v>45809</v>
      </c>
      <c r="C287" s="21">
        <v>155.4</v>
      </c>
      <c r="D287" s="21">
        <v>131.66333333333333</v>
      </c>
      <c r="E287" s="21">
        <v>66.83</v>
      </c>
      <c r="F287" s="27">
        <f t="shared" si="12"/>
        <v>0.84725439725439722</v>
      </c>
      <c r="G287" s="21" t="str">
        <f>IFERROR(INDEX(Users!$A$2:$A$310,MATCH(A287,Users!$B$2:$B$310,0)),"")</f>
        <v>Service B</v>
      </c>
      <c r="H287" s="21" t="str">
        <f>IFERROR(INDEX(Users!$D$2:$D$310,MATCH(A287,Users!$B$2:$B$310,0)),"")</f>
        <v>Band 3</v>
      </c>
      <c r="I287" s="19" t="b">
        <f t="shared" si="13"/>
        <v>0</v>
      </c>
      <c r="J287" s="33">
        <f t="shared" si="14"/>
        <v>0.84725439725439722</v>
      </c>
    </row>
    <row r="288" spans="1:10">
      <c r="A288" s="19" t="s">
        <v>82</v>
      </c>
      <c r="B288" s="20">
        <v>45839</v>
      </c>
      <c r="C288" s="21">
        <v>170.20000000000002</v>
      </c>
      <c r="D288" s="21">
        <v>135.60666666666665</v>
      </c>
      <c r="E288" s="21">
        <v>64.039999999999992</v>
      </c>
      <c r="F288" s="27">
        <f t="shared" si="12"/>
        <v>0.79674892283587917</v>
      </c>
      <c r="G288" s="21" t="str">
        <f>IFERROR(INDEX(Users!$A$2:$A$310,MATCH(A288,Users!$B$2:$B$310,0)),"")</f>
        <v>Service B</v>
      </c>
      <c r="H288" s="21" t="str">
        <f>IFERROR(INDEX(Users!$D$2:$D$310,MATCH(A288,Users!$B$2:$B$310,0)),"")</f>
        <v>Band 3</v>
      </c>
      <c r="I288" s="19" t="b">
        <f t="shared" si="13"/>
        <v>0</v>
      </c>
      <c r="J288" s="33">
        <f t="shared" si="14"/>
        <v>0.79674892283587917</v>
      </c>
    </row>
    <row r="289" spans="1:10">
      <c r="A289" s="19" t="s">
        <v>82</v>
      </c>
      <c r="B289" s="20">
        <v>45870</v>
      </c>
      <c r="C289" s="21">
        <v>148</v>
      </c>
      <c r="D289" s="21">
        <v>110.71666666666667</v>
      </c>
      <c r="E289" s="21">
        <v>66.599999999999994</v>
      </c>
      <c r="F289" s="27">
        <f t="shared" si="12"/>
        <v>0.74808558558558558</v>
      </c>
      <c r="G289" s="21" t="str">
        <f>IFERROR(INDEX(Users!$A$2:$A$310,MATCH(A289,Users!$B$2:$B$310,0)),"")</f>
        <v>Service B</v>
      </c>
      <c r="H289" s="21" t="str">
        <f>IFERROR(INDEX(Users!$D$2:$D$310,MATCH(A289,Users!$B$2:$B$310,0)),"")</f>
        <v>Band 3</v>
      </c>
      <c r="I289" s="19" t="b">
        <f t="shared" si="13"/>
        <v>0</v>
      </c>
      <c r="J289" s="33">
        <f t="shared" si="14"/>
        <v>0.74808558558558558</v>
      </c>
    </row>
    <row r="290" spans="1:10">
      <c r="A290" s="19" t="s">
        <v>82</v>
      </c>
      <c r="B290" s="20">
        <v>45901</v>
      </c>
      <c r="C290" s="21">
        <v>162.80000000000001</v>
      </c>
      <c r="D290" s="21">
        <v>143.09</v>
      </c>
      <c r="E290" s="21">
        <v>92.84</v>
      </c>
      <c r="F290" s="27">
        <f t="shared" si="12"/>
        <v>0.87893120393120394</v>
      </c>
      <c r="G290" s="21" t="str">
        <f>IFERROR(INDEX(Users!$A$2:$A$310,MATCH(A290,Users!$B$2:$B$310,0)),"")</f>
        <v>Service B</v>
      </c>
      <c r="H290" s="21" t="str">
        <f>IFERROR(INDEX(Users!$D$2:$D$310,MATCH(A290,Users!$B$2:$B$310,0)),"")</f>
        <v>Band 3</v>
      </c>
      <c r="I290" s="19" t="b">
        <f t="shared" si="13"/>
        <v>0</v>
      </c>
      <c r="J290" s="33">
        <f t="shared" si="14"/>
        <v>0.87893120393120394</v>
      </c>
    </row>
    <row r="291" spans="1:10">
      <c r="A291" s="19" t="s">
        <v>82</v>
      </c>
      <c r="B291" s="20">
        <v>45931</v>
      </c>
      <c r="C291" s="21">
        <v>170.20000000000002</v>
      </c>
      <c r="D291" s="21">
        <v>155.49</v>
      </c>
      <c r="E291" s="21">
        <v>92.640000000000015</v>
      </c>
      <c r="F291" s="27">
        <f t="shared" si="12"/>
        <v>0.91357226792009394</v>
      </c>
      <c r="G291" s="21" t="str">
        <f>IFERROR(INDEX(Users!$A$2:$A$310,MATCH(A291,Users!$B$2:$B$310,0)),"")</f>
        <v>Service B</v>
      </c>
      <c r="H291" s="21" t="str">
        <f>IFERROR(INDEX(Users!$D$2:$D$310,MATCH(A291,Users!$B$2:$B$310,0)),"")</f>
        <v>Band 3</v>
      </c>
      <c r="I291" s="19" t="b">
        <f t="shared" si="13"/>
        <v>0</v>
      </c>
      <c r="J291" s="33">
        <f t="shared" si="14"/>
        <v>0.91357226792009394</v>
      </c>
    </row>
    <row r="292" spans="1:10">
      <c r="A292" s="19" t="s">
        <v>82</v>
      </c>
      <c r="B292" s="20">
        <v>45962</v>
      </c>
      <c r="C292" s="21">
        <v>148</v>
      </c>
      <c r="D292" s="21">
        <v>97.169999999999987</v>
      </c>
      <c r="E292" s="21">
        <v>58.37</v>
      </c>
      <c r="F292" s="27">
        <f t="shared" si="12"/>
        <v>0.65655405405405398</v>
      </c>
      <c r="G292" s="21" t="str">
        <f>IFERROR(INDEX(Users!$A$2:$A$310,MATCH(A292,Users!$B$2:$B$310,0)),"")</f>
        <v>Service B</v>
      </c>
      <c r="H292" s="21" t="str">
        <f>IFERROR(INDEX(Users!$D$2:$D$310,MATCH(A292,Users!$B$2:$B$310,0)),"")</f>
        <v>Band 3</v>
      </c>
      <c r="I292" s="19" t="b">
        <f t="shared" si="13"/>
        <v>0</v>
      </c>
      <c r="J292" s="33">
        <f t="shared" si="14"/>
        <v>0.65655405405405398</v>
      </c>
    </row>
    <row r="293" spans="1:10">
      <c r="A293" s="19" t="s">
        <v>82</v>
      </c>
      <c r="B293" s="20">
        <v>45992</v>
      </c>
      <c r="C293" s="21">
        <v>155.4</v>
      </c>
      <c r="D293" s="21">
        <v>157.58666666666664</v>
      </c>
      <c r="E293" s="21">
        <v>94.96999999999997</v>
      </c>
      <c r="F293" s="27">
        <f t="shared" si="12"/>
        <v>1.0140712140712138</v>
      </c>
      <c r="G293" s="21" t="str">
        <f>IFERROR(INDEX(Users!$A$2:$A$310,MATCH(A293,Users!$B$2:$B$310,0)),"")</f>
        <v>Service B</v>
      </c>
      <c r="H293" s="21" t="str">
        <f>IFERROR(INDEX(Users!$D$2:$D$310,MATCH(A293,Users!$B$2:$B$310,0)),"")</f>
        <v>Band 3</v>
      </c>
      <c r="I293" s="19" t="b">
        <f t="shared" si="13"/>
        <v>0</v>
      </c>
      <c r="J293" s="33">
        <f t="shared" si="14"/>
        <v>1.0140712140712138</v>
      </c>
    </row>
    <row r="294" spans="1:10">
      <c r="A294" s="19" t="s">
        <v>82</v>
      </c>
      <c r="B294" s="20">
        <v>46023</v>
      </c>
      <c r="C294" s="21">
        <v>155.4</v>
      </c>
      <c r="D294" s="21">
        <v>134.83999999999997</v>
      </c>
      <c r="E294" s="21">
        <v>65.339999999999989</v>
      </c>
      <c r="F294" s="27">
        <f t="shared" si="12"/>
        <v>0.86769626769626751</v>
      </c>
      <c r="G294" s="21" t="str">
        <f>IFERROR(INDEX(Users!$A$2:$A$310,MATCH(A294,Users!$B$2:$B$310,0)),"")</f>
        <v>Service B</v>
      </c>
      <c r="H294" s="21" t="str">
        <f>IFERROR(INDEX(Users!$D$2:$D$310,MATCH(A294,Users!$B$2:$B$310,0)),"")</f>
        <v>Band 3</v>
      </c>
      <c r="I294" s="19" t="b">
        <f t="shared" si="13"/>
        <v>0</v>
      </c>
      <c r="J294" s="33" t="str">
        <f t="shared" si="14"/>
        <v/>
      </c>
    </row>
    <row r="295" spans="1:10">
      <c r="A295" s="19" t="s">
        <v>83</v>
      </c>
      <c r="B295" s="20">
        <v>45658</v>
      </c>
      <c r="C295" s="21">
        <v>162.80000000000001</v>
      </c>
      <c r="D295" s="21">
        <v>157.15333333333336</v>
      </c>
      <c r="E295" s="21">
        <v>69.570000000000007</v>
      </c>
      <c r="F295" s="27">
        <f t="shared" si="12"/>
        <v>0.96531531531531545</v>
      </c>
      <c r="G295" s="21" t="str">
        <f>IFERROR(INDEX(Users!$A$2:$A$310,MATCH(A295,Users!$B$2:$B$310,0)),"")</f>
        <v>Service A</v>
      </c>
      <c r="H295" s="21" t="str">
        <f>IFERROR(INDEX(Users!$D$2:$D$310,MATCH(A295,Users!$B$2:$B$310,0)),"")</f>
        <v>Band 5</v>
      </c>
      <c r="I295" s="19" t="b">
        <f t="shared" si="13"/>
        <v>0</v>
      </c>
      <c r="J295" s="33" t="str">
        <f t="shared" si="14"/>
        <v/>
      </c>
    </row>
    <row r="296" spans="1:10">
      <c r="A296" s="19" t="s">
        <v>83</v>
      </c>
      <c r="B296" s="20">
        <v>45689</v>
      </c>
      <c r="C296" s="21">
        <v>111</v>
      </c>
      <c r="D296" s="21">
        <v>114.74999999999999</v>
      </c>
      <c r="E296" s="21">
        <v>27.25</v>
      </c>
      <c r="F296" s="27">
        <f t="shared" si="12"/>
        <v>1.0337837837837835</v>
      </c>
      <c r="G296" s="21" t="str">
        <f>IFERROR(INDEX(Users!$A$2:$A$310,MATCH(A296,Users!$B$2:$B$310,0)),"")</f>
        <v>Service A</v>
      </c>
      <c r="H296" s="21" t="str">
        <f>IFERROR(INDEX(Users!$D$2:$D$310,MATCH(A296,Users!$B$2:$B$310,0)),"")</f>
        <v>Band 5</v>
      </c>
      <c r="I296" s="19" t="b">
        <f t="shared" si="13"/>
        <v>0</v>
      </c>
      <c r="J296" s="33" t="str">
        <f t="shared" si="14"/>
        <v/>
      </c>
    </row>
    <row r="297" spans="1:10">
      <c r="A297" s="19" t="s">
        <v>85</v>
      </c>
      <c r="B297" s="20">
        <v>45901</v>
      </c>
      <c r="C297" s="21">
        <v>51.8</v>
      </c>
      <c r="D297" s="21"/>
      <c r="E297" s="21"/>
      <c r="F297" s="27" t="str">
        <f t="shared" si="12"/>
        <v/>
      </c>
      <c r="G297" s="21" t="str">
        <f>IFERROR(INDEX(Users!$A$2:$A$310,MATCH(A297,Users!$B$2:$B$310,0)),"")</f>
        <v>Service B</v>
      </c>
      <c r="H297" s="21" t="str">
        <f>IFERROR(INDEX(Users!$D$2:$D$310,MATCH(A297,Users!$B$2:$B$310,0)),"")</f>
        <v>Band 5</v>
      </c>
      <c r="I297" s="19" t="b">
        <f t="shared" si="13"/>
        <v>0</v>
      </c>
      <c r="J297" s="33" t="str">
        <f t="shared" si="14"/>
        <v/>
      </c>
    </row>
    <row r="298" spans="1:10">
      <c r="A298" s="19" t="s">
        <v>85</v>
      </c>
      <c r="B298" s="20">
        <v>45931</v>
      </c>
      <c r="C298" s="21">
        <v>170.20000000000007</v>
      </c>
      <c r="D298" s="21">
        <v>163.24000000000004</v>
      </c>
      <c r="E298" s="21">
        <v>29.240000000000002</v>
      </c>
      <c r="F298" s="27">
        <f t="shared" si="12"/>
        <v>0.95910693301997629</v>
      </c>
      <c r="G298" s="21" t="str">
        <f>IFERROR(INDEX(Users!$A$2:$A$310,MATCH(A298,Users!$B$2:$B$310,0)),"")</f>
        <v>Service B</v>
      </c>
      <c r="H298" s="21" t="str">
        <f>IFERROR(INDEX(Users!$D$2:$D$310,MATCH(A298,Users!$B$2:$B$310,0)),"")</f>
        <v>Band 5</v>
      </c>
      <c r="I298" s="19" t="b">
        <f t="shared" si="13"/>
        <v>0</v>
      </c>
      <c r="J298" s="33">
        <f t="shared" si="14"/>
        <v>0.95910693301997629</v>
      </c>
    </row>
    <row r="299" spans="1:10">
      <c r="A299" s="19" t="s">
        <v>85</v>
      </c>
      <c r="B299" s="20">
        <v>45962</v>
      </c>
      <c r="C299" s="21">
        <v>148.00000000000006</v>
      </c>
      <c r="D299" s="21">
        <v>133.2766666666667</v>
      </c>
      <c r="E299" s="21">
        <v>37.410000000000025</v>
      </c>
      <c r="F299" s="27">
        <f t="shared" si="12"/>
        <v>0.9005180180180179</v>
      </c>
      <c r="G299" s="21" t="str">
        <f>IFERROR(INDEX(Users!$A$2:$A$310,MATCH(A299,Users!$B$2:$B$310,0)),"")</f>
        <v>Service B</v>
      </c>
      <c r="H299" s="21" t="str">
        <f>IFERROR(INDEX(Users!$D$2:$D$310,MATCH(A299,Users!$B$2:$B$310,0)),"")</f>
        <v>Band 5</v>
      </c>
      <c r="I299" s="19" t="b">
        <f t="shared" si="13"/>
        <v>0</v>
      </c>
      <c r="J299" s="33">
        <f t="shared" si="14"/>
        <v>0.9005180180180179</v>
      </c>
    </row>
    <row r="300" spans="1:10">
      <c r="A300" s="19" t="s">
        <v>85</v>
      </c>
      <c r="B300" s="20">
        <v>45992</v>
      </c>
      <c r="C300" s="21">
        <v>155.40000000000006</v>
      </c>
      <c r="D300" s="21">
        <v>156.75333333333336</v>
      </c>
      <c r="E300" s="21">
        <v>112.47000000000003</v>
      </c>
      <c r="F300" s="27">
        <f t="shared" si="12"/>
        <v>1.0087087087087085</v>
      </c>
      <c r="G300" s="21" t="str">
        <f>IFERROR(INDEX(Users!$A$2:$A$310,MATCH(A300,Users!$B$2:$B$310,0)),"")</f>
        <v>Service B</v>
      </c>
      <c r="H300" s="21" t="str">
        <f>IFERROR(INDEX(Users!$D$2:$D$310,MATCH(A300,Users!$B$2:$B$310,0)),"")</f>
        <v>Band 5</v>
      </c>
      <c r="I300" s="19" t="b">
        <f t="shared" si="13"/>
        <v>0</v>
      </c>
      <c r="J300" s="33">
        <f t="shared" si="14"/>
        <v>1.0087087087087085</v>
      </c>
    </row>
    <row r="301" spans="1:10">
      <c r="A301" s="19" t="s">
        <v>85</v>
      </c>
      <c r="B301" s="20">
        <v>46023</v>
      </c>
      <c r="C301" s="21">
        <v>155.40000000000006</v>
      </c>
      <c r="D301" s="21">
        <v>141.00333333333336</v>
      </c>
      <c r="E301" s="21">
        <v>100.42000000000003</v>
      </c>
      <c r="F301" s="27">
        <f t="shared" si="12"/>
        <v>0.90735735735735712</v>
      </c>
      <c r="G301" s="21" t="str">
        <f>IFERROR(INDEX(Users!$A$2:$A$310,MATCH(A301,Users!$B$2:$B$310,0)),"")</f>
        <v>Service B</v>
      </c>
      <c r="H301" s="21" t="str">
        <f>IFERROR(INDEX(Users!$D$2:$D$310,MATCH(A301,Users!$B$2:$B$310,0)),"")</f>
        <v>Band 5</v>
      </c>
      <c r="I301" s="19" t="b">
        <f t="shared" si="13"/>
        <v>0</v>
      </c>
      <c r="J301" s="33" t="str">
        <f t="shared" si="14"/>
        <v/>
      </c>
    </row>
    <row r="302" spans="1:10">
      <c r="A302" s="19" t="s">
        <v>86</v>
      </c>
      <c r="B302" s="20">
        <v>45658</v>
      </c>
      <c r="C302" s="21">
        <v>162.80000000000001</v>
      </c>
      <c r="D302" s="21">
        <v>155.17000000000002</v>
      </c>
      <c r="E302" s="21">
        <v>87.42</v>
      </c>
      <c r="F302" s="27">
        <f t="shared" si="12"/>
        <v>0.95313267813267821</v>
      </c>
      <c r="G302" s="21" t="str">
        <f>IFERROR(INDEX(Users!$A$2:$A$310,MATCH(A302,Users!$B$2:$B$310,0)),"")</f>
        <v>Service A</v>
      </c>
      <c r="H302" s="21" t="str">
        <f>IFERROR(INDEX(Users!$D$2:$D$310,MATCH(A302,Users!$B$2:$B$310,0)),"")</f>
        <v>Band 3</v>
      </c>
      <c r="I302" s="19" t="b">
        <f t="shared" si="13"/>
        <v>1</v>
      </c>
      <c r="J302" s="33" t="str">
        <f t="shared" si="14"/>
        <v/>
      </c>
    </row>
    <row r="303" spans="1:10">
      <c r="A303" s="19" t="s">
        <v>86</v>
      </c>
      <c r="B303" s="20">
        <v>45689</v>
      </c>
      <c r="C303" s="21">
        <v>148</v>
      </c>
      <c r="D303" s="21">
        <v>133.15</v>
      </c>
      <c r="E303" s="21">
        <v>55.75</v>
      </c>
      <c r="F303" s="27">
        <f t="shared" si="12"/>
        <v>0.89966216216216222</v>
      </c>
      <c r="G303" s="21" t="str">
        <f>IFERROR(INDEX(Users!$A$2:$A$310,MATCH(A303,Users!$B$2:$B$310,0)),"")</f>
        <v>Service A</v>
      </c>
      <c r="H303" s="21" t="str">
        <f>IFERROR(INDEX(Users!$D$2:$D$310,MATCH(A303,Users!$B$2:$B$310,0)),"")</f>
        <v>Band 3</v>
      </c>
      <c r="I303" s="19" t="b">
        <f t="shared" si="13"/>
        <v>1</v>
      </c>
      <c r="J303" s="33" t="str">
        <f t="shared" si="14"/>
        <v/>
      </c>
    </row>
    <row r="304" spans="1:10">
      <c r="A304" s="19" t="s">
        <v>86</v>
      </c>
      <c r="B304" s="20">
        <v>45717</v>
      </c>
      <c r="C304" s="21">
        <v>155.4</v>
      </c>
      <c r="D304" s="21">
        <v>158.50666666666666</v>
      </c>
      <c r="E304" s="21">
        <v>116.33999999999999</v>
      </c>
      <c r="F304" s="27">
        <f t="shared" si="12"/>
        <v>1.01999141999142</v>
      </c>
      <c r="G304" s="21" t="str">
        <f>IFERROR(INDEX(Users!$A$2:$A$310,MATCH(A304,Users!$B$2:$B$310,0)),"")</f>
        <v>Service A</v>
      </c>
      <c r="H304" s="21" t="str">
        <f>IFERROR(INDEX(Users!$D$2:$D$310,MATCH(A304,Users!$B$2:$B$310,0)),"")</f>
        <v>Band 3</v>
      </c>
      <c r="I304" s="19" t="b">
        <f t="shared" si="13"/>
        <v>1</v>
      </c>
      <c r="J304" s="33" t="str">
        <f t="shared" si="14"/>
        <v/>
      </c>
    </row>
    <row r="305" spans="1:10">
      <c r="A305" s="19" t="s">
        <v>86</v>
      </c>
      <c r="B305" s="20">
        <v>45748</v>
      </c>
      <c r="C305" s="21">
        <v>148</v>
      </c>
      <c r="D305" s="21">
        <v>149.9</v>
      </c>
      <c r="E305" s="21">
        <v>100.15</v>
      </c>
      <c r="F305" s="27">
        <f t="shared" si="12"/>
        <v>1.012837837837838</v>
      </c>
      <c r="G305" s="21" t="str">
        <f>IFERROR(INDEX(Users!$A$2:$A$310,MATCH(A305,Users!$B$2:$B$310,0)),"")</f>
        <v>Service A</v>
      </c>
      <c r="H305" s="21" t="str">
        <f>IFERROR(INDEX(Users!$D$2:$D$310,MATCH(A305,Users!$B$2:$B$310,0)),"")</f>
        <v>Band 3</v>
      </c>
      <c r="I305" s="19" t="b">
        <f t="shared" si="13"/>
        <v>1</v>
      </c>
      <c r="J305" s="33" t="str">
        <f t="shared" si="14"/>
        <v/>
      </c>
    </row>
    <row r="306" spans="1:10">
      <c r="A306" s="19" t="s">
        <v>86</v>
      </c>
      <c r="B306" s="20">
        <v>45778</v>
      </c>
      <c r="C306" s="21">
        <v>148</v>
      </c>
      <c r="D306" s="21">
        <v>135.16</v>
      </c>
      <c r="E306" s="21">
        <v>101.91</v>
      </c>
      <c r="F306" s="27">
        <f t="shared" si="12"/>
        <v>0.91324324324324324</v>
      </c>
      <c r="G306" s="21" t="str">
        <f>IFERROR(INDEX(Users!$A$2:$A$310,MATCH(A306,Users!$B$2:$B$310,0)),"")</f>
        <v>Service A</v>
      </c>
      <c r="H306" s="21" t="str">
        <f>IFERROR(INDEX(Users!$D$2:$D$310,MATCH(A306,Users!$B$2:$B$310,0)),"")</f>
        <v>Band 3</v>
      </c>
      <c r="I306" s="19" t="b">
        <f t="shared" si="13"/>
        <v>1</v>
      </c>
      <c r="J306" s="33" t="str">
        <f t="shared" si="14"/>
        <v/>
      </c>
    </row>
    <row r="307" spans="1:10">
      <c r="A307" s="19" t="s">
        <v>86</v>
      </c>
      <c r="B307" s="20">
        <v>45809</v>
      </c>
      <c r="C307" s="21">
        <v>155.4</v>
      </c>
      <c r="D307" s="21">
        <v>122.49666666666667</v>
      </c>
      <c r="E307" s="21">
        <v>96.08</v>
      </c>
      <c r="F307" s="27">
        <f t="shared" si="12"/>
        <v>0.7882668382668383</v>
      </c>
      <c r="G307" s="21" t="str">
        <f>IFERROR(INDEX(Users!$A$2:$A$310,MATCH(A307,Users!$B$2:$B$310,0)),"")</f>
        <v>Service A</v>
      </c>
      <c r="H307" s="21" t="str">
        <f>IFERROR(INDEX(Users!$D$2:$D$310,MATCH(A307,Users!$B$2:$B$310,0)),"")</f>
        <v>Band 3</v>
      </c>
      <c r="I307" s="19" t="b">
        <f t="shared" si="13"/>
        <v>1</v>
      </c>
      <c r="J307" s="33" t="str">
        <f t="shared" si="14"/>
        <v/>
      </c>
    </row>
    <row r="308" spans="1:10">
      <c r="A308" s="19" t="s">
        <v>86</v>
      </c>
      <c r="B308" s="20">
        <v>45839</v>
      </c>
      <c r="C308" s="21">
        <v>170.20000000000002</v>
      </c>
      <c r="D308" s="21">
        <v>117.83666666666667</v>
      </c>
      <c r="E308" s="21">
        <v>81.17</v>
      </c>
      <c r="F308" s="27">
        <f t="shared" si="12"/>
        <v>0.69234234234234227</v>
      </c>
      <c r="G308" s="21" t="str">
        <f>IFERROR(INDEX(Users!$A$2:$A$310,MATCH(A308,Users!$B$2:$B$310,0)),"")</f>
        <v>Service A</v>
      </c>
      <c r="H308" s="21" t="str">
        <f>IFERROR(INDEX(Users!$D$2:$D$310,MATCH(A308,Users!$B$2:$B$310,0)),"")</f>
        <v>Band 3</v>
      </c>
      <c r="I308" s="19" t="b">
        <f t="shared" si="13"/>
        <v>1</v>
      </c>
      <c r="J308" s="33" t="str">
        <f t="shared" si="14"/>
        <v/>
      </c>
    </row>
    <row r="309" spans="1:10">
      <c r="A309" s="19" t="s">
        <v>86</v>
      </c>
      <c r="B309" s="20">
        <v>45870</v>
      </c>
      <c r="C309" s="21">
        <v>148</v>
      </c>
      <c r="D309" s="21">
        <v>132.75</v>
      </c>
      <c r="E309" s="21">
        <v>101.25</v>
      </c>
      <c r="F309" s="27">
        <f t="shared" si="12"/>
        <v>0.89695945945945943</v>
      </c>
      <c r="G309" s="21" t="str">
        <f>IFERROR(INDEX(Users!$A$2:$A$310,MATCH(A309,Users!$B$2:$B$310,0)),"")</f>
        <v>Service A</v>
      </c>
      <c r="H309" s="21" t="str">
        <f>IFERROR(INDEX(Users!$D$2:$D$310,MATCH(A309,Users!$B$2:$B$310,0)),"")</f>
        <v>Band 3</v>
      </c>
      <c r="I309" s="19" t="b">
        <f t="shared" si="13"/>
        <v>1</v>
      </c>
      <c r="J309" s="33" t="str">
        <f t="shared" si="14"/>
        <v/>
      </c>
    </row>
    <row r="310" spans="1:10">
      <c r="A310" s="19" t="s">
        <v>86</v>
      </c>
      <c r="B310" s="20">
        <v>45901</v>
      </c>
      <c r="C310" s="21">
        <v>162.80000000000001</v>
      </c>
      <c r="D310" s="21">
        <v>145</v>
      </c>
      <c r="E310" s="21">
        <v>116.5</v>
      </c>
      <c r="F310" s="27">
        <f t="shared" si="12"/>
        <v>0.89066339066339062</v>
      </c>
      <c r="G310" s="21" t="str">
        <f>IFERROR(INDEX(Users!$A$2:$A$310,MATCH(A310,Users!$B$2:$B$310,0)),"")</f>
        <v>Service A</v>
      </c>
      <c r="H310" s="21" t="str">
        <f>IFERROR(INDEX(Users!$D$2:$D$310,MATCH(A310,Users!$B$2:$B$310,0)),"")</f>
        <v>Band 3</v>
      </c>
      <c r="I310" s="19" t="b">
        <f t="shared" si="13"/>
        <v>1</v>
      </c>
      <c r="J310" s="33" t="str">
        <f t="shared" si="14"/>
        <v/>
      </c>
    </row>
    <row r="311" spans="1:10">
      <c r="A311" s="19" t="s">
        <v>86</v>
      </c>
      <c r="B311" s="20">
        <v>45931</v>
      </c>
      <c r="C311" s="21">
        <v>170.20000000000002</v>
      </c>
      <c r="D311" s="21">
        <v>143.67333333333335</v>
      </c>
      <c r="E311" s="21">
        <v>103.59</v>
      </c>
      <c r="F311" s="27">
        <f t="shared" si="12"/>
        <v>0.84414414414414418</v>
      </c>
      <c r="G311" s="21" t="str">
        <f>IFERROR(INDEX(Users!$A$2:$A$310,MATCH(A311,Users!$B$2:$B$310,0)),"")</f>
        <v>Service A</v>
      </c>
      <c r="H311" s="21" t="str">
        <f>IFERROR(INDEX(Users!$D$2:$D$310,MATCH(A311,Users!$B$2:$B$310,0)),"")</f>
        <v>Band 3</v>
      </c>
      <c r="I311" s="19" t="b">
        <f t="shared" si="13"/>
        <v>1</v>
      </c>
      <c r="J311" s="33" t="str">
        <f t="shared" si="14"/>
        <v/>
      </c>
    </row>
    <row r="312" spans="1:10">
      <c r="A312" s="19" t="s">
        <v>86</v>
      </c>
      <c r="B312" s="20">
        <v>45962</v>
      </c>
      <c r="C312" s="21">
        <v>148</v>
      </c>
      <c r="D312" s="21">
        <v>123.83333333333333</v>
      </c>
      <c r="E312" s="21">
        <v>94.25</v>
      </c>
      <c r="F312" s="27">
        <f t="shared" si="12"/>
        <v>0.83671171171171166</v>
      </c>
      <c r="G312" s="21" t="str">
        <f>IFERROR(INDEX(Users!$A$2:$A$310,MATCH(A312,Users!$B$2:$B$310,0)),"")</f>
        <v>Service A</v>
      </c>
      <c r="H312" s="21" t="str">
        <f>IFERROR(INDEX(Users!$D$2:$D$310,MATCH(A312,Users!$B$2:$B$310,0)),"")</f>
        <v>Band 3</v>
      </c>
      <c r="I312" s="19" t="b">
        <f t="shared" si="13"/>
        <v>1</v>
      </c>
      <c r="J312" s="33" t="str">
        <f t="shared" si="14"/>
        <v/>
      </c>
    </row>
    <row r="313" spans="1:10">
      <c r="A313" s="19" t="s">
        <v>86</v>
      </c>
      <c r="B313" s="20">
        <v>45992</v>
      </c>
      <c r="C313" s="21">
        <v>155.4</v>
      </c>
      <c r="D313" s="21">
        <v>86.50333333333333</v>
      </c>
      <c r="E313" s="21">
        <v>58.17</v>
      </c>
      <c r="F313" s="27">
        <f t="shared" si="12"/>
        <v>0.55664950664950663</v>
      </c>
      <c r="G313" s="21" t="str">
        <f>IFERROR(INDEX(Users!$A$2:$A$310,MATCH(A313,Users!$B$2:$B$310,0)),"")</f>
        <v>Service A</v>
      </c>
      <c r="H313" s="21" t="str">
        <f>IFERROR(INDEX(Users!$D$2:$D$310,MATCH(A313,Users!$B$2:$B$310,0)),"")</f>
        <v>Band 3</v>
      </c>
      <c r="I313" s="19" t="b">
        <f t="shared" si="13"/>
        <v>1</v>
      </c>
      <c r="J313" s="33" t="str">
        <f t="shared" si="14"/>
        <v/>
      </c>
    </row>
    <row r="314" spans="1:10">
      <c r="A314" s="19" t="s">
        <v>86</v>
      </c>
      <c r="B314" s="20">
        <v>46023</v>
      </c>
      <c r="C314" s="21">
        <v>155.4</v>
      </c>
      <c r="D314" s="21">
        <v>139.49666666666667</v>
      </c>
      <c r="E314" s="21">
        <v>94.83</v>
      </c>
      <c r="F314" s="27">
        <f t="shared" si="12"/>
        <v>0.89766194766194762</v>
      </c>
      <c r="G314" s="21" t="str">
        <f>IFERROR(INDEX(Users!$A$2:$A$310,MATCH(A314,Users!$B$2:$B$310,0)),"")</f>
        <v>Service A</v>
      </c>
      <c r="H314" s="21" t="str">
        <f>IFERROR(INDEX(Users!$D$2:$D$310,MATCH(A314,Users!$B$2:$B$310,0)),"")</f>
        <v>Band 3</v>
      </c>
      <c r="I314" s="19" t="b">
        <f t="shared" si="13"/>
        <v>1</v>
      </c>
      <c r="J314" s="33" t="str">
        <f t="shared" si="14"/>
        <v/>
      </c>
    </row>
    <row r="315" spans="1:10">
      <c r="A315" s="19" t="s">
        <v>88</v>
      </c>
      <c r="B315" s="20">
        <v>45658</v>
      </c>
      <c r="C315" s="21">
        <v>162.80000000000001</v>
      </c>
      <c r="D315" s="21">
        <v>83.663333333333327</v>
      </c>
      <c r="E315" s="21">
        <v>25.08</v>
      </c>
      <c r="F315" s="27">
        <f t="shared" si="12"/>
        <v>0.51390253890253879</v>
      </c>
      <c r="G315" s="21" t="str">
        <f>IFERROR(INDEX(Users!$A$2:$A$310,MATCH(A315,Users!$B$2:$B$310,0)),"")</f>
        <v>Service A</v>
      </c>
      <c r="H315" s="21" t="str">
        <f>IFERROR(INDEX(Users!$D$2:$D$310,MATCH(A315,Users!$B$2:$B$310,0)),"")</f>
        <v>Band 5</v>
      </c>
      <c r="I315" s="19" t="b">
        <f t="shared" si="13"/>
        <v>0</v>
      </c>
      <c r="J315" s="33" t="str">
        <f t="shared" si="14"/>
        <v/>
      </c>
    </row>
    <row r="316" spans="1:10">
      <c r="A316" s="19" t="s">
        <v>88</v>
      </c>
      <c r="B316" s="20">
        <v>45689</v>
      </c>
      <c r="C316" s="21">
        <v>148</v>
      </c>
      <c r="D316" s="21">
        <v>147.29666666666668</v>
      </c>
      <c r="E316" s="21">
        <v>24.68</v>
      </c>
      <c r="F316" s="27">
        <f t="shared" si="12"/>
        <v>0.99524774774774782</v>
      </c>
      <c r="G316" s="21" t="str">
        <f>IFERROR(INDEX(Users!$A$2:$A$310,MATCH(A316,Users!$B$2:$B$310,0)),"")</f>
        <v>Service A</v>
      </c>
      <c r="H316" s="21" t="str">
        <f>IFERROR(INDEX(Users!$D$2:$D$310,MATCH(A316,Users!$B$2:$B$310,0)),"")</f>
        <v>Band 5</v>
      </c>
      <c r="I316" s="19" t="b">
        <f t="shared" si="13"/>
        <v>0</v>
      </c>
      <c r="J316" s="33" t="str">
        <f t="shared" si="14"/>
        <v/>
      </c>
    </row>
    <row r="317" spans="1:10">
      <c r="A317" s="19" t="s">
        <v>88</v>
      </c>
      <c r="B317" s="20">
        <v>45717</v>
      </c>
      <c r="C317" s="21">
        <v>155.4</v>
      </c>
      <c r="D317" s="21">
        <v>60.089999999999996</v>
      </c>
      <c r="E317" s="21">
        <v>13.24</v>
      </c>
      <c r="F317" s="27">
        <f t="shared" si="12"/>
        <v>0.38667953667953664</v>
      </c>
      <c r="G317" s="21" t="str">
        <f>IFERROR(INDEX(Users!$A$2:$A$310,MATCH(A317,Users!$B$2:$B$310,0)),"")</f>
        <v>Service A</v>
      </c>
      <c r="H317" s="21" t="str">
        <f>IFERROR(INDEX(Users!$D$2:$D$310,MATCH(A317,Users!$B$2:$B$310,0)),"")</f>
        <v>Band 5</v>
      </c>
      <c r="I317" s="19" t="b">
        <f t="shared" si="13"/>
        <v>0</v>
      </c>
      <c r="J317" s="33" t="str">
        <f t="shared" si="14"/>
        <v/>
      </c>
    </row>
    <row r="318" spans="1:10">
      <c r="A318" s="19" t="s">
        <v>88</v>
      </c>
      <c r="B318" s="20">
        <v>45748</v>
      </c>
      <c r="C318" s="21">
        <v>148</v>
      </c>
      <c r="D318" s="21">
        <v>156.12666666666672</v>
      </c>
      <c r="E318" s="21">
        <v>43.210000000000008</v>
      </c>
      <c r="F318" s="27">
        <f t="shared" si="12"/>
        <v>1.0549099099099102</v>
      </c>
      <c r="G318" s="21" t="str">
        <f>IFERROR(INDEX(Users!$A$2:$A$310,MATCH(A318,Users!$B$2:$B$310,0)),"")</f>
        <v>Service A</v>
      </c>
      <c r="H318" s="21" t="str">
        <f>IFERROR(INDEX(Users!$D$2:$D$310,MATCH(A318,Users!$B$2:$B$310,0)),"")</f>
        <v>Band 5</v>
      </c>
      <c r="I318" s="19" t="b">
        <f t="shared" si="13"/>
        <v>0</v>
      </c>
      <c r="J318" s="33" t="str">
        <f t="shared" si="14"/>
        <v/>
      </c>
    </row>
    <row r="319" spans="1:10">
      <c r="A319" s="19" t="s">
        <v>88</v>
      </c>
      <c r="B319" s="20">
        <v>45778</v>
      </c>
      <c r="C319" s="21">
        <v>148</v>
      </c>
      <c r="D319" s="21">
        <v>102.47333333333333</v>
      </c>
      <c r="E319" s="21">
        <v>28.740000000000002</v>
      </c>
      <c r="F319" s="27">
        <f t="shared" si="12"/>
        <v>0.69238738738738737</v>
      </c>
      <c r="G319" s="21" t="str">
        <f>IFERROR(INDEX(Users!$A$2:$A$310,MATCH(A319,Users!$B$2:$B$310,0)),"")</f>
        <v>Service A</v>
      </c>
      <c r="H319" s="21" t="str">
        <f>IFERROR(INDEX(Users!$D$2:$D$310,MATCH(A319,Users!$B$2:$B$310,0)),"")</f>
        <v>Band 5</v>
      </c>
      <c r="I319" s="19" t="b">
        <f t="shared" si="13"/>
        <v>0</v>
      </c>
      <c r="J319" s="33" t="str">
        <f t="shared" si="14"/>
        <v/>
      </c>
    </row>
    <row r="320" spans="1:10">
      <c r="A320" s="19" t="s">
        <v>88</v>
      </c>
      <c r="B320" s="20">
        <v>45809</v>
      </c>
      <c r="C320" s="21">
        <v>155.4</v>
      </c>
      <c r="D320" s="21">
        <v>153.43666666666667</v>
      </c>
      <c r="E320" s="21">
        <v>73.17</v>
      </c>
      <c r="F320" s="27">
        <f t="shared" si="12"/>
        <v>0.98736593736593736</v>
      </c>
      <c r="G320" s="21" t="str">
        <f>IFERROR(INDEX(Users!$A$2:$A$310,MATCH(A320,Users!$B$2:$B$310,0)),"")</f>
        <v>Service A</v>
      </c>
      <c r="H320" s="21" t="str">
        <f>IFERROR(INDEX(Users!$D$2:$D$310,MATCH(A320,Users!$B$2:$B$310,0)),"")</f>
        <v>Band 5</v>
      </c>
      <c r="I320" s="19" t="b">
        <f t="shared" si="13"/>
        <v>0</v>
      </c>
      <c r="J320" s="33" t="str">
        <f t="shared" si="14"/>
        <v/>
      </c>
    </row>
    <row r="321" spans="1:10">
      <c r="A321" s="19" t="s">
        <v>88</v>
      </c>
      <c r="B321" s="20">
        <v>45839</v>
      </c>
      <c r="C321" s="21">
        <v>170.20000000000002</v>
      </c>
      <c r="D321" s="21">
        <v>131.65666666666669</v>
      </c>
      <c r="E321" s="21">
        <v>57.239999999999995</v>
      </c>
      <c r="F321" s="27">
        <f t="shared" si="12"/>
        <v>0.77354093223658449</v>
      </c>
      <c r="G321" s="21" t="str">
        <f>IFERROR(INDEX(Users!$A$2:$A$310,MATCH(A321,Users!$B$2:$B$310,0)),"")</f>
        <v>Service A</v>
      </c>
      <c r="H321" s="21" t="str">
        <f>IFERROR(INDEX(Users!$D$2:$D$310,MATCH(A321,Users!$B$2:$B$310,0)),"")</f>
        <v>Band 5</v>
      </c>
      <c r="I321" s="19" t="b">
        <f t="shared" si="13"/>
        <v>0</v>
      </c>
      <c r="J321" s="33" t="str">
        <f t="shared" si="14"/>
        <v/>
      </c>
    </row>
    <row r="322" spans="1:10">
      <c r="A322" s="19" t="s">
        <v>88</v>
      </c>
      <c r="B322" s="20">
        <v>45870</v>
      </c>
      <c r="C322" s="21">
        <v>148</v>
      </c>
      <c r="D322" s="21">
        <v>135.29333333333332</v>
      </c>
      <c r="E322" s="21">
        <v>54.809999999999995</v>
      </c>
      <c r="F322" s="27">
        <f t="shared" ref="F322:F385" si="15">IFERROR(IF(OR(C322="",D322="",C322=0),"",D322/C322),"")</f>
        <v>0.91414414414414402</v>
      </c>
      <c r="G322" s="21" t="str">
        <f>IFERROR(INDEX(Users!$A$2:$A$310,MATCH(A322,Users!$B$2:$B$310,0)),"")</f>
        <v>Service A</v>
      </c>
      <c r="H322" s="21" t="str">
        <f>IFERROR(INDEX(Users!$D$2:$D$310,MATCH(A322,Users!$B$2:$B$310,0)),"")</f>
        <v>Band 5</v>
      </c>
      <c r="I322" s="19" t="b">
        <f t="shared" ref="I322:I385" si="16">AND(G322="Service A",H322="Band 3")</f>
        <v>0</v>
      </c>
      <c r="J322" s="33" t="str">
        <f t="shared" ref="J322:J385" si="17">IF(AND(B322&gt;=DATE(2025,1,1),B322&lt;DATE(2026,1,1),G322="Service B",OR(H322="Band 3",H322="Band 5"),ISNUMBER(F322)),F322,"")</f>
        <v/>
      </c>
    </row>
    <row r="323" spans="1:10">
      <c r="A323" s="19" t="s">
        <v>88</v>
      </c>
      <c r="B323" s="20">
        <v>45901</v>
      </c>
      <c r="C323" s="21">
        <v>162.80000000000001</v>
      </c>
      <c r="D323" s="21">
        <v>162.92333333333335</v>
      </c>
      <c r="E323" s="21">
        <v>86.54</v>
      </c>
      <c r="F323" s="27">
        <f t="shared" si="15"/>
        <v>1.0007575757575757</v>
      </c>
      <c r="G323" s="21" t="str">
        <f>IFERROR(INDEX(Users!$A$2:$A$310,MATCH(A323,Users!$B$2:$B$310,0)),"")</f>
        <v>Service A</v>
      </c>
      <c r="H323" s="21" t="str">
        <f>IFERROR(INDEX(Users!$D$2:$D$310,MATCH(A323,Users!$B$2:$B$310,0)),"")</f>
        <v>Band 5</v>
      </c>
      <c r="I323" s="19" t="b">
        <f t="shared" si="16"/>
        <v>0</v>
      </c>
      <c r="J323" s="33" t="str">
        <f t="shared" si="17"/>
        <v/>
      </c>
    </row>
    <row r="324" spans="1:10">
      <c r="A324" s="19" t="s">
        <v>88</v>
      </c>
      <c r="B324" s="20">
        <v>45931</v>
      </c>
      <c r="C324" s="21">
        <v>170.20000000000002</v>
      </c>
      <c r="D324" s="21">
        <v>166.6</v>
      </c>
      <c r="E324" s="21">
        <v>88.45</v>
      </c>
      <c r="F324" s="27">
        <f t="shared" si="15"/>
        <v>0.97884841363102215</v>
      </c>
      <c r="G324" s="21" t="str">
        <f>IFERROR(INDEX(Users!$A$2:$A$310,MATCH(A324,Users!$B$2:$B$310,0)),"")</f>
        <v>Service A</v>
      </c>
      <c r="H324" s="21" t="str">
        <f>IFERROR(INDEX(Users!$D$2:$D$310,MATCH(A324,Users!$B$2:$B$310,0)),"")</f>
        <v>Band 5</v>
      </c>
      <c r="I324" s="19" t="b">
        <f t="shared" si="16"/>
        <v>0</v>
      </c>
      <c r="J324" s="33" t="str">
        <f t="shared" si="17"/>
        <v/>
      </c>
    </row>
    <row r="325" spans="1:10">
      <c r="A325" s="19" t="s">
        <v>88</v>
      </c>
      <c r="B325" s="20">
        <v>45962</v>
      </c>
      <c r="C325" s="21">
        <v>148</v>
      </c>
      <c r="D325" s="21">
        <v>107.58333333333334</v>
      </c>
      <c r="E325" s="21">
        <v>52.05</v>
      </c>
      <c r="F325" s="27">
        <f t="shared" si="15"/>
        <v>0.72691441441441451</v>
      </c>
      <c r="G325" s="21" t="str">
        <f>IFERROR(INDEX(Users!$A$2:$A$310,MATCH(A325,Users!$B$2:$B$310,0)),"")</f>
        <v>Service A</v>
      </c>
      <c r="H325" s="21" t="str">
        <f>IFERROR(INDEX(Users!$D$2:$D$310,MATCH(A325,Users!$B$2:$B$310,0)),"")</f>
        <v>Band 5</v>
      </c>
      <c r="I325" s="19" t="b">
        <f t="shared" si="16"/>
        <v>0</v>
      </c>
      <c r="J325" s="33" t="str">
        <f t="shared" si="17"/>
        <v/>
      </c>
    </row>
    <row r="326" spans="1:10">
      <c r="A326" s="19" t="s">
        <v>88</v>
      </c>
      <c r="B326" s="20">
        <v>45992</v>
      </c>
      <c r="C326" s="21">
        <v>155.4</v>
      </c>
      <c r="D326" s="21">
        <v>111.97333333333333</v>
      </c>
      <c r="E326" s="21">
        <v>67.339999999999989</v>
      </c>
      <c r="F326" s="27">
        <f t="shared" si="15"/>
        <v>0.72054912054912046</v>
      </c>
      <c r="G326" s="21" t="str">
        <f>IFERROR(INDEX(Users!$A$2:$A$310,MATCH(A326,Users!$B$2:$B$310,0)),"")</f>
        <v>Service A</v>
      </c>
      <c r="H326" s="21" t="str">
        <f>IFERROR(INDEX(Users!$D$2:$D$310,MATCH(A326,Users!$B$2:$B$310,0)),"")</f>
        <v>Band 5</v>
      </c>
      <c r="I326" s="19" t="b">
        <f t="shared" si="16"/>
        <v>0</v>
      </c>
      <c r="J326" s="33" t="str">
        <f t="shared" si="17"/>
        <v/>
      </c>
    </row>
    <row r="327" spans="1:10">
      <c r="A327" s="19" t="s">
        <v>88</v>
      </c>
      <c r="B327" s="20">
        <v>46023</v>
      </c>
      <c r="C327" s="21">
        <v>155.4</v>
      </c>
      <c r="D327" s="21">
        <v>147.67333333333335</v>
      </c>
      <c r="E327" s="21">
        <v>66.89</v>
      </c>
      <c r="F327" s="27">
        <f t="shared" si="15"/>
        <v>0.95027885027885028</v>
      </c>
      <c r="G327" s="21" t="str">
        <f>IFERROR(INDEX(Users!$A$2:$A$310,MATCH(A327,Users!$B$2:$B$310,0)),"")</f>
        <v>Service A</v>
      </c>
      <c r="H327" s="21" t="str">
        <f>IFERROR(INDEX(Users!$D$2:$D$310,MATCH(A327,Users!$B$2:$B$310,0)),"")</f>
        <v>Band 5</v>
      </c>
      <c r="I327" s="19" t="b">
        <f t="shared" si="16"/>
        <v>0</v>
      </c>
      <c r="J327" s="33" t="str">
        <f t="shared" si="17"/>
        <v/>
      </c>
    </row>
    <row r="328" spans="1:10">
      <c r="A328" s="19" t="s">
        <v>90</v>
      </c>
      <c r="B328" s="20">
        <v>45658</v>
      </c>
      <c r="C328" s="21">
        <v>162.79999999999998</v>
      </c>
      <c r="D328" s="21">
        <v>8.5</v>
      </c>
      <c r="E328" s="21">
        <v>8.5</v>
      </c>
      <c r="F328" s="27">
        <f t="shared" si="15"/>
        <v>5.221130221130222E-2</v>
      </c>
      <c r="G328" s="21" t="str">
        <f>IFERROR(INDEX(Users!$A$2:$A$310,MATCH(A328,Users!$B$2:$B$310,0)),"")</f>
        <v>Service B</v>
      </c>
      <c r="H328" s="21" t="str">
        <f>IFERROR(INDEX(Users!$D$2:$D$310,MATCH(A328,Users!$B$2:$B$310,0)),"")</f>
        <v>Band 3</v>
      </c>
      <c r="I328" s="19" t="b">
        <f t="shared" si="16"/>
        <v>0</v>
      </c>
      <c r="J328" s="33">
        <f t="shared" si="17"/>
        <v>5.221130221130222E-2</v>
      </c>
    </row>
    <row r="329" spans="1:10">
      <c r="A329" s="19" t="s">
        <v>90</v>
      </c>
      <c r="B329" s="20">
        <v>45689</v>
      </c>
      <c r="C329" s="21">
        <v>148</v>
      </c>
      <c r="D329" s="21">
        <v>32.965277777777779</v>
      </c>
      <c r="E329" s="21">
        <v>7</v>
      </c>
      <c r="F329" s="27">
        <f t="shared" si="15"/>
        <v>0.22273836336336336</v>
      </c>
      <c r="G329" s="21" t="str">
        <f>IFERROR(INDEX(Users!$A$2:$A$310,MATCH(A329,Users!$B$2:$B$310,0)),"")</f>
        <v>Service B</v>
      </c>
      <c r="H329" s="21" t="str">
        <f>IFERROR(INDEX(Users!$D$2:$D$310,MATCH(A329,Users!$B$2:$B$310,0)),"")</f>
        <v>Band 3</v>
      </c>
      <c r="I329" s="19" t="b">
        <f t="shared" si="16"/>
        <v>0</v>
      </c>
      <c r="J329" s="33">
        <f t="shared" si="17"/>
        <v>0.22273836336336336</v>
      </c>
    </row>
    <row r="330" spans="1:10">
      <c r="A330" s="19" t="s">
        <v>90</v>
      </c>
      <c r="B330" s="20">
        <v>45717</v>
      </c>
      <c r="C330" s="21">
        <v>155.4</v>
      </c>
      <c r="D330" s="21">
        <v>155.22777777777779</v>
      </c>
      <c r="E330" s="21">
        <v>2.17</v>
      </c>
      <c r="F330" s="27">
        <f t="shared" si="15"/>
        <v>0.99889174889174892</v>
      </c>
      <c r="G330" s="21" t="str">
        <f>IFERROR(INDEX(Users!$A$2:$A$310,MATCH(A330,Users!$B$2:$B$310,0)),"")</f>
        <v>Service B</v>
      </c>
      <c r="H330" s="21" t="str">
        <f>IFERROR(INDEX(Users!$D$2:$D$310,MATCH(A330,Users!$B$2:$B$310,0)),"")</f>
        <v>Band 3</v>
      </c>
      <c r="I330" s="19" t="b">
        <f t="shared" si="16"/>
        <v>0</v>
      </c>
      <c r="J330" s="33">
        <f t="shared" si="17"/>
        <v>0.99889174889174892</v>
      </c>
    </row>
    <row r="331" spans="1:10">
      <c r="A331" s="19" t="s">
        <v>90</v>
      </c>
      <c r="B331" s="20">
        <v>45748</v>
      </c>
      <c r="C331" s="21">
        <v>148</v>
      </c>
      <c r="D331" s="21">
        <v>137.28083333333333</v>
      </c>
      <c r="E331" s="21">
        <v>1.5</v>
      </c>
      <c r="F331" s="27">
        <f t="shared" si="15"/>
        <v>0.92757319819819817</v>
      </c>
      <c r="G331" s="21" t="str">
        <f>IFERROR(INDEX(Users!$A$2:$A$310,MATCH(A331,Users!$B$2:$B$310,0)),"")</f>
        <v>Service B</v>
      </c>
      <c r="H331" s="21" t="str">
        <f>IFERROR(INDEX(Users!$D$2:$D$310,MATCH(A331,Users!$B$2:$B$310,0)),"")</f>
        <v>Band 3</v>
      </c>
      <c r="I331" s="19" t="b">
        <f t="shared" si="16"/>
        <v>0</v>
      </c>
      <c r="J331" s="33">
        <f t="shared" si="17"/>
        <v>0.92757319819819817</v>
      </c>
    </row>
    <row r="332" spans="1:10">
      <c r="A332" s="19" t="s">
        <v>90</v>
      </c>
      <c r="B332" s="20">
        <v>45778</v>
      </c>
      <c r="C332" s="21">
        <v>148</v>
      </c>
      <c r="D332" s="21">
        <v>99.039166666666645</v>
      </c>
      <c r="E332" s="21">
        <v>9</v>
      </c>
      <c r="F332" s="27">
        <f t="shared" si="15"/>
        <v>0.66918355855855838</v>
      </c>
      <c r="G332" s="21" t="str">
        <f>IFERROR(INDEX(Users!$A$2:$A$310,MATCH(A332,Users!$B$2:$B$310,0)),"")</f>
        <v>Service B</v>
      </c>
      <c r="H332" s="21" t="str">
        <f>IFERROR(INDEX(Users!$D$2:$D$310,MATCH(A332,Users!$B$2:$B$310,0)),"")</f>
        <v>Band 3</v>
      </c>
      <c r="I332" s="19" t="b">
        <f t="shared" si="16"/>
        <v>0</v>
      </c>
      <c r="J332" s="33">
        <f t="shared" si="17"/>
        <v>0.66918355855855838</v>
      </c>
    </row>
    <row r="333" spans="1:10">
      <c r="A333" s="19" t="s">
        <v>90</v>
      </c>
      <c r="B333" s="20">
        <v>45809</v>
      </c>
      <c r="C333" s="21">
        <v>155.4</v>
      </c>
      <c r="D333" s="21">
        <v>94.186666666666667</v>
      </c>
      <c r="E333" s="21">
        <v>21.84</v>
      </c>
      <c r="F333" s="27">
        <f t="shared" si="15"/>
        <v>0.60609180609180613</v>
      </c>
      <c r="G333" s="21" t="str">
        <f>IFERROR(INDEX(Users!$A$2:$A$310,MATCH(A333,Users!$B$2:$B$310,0)),"")</f>
        <v>Service B</v>
      </c>
      <c r="H333" s="21" t="str">
        <f>IFERROR(INDEX(Users!$D$2:$D$310,MATCH(A333,Users!$B$2:$B$310,0)),"")</f>
        <v>Band 3</v>
      </c>
      <c r="I333" s="19" t="b">
        <f t="shared" si="16"/>
        <v>0</v>
      </c>
      <c r="J333" s="33">
        <f t="shared" si="17"/>
        <v>0.60609180609180613</v>
      </c>
    </row>
    <row r="334" spans="1:10">
      <c r="A334" s="19" t="s">
        <v>90</v>
      </c>
      <c r="B334" s="20">
        <v>45839</v>
      </c>
      <c r="C334" s="21">
        <v>170.2</v>
      </c>
      <c r="D334" s="21">
        <v>140.07527777777779</v>
      </c>
      <c r="E334" s="21">
        <v>73.42</v>
      </c>
      <c r="F334" s="27">
        <f t="shared" si="15"/>
        <v>0.82300398224311277</v>
      </c>
      <c r="G334" s="21" t="str">
        <f>IFERROR(INDEX(Users!$A$2:$A$310,MATCH(A334,Users!$B$2:$B$310,0)),"")</f>
        <v>Service B</v>
      </c>
      <c r="H334" s="21" t="str">
        <f>IFERROR(INDEX(Users!$D$2:$D$310,MATCH(A334,Users!$B$2:$B$310,0)),"")</f>
        <v>Band 3</v>
      </c>
      <c r="I334" s="19" t="b">
        <f t="shared" si="16"/>
        <v>0</v>
      </c>
      <c r="J334" s="33">
        <f t="shared" si="17"/>
        <v>0.82300398224311277</v>
      </c>
    </row>
    <row r="335" spans="1:10">
      <c r="A335" s="19" t="s">
        <v>90</v>
      </c>
      <c r="B335" s="20">
        <v>45870</v>
      </c>
      <c r="C335" s="21">
        <v>148</v>
      </c>
      <c r="D335" s="21">
        <v>126.35000000000001</v>
      </c>
      <c r="E335" s="21">
        <v>74.400000000000006</v>
      </c>
      <c r="F335" s="27">
        <f t="shared" si="15"/>
        <v>0.85371621621621629</v>
      </c>
      <c r="G335" s="21" t="str">
        <f>IFERROR(INDEX(Users!$A$2:$A$310,MATCH(A335,Users!$B$2:$B$310,0)),"")</f>
        <v>Service B</v>
      </c>
      <c r="H335" s="21" t="str">
        <f>IFERROR(INDEX(Users!$D$2:$D$310,MATCH(A335,Users!$B$2:$B$310,0)),"")</f>
        <v>Band 3</v>
      </c>
      <c r="I335" s="19" t="b">
        <f t="shared" si="16"/>
        <v>0</v>
      </c>
      <c r="J335" s="33">
        <f t="shared" si="17"/>
        <v>0.85371621621621629</v>
      </c>
    </row>
    <row r="336" spans="1:10">
      <c r="A336" s="19" t="s">
        <v>90</v>
      </c>
      <c r="B336" s="20">
        <v>45901</v>
      </c>
      <c r="C336" s="21">
        <v>162.80000000000001</v>
      </c>
      <c r="D336" s="21">
        <v>92.251111111111101</v>
      </c>
      <c r="E336" s="21">
        <v>42.67</v>
      </c>
      <c r="F336" s="27">
        <f t="shared" si="15"/>
        <v>0.56665301665301659</v>
      </c>
      <c r="G336" s="21" t="str">
        <f>IFERROR(INDEX(Users!$A$2:$A$310,MATCH(A336,Users!$B$2:$B$310,0)),"")</f>
        <v>Service B</v>
      </c>
      <c r="H336" s="21" t="str">
        <f>IFERROR(INDEX(Users!$D$2:$D$310,MATCH(A336,Users!$B$2:$B$310,0)),"")</f>
        <v>Band 3</v>
      </c>
      <c r="I336" s="19" t="b">
        <f t="shared" si="16"/>
        <v>0</v>
      </c>
      <c r="J336" s="33">
        <f t="shared" si="17"/>
        <v>0.56665301665301659</v>
      </c>
    </row>
    <row r="337" spans="1:10">
      <c r="A337" s="19" t="s">
        <v>90</v>
      </c>
      <c r="B337" s="20">
        <v>45931</v>
      </c>
      <c r="C337" s="21">
        <v>170.2</v>
      </c>
      <c r="D337" s="21">
        <v>140.41333333333333</v>
      </c>
      <c r="E337" s="21">
        <v>87.16</v>
      </c>
      <c r="F337" s="27">
        <f t="shared" si="15"/>
        <v>0.82499020759890329</v>
      </c>
      <c r="G337" s="21" t="str">
        <f>IFERROR(INDEX(Users!$A$2:$A$310,MATCH(A337,Users!$B$2:$B$310,0)),"")</f>
        <v>Service B</v>
      </c>
      <c r="H337" s="21" t="str">
        <f>IFERROR(INDEX(Users!$D$2:$D$310,MATCH(A337,Users!$B$2:$B$310,0)),"")</f>
        <v>Band 3</v>
      </c>
      <c r="I337" s="19" t="b">
        <f t="shared" si="16"/>
        <v>0</v>
      </c>
      <c r="J337" s="33">
        <f t="shared" si="17"/>
        <v>0.82499020759890329</v>
      </c>
    </row>
    <row r="338" spans="1:10">
      <c r="A338" s="19" t="s">
        <v>90</v>
      </c>
      <c r="B338" s="20">
        <v>45962</v>
      </c>
      <c r="C338" s="21">
        <v>148</v>
      </c>
      <c r="D338" s="21">
        <v>132.8075</v>
      </c>
      <c r="E338" s="21">
        <v>79</v>
      </c>
      <c r="F338" s="27">
        <f t="shared" si="15"/>
        <v>0.89734797297297297</v>
      </c>
      <c r="G338" s="21" t="str">
        <f>IFERROR(INDEX(Users!$A$2:$A$310,MATCH(A338,Users!$B$2:$B$310,0)),"")</f>
        <v>Service B</v>
      </c>
      <c r="H338" s="21" t="str">
        <f>IFERROR(INDEX(Users!$D$2:$D$310,MATCH(A338,Users!$B$2:$B$310,0)),"")</f>
        <v>Band 3</v>
      </c>
      <c r="I338" s="19" t="b">
        <f t="shared" si="16"/>
        <v>0</v>
      </c>
      <c r="J338" s="33">
        <f t="shared" si="17"/>
        <v>0.89734797297297297</v>
      </c>
    </row>
    <row r="339" spans="1:10">
      <c r="A339" s="19" t="s">
        <v>90</v>
      </c>
      <c r="B339" s="20">
        <v>45992</v>
      </c>
      <c r="C339" s="21">
        <v>155.4</v>
      </c>
      <c r="D339" s="21">
        <v>122.46083333333334</v>
      </c>
      <c r="E339" s="21">
        <v>63.58</v>
      </c>
      <c r="F339" s="27">
        <f t="shared" si="15"/>
        <v>0.78803625053625059</v>
      </c>
      <c r="G339" s="21" t="str">
        <f>IFERROR(INDEX(Users!$A$2:$A$310,MATCH(A339,Users!$B$2:$B$310,0)),"")</f>
        <v>Service B</v>
      </c>
      <c r="H339" s="21" t="str">
        <f>IFERROR(INDEX(Users!$D$2:$D$310,MATCH(A339,Users!$B$2:$B$310,0)),"")</f>
        <v>Band 3</v>
      </c>
      <c r="I339" s="19" t="b">
        <f t="shared" si="16"/>
        <v>0</v>
      </c>
      <c r="J339" s="33">
        <f t="shared" si="17"/>
        <v>0.78803625053625059</v>
      </c>
    </row>
    <row r="340" spans="1:10">
      <c r="A340" s="19" t="s">
        <v>90</v>
      </c>
      <c r="B340" s="20">
        <v>46023</v>
      </c>
      <c r="C340" s="21">
        <v>155.39999999999998</v>
      </c>
      <c r="D340" s="21">
        <v>134.49277777777777</v>
      </c>
      <c r="E340" s="21">
        <v>72.67</v>
      </c>
      <c r="F340" s="27">
        <f t="shared" si="15"/>
        <v>0.86546189046189059</v>
      </c>
      <c r="G340" s="21" t="str">
        <f>IFERROR(INDEX(Users!$A$2:$A$310,MATCH(A340,Users!$B$2:$B$310,0)),"")</f>
        <v>Service B</v>
      </c>
      <c r="H340" s="21" t="str">
        <f>IFERROR(INDEX(Users!$D$2:$D$310,MATCH(A340,Users!$B$2:$B$310,0)),"")</f>
        <v>Band 3</v>
      </c>
      <c r="I340" s="19" t="b">
        <f t="shared" si="16"/>
        <v>0</v>
      </c>
      <c r="J340" s="33" t="str">
        <f t="shared" si="17"/>
        <v/>
      </c>
    </row>
    <row r="341" spans="1:10">
      <c r="A341" s="19" t="s">
        <v>92</v>
      </c>
      <c r="B341" s="20">
        <v>45658</v>
      </c>
      <c r="C341" s="21">
        <v>162.80000000000001</v>
      </c>
      <c r="D341" s="21">
        <v>15.396666666666667</v>
      </c>
      <c r="E341" s="21">
        <v>2.93</v>
      </c>
      <c r="F341" s="27">
        <f t="shared" si="15"/>
        <v>9.4574119574119569E-2</v>
      </c>
      <c r="G341" s="21" t="str">
        <f>IFERROR(INDEX(Users!$A$2:$A$310,MATCH(A341,Users!$B$2:$B$310,0)),"")</f>
        <v>Service A</v>
      </c>
      <c r="H341" s="21" t="str">
        <f>IFERROR(INDEX(Users!$D$2:$D$310,MATCH(A341,Users!$B$2:$B$310,0)),"")</f>
        <v>Band 5</v>
      </c>
      <c r="I341" s="19" t="b">
        <f t="shared" si="16"/>
        <v>0</v>
      </c>
      <c r="J341" s="33" t="str">
        <f t="shared" si="17"/>
        <v/>
      </c>
    </row>
    <row r="342" spans="1:10">
      <c r="A342" s="19" t="s">
        <v>92</v>
      </c>
      <c r="B342" s="20">
        <v>45689</v>
      </c>
      <c r="C342" s="21">
        <v>148</v>
      </c>
      <c r="D342" s="21">
        <v>149.01333333333335</v>
      </c>
      <c r="E342" s="21">
        <v>37.93</v>
      </c>
      <c r="F342" s="27">
        <f t="shared" si="15"/>
        <v>1.006846846846847</v>
      </c>
      <c r="G342" s="21" t="str">
        <f>IFERROR(INDEX(Users!$A$2:$A$310,MATCH(A342,Users!$B$2:$B$310,0)),"")</f>
        <v>Service A</v>
      </c>
      <c r="H342" s="21" t="str">
        <f>IFERROR(INDEX(Users!$D$2:$D$310,MATCH(A342,Users!$B$2:$B$310,0)),"")</f>
        <v>Band 5</v>
      </c>
      <c r="I342" s="19" t="b">
        <f t="shared" si="16"/>
        <v>0</v>
      </c>
      <c r="J342" s="33" t="str">
        <f t="shared" si="17"/>
        <v/>
      </c>
    </row>
    <row r="343" spans="1:10">
      <c r="A343" s="19" t="s">
        <v>92</v>
      </c>
      <c r="B343" s="20">
        <v>45717</v>
      </c>
      <c r="C343" s="21">
        <v>155.4</v>
      </c>
      <c r="D343" s="21">
        <v>158.92333333333335</v>
      </c>
      <c r="E343" s="21">
        <v>45.839999999999996</v>
      </c>
      <c r="F343" s="27">
        <f t="shared" si="15"/>
        <v>1.0226726726726727</v>
      </c>
      <c r="G343" s="21" t="str">
        <f>IFERROR(INDEX(Users!$A$2:$A$310,MATCH(A343,Users!$B$2:$B$310,0)),"")</f>
        <v>Service A</v>
      </c>
      <c r="H343" s="21" t="str">
        <f>IFERROR(INDEX(Users!$D$2:$D$310,MATCH(A343,Users!$B$2:$B$310,0)),"")</f>
        <v>Band 5</v>
      </c>
      <c r="I343" s="19" t="b">
        <f t="shared" si="16"/>
        <v>0</v>
      </c>
      <c r="J343" s="33" t="str">
        <f t="shared" si="17"/>
        <v/>
      </c>
    </row>
    <row r="344" spans="1:10">
      <c r="A344" s="19" t="s">
        <v>92</v>
      </c>
      <c r="B344" s="20">
        <v>45748</v>
      </c>
      <c r="C344" s="21">
        <v>148</v>
      </c>
      <c r="D344" s="21">
        <v>145.75</v>
      </c>
      <c r="E344" s="21">
        <v>53.5</v>
      </c>
      <c r="F344" s="27">
        <f t="shared" si="15"/>
        <v>0.98479729729729726</v>
      </c>
      <c r="G344" s="21" t="str">
        <f>IFERROR(INDEX(Users!$A$2:$A$310,MATCH(A344,Users!$B$2:$B$310,0)),"")</f>
        <v>Service A</v>
      </c>
      <c r="H344" s="21" t="str">
        <f>IFERROR(INDEX(Users!$D$2:$D$310,MATCH(A344,Users!$B$2:$B$310,0)),"")</f>
        <v>Band 5</v>
      </c>
      <c r="I344" s="19" t="b">
        <f t="shared" si="16"/>
        <v>0</v>
      </c>
      <c r="J344" s="33" t="str">
        <f t="shared" si="17"/>
        <v/>
      </c>
    </row>
    <row r="345" spans="1:10">
      <c r="A345" s="19" t="s">
        <v>92</v>
      </c>
      <c r="B345" s="20">
        <v>45778</v>
      </c>
      <c r="C345" s="21">
        <v>148</v>
      </c>
      <c r="D345" s="21">
        <v>133.98999999999998</v>
      </c>
      <c r="E345" s="21">
        <v>58.24</v>
      </c>
      <c r="F345" s="27">
        <f t="shared" si="15"/>
        <v>0.90533783783783772</v>
      </c>
      <c r="G345" s="21" t="str">
        <f>IFERROR(INDEX(Users!$A$2:$A$310,MATCH(A345,Users!$B$2:$B$310,0)),"")</f>
        <v>Service A</v>
      </c>
      <c r="H345" s="21" t="str">
        <f>IFERROR(INDEX(Users!$D$2:$D$310,MATCH(A345,Users!$B$2:$B$310,0)),"")</f>
        <v>Band 5</v>
      </c>
      <c r="I345" s="19" t="b">
        <f t="shared" si="16"/>
        <v>0</v>
      </c>
      <c r="J345" s="33" t="str">
        <f t="shared" si="17"/>
        <v/>
      </c>
    </row>
    <row r="346" spans="1:10">
      <c r="A346" s="19" t="s">
        <v>92</v>
      </c>
      <c r="B346" s="20">
        <v>45809</v>
      </c>
      <c r="C346" s="21">
        <v>155.4</v>
      </c>
      <c r="D346" s="21">
        <v>111.14999999999999</v>
      </c>
      <c r="E346" s="21">
        <v>61.15</v>
      </c>
      <c r="F346" s="27">
        <f t="shared" si="15"/>
        <v>0.71525096525096521</v>
      </c>
      <c r="G346" s="21" t="str">
        <f>IFERROR(INDEX(Users!$A$2:$A$310,MATCH(A346,Users!$B$2:$B$310,0)),"")</f>
        <v>Service A</v>
      </c>
      <c r="H346" s="21" t="str">
        <f>IFERROR(INDEX(Users!$D$2:$D$310,MATCH(A346,Users!$B$2:$B$310,0)),"")</f>
        <v>Band 5</v>
      </c>
      <c r="I346" s="19" t="b">
        <f t="shared" si="16"/>
        <v>0</v>
      </c>
      <c r="J346" s="33" t="str">
        <f t="shared" si="17"/>
        <v/>
      </c>
    </row>
    <row r="347" spans="1:10">
      <c r="A347" s="19" t="s">
        <v>92</v>
      </c>
      <c r="B347" s="20">
        <v>45839</v>
      </c>
      <c r="C347" s="21">
        <v>170.20000000000002</v>
      </c>
      <c r="D347" s="21">
        <v>116.41333333333336</v>
      </c>
      <c r="E347" s="21">
        <v>66.080000000000013</v>
      </c>
      <c r="F347" s="27">
        <f t="shared" si="15"/>
        <v>0.68397963180571886</v>
      </c>
      <c r="G347" s="21" t="str">
        <f>IFERROR(INDEX(Users!$A$2:$A$310,MATCH(A347,Users!$B$2:$B$310,0)),"")</f>
        <v>Service A</v>
      </c>
      <c r="H347" s="21" t="str">
        <f>IFERROR(INDEX(Users!$D$2:$D$310,MATCH(A347,Users!$B$2:$B$310,0)),"")</f>
        <v>Band 5</v>
      </c>
      <c r="I347" s="19" t="b">
        <f t="shared" si="16"/>
        <v>0</v>
      </c>
      <c r="J347" s="33" t="str">
        <f t="shared" si="17"/>
        <v/>
      </c>
    </row>
    <row r="348" spans="1:10">
      <c r="A348" s="19" t="s">
        <v>92</v>
      </c>
      <c r="B348" s="20">
        <v>45870</v>
      </c>
      <c r="C348" s="21">
        <v>148</v>
      </c>
      <c r="D348" s="21">
        <v>109.7</v>
      </c>
      <c r="E348" s="21">
        <v>42.95</v>
      </c>
      <c r="F348" s="27">
        <f t="shared" si="15"/>
        <v>0.74121621621621625</v>
      </c>
      <c r="G348" s="21" t="str">
        <f>IFERROR(INDEX(Users!$A$2:$A$310,MATCH(A348,Users!$B$2:$B$310,0)),"")</f>
        <v>Service A</v>
      </c>
      <c r="H348" s="21" t="str">
        <f>IFERROR(INDEX(Users!$D$2:$D$310,MATCH(A348,Users!$B$2:$B$310,0)),"")</f>
        <v>Band 5</v>
      </c>
      <c r="I348" s="19" t="b">
        <f t="shared" si="16"/>
        <v>0</v>
      </c>
      <c r="J348" s="33" t="str">
        <f t="shared" si="17"/>
        <v/>
      </c>
    </row>
    <row r="349" spans="1:10">
      <c r="A349" s="19" t="s">
        <v>92</v>
      </c>
      <c r="B349" s="20">
        <v>45901</v>
      </c>
      <c r="C349" s="21">
        <v>162.80000000000001</v>
      </c>
      <c r="D349" s="21">
        <v>164.53000000000003</v>
      </c>
      <c r="E349" s="21">
        <v>89.83</v>
      </c>
      <c r="F349" s="27">
        <f t="shared" si="15"/>
        <v>1.0106265356265358</v>
      </c>
      <c r="G349" s="21" t="str">
        <f>IFERROR(INDEX(Users!$A$2:$A$310,MATCH(A349,Users!$B$2:$B$310,0)),"")</f>
        <v>Service A</v>
      </c>
      <c r="H349" s="21" t="str">
        <f>IFERROR(INDEX(Users!$D$2:$D$310,MATCH(A349,Users!$B$2:$B$310,0)),"")</f>
        <v>Band 5</v>
      </c>
      <c r="I349" s="19" t="b">
        <f t="shared" si="16"/>
        <v>0</v>
      </c>
      <c r="J349" s="33" t="str">
        <f t="shared" si="17"/>
        <v/>
      </c>
    </row>
    <row r="350" spans="1:10">
      <c r="A350" s="19" t="s">
        <v>92</v>
      </c>
      <c r="B350" s="20">
        <v>45931</v>
      </c>
      <c r="C350" s="21">
        <v>170.20000000000002</v>
      </c>
      <c r="D350" s="21">
        <v>172.16666666666669</v>
      </c>
      <c r="E350" s="21">
        <v>106.75000000000001</v>
      </c>
      <c r="F350" s="27">
        <f t="shared" si="15"/>
        <v>1.0115550332941636</v>
      </c>
      <c r="G350" s="21" t="str">
        <f>IFERROR(INDEX(Users!$A$2:$A$310,MATCH(A350,Users!$B$2:$B$310,0)),"")</f>
        <v>Service A</v>
      </c>
      <c r="H350" s="21" t="str">
        <f>IFERROR(INDEX(Users!$D$2:$D$310,MATCH(A350,Users!$B$2:$B$310,0)),"")</f>
        <v>Band 5</v>
      </c>
      <c r="I350" s="19" t="b">
        <f t="shared" si="16"/>
        <v>0</v>
      </c>
      <c r="J350" s="33" t="str">
        <f t="shared" si="17"/>
        <v/>
      </c>
    </row>
    <row r="351" spans="1:10">
      <c r="A351" s="19" t="s">
        <v>92</v>
      </c>
      <c r="B351" s="20">
        <v>45962</v>
      </c>
      <c r="C351" s="21">
        <v>148</v>
      </c>
      <c r="D351" s="21">
        <v>135.45333333333335</v>
      </c>
      <c r="E351" s="21">
        <v>71.12</v>
      </c>
      <c r="F351" s="27">
        <f t="shared" si="15"/>
        <v>0.91522522522522531</v>
      </c>
      <c r="G351" s="21" t="str">
        <f>IFERROR(INDEX(Users!$A$2:$A$310,MATCH(A351,Users!$B$2:$B$310,0)),"")</f>
        <v>Service A</v>
      </c>
      <c r="H351" s="21" t="str">
        <f>IFERROR(INDEX(Users!$D$2:$D$310,MATCH(A351,Users!$B$2:$B$310,0)),"")</f>
        <v>Band 5</v>
      </c>
      <c r="I351" s="19" t="b">
        <f t="shared" si="16"/>
        <v>0</v>
      </c>
      <c r="J351" s="33" t="str">
        <f t="shared" si="17"/>
        <v/>
      </c>
    </row>
    <row r="352" spans="1:10">
      <c r="A352" s="19" t="s">
        <v>92</v>
      </c>
      <c r="B352" s="20">
        <v>45992</v>
      </c>
      <c r="C352" s="21">
        <v>155.4</v>
      </c>
      <c r="D352" s="21">
        <v>134.25333333333333</v>
      </c>
      <c r="E352" s="21">
        <v>79.17</v>
      </c>
      <c r="F352" s="27">
        <f t="shared" si="15"/>
        <v>0.86392106392106383</v>
      </c>
      <c r="G352" s="21" t="str">
        <f>IFERROR(INDEX(Users!$A$2:$A$310,MATCH(A352,Users!$B$2:$B$310,0)),"")</f>
        <v>Service A</v>
      </c>
      <c r="H352" s="21" t="str">
        <f>IFERROR(INDEX(Users!$D$2:$D$310,MATCH(A352,Users!$B$2:$B$310,0)),"")</f>
        <v>Band 5</v>
      </c>
      <c r="I352" s="19" t="b">
        <f t="shared" si="16"/>
        <v>0</v>
      </c>
      <c r="J352" s="33" t="str">
        <f t="shared" si="17"/>
        <v/>
      </c>
    </row>
    <row r="353" spans="1:10">
      <c r="A353" s="19" t="s">
        <v>92</v>
      </c>
      <c r="B353" s="20">
        <v>46023</v>
      </c>
      <c r="C353" s="21">
        <v>155.4</v>
      </c>
      <c r="D353" s="21">
        <v>138.54666666666668</v>
      </c>
      <c r="E353" s="21">
        <v>86.88</v>
      </c>
      <c r="F353" s="27">
        <f t="shared" si="15"/>
        <v>0.89154869154869165</v>
      </c>
      <c r="G353" s="21" t="str">
        <f>IFERROR(INDEX(Users!$A$2:$A$310,MATCH(A353,Users!$B$2:$B$310,0)),"")</f>
        <v>Service A</v>
      </c>
      <c r="H353" s="21" t="str">
        <f>IFERROR(INDEX(Users!$D$2:$D$310,MATCH(A353,Users!$B$2:$B$310,0)),"")</f>
        <v>Band 5</v>
      </c>
      <c r="I353" s="19" t="b">
        <f t="shared" si="16"/>
        <v>0</v>
      </c>
      <c r="J353" s="33" t="str">
        <f t="shared" si="17"/>
        <v/>
      </c>
    </row>
    <row r="354" spans="1:10">
      <c r="A354" s="19" t="s">
        <v>94</v>
      </c>
      <c r="B354" s="20">
        <v>45658</v>
      </c>
      <c r="C354" s="21">
        <v>162.80000000000001</v>
      </c>
      <c r="D354" s="21">
        <v>103.87166666666666</v>
      </c>
      <c r="E354" s="21">
        <v>57.279999999999987</v>
      </c>
      <c r="F354" s="27">
        <f t="shared" si="15"/>
        <v>0.63803235053235041</v>
      </c>
      <c r="G354" s="21" t="str">
        <f>IFERROR(INDEX(Users!$A$2:$A$310,MATCH(A354,Users!$B$2:$B$310,0)),"")</f>
        <v>Service B</v>
      </c>
      <c r="H354" s="21" t="str">
        <f>IFERROR(INDEX(Users!$D$2:$D$310,MATCH(A354,Users!$B$2:$B$310,0)),"")</f>
        <v>Band 3</v>
      </c>
      <c r="I354" s="19" t="b">
        <f t="shared" si="16"/>
        <v>0</v>
      </c>
      <c r="J354" s="33">
        <f t="shared" si="17"/>
        <v>0.63803235053235041</v>
      </c>
    </row>
    <row r="355" spans="1:10">
      <c r="A355" s="19" t="s">
        <v>94</v>
      </c>
      <c r="B355" s="20">
        <v>45689</v>
      </c>
      <c r="C355" s="21">
        <v>148</v>
      </c>
      <c r="D355" s="21">
        <v>99.996666666666684</v>
      </c>
      <c r="E355" s="21">
        <v>51.980000000000004</v>
      </c>
      <c r="F355" s="27">
        <f t="shared" si="15"/>
        <v>0.67565315315315322</v>
      </c>
      <c r="G355" s="21" t="str">
        <f>IFERROR(INDEX(Users!$A$2:$A$310,MATCH(A355,Users!$B$2:$B$310,0)),"")</f>
        <v>Service B</v>
      </c>
      <c r="H355" s="21" t="str">
        <f>IFERROR(INDEX(Users!$D$2:$D$310,MATCH(A355,Users!$B$2:$B$310,0)),"")</f>
        <v>Band 3</v>
      </c>
      <c r="I355" s="19" t="b">
        <f t="shared" si="16"/>
        <v>0</v>
      </c>
      <c r="J355" s="33">
        <f t="shared" si="17"/>
        <v>0.67565315315315322</v>
      </c>
    </row>
    <row r="356" spans="1:10">
      <c r="A356" s="19" t="s">
        <v>94</v>
      </c>
      <c r="B356" s="20">
        <v>45717</v>
      </c>
      <c r="C356" s="21">
        <v>155.4</v>
      </c>
      <c r="D356" s="21">
        <v>139.23333333333332</v>
      </c>
      <c r="E356" s="21">
        <v>63.15</v>
      </c>
      <c r="F356" s="27">
        <f t="shared" si="15"/>
        <v>0.89596739596739583</v>
      </c>
      <c r="G356" s="21" t="str">
        <f>IFERROR(INDEX(Users!$A$2:$A$310,MATCH(A356,Users!$B$2:$B$310,0)),"")</f>
        <v>Service B</v>
      </c>
      <c r="H356" s="21" t="str">
        <f>IFERROR(INDEX(Users!$D$2:$D$310,MATCH(A356,Users!$B$2:$B$310,0)),"")</f>
        <v>Band 3</v>
      </c>
      <c r="I356" s="19" t="b">
        <f t="shared" si="16"/>
        <v>0</v>
      </c>
      <c r="J356" s="33">
        <f t="shared" si="17"/>
        <v>0.89596739596739583</v>
      </c>
    </row>
    <row r="357" spans="1:10">
      <c r="A357" s="19" t="s">
        <v>94</v>
      </c>
      <c r="B357" s="20">
        <v>45748</v>
      </c>
      <c r="C357" s="21">
        <v>148</v>
      </c>
      <c r="D357" s="21">
        <v>65.75333333333333</v>
      </c>
      <c r="E357" s="21">
        <v>22.92</v>
      </c>
      <c r="F357" s="27">
        <f t="shared" si="15"/>
        <v>0.44427927927927924</v>
      </c>
      <c r="G357" s="21" t="str">
        <f>IFERROR(INDEX(Users!$A$2:$A$310,MATCH(A357,Users!$B$2:$B$310,0)),"")</f>
        <v>Service B</v>
      </c>
      <c r="H357" s="21" t="str">
        <f>IFERROR(INDEX(Users!$D$2:$D$310,MATCH(A357,Users!$B$2:$B$310,0)),"")</f>
        <v>Band 3</v>
      </c>
      <c r="I357" s="19" t="b">
        <f t="shared" si="16"/>
        <v>0</v>
      </c>
      <c r="J357" s="33">
        <f t="shared" si="17"/>
        <v>0.44427927927927924</v>
      </c>
    </row>
    <row r="358" spans="1:10">
      <c r="A358" s="19" t="s">
        <v>94</v>
      </c>
      <c r="B358" s="20">
        <v>45778</v>
      </c>
      <c r="C358" s="21">
        <v>148</v>
      </c>
      <c r="D358" s="21">
        <v>123.04999999999998</v>
      </c>
      <c r="E358" s="21">
        <v>59.300000000000004</v>
      </c>
      <c r="F358" s="27">
        <f t="shared" si="15"/>
        <v>0.83141891891891884</v>
      </c>
      <c r="G358" s="21" t="str">
        <f>IFERROR(INDEX(Users!$A$2:$A$310,MATCH(A358,Users!$B$2:$B$310,0)),"")</f>
        <v>Service B</v>
      </c>
      <c r="H358" s="21" t="str">
        <f>IFERROR(INDEX(Users!$D$2:$D$310,MATCH(A358,Users!$B$2:$B$310,0)),"")</f>
        <v>Band 3</v>
      </c>
      <c r="I358" s="19" t="b">
        <f t="shared" si="16"/>
        <v>0</v>
      </c>
      <c r="J358" s="33">
        <f t="shared" si="17"/>
        <v>0.83141891891891884</v>
      </c>
    </row>
    <row r="359" spans="1:10">
      <c r="A359" s="19" t="s">
        <v>94</v>
      </c>
      <c r="B359" s="20">
        <v>45809</v>
      </c>
      <c r="C359" s="21">
        <v>155.4</v>
      </c>
      <c r="D359" s="21">
        <v>138.42333333333335</v>
      </c>
      <c r="E359" s="21">
        <v>78.09</v>
      </c>
      <c r="F359" s="27">
        <f t="shared" si="15"/>
        <v>0.89075504075504075</v>
      </c>
      <c r="G359" s="21" t="str">
        <f>IFERROR(INDEX(Users!$A$2:$A$310,MATCH(A359,Users!$B$2:$B$310,0)),"")</f>
        <v>Service B</v>
      </c>
      <c r="H359" s="21" t="str">
        <f>IFERROR(INDEX(Users!$D$2:$D$310,MATCH(A359,Users!$B$2:$B$310,0)),"")</f>
        <v>Band 3</v>
      </c>
      <c r="I359" s="19" t="b">
        <f t="shared" si="16"/>
        <v>0</v>
      </c>
      <c r="J359" s="33">
        <f t="shared" si="17"/>
        <v>0.89075504075504075</v>
      </c>
    </row>
    <row r="360" spans="1:10">
      <c r="A360" s="19" t="s">
        <v>94</v>
      </c>
      <c r="B360" s="20">
        <v>45839</v>
      </c>
      <c r="C360" s="21">
        <v>170.20000000000002</v>
      </c>
      <c r="D360" s="21">
        <v>151.34333333333331</v>
      </c>
      <c r="E360" s="21">
        <v>97.009999999999991</v>
      </c>
      <c r="F360" s="27">
        <f t="shared" si="15"/>
        <v>0.88920877399138243</v>
      </c>
      <c r="G360" s="21" t="str">
        <f>IFERROR(INDEX(Users!$A$2:$A$310,MATCH(A360,Users!$B$2:$B$310,0)),"")</f>
        <v>Service B</v>
      </c>
      <c r="H360" s="21" t="str">
        <f>IFERROR(INDEX(Users!$D$2:$D$310,MATCH(A360,Users!$B$2:$B$310,0)),"")</f>
        <v>Band 3</v>
      </c>
      <c r="I360" s="19" t="b">
        <f t="shared" si="16"/>
        <v>0</v>
      </c>
      <c r="J360" s="33">
        <f t="shared" si="17"/>
        <v>0.88920877399138243</v>
      </c>
    </row>
    <row r="361" spans="1:10">
      <c r="A361" s="19" t="s">
        <v>94</v>
      </c>
      <c r="B361" s="20">
        <v>45870</v>
      </c>
      <c r="C361" s="21">
        <v>148</v>
      </c>
      <c r="D361" s="21">
        <v>59.076666666666675</v>
      </c>
      <c r="E361" s="21">
        <v>25.160000000000004</v>
      </c>
      <c r="F361" s="27">
        <f t="shared" si="15"/>
        <v>0.39916666666666673</v>
      </c>
      <c r="G361" s="21" t="str">
        <f>IFERROR(INDEX(Users!$A$2:$A$310,MATCH(A361,Users!$B$2:$B$310,0)),"")</f>
        <v>Service B</v>
      </c>
      <c r="H361" s="21" t="str">
        <f>IFERROR(INDEX(Users!$D$2:$D$310,MATCH(A361,Users!$B$2:$B$310,0)),"")</f>
        <v>Band 3</v>
      </c>
      <c r="I361" s="19" t="b">
        <f t="shared" si="16"/>
        <v>0</v>
      </c>
      <c r="J361" s="33">
        <f t="shared" si="17"/>
        <v>0.39916666666666673</v>
      </c>
    </row>
    <row r="362" spans="1:10">
      <c r="A362" s="19" t="s">
        <v>94</v>
      </c>
      <c r="B362" s="20">
        <v>45901</v>
      </c>
      <c r="C362" s="21">
        <v>162.80000000000001</v>
      </c>
      <c r="D362" s="21">
        <v>150.76999999999998</v>
      </c>
      <c r="E362" s="21">
        <v>92.969999999999985</v>
      </c>
      <c r="F362" s="27">
        <f t="shared" si="15"/>
        <v>0.92610565110565091</v>
      </c>
      <c r="G362" s="21" t="str">
        <f>IFERROR(INDEX(Users!$A$2:$A$310,MATCH(A362,Users!$B$2:$B$310,0)),"")</f>
        <v>Service B</v>
      </c>
      <c r="H362" s="21" t="str">
        <f>IFERROR(INDEX(Users!$D$2:$D$310,MATCH(A362,Users!$B$2:$B$310,0)),"")</f>
        <v>Band 3</v>
      </c>
      <c r="I362" s="19" t="b">
        <f t="shared" si="16"/>
        <v>0</v>
      </c>
      <c r="J362" s="33">
        <f t="shared" si="17"/>
        <v>0.92610565110565091</v>
      </c>
    </row>
    <row r="363" spans="1:10">
      <c r="A363" s="19" t="s">
        <v>94</v>
      </c>
      <c r="B363" s="20">
        <v>45931</v>
      </c>
      <c r="C363" s="21">
        <v>170.20000000000002</v>
      </c>
      <c r="D363" s="21">
        <v>119.51333333333335</v>
      </c>
      <c r="E363" s="21">
        <v>61.180000000000007</v>
      </c>
      <c r="F363" s="27">
        <f t="shared" si="15"/>
        <v>0.70219349784567175</v>
      </c>
      <c r="G363" s="21" t="str">
        <f>IFERROR(INDEX(Users!$A$2:$A$310,MATCH(A363,Users!$B$2:$B$310,0)),"")</f>
        <v>Service B</v>
      </c>
      <c r="H363" s="21" t="str">
        <f>IFERROR(INDEX(Users!$D$2:$D$310,MATCH(A363,Users!$B$2:$B$310,0)),"")</f>
        <v>Band 3</v>
      </c>
      <c r="I363" s="19" t="b">
        <f t="shared" si="16"/>
        <v>0</v>
      </c>
      <c r="J363" s="33">
        <f t="shared" si="17"/>
        <v>0.70219349784567175</v>
      </c>
    </row>
    <row r="364" spans="1:10">
      <c r="A364" s="19" t="s">
        <v>94</v>
      </c>
      <c r="B364" s="20">
        <v>45962</v>
      </c>
      <c r="C364" s="21">
        <v>148</v>
      </c>
      <c r="D364" s="21">
        <v>136.66333333333333</v>
      </c>
      <c r="E364" s="21">
        <v>81.079999999999984</v>
      </c>
      <c r="F364" s="27">
        <f t="shared" si="15"/>
        <v>0.92340090090090088</v>
      </c>
      <c r="G364" s="21" t="str">
        <f>IFERROR(INDEX(Users!$A$2:$A$310,MATCH(A364,Users!$B$2:$B$310,0)),"")</f>
        <v>Service B</v>
      </c>
      <c r="H364" s="21" t="str">
        <f>IFERROR(INDEX(Users!$D$2:$D$310,MATCH(A364,Users!$B$2:$B$310,0)),"")</f>
        <v>Band 3</v>
      </c>
      <c r="I364" s="19" t="b">
        <f t="shared" si="16"/>
        <v>0</v>
      </c>
      <c r="J364" s="33">
        <f t="shared" si="17"/>
        <v>0.92340090090090088</v>
      </c>
    </row>
    <row r="365" spans="1:10">
      <c r="A365" s="19" t="s">
        <v>94</v>
      </c>
      <c r="B365" s="20">
        <v>45992</v>
      </c>
      <c r="C365" s="21">
        <v>155.4</v>
      </c>
      <c r="D365" s="21">
        <v>75.766666666666652</v>
      </c>
      <c r="E365" s="21">
        <v>49.099999999999994</v>
      </c>
      <c r="F365" s="27">
        <f t="shared" si="15"/>
        <v>0.48755898755898747</v>
      </c>
      <c r="G365" s="21" t="str">
        <f>IFERROR(INDEX(Users!$A$2:$A$310,MATCH(A365,Users!$B$2:$B$310,0)),"")</f>
        <v>Service B</v>
      </c>
      <c r="H365" s="21" t="str">
        <f>IFERROR(INDEX(Users!$D$2:$D$310,MATCH(A365,Users!$B$2:$B$310,0)),"")</f>
        <v>Band 3</v>
      </c>
      <c r="I365" s="19" t="b">
        <f t="shared" si="16"/>
        <v>0</v>
      </c>
      <c r="J365" s="33">
        <f t="shared" si="17"/>
        <v>0.48755898755898747</v>
      </c>
    </row>
    <row r="366" spans="1:10">
      <c r="A366" s="19" t="s">
        <v>94</v>
      </c>
      <c r="B366" s="20">
        <v>46023</v>
      </c>
      <c r="C366" s="21">
        <v>155.4</v>
      </c>
      <c r="D366" s="21">
        <v>0.84</v>
      </c>
      <c r="E366" s="21">
        <v>0.84</v>
      </c>
      <c r="F366" s="27">
        <f t="shared" si="15"/>
        <v>5.4054054054054048E-3</v>
      </c>
      <c r="G366" s="21" t="str">
        <f>IFERROR(INDEX(Users!$A$2:$A$310,MATCH(A366,Users!$B$2:$B$310,0)),"")</f>
        <v>Service B</v>
      </c>
      <c r="H366" s="21" t="str">
        <f>IFERROR(INDEX(Users!$D$2:$D$310,MATCH(A366,Users!$B$2:$B$310,0)),"")</f>
        <v>Band 3</v>
      </c>
      <c r="I366" s="19" t="b">
        <f t="shared" si="16"/>
        <v>0</v>
      </c>
      <c r="J366" s="33" t="str">
        <f t="shared" si="17"/>
        <v/>
      </c>
    </row>
    <row r="367" spans="1:10">
      <c r="A367" s="19" t="s">
        <v>95</v>
      </c>
      <c r="B367" s="20">
        <v>45658</v>
      </c>
      <c r="C367" s="21">
        <v>162.80000000000001</v>
      </c>
      <c r="D367" s="21">
        <v>145.25277777777779</v>
      </c>
      <c r="E367" s="21">
        <v>86.300000000000026</v>
      </c>
      <c r="F367" s="27">
        <f t="shared" si="15"/>
        <v>0.89221607971607975</v>
      </c>
      <c r="G367" s="21" t="str">
        <f>IFERROR(INDEX(Users!$A$2:$A$310,MATCH(A367,Users!$B$2:$B$310,0)),"")</f>
        <v>Service C</v>
      </c>
      <c r="H367" s="21" t="str">
        <f>IFERROR(INDEX(Users!$D$2:$D$310,MATCH(A367,Users!$B$2:$B$310,0)),"")</f>
        <v>Band 4</v>
      </c>
      <c r="I367" s="19" t="b">
        <f t="shared" si="16"/>
        <v>0</v>
      </c>
      <c r="J367" s="33" t="str">
        <f t="shared" si="17"/>
        <v/>
      </c>
    </row>
    <row r="368" spans="1:10">
      <c r="A368" s="19" t="s">
        <v>95</v>
      </c>
      <c r="B368" s="20">
        <v>45689</v>
      </c>
      <c r="C368" s="21">
        <v>148</v>
      </c>
      <c r="D368" s="21">
        <v>148.27055555555557</v>
      </c>
      <c r="E368" s="21">
        <v>90.720000000000027</v>
      </c>
      <c r="F368" s="27">
        <f t="shared" si="15"/>
        <v>1.0018280780780782</v>
      </c>
      <c r="G368" s="21" t="str">
        <f>IFERROR(INDEX(Users!$A$2:$A$310,MATCH(A368,Users!$B$2:$B$310,0)),"")</f>
        <v>Service C</v>
      </c>
      <c r="H368" s="21" t="str">
        <f>IFERROR(INDEX(Users!$D$2:$D$310,MATCH(A368,Users!$B$2:$B$310,0)),"")</f>
        <v>Band 4</v>
      </c>
      <c r="I368" s="19" t="b">
        <f t="shared" si="16"/>
        <v>0</v>
      </c>
      <c r="J368" s="33" t="str">
        <f t="shared" si="17"/>
        <v/>
      </c>
    </row>
    <row r="369" spans="1:10">
      <c r="A369" s="19" t="s">
        <v>95</v>
      </c>
      <c r="B369" s="20">
        <v>45717</v>
      </c>
      <c r="C369" s="21">
        <v>155.4</v>
      </c>
      <c r="D369" s="21">
        <v>101.64138888888888</v>
      </c>
      <c r="E369" s="21">
        <v>62.37</v>
      </c>
      <c r="F369" s="27">
        <f t="shared" si="15"/>
        <v>0.65406299156299152</v>
      </c>
      <c r="G369" s="21" t="str">
        <f>IFERROR(INDEX(Users!$A$2:$A$310,MATCH(A369,Users!$B$2:$B$310,0)),"")</f>
        <v>Service C</v>
      </c>
      <c r="H369" s="21" t="str">
        <f>IFERROR(INDEX(Users!$D$2:$D$310,MATCH(A369,Users!$B$2:$B$310,0)),"")</f>
        <v>Band 4</v>
      </c>
      <c r="I369" s="19" t="b">
        <f t="shared" si="16"/>
        <v>0</v>
      </c>
      <c r="J369" s="33" t="str">
        <f t="shared" si="17"/>
        <v/>
      </c>
    </row>
    <row r="370" spans="1:10">
      <c r="A370" s="19" t="s">
        <v>95</v>
      </c>
      <c r="B370" s="20">
        <v>45748</v>
      </c>
      <c r="C370" s="21">
        <v>148</v>
      </c>
      <c r="D370" s="21">
        <v>134.66916666666663</v>
      </c>
      <c r="E370" s="21">
        <v>90.82999999999997</v>
      </c>
      <c r="F370" s="27">
        <f t="shared" si="15"/>
        <v>0.90992680180180152</v>
      </c>
      <c r="G370" s="21" t="str">
        <f>IFERROR(INDEX(Users!$A$2:$A$310,MATCH(A370,Users!$B$2:$B$310,0)),"")</f>
        <v>Service C</v>
      </c>
      <c r="H370" s="21" t="str">
        <f>IFERROR(INDEX(Users!$D$2:$D$310,MATCH(A370,Users!$B$2:$B$310,0)),"")</f>
        <v>Band 4</v>
      </c>
      <c r="I370" s="19" t="b">
        <f t="shared" si="16"/>
        <v>0</v>
      </c>
      <c r="J370" s="33" t="str">
        <f t="shared" si="17"/>
        <v/>
      </c>
    </row>
    <row r="371" spans="1:10">
      <c r="A371" s="19" t="s">
        <v>95</v>
      </c>
      <c r="B371" s="20">
        <v>45778</v>
      </c>
      <c r="C371" s="21">
        <v>148</v>
      </c>
      <c r="D371" s="21">
        <v>150.61444444444447</v>
      </c>
      <c r="E371" s="21">
        <v>92.220000000000013</v>
      </c>
      <c r="F371" s="27">
        <f t="shared" si="15"/>
        <v>1.0176651651651654</v>
      </c>
      <c r="G371" s="21" t="str">
        <f>IFERROR(INDEX(Users!$A$2:$A$310,MATCH(A371,Users!$B$2:$B$310,0)),"")</f>
        <v>Service C</v>
      </c>
      <c r="H371" s="21" t="str">
        <f>IFERROR(INDEX(Users!$D$2:$D$310,MATCH(A371,Users!$B$2:$B$310,0)),"")</f>
        <v>Band 4</v>
      </c>
      <c r="I371" s="19" t="b">
        <f t="shared" si="16"/>
        <v>0</v>
      </c>
      <c r="J371" s="33" t="str">
        <f t="shared" si="17"/>
        <v/>
      </c>
    </row>
    <row r="372" spans="1:10">
      <c r="A372" s="19" t="s">
        <v>95</v>
      </c>
      <c r="B372" s="20">
        <v>45809</v>
      </c>
      <c r="C372" s="21">
        <v>155.4</v>
      </c>
      <c r="D372" s="21">
        <v>92.693333333333342</v>
      </c>
      <c r="E372" s="21">
        <v>72.860000000000014</v>
      </c>
      <c r="F372" s="27">
        <f t="shared" si="15"/>
        <v>0.59648219648219647</v>
      </c>
      <c r="G372" s="21" t="str">
        <f>IFERROR(INDEX(Users!$A$2:$A$310,MATCH(A372,Users!$B$2:$B$310,0)),"")</f>
        <v>Service C</v>
      </c>
      <c r="H372" s="21" t="str">
        <f>IFERROR(INDEX(Users!$D$2:$D$310,MATCH(A372,Users!$B$2:$B$310,0)),"")</f>
        <v>Band 4</v>
      </c>
      <c r="I372" s="19" t="b">
        <f t="shared" si="16"/>
        <v>0</v>
      </c>
      <c r="J372" s="33" t="str">
        <f t="shared" si="17"/>
        <v/>
      </c>
    </row>
    <row r="373" spans="1:10">
      <c r="A373" s="19" t="s">
        <v>95</v>
      </c>
      <c r="B373" s="20">
        <v>45839</v>
      </c>
      <c r="C373" s="21">
        <v>170.20000000000002</v>
      </c>
      <c r="D373" s="21">
        <v>130.51999999999998</v>
      </c>
      <c r="E373" s="21">
        <v>74.019999999999982</v>
      </c>
      <c r="F373" s="27">
        <f t="shared" si="15"/>
        <v>0.76686251468860145</v>
      </c>
      <c r="G373" s="21" t="str">
        <f>IFERROR(INDEX(Users!$A$2:$A$310,MATCH(A373,Users!$B$2:$B$310,0)),"")</f>
        <v>Service C</v>
      </c>
      <c r="H373" s="21" t="str">
        <f>IFERROR(INDEX(Users!$D$2:$D$310,MATCH(A373,Users!$B$2:$B$310,0)),"")</f>
        <v>Band 4</v>
      </c>
      <c r="I373" s="19" t="b">
        <f t="shared" si="16"/>
        <v>0</v>
      </c>
      <c r="J373" s="33" t="str">
        <f t="shared" si="17"/>
        <v/>
      </c>
    </row>
    <row r="374" spans="1:10">
      <c r="A374" s="19" t="s">
        <v>95</v>
      </c>
      <c r="B374" s="20">
        <v>45870</v>
      </c>
      <c r="C374" s="21">
        <v>148</v>
      </c>
      <c r="D374" s="21">
        <v>132.55333333333334</v>
      </c>
      <c r="E374" s="21">
        <v>90.220000000000027</v>
      </c>
      <c r="F374" s="27">
        <f t="shared" si="15"/>
        <v>0.89563063063063064</v>
      </c>
      <c r="G374" s="21" t="str">
        <f>IFERROR(INDEX(Users!$A$2:$A$310,MATCH(A374,Users!$B$2:$B$310,0)),"")</f>
        <v>Service C</v>
      </c>
      <c r="H374" s="21" t="str">
        <f>IFERROR(INDEX(Users!$D$2:$D$310,MATCH(A374,Users!$B$2:$B$310,0)),"")</f>
        <v>Band 4</v>
      </c>
      <c r="I374" s="19" t="b">
        <f t="shared" si="16"/>
        <v>0</v>
      </c>
      <c r="J374" s="33" t="str">
        <f t="shared" si="17"/>
        <v/>
      </c>
    </row>
    <row r="375" spans="1:10">
      <c r="A375" s="19" t="s">
        <v>95</v>
      </c>
      <c r="B375" s="20">
        <v>45901</v>
      </c>
      <c r="C375" s="21">
        <v>162.80000000000001</v>
      </c>
      <c r="D375" s="21">
        <v>169.60000000000002</v>
      </c>
      <c r="E375" s="21">
        <v>73.400000000000006</v>
      </c>
      <c r="F375" s="27">
        <f t="shared" si="15"/>
        <v>1.0417690417690417</v>
      </c>
      <c r="G375" s="21" t="str">
        <f>IFERROR(INDEX(Users!$A$2:$A$310,MATCH(A375,Users!$B$2:$B$310,0)),"")</f>
        <v>Service C</v>
      </c>
      <c r="H375" s="21" t="str">
        <f>IFERROR(INDEX(Users!$D$2:$D$310,MATCH(A375,Users!$B$2:$B$310,0)),"")</f>
        <v>Band 4</v>
      </c>
      <c r="I375" s="19" t="b">
        <f t="shared" si="16"/>
        <v>0</v>
      </c>
      <c r="J375" s="33" t="str">
        <f t="shared" si="17"/>
        <v/>
      </c>
    </row>
    <row r="376" spans="1:10">
      <c r="A376" s="19" t="s">
        <v>95</v>
      </c>
      <c r="B376" s="20">
        <v>45931</v>
      </c>
      <c r="C376" s="21">
        <v>170.20000000000002</v>
      </c>
      <c r="D376" s="21">
        <v>99.526666666666657</v>
      </c>
      <c r="E376" s="21">
        <v>61.109999999999992</v>
      </c>
      <c r="F376" s="27">
        <f t="shared" si="15"/>
        <v>0.58476302389345858</v>
      </c>
      <c r="G376" s="21" t="str">
        <f>IFERROR(INDEX(Users!$A$2:$A$310,MATCH(A376,Users!$B$2:$B$310,0)),"")</f>
        <v>Service C</v>
      </c>
      <c r="H376" s="21" t="str">
        <f>IFERROR(INDEX(Users!$D$2:$D$310,MATCH(A376,Users!$B$2:$B$310,0)),"")</f>
        <v>Band 4</v>
      </c>
      <c r="I376" s="19" t="b">
        <f t="shared" si="16"/>
        <v>0</v>
      </c>
      <c r="J376" s="33" t="str">
        <f t="shared" si="17"/>
        <v/>
      </c>
    </row>
    <row r="377" spans="1:10">
      <c r="A377" s="19" t="s">
        <v>95</v>
      </c>
      <c r="B377" s="20">
        <v>45962</v>
      </c>
      <c r="C377" s="21">
        <v>148</v>
      </c>
      <c r="D377" s="21">
        <v>110.62666666666667</v>
      </c>
      <c r="E377" s="21">
        <v>77.709999999999994</v>
      </c>
      <c r="F377" s="27">
        <f t="shared" si="15"/>
        <v>0.7474774774774775</v>
      </c>
      <c r="G377" s="21" t="str">
        <f>IFERROR(INDEX(Users!$A$2:$A$310,MATCH(A377,Users!$B$2:$B$310,0)),"")</f>
        <v>Service C</v>
      </c>
      <c r="H377" s="21" t="str">
        <f>IFERROR(INDEX(Users!$D$2:$D$310,MATCH(A377,Users!$B$2:$B$310,0)),"")</f>
        <v>Band 4</v>
      </c>
      <c r="I377" s="19" t="b">
        <f t="shared" si="16"/>
        <v>0</v>
      </c>
      <c r="J377" s="33" t="str">
        <f t="shared" si="17"/>
        <v/>
      </c>
    </row>
    <row r="378" spans="1:10">
      <c r="A378" s="19" t="s">
        <v>95</v>
      </c>
      <c r="B378" s="20">
        <v>45992</v>
      </c>
      <c r="C378" s="21">
        <v>155.4</v>
      </c>
      <c r="D378" s="21">
        <v>143.1933333333333</v>
      </c>
      <c r="E378" s="21">
        <v>77.209999999999965</v>
      </c>
      <c r="F378" s="27">
        <f t="shared" si="15"/>
        <v>0.92145002145002119</v>
      </c>
      <c r="G378" s="21" t="str">
        <f>IFERROR(INDEX(Users!$A$2:$A$310,MATCH(A378,Users!$B$2:$B$310,0)),"")</f>
        <v>Service C</v>
      </c>
      <c r="H378" s="21" t="str">
        <f>IFERROR(INDEX(Users!$D$2:$D$310,MATCH(A378,Users!$B$2:$B$310,0)),"")</f>
        <v>Band 4</v>
      </c>
      <c r="I378" s="19" t="b">
        <f t="shared" si="16"/>
        <v>0</v>
      </c>
      <c r="J378" s="33" t="str">
        <f t="shared" si="17"/>
        <v/>
      </c>
    </row>
    <row r="379" spans="1:10">
      <c r="A379" s="19" t="s">
        <v>95</v>
      </c>
      <c r="B379" s="20">
        <v>46023</v>
      </c>
      <c r="C379" s="21">
        <v>155.4</v>
      </c>
      <c r="D379" s="21">
        <v>127.62333333333331</v>
      </c>
      <c r="E379" s="21">
        <v>59.889999999999979</v>
      </c>
      <c r="F379" s="27">
        <f t="shared" si="15"/>
        <v>0.82125697125697106</v>
      </c>
      <c r="G379" s="21" t="str">
        <f>IFERROR(INDEX(Users!$A$2:$A$310,MATCH(A379,Users!$B$2:$B$310,0)),"")</f>
        <v>Service C</v>
      </c>
      <c r="H379" s="21" t="str">
        <f>IFERROR(INDEX(Users!$D$2:$D$310,MATCH(A379,Users!$B$2:$B$310,0)),"")</f>
        <v>Band 4</v>
      </c>
      <c r="I379" s="19" t="b">
        <f t="shared" si="16"/>
        <v>0</v>
      </c>
      <c r="J379" s="33" t="str">
        <f t="shared" si="17"/>
        <v/>
      </c>
    </row>
    <row r="380" spans="1:10">
      <c r="A380" s="19" t="s">
        <v>96</v>
      </c>
      <c r="B380" s="20">
        <v>45658</v>
      </c>
      <c r="C380" s="21">
        <v>162.80000000000001</v>
      </c>
      <c r="D380" s="21">
        <v>100.42666666666666</v>
      </c>
      <c r="E380" s="21">
        <v>62.41</v>
      </c>
      <c r="F380" s="27">
        <f t="shared" si="15"/>
        <v>0.61687141687141678</v>
      </c>
      <c r="G380" s="21" t="str">
        <f>IFERROR(INDEX(Users!$A$2:$A$310,MATCH(A380,Users!$B$2:$B$310,0)),"")</f>
        <v>Service A</v>
      </c>
      <c r="H380" s="21" t="str">
        <f>IFERROR(INDEX(Users!$D$2:$D$310,MATCH(A380,Users!$B$2:$B$310,0)),"")</f>
        <v>Band 3</v>
      </c>
      <c r="I380" s="19" t="b">
        <f t="shared" si="16"/>
        <v>1</v>
      </c>
      <c r="J380" s="33" t="str">
        <f t="shared" si="17"/>
        <v/>
      </c>
    </row>
    <row r="381" spans="1:10">
      <c r="A381" s="19" t="s">
        <v>96</v>
      </c>
      <c r="B381" s="20">
        <v>45689</v>
      </c>
      <c r="C381" s="21">
        <v>148</v>
      </c>
      <c r="D381" s="21">
        <v>132.37666666666667</v>
      </c>
      <c r="E381" s="21">
        <v>104.71000000000001</v>
      </c>
      <c r="F381" s="27">
        <f t="shared" si="15"/>
        <v>0.89443693693693693</v>
      </c>
      <c r="G381" s="21" t="str">
        <f>IFERROR(INDEX(Users!$A$2:$A$310,MATCH(A381,Users!$B$2:$B$310,0)),"")</f>
        <v>Service A</v>
      </c>
      <c r="H381" s="21" t="str">
        <f>IFERROR(INDEX(Users!$D$2:$D$310,MATCH(A381,Users!$B$2:$B$310,0)),"")</f>
        <v>Band 3</v>
      </c>
      <c r="I381" s="19" t="b">
        <f t="shared" si="16"/>
        <v>1</v>
      </c>
      <c r="J381" s="33" t="str">
        <f t="shared" si="17"/>
        <v/>
      </c>
    </row>
    <row r="382" spans="1:10">
      <c r="A382" s="19" t="s">
        <v>96</v>
      </c>
      <c r="B382" s="20">
        <v>45717</v>
      </c>
      <c r="C382" s="21">
        <v>155.4</v>
      </c>
      <c r="D382" s="21">
        <v>58.58</v>
      </c>
      <c r="E382" s="21">
        <v>58.58</v>
      </c>
      <c r="F382" s="27">
        <f t="shared" si="15"/>
        <v>0.37696267696267693</v>
      </c>
      <c r="G382" s="21" t="str">
        <f>IFERROR(INDEX(Users!$A$2:$A$310,MATCH(A382,Users!$B$2:$B$310,0)),"")</f>
        <v>Service A</v>
      </c>
      <c r="H382" s="21" t="str">
        <f>IFERROR(INDEX(Users!$D$2:$D$310,MATCH(A382,Users!$B$2:$B$310,0)),"")</f>
        <v>Band 3</v>
      </c>
      <c r="I382" s="19" t="b">
        <f t="shared" si="16"/>
        <v>1</v>
      </c>
      <c r="J382" s="33" t="str">
        <f t="shared" si="17"/>
        <v/>
      </c>
    </row>
    <row r="383" spans="1:10">
      <c r="A383" s="19" t="s">
        <v>96</v>
      </c>
      <c r="B383" s="20">
        <v>45748</v>
      </c>
      <c r="C383" s="21">
        <v>148</v>
      </c>
      <c r="D383" s="21">
        <v>65.206666666666663</v>
      </c>
      <c r="E383" s="21">
        <v>52.89</v>
      </c>
      <c r="F383" s="27">
        <f t="shared" si="15"/>
        <v>0.44058558558558558</v>
      </c>
      <c r="G383" s="21" t="str">
        <f>IFERROR(INDEX(Users!$A$2:$A$310,MATCH(A383,Users!$B$2:$B$310,0)),"")</f>
        <v>Service A</v>
      </c>
      <c r="H383" s="21" t="str">
        <f>IFERROR(INDEX(Users!$D$2:$D$310,MATCH(A383,Users!$B$2:$B$310,0)),"")</f>
        <v>Band 3</v>
      </c>
      <c r="I383" s="19" t="b">
        <f t="shared" si="16"/>
        <v>1</v>
      </c>
      <c r="J383" s="33" t="str">
        <f t="shared" si="17"/>
        <v/>
      </c>
    </row>
    <row r="384" spans="1:10">
      <c r="A384" s="19" t="s">
        <v>96</v>
      </c>
      <c r="B384" s="20">
        <v>45778</v>
      </c>
      <c r="C384" s="21">
        <v>148</v>
      </c>
      <c r="D384" s="21">
        <v>133.01000000000002</v>
      </c>
      <c r="E384" s="21">
        <v>98.910000000000011</v>
      </c>
      <c r="F384" s="27">
        <f t="shared" si="15"/>
        <v>0.89871621621621633</v>
      </c>
      <c r="G384" s="21" t="str">
        <f>IFERROR(INDEX(Users!$A$2:$A$310,MATCH(A384,Users!$B$2:$B$310,0)),"")</f>
        <v>Service A</v>
      </c>
      <c r="H384" s="21" t="str">
        <f>IFERROR(INDEX(Users!$D$2:$D$310,MATCH(A384,Users!$B$2:$B$310,0)),"")</f>
        <v>Band 3</v>
      </c>
      <c r="I384" s="19" t="b">
        <f t="shared" si="16"/>
        <v>1</v>
      </c>
      <c r="J384" s="33" t="str">
        <f t="shared" si="17"/>
        <v/>
      </c>
    </row>
    <row r="385" spans="1:10">
      <c r="A385" s="19" t="s">
        <v>96</v>
      </c>
      <c r="B385" s="20">
        <v>45809</v>
      </c>
      <c r="C385" s="21">
        <v>155.4</v>
      </c>
      <c r="D385" s="21">
        <v>161.59</v>
      </c>
      <c r="E385" s="21">
        <v>111.09</v>
      </c>
      <c r="F385" s="27">
        <f t="shared" si="15"/>
        <v>1.0398326898326897</v>
      </c>
      <c r="G385" s="21" t="str">
        <f>IFERROR(INDEX(Users!$A$2:$A$310,MATCH(A385,Users!$B$2:$B$310,0)),"")</f>
        <v>Service A</v>
      </c>
      <c r="H385" s="21" t="str">
        <f>IFERROR(INDEX(Users!$D$2:$D$310,MATCH(A385,Users!$B$2:$B$310,0)),"")</f>
        <v>Band 3</v>
      </c>
      <c r="I385" s="19" t="b">
        <f t="shared" si="16"/>
        <v>1</v>
      </c>
      <c r="J385" s="33" t="str">
        <f t="shared" si="17"/>
        <v/>
      </c>
    </row>
    <row r="386" spans="1:10">
      <c r="A386" s="19" t="s">
        <v>96</v>
      </c>
      <c r="B386" s="20">
        <v>45839</v>
      </c>
      <c r="C386" s="21">
        <v>170.20000000000002</v>
      </c>
      <c r="D386" s="21">
        <v>111.08</v>
      </c>
      <c r="E386" s="21">
        <v>81.08</v>
      </c>
      <c r="F386" s="27">
        <f t="shared" ref="F386:F449" si="18">IFERROR(IF(OR(C386="",D386="",C386=0),"",D386/C386),"")</f>
        <v>0.65264394829612216</v>
      </c>
      <c r="G386" s="21" t="str">
        <f>IFERROR(INDEX(Users!$A$2:$A$310,MATCH(A386,Users!$B$2:$B$310,0)),"")</f>
        <v>Service A</v>
      </c>
      <c r="H386" s="21" t="str">
        <f>IFERROR(INDEX(Users!$D$2:$D$310,MATCH(A386,Users!$B$2:$B$310,0)),"")</f>
        <v>Band 3</v>
      </c>
      <c r="I386" s="19" t="b">
        <f t="shared" ref="I386:I449" si="19">AND(G386="Service A",H386="Band 3")</f>
        <v>1</v>
      </c>
      <c r="J386" s="33" t="str">
        <f t="shared" ref="J386:J449" si="20">IF(AND(B386&gt;=DATE(2025,1,1),B386&lt;DATE(2026,1,1),G386="Service B",OR(H386="Band 3",H386="Band 5"),ISNUMBER(F386)),F386,"")</f>
        <v/>
      </c>
    </row>
    <row r="387" spans="1:10">
      <c r="A387" s="19" t="s">
        <v>96</v>
      </c>
      <c r="B387" s="20">
        <v>45870</v>
      </c>
      <c r="C387" s="21">
        <v>148</v>
      </c>
      <c r="D387" s="21"/>
      <c r="E387" s="21"/>
      <c r="F387" s="27" t="str">
        <f t="shared" si="18"/>
        <v/>
      </c>
      <c r="G387" s="21" t="str">
        <f>IFERROR(INDEX(Users!$A$2:$A$310,MATCH(A387,Users!$B$2:$B$310,0)),"")</f>
        <v>Service A</v>
      </c>
      <c r="H387" s="21" t="str">
        <f>IFERROR(INDEX(Users!$D$2:$D$310,MATCH(A387,Users!$B$2:$B$310,0)),"")</f>
        <v>Band 3</v>
      </c>
      <c r="I387" s="19" t="b">
        <f t="shared" si="19"/>
        <v>1</v>
      </c>
      <c r="J387" s="33" t="str">
        <f t="shared" si="20"/>
        <v/>
      </c>
    </row>
    <row r="388" spans="1:10">
      <c r="A388" s="19" t="s">
        <v>96</v>
      </c>
      <c r="B388" s="20">
        <v>45901</v>
      </c>
      <c r="C388" s="21">
        <v>162.80000000000001</v>
      </c>
      <c r="D388" s="21">
        <v>150.24333333333334</v>
      </c>
      <c r="E388" s="21">
        <v>100.51</v>
      </c>
      <c r="F388" s="27">
        <f t="shared" si="18"/>
        <v>0.92287059787059789</v>
      </c>
      <c r="G388" s="21" t="str">
        <f>IFERROR(INDEX(Users!$A$2:$A$310,MATCH(A388,Users!$B$2:$B$310,0)),"")</f>
        <v>Service A</v>
      </c>
      <c r="H388" s="21" t="str">
        <f>IFERROR(INDEX(Users!$D$2:$D$310,MATCH(A388,Users!$B$2:$B$310,0)),"")</f>
        <v>Band 3</v>
      </c>
      <c r="I388" s="19" t="b">
        <f t="shared" si="19"/>
        <v>1</v>
      </c>
      <c r="J388" s="33" t="str">
        <f t="shared" si="20"/>
        <v/>
      </c>
    </row>
    <row r="389" spans="1:10">
      <c r="A389" s="19" t="s">
        <v>96</v>
      </c>
      <c r="B389" s="20">
        <v>45931</v>
      </c>
      <c r="C389" s="21">
        <v>170.20000000000002</v>
      </c>
      <c r="D389" s="21">
        <v>116.97666666666666</v>
      </c>
      <c r="E389" s="21">
        <v>68.16</v>
      </c>
      <c r="F389" s="27">
        <f t="shared" si="18"/>
        <v>0.68728946337641983</v>
      </c>
      <c r="G389" s="21" t="str">
        <f>IFERROR(INDEX(Users!$A$2:$A$310,MATCH(A389,Users!$B$2:$B$310,0)),"")</f>
        <v>Service A</v>
      </c>
      <c r="H389" s="21" t="str">
        <f>IFERROR(INDEX(Users!$D$2:$D$310,MATCH(A389,Users!$B$2:$B$310,0)),"")</f>
        <v>Band 3</v>
      </c>
      <c r="I389" s="19" t="b">
        <f t="shared" si="19"/>
        <v>1</v>
      </c>
      <c r="J389" s="33" t="str">
        <f t="shared" si="20"/>
        <v/>
      </c>
    </row>
    <row r="390" spans="1:10">
      <c r="A390" s="19" t="s">
        <v>96</v>
      </c>
      <c r="B390" s="20">
        <v>45962</v>
      </c>
      <c r="C390" s="21">
        <v>148</v>
      </c>
      <c r="D390" s="21">
        <v>102.59666666666668</v>
      </c>
      <c r="E390" s="21">
        <v>71.930000000000007</v>
      </c>
      <c r="F390" s="27">
        <f t="shared" si="18"/>
        <v>0.69322072072072083</v>
      </c>
      <c r="G390" s="21" t="str">
        <f>IFERROR(INDEX(Users!$A$2:$A$310,MATCH(A390,Users!$B$2:$B$310,0)),"")</f>
        <v>Service A</v>
      </c>
      <c r="H390" s="21" t="str">
        <f>IFERROR(INDEX(Users!$D$2:$D$310,MATCH(A390,Users!$B$2:$B$310,0)),"")</f>
        <v>Band 3</v>
      </c>
      <c r="I390" s="19" t="b">
        <f t="shared" si="19"/>
        <v>1</v>
      </c>
      <c r="J390" s="33" t="str">
        <f t="shared" si="20"/>
        <v/>
      </c>
    </row>
    <row r="391" spans="1:10">
      <c r="A391" s="19" t="s">
        <v>96</v>
      </c>
      <c r="B391" s="20">
        <v>45992</v>
      </c>
      <c r="C391" s="21">
        <v>155.4</v>
      </c>
      <c r="D391" s="21">
        <v>122.66333333333334</v>
      </c>
      <c r="E391" s="21">
        <v>84.08</v>
      </c>
      <c r="F391" s="27">
        <f t="shared" si="18"/>
        <v>0.78933933933933931</v>
      </c>
      <c r="G391" s="21" t="str">
        <f>IFERROR(INDEX(Users!$A$2:$A$310,MATCH(A391,Users!$B$2:$B$310,0)),"")</f>
        <v>Service A</v>
      </c>
      <c r="H391" s="21" t="str">
        <f>IFERROR(INDEX(Users!$D$2:$D$310,MATCH(A391,Users!$B$2:$B$310,0)),"")</f>
        <v>Band 3</v>
      </c>
      <c r="I391" s="19" t="b">
        <f t="shared" si="19"/>
        <v>1</v>
      </c>
      <c r="J391" s="33" t="str">
        <f t="shared" si="20"/>
        <v/>
      </c>
    </row>
    <row r="392" spans="1:10">
      <c r="A392" s="19" t="s">
        <v>96</v>
      </c>
      <c r="B392" s="20">
        <v>46023</v>
      </c>
      <c r="C392" s="21">
        <v>155.4</v>
      </c>
      <c r="D392" s="21">
        <v>105.22666666666666</v>
      </c>
      <c r="E392" s="21">
        <v>43.66</v>
      </c>
      <c r="F392" s="27">
        <f t="shared" si="18"/>
        <v>0.6771342771342771</v>
      </c>
      <c r="G392" s="21" t="str">
        <f>IFERROR(INDEX(Users!$A$2:$A$310,MATCH(A392,Users!$B$2:$B$310,0)),"")</f>
        <v>Service A</v>
      </c>
      <c r="H392" s="21" t="str">
        <f>IFERROR(INDEX(Users!$D$2:$D$310,MATCH(A392,Users!$B$2:$B$310,0)),"")</f>
        <v>Band 3</v>
      </c>
      <c r="I392" s="19" t="b">
        <f t="shared" si="19"/>
        <v>1</v>
      </c>
      <c r="J392" s="33" t="str">
        <f t="shared" si="20"/>
        <v/>
      </c>
    </row>
    <row r="393" spans="1:10">
      <c r="A393" s="19" t="s">
        <v>97</v>
      </c>
      <c r="B393" s="20">
        <v>45658</v>
      </c>
      <c r="C393" s="21">
        <v>162.80000000000001</v>
      </c>
      <c r="D393" s="21">
        <v>142.66666666666669</v>
      </c>
      <c r="E393" s="21"/>
      <c r="F393" s="27">
        <f t="shared" si="18"/>
        <v>0.87633087633087636</v>
      </c>
      <c r="G393" s="21" t="str">
        <f>IFERROR(INDEX(Users!$A$2:$A$310,MATCH(A393,Users!$B$2:$B$310,0)),"")</f>
        <v>Service D</v>
      </c>
      <c r="H393" s="21" t="str">
        <f>IFERROR(INDEX(Users!$D$2:$D$310,MATCH(A393,Users!$B$2:$B$310,0)),"")</f>
        <v>Band 3</v>
      </c>
      <c r="I393" s="19" t="b">
        <f t="shared" si="19"/>
        <v>0</v>
      </c>
      <c r="J393" s="33" t="str">
        <f t="shared" si="20"/>
        <v/>
      </c>
    </row>
    <row r="394" spans="1:10">
      <c r="A394" s="19" t="s">
        <v>97</v>
      </c>
      <c r="B394" s="20">
        <v>45689</v>
      </c>
      <c r="C394" s="21">
        <v>148</v>
      </c>
      <c r="D394" s="21">
        <v>124.83333333333336</v>
      </c>
      <c r="E394" s="21"/>
      <c r="F394" s="27">
        <f t="shared" si="18"/>
        <v>0.84346846846846868</v>
      </c>
      <c r="G394" s="21" t="str">
        <f>IFERROR(INDEX(Users!$A$2:$A$310,MATCH(A394,Users!$B$2:$B$310,0)),"")</f>
        <v>Service D</v>
      </c>
      <c r="H394" s="21" t="str">
        <f>IFERROR(INDEX(Users!$D$2:$D$310,MATCH(A394,Users!$B$2:$B$310,0)),"")</f>
        <v>Band 3</v>
      </c>
      <c r="I394" s="19" t="b">
        <f t="shared" si="19"/>
        <v>0</v>
      </c>
      <c r="J394" s="33" t="str">
        <f t="shared" si="20"/>
        <v/>
      </c>
    </row>
    <row r="395" spans="1:10">
      <c r="A395" s="19" t="s">
        <v>97</v>
      </c>
      <c r="B395" s="20">
        <v>45717</v>
      </c>
      <c r="C395" s="21">
        <v>155.4</v>
      </c>
      <c r="D395" s="21">
        <v>137.44</v>
      </c>
      <c r="E395" s="21">
        <v>11.94</v>
      </c>
      <c r="F395" s="27">
        <f t="shared" si="18"/>
        <v>0.88442728442728435</v>
      </c>
      <c r="G395" s="21" t="str">
        <f>IFERROR(INDEX(Users!$A$2:$A$310,MATCH(A395,Users!$B$2:$B$310,0)),"")</f>
        <v>Service D</v>
      </c>
      <c r="H395" s="21" t="str">
        <f>IFERROR(INDEX(Users!$D$2:$D$310,MATCH(A395,Users!$B$2:$B$310,0)),"")</f>
        <v>Band 3</v>
      </c>
      <c r="I395" s="19" t="b">
        <f t="shared" si="19"/>
        <v>0</v>
      </c>
      <c r="J395" s="33" t="str">
        <f t="shared" si="20"/>
        <v/>
      </c>
    </row>
    <row r="396" spans="1:10">
      <c r="A396" s="19" t="s">
        <v>97</v>
      </c>
      <c r="B396" s="20">
        <v>45748</v>
      </c>
      <c r="C396" s="21">
        <v>148</v>
      </c>
      <c r="D396" s="21">
        <v>112.34</v>
      </c>
      <c r="E396" s="21">
        <v>26.640000000000008</v>
      </c>
      <c r="F396" s="27">
        <f t="shared" si="18"/>
        <v>0.75905405405405413</v>
      </c>
      <c r="G396" s="21" t="str">
        <f>IFERROR(INDEX(Users!$A$2:$A$310,MATCH(A396,Users!$B$2:$B$310,0)),"")</f>
        <v>Service D</v>
      </c>
      <c r="H396" s="21" t="str">
        <f>IFERROR(INDEX(Users!$D$2:$D$310,MATCH(A396,Users!$B$2:$B$310,0)),"")</f>
        <v>Band 3</v>
      </c>
      <c r="I396" s="19" t="b">
        <f t="shared" si="19"/>
        <v>0</v>
      </c>
      <c r="J396" s="33" t="str">
        <f t="shared" si="20"/>
        <v/>
      </c>
    </row>
    <row r="397" spans="1:10">
      <c r="A397" s="19" t="s">
        <v>97</v>
      </c>
      <c r="B397" s="20">
        <v>45778</v>
      </c>
      <c r="C397" s="21">
        <v>148</v>
      </c>
      <c r="D397" s="21">
        <v>88.153333333333336</v>
      </c>
      <c r="E397" s="21">
        <v>19.57</v>
      </c>
      <c r="F397" s="27">
        <f t="shared" si="18"/>
        <v>0.5956306306306306</v>
      </c>
      <c r="G397" s="21" t="str">
        <f>IFERROR(INDEX(Users!$A$2:$A$310,MATCH(A397,Users!$B$2:$B$310,0)),"")</f>
        <v>Service D</v>
      </c>
      <c r="H397" s="21" t="str">
        <f>IFERROR(INDEX(Users!$D$2:$D$310,MATCH(A397,Users!$B$2:$B$310,0)),"")</f>
        <v>Band 3</v>
      </c>
      <c r="I397" s="19" t="b">
        <f t="shared" si="19"/>
        <v>0</v>
      </c>
      <c r="J397" s="33" t="str">
        <f t="shared" si="20"/>
        <v/>
      </c>
    </row>
    <row r="398" spans="1:10">
      <c r="A398" s="19" t="s">
        <v>97</v>
      </c>
      <c r="B398" s="20">
        <v>45809</v>
      </c>
      <c r="C398" s="21">
        <v>155.4</v>
      </c>
      <c r="D398" s="21">
        <v>148.82</v>
      </c>
      <c r="E398" s="21">
        <v>42.069999999999993</v>
      </c>
      <c r="F398" s="27">
        <f t="shared" si="18"/>
        <v>0.95765765765765754</v>
      </c>
      <c r="G398" s="21" t="str">
        <f>IFERROR(INDEX(Users!$A$2:$A$310,MATCH(A398,Users!$B$2:$B$310,0)),"")</f>
        <v>Service D</v>
      </c>
      <c r="H398" s="21" t="str">
        <f>IFERROR(INDEX(Users!$D$2:$D$310,MATCH(A398,Users!$B$2:$B$310,0)),"")</f>
        <v>Band 3</v>
      </c>
      <c r="I398" s="19" t="b">
        <f t="shared" si="19"/>
        <v>0</v>
      </c>
      <c r="J398" s="33" t="str">
        <f t="shared" si="20"/>
        <v/>
      </c>
    </row>
    <row r="399" spans="1:10">
      <c r="A399" s="19" t="s">
        <v>97</v>
      </c>
      <c r="B399" s="20">
        <v>45839</v>
      </c>
      <c r="C399" s="21">
        <v>140.6</v>
      </c>
      <c r="D399" s="21">
        <v>114.90666666666667</v>
      </c>
      <c r="E399" s="21">
        <v>20.490000000000002</v>
      </c>
      <c r="F399" s="27">
        <f t="shared" si="18"/>
        <v>0.8172593646277857</v>
      </c>
      <c r="G399" s="21" t="str">
        <f>IFERROR(INDEX(Users!$A$2:$A$310,MATCH(A399,Users!$B$2:$B$310,0)),"")</f>
        <v>Service D</v>
      </c>
      <c r="H399" s="21" t="str">
        <f>IFERROR(INDEX(Users!$D$2:$D$310,MATCH(A399,Users!$B$2:$B$310,0)),"")</f>
        <v>Band 3</v>
      </c>
      <c r="I399" s="19" t="b">
        <f t="shared" si="19"/>
        <v>0</v>
      </c>
      <c r="J399" s="33" t="str">
        <f t="shared" si="20"/>
        <v/>
      </c>
    </row>
    <row r="400" spans="1:10">
      <c r="A400" s="19" t="s">
        <v>99</v>
      </c>
      <c r="B400" s="20">
        <v>45658</v>
      </c>
      <c r="C400" s="21">
        <v>162.79999999999998</v>
      </c>
      <c r="D400" s="21">
        <v>144.64999999999998</v>
      </c>
      <c r="E400" s="21">
        <v>83.45</v>
      </c>
      <c r="F400" s="27">
        <f t="shared" si="18"/>
        <v>0.88851351351351349</v>
      </c>
      <c r="G400" s="21" t="str">
        <f>IFERROR(INDEX(Users!$A$2:$A$310,MATCH(A400,Users!$B$2:$B$310,0)),"")</f>
        <v>Service B</v>
      </c>
      <c r="H400" s="21" t="str">
        <f>IFERROR(INDEX(Users!$D$2:$D$310,MATCH(A400,Users!$B$2:$B$310,0)),"")</f>
        <v>Band 5</v>
      </c>
      <c r="I400" s="19" t="b">
        <f t="shared" si="19"/>
        <v>0</v>
      </c>
      <c r="J400" s="33">
        <f t="shared" si="20"/>
        <v>0.88851351351351349</v>
      </c>
    </row>
    <row r="401" spans="1:10">
      <c r="A401" s="19" t="s">
        <v>99</v>
      </c>
      <c r="B401" s="20">
        <v>45689</v>
      </c>
      <c r="C401" s="21">
        <v>148</v>
      </c>
      <c r="D401" s="21">
        <v>124.06</v>
      </c>
      <c r="E401" s="21">
        <v>86.559999999999988</v>
      </c>
      <c r="F401" s="27">
        <f t="shared" si="18"/>
        <v>0.83824324324324329</v>
      </c>
      <c r="G401" s="21" t="str">
        <f>IFERROR(INDEX(Users!$A$2:$A$310,MATCH(A401,Users!$B$2:$B$310,0)),"")</f>
        <v>Service B</v>
      </c>
      <c r="H401" s="21" t="str">
        <f>IFERROR(INDEX(Users!$D$2:$D$310,MATCH(A401,Users!$B$2:$B$310,0)),"")</f>
        <v>Band 5</v>
      </c>
      <c r="I401" s="19" t="b">
        <f t="shared" si="19"/>
        <v>0</v>
      </c>
      <c r="J401" s="33">
        <f t="shared" si="20"/>
        <v>0.83824324324324329</v>
      </c>
    </row>
    <row r="402" spans="1:10">
      <c r="A402" s="19" t="s">
        <v>99</v>
      </c>
      <c r="B402" s="20">
        <v>45717</v>
      </c>
      <c r="C402" s="21">
        <v>155.4</v>
      </c>
      <c r="D402" s="21">
        <v>154.80333333333331</v>
      </c>
      <c r="E402" s="21">
        <v>127.22</v>
      </c>
      <c r="F402" s="27">
        <f t="shared" si="18"/>
        <v>0.99616044616044597</v>
      </c>
      <c r="G402" s="21" t="str">
        <f>IFERROR(INDEX(Users!$A$2:$A$310,MATCH(A402,Users!$B$2:$B$310,0)),"")</f>
        <v>Service B</v>
      </c>
      <c r="H402" s="21" t="str">
        <f>IFERROR(INDEX(Users!$D$2:$D$310,MATCH(A402,Users!$B$2:$B$310,0)),"")</f>
        <v>Band 5</v>
      </c>
      <c r="I402" s="19" t="b">
        <f t="shared" si="19"/>
        <v>0</v>
      </c>
      <c r="J402" s="33">
        <f t="shared" si="20"/>
        <v>0.99616044616044597</v>
      </c>
    </row>
    <row r="403" spans="1:10">
      <c r="A403" s="19" t="s">
        <v>99</v>
      </c>
      <c r="B403" s="20">
        <v>45748</v>
      </c>
      <c r="C403" s="21">
        <v>148</v>
      </c>
      <c r="D403" s="21">
        <v>82.110000000000028</v>
      </c>
      <c r="E403" s="21">
        <v>44.610000000000021</v>
      </c>
      <c r="F403" s="27">
        <f t="shared" si="18"/>
        <v>0.55479729729729743</v>
      </c>
      <c r="G403" s="21" t="str">
        <f>IFERROR(INDEX(Users!$A$2:$A$310,MATCH(A403,Users!$B$2:$B$310,0)),"")</f>
        <v>Service B</v>
      </c>
      <c r="H403" s="21" t="str">
        <f>IFERROR(INDEX(Users!$D$2:$D$310,MATCH(A403,Users!$B$2:$B$310,0)),"")</f>
        <v>Band 5</v>
      </c>
      <c r="I403" s="19" t="b">
        <f t="shared" si="19"/>
        <v>0</v>
      </c>
      <c r="J403" s="33">
        <f t="shared" si="20"/>
        <v>0.55479729729729743</v>
      </c>
    </row>
    <row r="404" spans="1:10">
      <c r="A404" s="19" t="s">
        <v>99</v>
      </c>
      <c r="B404" s="20">
        <v>45778</v>
      </c>
      <c r="C404" s="21">
        <v>148</v>
      </c>
      <c r="D404" s="21">
        <v>120.17666666666665</v>
      </c>
      <c r="E404" s="21">
        <v>77.759999999999977</v>
      </c>
      <c r="F404" s="27">
        <f t="shared" si="18"/>
        <v>0.81200450450450434</v>
      </c>
      <c r="G404" s="21" t="str">
        <f>IFERROR(INDEX(Users!$A$2:$A$310,MATCH(A404,Users!$B$2:$B$310,0)),"")</f>
        <v>Service B</v>
      </c>
      <c r="H404" s="21" t="str">
        <f>IFERROR(INDEX(Users!$D$2:$D$310,MATCH(A404,Users!$B$2:$B$310,0)),"")</f>
        <v>Band 5</v>
      </c>
      <c r="I404" s="19" t="b">
        <f t="shared" si="19"/>
        <v>0</v>
      </c>
      <c r="J404" s="33">
        <f t="shared" si="20"/>
        <v>0.81200450450450434</v>
      </c>
    </row>
    <row r="405" spans="1:10">
      <c r="A405" s="19" t="s">
        <v>99</v>
      </c>
      <c r="B405" s="20">
        <v>45809</v>
      </c>
      <c r="C405" s="21">
        <v>155.4</v>
      </c>
      <c r="D405" s="21">
        <v>160.26</v>
      </c>
      <c r="E405" s="21">
        <v>131.51</v>
      </c>
      <c r="F405" s="27">
        <f t="shared" si="18"/>
        <v>1.0312741312741311</v>
      </c>
      <c r="G405" s="21" t="str">
        <f>IFERROR(INDEX(Users!$A$2:$A$310,MATCH(A405,Users!$B$2:$B$310,0)),"")</f>
        <v>Service B</v>
      </c>
      <c r="H405" s="21" t="str">
        <f>IFERROR(INDEX(Users!$D$2:$D$310,MATCH(A405,Users!$B$2:$B$310,0)),"")</f>
        <v>Band 5</v>
      </c>
      <c r="I405" s="19" t="b">
        <f t="shared" si="19"/>
        <v>0</v>
      </c>
      <c r="J405" s="33">
        <f t="shared" si="20"/>
        <v>1.0312741312741311</v>
      </c>
    </row>
    <row r="406" spans="1:10">
      <c r="A406" s="19" t="s">
        <v>99</v>
      </c>
      <c r="B406" s="20">
        <v>45839</v>
      </c>
      <c r="C406" s="21">
        <v>170.2</v>
      </c>
      <c r="D406" s="21">
        <v>83.28</v>
      </c>
      <c r="E406" s="21">
        <v>53.28</v>
      </c>
      <c r="F406" s="27">
        <f t="shared" si="18"/>
        <v>0.48930669800235022</v>
      </c>
      <c r="G406" s="21" t="str">
        <f>IFERROR(INDEX(Users!$A$2:$A$310,MATCH(A406,Users!$B$2:$B$310,0)),"")</f>
        <v>Service B</v>
      </c>
      <c r="H406" s="21" t="str">
        <f>IFERROR(INDEX(Users!$D$2:$D$310,MATCH(A406,Users!$B$2:$B$310,0)),"")</f>
        <v>Band 5</v>
      </c>
      <c r="I406" s="19" t="b">
        <f t="shared" si="19"/>
        <v>0</v>
      </c>
      <c r="J406" s="33">
        <f t="shared" si="20"/>
        <v>0.48930669800235022</v>
      </c>
    </row>
    <row r="407" spans="1:10">
      <c r="A407" s="19" t="s">
        <v>99</v>
      </c>
      <c r="B407" s="20">
        <v>45870</v>
      </c>
      <c r="C407" s="21">
        <v>148</v>
      </c>
      <c r="D407" s="21">
        <v>100.69000000000001</v>
      </c>
      <c r="E407" s="21">
        <v>84.690000000000012</v>
      </c>
      <c r="F407" s="27">
        <f t="shared" si="18"/>
        <v>0.68033783783783797</v>
      </c>
      <c r="G407" s="21" t="str">
        <f>IFERROR(INDEX(Users!$A$2:$A$310,MATCH(A407,Users!$B$2:$B$310,0)),"")</f>
        <v>Service B</v>
      </c>
      <c r="H407" s="21" t="str">
        <f>IFERROR(INDEX(Users!$D$2:$D$310,MATCH(A407,Users!$B$2:$B$310,0)),"")</f>
        <v>Band 5</v>
      </c>
      <c r="I407" s="19" t="b">
        <f t="shared" si="19"/>
        <v>0</v>
      </c>
      <c r="J407" s="33">
        <f t="shared" si="20"/>
        <v>0.68033783783783797</v>
      </c>
    </row>
    <row r="408" spans="1:10">
      <c r="A408" s="19" t="s">
        <v>99</v>
      </c>
      <c r="B408" s="20">
        <v>45901</v>
      </c>
      <c r="C408" s="21">
        <v>162.80000000000001</v>
      </c>
      <c r="D408" s="21">
        <v>164.44666666666666</v>
      </c>
      <c r="E408" s="21">
        <v>128.53</v>
      </c>
      <c r="F408" s="27">
        <f t="shared" si="18"/>
        <v>1.01011466011466</v>
      </c>
      <c r="G408" s="21" t="str">
        <f>IFERROR(INDEX(Users!$A$2:$A$310,MATCH(A408,Users!$B$2:$B$310,0)),"")</f>
        <v>Service B</v>
      </c>
      <c r="H408" s="21" t="str">
        <f>IFERROR(INDEX(Users!$D$2:$D$310,MATCH(A408,Users!$B$2:$B$310,0)),"")</f>
        <v>Band 5</v>
      </c>
      <c r="I408" s="19" t="b">
        <f t="shared" si="19"/>
        <v>0</v>
      </c>
      <c r="J408" s="33">
        <f t="shared" si="20"/>
        <v>1.01011466011466</v>
      </c>
    </row>
    <row r="409" spans="1:10">
      <c r="A409" s="19" t="s">
        <v>99</v>
      </c>
      <c r="B409" s="20">
        <v>45931</v>
      </c>
      <c r="C409" s="21">
        <v>170.2</v>
      </c>
      <c r="D409" s="21">
        <v>147.70666666666665</v>
      </c>
      <c r="E409" s="21">
        <v>97.539999999999992</v>
      </c>
      <c r="F409" s="27">
        <f t="shared" si="18"/>
        <v>0.86784175479827652</v>
      </c>
      <c r="G409" s="21" t="str">
        <f>IFERROR(INDEX(Users!$A$2:$A$310,MATCH(A409,Users!$B$2:$B$310,0)),"")</f>
        <v>Service B</v>
      </c>
      <c r="H409" s="21" t="str">
        <f>IFERROR(INDEX(Users!$D$2:$D$310,MATCH(A409,Users!$B$2:$B$310,0)),"")</f>
        <v>Band 5</v>
      </c>
      <c r="I409" s="19" t="b">
        <f t="shared" si="19"/>
        <v>0</v>
      </c>
      <c r="J409" s="33">
        <f t="shared" si="20"/>
        <v>0.86784175479827652</v>
      </c>
    </row>
    <row r="410" spans="1:10">
      <c r="A410" s="19" t="s">
        <v>99</v>
      </c>
      <c r="B410" s="20">
        <v>45962</v>
      </c>
      <c r="C410" s="21">
        <v>148</v>
      </c>
      <c r="D410" s="21">
        <v>153.31666666666666</v>
      </c>
      <c r="E410" s="21">
        <v>119.39999999999999</v>
      </c>
      <c r="F410" s="27">
        <f t="shared" si="18"/>
        <v>1.0359234234234234</v>
      </c>
      <c r="G410" s="21" t="str">
        <f>IFERROR(INDEX(Users!$A$2:$A$310,MATCH(A410,Users!$B$2:$B$310,0)),"")</f>
        <v>Service B</v>
      </c>
      <c r="H410" s="21" t="str">
        <f>IFERROR(INDEX(Users!$D$2:$D$310,MATCH(A410,Users!$B$2:$B$310,0)),"")</f>
        <v>Band 5</v>
      </c>
      <c r="I410" s="19" t="b">
        <f t="shared" si="19"/>
        <v>0</v>
      </c>
      <c r="J410" s="33">
        <f t="shared" si="20"/>
        <v>1.0359234234234234</v>
      </c>
    </row>
    <row r="411" spans="1:10">
      <c r="A411" s="19" t="s">
        <v>99</v>
      </c>
      <c r="B411" s="20">
        <v>45992</v>
      </c>
      <c r="C411" s="21">
        <v>155.4</v>
      </c>
      <c r="D411" s="21">
        <v>113.42333333333335</v>
      </c>
      <c r="E411" s="21">
        <v>84.34</v>
      </c>
      <c r="F411" s="27">
        <f t="shared" si="18"/>
        <v>0.7298798798798799</v>
      </c>
      <c r="G411" s="21" t="str">
        <f>IFERROR(INDEX(Users!$A$2:$A$310,MATCH(A411,Users!$B$2:$B$310,0)),"")</f>
        <v>Service B</v>
      </c>
      <c r="H411" s="21" t="str">
        <f>IFERROR(INDEX(Users!$D$2:$D$310,MATCH(A411,Users!$B$2:$B$310,0)),"")</f>
        <v>Band 5</v>
      </c>
      <c r="I411" s="19" t="b">
        <f t="shared" si="19"/>
        <v>0</v>
      </c>
      <c r="J411" s="33">
        <f t="shared" si="20"/>
        <v>0.7298798798798799</v>
      </c>
    </row>
    <row r="412" spans="1:10">
      <c r="A412" s="19" t="s">
        <v>99</v>
      </c>
      <c r="B412" s="20">
        <v>46023</v>
      </c>
      <c r="C412" s="21">
        <v>155.39999999999998</v>
      </c>
      <c r="D412" s="21">
        <v>146.76666666666665</v>
      </c>
      <c r="E412" s="21">
        <v>91.85</v>
      </c>
      <c r="F412" s="27">
        <f t="shared" si="18"/>
        <v>0.94444444444444453</v>
      </c>
      <c r="G412" s="21" t="str">
        <f>IFERROR(INDEX(Users!$A$2:$A$310,MATCH(A412,Users!$B$2:$B$310,0)),"")</f>
        <v>Service B</v>
      </c>
      <c r="H412" s="21" t="str">
        <f>IFERROR(INDEX(Users!$D$2:$D$310,MATCH(A412,Users!$B$2:$B$310,0)),"")</f>
        <v>Band 5</v>
      </c>
      <c r="I412" s="19" t="b">
        <f t="shared" si="19"/>
        <v>0</v>
      </c>
      <c r="J412" s="33" t="str">
        <f t="shared" si="20"/>
        <v/>
      </c>
    </row>
    <row r="413" spans="1:10">
      <c r="A413" s="19" t="s">
        <v>101</v>
      </c>
      <c r="B413" s="20">
        <v>45658</v>
      </c>
      <c r="C413" s="21">
        <v>162.80000000000001</v>
      </c>
      <c r="D413" s="21">
        <v>164.64999999999998</v>
      </c>
      <c r="E413" s="21">
        <v>66.650000000000006</v>
      </c>
      <c r="F413" s="27">
        <f t="shared" si="18"/>
        <v>1.0113636363636362</v>
      </c>
      <c r="G413" s="21" t="str">
        <f>IFERROR(INDEX(Users!$A$2:$A$310,MATCH(A413,Users!$B$2:$B$310,0)),"")</f>
        <v>Service A</v>
      </c>
      <c r="H413" s="21" t="str">
        <f>IFERROR(INDEX(Users!$D$2:$D$310,MATCH(A413,Users!$B$2:$B$310,0)),"")</f>
        <v>Band 5</v>
      </c>
      <c r="I413" s="19" t="b">
        <f t="shared" si="19"/>
        <v>0</v>
      </c>
      <c r="J413" s="33" t="str">
        <f t="shared" si="20"/>
        <v/>
      </c>
    </row>
    <row r="414" spans="1:10">
      <c r="A414" s="19" t="s">
        <v>101</v>
      </c>
      <c r="B414" s="20">
        <v>45689</v>
      </c>
      <c r="C414" s="21">
        <v>148</v>
      </c>
      <c r="D414" s="21">
        <v>146.48666666666668</v>
      </c>
      <c r="E414" s="21">
        <v>72.820000000000007</v>
      </c>
      <c r="F414" s="27">
        <f t="shared" si="18"/>
        <v>0.98977477477477482</v>
      </c>
      <c r="G414" s="21" t="str">
        <f>IFERROR(INDEX(Users!$A$2:$A$310,MATCH(A414,Users!$B$2:$B$310,0)),"")</f>
        <v>Service A</v>
      </c>
      <c r="H414" s="21" t="str">
        <f>IFERROR(INDEX(Users!$D$2:$D$310,MATCH(A414,Users!$B$2:$B$310,0)),"")</f>
        <v>Band 5</v>
      </c>
      <c r="I414" s="19" t="b">
        <f t="shared" si="19"/>
        <v>0</v>
      </c>
      <c r="J414" s="33" t="str">
        <f t="shared" si="20"/>
        <v/>
      </c>
    </row>
    <row r="415" spans="1:10">
      <c r="A415" s="19" t="s">
        <v>101</v>
      </c>
      <c r="B415" s="20">
        <v>45717</v>
      </c>
      <c r="C415" s="21">
        <v>155.4</v>
      </c>
      <c r="D415" s="21">
        <v>151.51333333333338</v>
      </c>
      <c r="E415" s="21">
        <v>73.930000000000021</v>
      </c>
      <c r="F415" s="27">
        <f t="shared" si="18"/>
        <v>0.97498927498927523</v>
      </c>
      <c r="G415" s="21" t="str">
        <f>IFERROR(INDEX(Users!$A$2:$A$310,MATCH(A415,Users!$B$2:$B$310,0)),"")</f>
        <v>Service A</v>
      </c>
      <c r="H415" s="21" t="str">
        <f>IFERROR(INDEX(Users!$D$2:$D$310,MATCH(A415,Users!$B$2:$B$310,0)),"")</f>
        <v>Band 5</v>
      </c>
      <c r="I415" s="19" t="b">
        <f t="shared" si="19"/>
        <v>0</v>
      </c>
      <c r="J415" s="33" t="str">
        <f t="shared" si="20"/>
        <v/>
      </c>
    </row>
    <row r="416" spans="1:10">
      <c r="A416" s="19" t="s">
        <v>101</v>
      </c>
      <c r="B416" s="20">
        <v>45748</v>
      </c>
      <c r="C416" s="21">
        <v>148</v>
      </c>
      <c r="D416" s="21">
        <v>150.48666666666668</v>
      </c>
      <c r="E416" s="21">
        <v>71.27</v>
      </c>
      <c r="F416" s="27">
        <f t="shared" si="18"/>
        <v>1.0168018018018019</v>
      </c>
      <c r="G416" s="21" t="str">
        <f>IFERROR(INDEX(Users!$A$2:$A$310,MATCH(A416,Users!$B$2:$B$310,0)),"")</f>
        <v>Service A</v>
      </c>
      <c r="H416" s="21" t="str">
        <f>IFERROR(INDEX(Users!$D$2:$D$310,MATCH(A416,Users!$B$2:$B$310,0)),"")</f>
        <v>Band 5</v>
      </c>
      <c r="I416" s="19" t="b">
        <f t="shared" si="19"/>
        <v>0</v>
      </c>
      <c r="J416" s="33" t="str">
        <f t="shared" si="20"/>
        <v/>
      </c>
    </row>
    <row r="417" spans="1:10">
      <c r="A417" s="19" t="s">
        <v>101</v>
      </c>
      <c r="B417" s="20">
        <v>45778</v>
      </c>
      <c r="C417" s="21">
        <v>148</v>
      </c>
      <c r="D417" s="21">
        <v>122.40333333333338</v>
      </c>
      <c r="E417" s="21">
        <v>75.970000000000041</v>
      </c>
      <c r="F417" s="27">
        <f t="shared" si="18"/>
        <v>0.8270495495495499</v>
      </c>
      <c r="G417" s="21" t="str">
        <f>IFERROR(INDEX(Users!$A$2:$A$310,MATCH(A417,Users!$B$2:$B$310,0)),"")</f>
        <v>Service A</v>
      </c>
      <c r="H417" s="21" t="str">
        <f>IFERROR(INDEX(Users!$D$2:$D$310,MATCH(A417,Users!$B$2:$B$310,0)),"")</f>
        <v>Band 5</v>
      </c>
      <c r="I417" s="19" t="b">
        <f t="shared" si="19"/>
        <v>0</v>
      </c>
      <c r="J417" s="33" t="str">
        <f t="shared" si="20"/>
        <v/>
      </c>
    </row>
    <row r="418" spans="1:10">
      <c r="A418" s="19" t="s">
        <v>101</v>
      </c>
      <c r="B418" s="20">
        <v>45809</v>
      </c>
      <c r="C418" s="21">
        <v>155.4</v>
      </c>
      <c r="D418" s="21">
        <v>155.53333333333333</v>
      </c>
      <c r="E418" s="21">
        <v>92.9</v>
      </c>
      <c r="F418" s="27">
        <f t="shared" si="18"/>
        <v>1.0008580008580008</v>
      </c>
      <c r="G418" s="21" t="str">
        <f>IFERROR(INDEX(Users!$A$2:$A$310,MATCH(A418,Users!$B$2:$B$310,0)),"")</f>
        <v>Service A</v>
      </c>
      <c r="H418" s="21" t="str">
        <f>IFERROR(INDEX(Users!$D$2:$D$310,MATCH(A418,Users!$B$2:$B$310,0)),"")</f>
        <v>Band 5</v>
      </c>
      <c r="I418" s="19" t="b">
        <f t="shared" si="19"/>
        <v>0</v>
      </c>
      <c r="J418" s="33" t="str">
        <f t="shared" si="20"/>
        <v/>
      </c>
    </row>
    <row r="419" spans="1:10">
      <c r="A419" s="19" t="s">
        <v>101</v>
      </c>
      <c r="B419" s="20">
        <v>45839</v>
      </c>
      <c r="C419" s="21">
        <v>170.20000000000002</v>
      </c>
      <c r="D419" s="21">
        <v>164.8</v>
      </c>
      <c r="E419" s="21">
        <v>100.00000000000001</v>
      </c>
      <c r="F419" s="27">
        <f t="shared" si="18"/>
        <v>0.96827262044653351</v>
      </c>
      <c r="G419" s="21" t="str">
        <f>IFERROR(INDEX(Users!$A$2:$A$310,MATCH(A419,Users!$B$2:$B$310,0)),"")</f>
        <v>Service A</v>
      </c>
      <c r="H419" s="21" t="str">
        <f>IFERROR(INDEX(Users!$D$2:$D$310,MATCH(A419,Users!$B$2:$B$310,0)),"")</f>
        <v>Band 5</v>
      </c>
      <c r="I419" s="19" t="b">
        <f t="shared" si="19"/>
        <v>0</v>
      </c>
      <c r="J419" s="33" t="str">
        <f t="shared" si="20"/>
        <v/>
      </c>
    </row>
    <row r="420" spans="1:10">
      <c r="A420" s="19" t="s">
        <v>101</v>
      </c>
      <c r="B420" s="20">
        <v>45870</v>
      </c>
      <c r="C420" s="21">
        <v>148</v>
      </c>
      <c r="D420" s="21">
        <v>117.88333333333333</v>
      </c>
      <c r="E420" s="21">
        <v>73.3</v>
      </c>
      <c r="F420" s="27">
        <f t="shared" si="18"/>
        <v>0.79650900900900901</v>
      </c>
      <c r="G420" s="21" t="str">
        <f>IFERROR(INDEX(Users!$A$2:$A$310,MATCH(A420,Users!$B$2:$B$310,0)),"")</f>
        <v>Service A</v>
      </c>
      <c r="H420" s="21" t="str">
        <f>IFERROR(INDEX(Users!$D$2:$D$310,MATCH(A420,Users!$B$2:$B$310,0)),"")</f>
        <v>Band 5</v>
      </c>
      <c r="I420" s="19" t="b">
        <f t="shared" si="19"/>
        <v>0</v>
      </c>
      <c r="J420" s="33" t="str">
        <f t="shared" si="20"/>
        <v/>
      </c>
    </row>
    <row r="421" spans="1:10">
      <c r="A421" s="19" t="s">
        <v>101</v>
      </c>
      <c r="B421" s="20">
        <v>45901</v>
      </c>
      <c r="C421" s="21">
        <v>162.80000000000001</v>
      </c>
      <c r="D421" s="21">
        <v>169.83666666666662</v>
      </c>
      <c r="E421" s="21">
        <v>107.41999999999997</v>
      </c>
      <c r="F421" s="27">
        <f t="shared" si="18"/>
        <v>1.0432227682227679</v>
      </c>
      <c r="G421" s="21" t="str">
        <f>IFERROR(INDEX(Users!$A$2:$A$310,MATCH(A421,Users!$B$2:$B$310,0)),"")</f>
        <v>Service A</v>
      </c>
      <c r="H421" s="21" t="str">
        <f>IFERROR(INDEX(Users!$D$2:$D$310,MATCH(A421,Users!$B$2:$B$310,0)),"")</f>
        <v>Band 5</v>
      </c>
      <c r="I421" s="19" t="b">
        <f t="shared" si="19"/>
        <v>0</v>
      </c>
      <c r="J421" s="33" t="str">
        <f t="shared" si="20"/>
        <v/>
      </c>
    </row>
    <row r="422" spans="1:10">
      <c r="A422" s="19" t="s">
        <v>101</v>
      </c>
      <c r="B422" s="20">
        <v>45931</v>
      </c>
      <c r="C422" s="21">
        <v>170.20000000000002</v>
      </c>
      <c r="D422" s="21">
        <v>169.52666666666661</v>
      </c>
      <c r="E422" s="21">
        <v>103.15999999999995</v>
      </c>
      <c r="F422" s="27">
        <f t="shared" si="18"/>
        <v>0.99604386995691307</v>
      </c>
      <c r="G422" s="21" t="str">
        <f>IFERROR(INDEX(Users!$A$2:$A$310,MATCH(A422,Users!$B$2:$B$310,0)),"")</f>
        <v>Service A</v>
      </c>
      <c r="H422" s="21" t="str">
        <f>IFERROR(INDEX(Users!$D$2:$D$310,MATCH(A422,Users!$B$2:$B$310,0)),"")</f>
        <v>Band 5</v>
      </c>
      <c r="I422" s="19" t="b">
        <f t="shared" si="19"/>
        <v>0</v>
      </c>
      <c r="J422" s="33" t="str">
        <f t="shared" si="20"/>
        <v/>
      </c>
    </row>
    <row r="423" spans="1:10">
      <c r="A423" s="19" t="s">
        <v>101</v>
      </c>
      <c r="B423" s="20">
        <v>45962</v>
      </c>
      <c r="C423" s="21">
        <v>148</v>
      </c>
      <c r="D423" s="21">
        <v>135.06333333333333</v>
      </c>
      <c r="E423" s="21">
        <v>70.030000000000015</v>
      </c>
      <c r="F423" s="27">
        <f t="shared" si="18"/>
        <v>0.91259009009009007</v>
      </c>
      <c r="G423" s="21" t="str">
        <f>IFERROR(INDEX(Users!$A$2:$A$310,MATCH(A423,Users!$B$2:$B$310,0)),"")</f>
        <v>Service A</v>
      </c>
      <c r="H423" s="21" t="str">
        <f>IFERROR(INDEX(Users!$D$2:$D$310,MATCH(A423,Users!$B$2:$B$310,0)),"")</f>
        <v>Band 5</v>
      </c>
      <c r="I423" s="19" t="b">
        <f t="shared" si="19"/>
        <v>0</v>
      </c>
      <c r="J423" s="33" t="str">
        <f t="shared" si="20"/>
        <v/>
      </c>
    </row>
    <row r="424" spans="1:10">
      <c r="A424" s="19" t="s">
        <v>101</v>
      </c>
      <c r="B424" s="20">
        <v>45992</v>
      </c>
      <c r="C424" s="21">
        <v>155.4</v>
      </c>
      <c r="D424" s="21">
        <v>123.57</v>
      </c>
      <c r="E424" s="21">
        <v>79.52</v>
      </c>
      <c r="F424" s="27">
        <f t="shared" si="18"/>
        <v>0.79517374517374506</v>
      </c>
      <c r="G424" s="21" t="str">
        <f>IFERROR(INDEX(Users!$A$2:$A$310,MATCH(A424,Users!$B$2:$B$310,0)),"")</f>
        <v>Service A</v>
      </c>
      <c r="H424" s="21" t="str">
        <f>IFERROR(INDEX(Users!$D$2:$D$310,MATCH(A424,Users!$B$2:$B$310,0)),"")</f>
        <v>Band 5</v>
      </c>
      <c r="I424" s="19" t="b">
        <f t="shared" si="19"/>
        <v>0</v>
      </c>
      <c r="J424" s="33" t="str">
        <f t="shared" si="20"/>
        <v/>
      </c>
    </row>
    <row r="425" spans="1:10">
      <c r="A425" s="19" t="s">
        <v>101</v>
      </c>
      <c r="B425" s="20">
        <v>46023</v>
      </c>
      <c r="C425" s="21">
        <v>155.4</v>
      </c>
      <c r="D425" s="21">
        <v>124.41999999999999</v>
      </c>
      <c r="E425" s="21">
        <v>60.769999999999989</v>
      </c>
      <c r="F425" s="27">
        <f t="shared" si="18"/>
        <v>0.80064350064350054</v>
      </c>
      <c r="G425" s="21" t="str">
        <f>IFERROR(INDEX(Users!$A$2:$A$310,MATCH(A425,Users!$B$2:$B$310,0)),"")</f>
        <v>Service A</v>
      </c>
      <c r="H425" s="21" t="str">
        <f>IFERROR(INDEX(Users!$D$2:$D$310,MATCH(A425,Users!$B$2:$B$310,0)),"")</f>
        <v>Band 5</v>
      </c>
      <c r="I425" s="19" t="b">
        <f t="shared" si="19"/>
        <v>0</v>
      </c>
      <c r="J425" s="33" t="str">
        <f t="shared" si="20"/>
        <v/>
      </c>
    </row>
    <row r="426" spans="1:10">
      <c r="A426" s="19" t="s">
        <v>102</v>
      </c>
      <c r="B426" s="20">
        <v>45901</v>
      </c>
      <c r="C426" s="21">
        <v>51.8</v>
      </c>
      <c r="D426" s="21">
        <v>15.066666666666666</v>
      </c>
      <c r="E426" s="21"/>
      <c r="F426" s="27">
        <f t="shared" si="18"/>
        <v>0.29086229086229087</v>
      </c>
      <c r="G426" s="21" t="str">
        <f>IFERROR(INDEX(Users!$A$2:$A$310,MATCH(A426,Users!$B$2:$B$310,0)),"")</f>
        <v>Service B</v>
      </c>
      <c r="H426" s="21" t="str">
        <f>IFERROR(INDEX(Users!$D$2:$D$310,MATCH(A426,Users!$B$2:$B$310,0)),"")</f>
        <v>Band 5</v>
      </c>
      <c r="I426" s="19" t="b">
        <f t="shared" si="19"/>
        <v>0</v>
      </c>
      <c r="J426" s="33">
        <f t="shared" si="20"/>
        <v>0.29086229086229087</v>
      </c>
    </row>
    <row r="427" spans="1:10">
      <c r="A427" s="19" t="s">
        <v>102</v>
      </c>
      <c r="B427" s="20">
        <v>45931</v>
      </c>
      <c r="C427" s="21">
        <v>170.20000000000007</v>
      </c>
      <c r="D427" s="21">
        <v>155.43000000000006</v>
      </c>
      <c r="E427" s="21">
        <v>0.03</v>
      </c>
      <c r="F427" s="27">
        <f t="shared" si="18"/>
        <v>0.91321974148061102</v>
      </c>
      <c r="G427" s="21" t="str">
        <f>IFERROR(INDEX(Users!$A$2:$A$310,MATCH(A427,Users!$B$2:$B$310,0)),"")</f>
        <v>Service B</v>
      </c>
      <c r="H427" s="21" t="str">
        <f>IFERROR(INDEX(Users!$D$2:$D$310,MATCH(A427,Users!$B$2:$B$310,0)),"")</f>
        <v>Band 5</v>
      </c>
      <c r="I427" s="19" t="b">
        <f t="shared" si="19"/>
        <v>0</v>
      </c>
      <c r="J427" s="33">
        <f t="shared" si="20"/>
        <v>0.91321974148061102</v>
      </c>
    </row>
    <row r="428" spans="1:10">
      <c r="A428" s="19" t="s">
        <v>102</v>
      </c>
      <c r="B428" s="20">
        <v>45962</v>
      </c>
      <c r="C428" s="21"/>
      <c r="D428" s="21"/>
      <c r="E428" s="21"/>
      <c r="F428" s="27" t="str">
        <f t="shared" si="18"/>
        <v/>
      </c>
      <c r="G428" s="21" t="str">
        <f>IFERROR(INDEX(Users!$A$2:$A$310,MATCH(A428,Users!$B$2:$B$310,0)),"")</f>
        <v>Service B</v>
      </c>
      <c r="H428" s="21" t="str">
        <f>IFERROR(INDEX(Users!$D$2:$D$310,MATCH(A428,Users!$B$2:$B$310,0)),"")</f>
        <v>Band 5</v>
      </c>
      <c r="I428" s="19" t="b">
        <f t="shared" si="19"/>
        <v>0</v>
      </c>
      <c r="J428" s="33" t="str">
        <f t="shared" si="20"/>
        <v/>
      </c>
    </row>
    <row r="429" spans="1:10">
      <c r="A429" s="19" t="s">
        <v>103</v>
      </c>
      <c r="B429" s="20">
        <v>45658</v>
      </c>
      <c r="C429" s="21">
        <v>162.80000000000001</v>
      </c>
      <c r="D429" s="21">
        <v>164.05</v>
      </c>
      <c r="E429" s="21">
        <v>139.05000000000001</v>
      </c>
      <c r="F429" s="27">
        <f t="shared" si="18"/>
        <v>1.0076781326781328</v>
      </c>
      <c r="G429" s="21" t="str">
        <f>IFERROR(INDEX(Users!$A$2:$A$310,MATCH(A429,Users!$B$2:$B$310,0)),"")</f>
        <v>Service A</v>
      </c>
      <c r="H429" s="21" t="str">
        <f>IFERROR(INDEX(Users!$D$2:$D$310,MATCH(A429,Users!$B$2:$B$310,0)),"")</f>
        <v>Band 5</v>
      </c>
      <c r="I429" s="19" t="b">
        <f t="shared" si="19"/>
        <v>0</v>
      </c>
      <c r="J429" s="33" t="str">
        <f t="shared" si="20"/>
        <v/>
      </c>
    </row>
    <row r="430" spans="1:10">
      <c r="A430" s="19" t="s">
        <v>103</v>
      </c>
      <c r="B430" s="20">
        <v>45689</v>
      </c>
      <c r="C430" s="21">
        <v>148</v>
      </c>
      <c r="D430" s="21">
        <v>135.67000000000002</v>
      </c>
      <c r="E430" s="21">
        <v>96.670000000000016</v>
      </c>
      <c r="F430" s="27">
        <f t="shared" si="18"/>
        <v>0.91668918918918929</v>
      </c>
      <c r="G430" s="21" t="str">
        <f>IFERROR(INDEX(Users!$A$2:$A$310,MATCH(A430,Users!$B$2:$B$310,0)),"")</f>
        <v>Service A</v>
      </c>
      <c r="H430" s="21" t="str">
        <f>IFERROR(INDEX(Users!$D$2:$D$310,MATCH(A430,Users!$B$2:$B$310,0)),"")</f>
        <v>Band 5</v>
      </c>
      <c r="I430" s="19" t="b">
        <f t="shared" si="19"/>
        <v>0</v>
      </c>
      <c r="J430" s="33" t="str">
        <f t="shared" si="20"/>
        <v/>
      </c>
    </row>
    <row r="431" spans="1:10">
      <c r="A431" s="19" t="s">
        <v>103</v>
      </c>
      <c r="B431" s="20">
        <v>45717</v>
      </c>
      <c r="C431" s="21">
        <v>155.4</v>
      </c>
      <c r="D431" s="21">
        <v>136.1466666666667</v>
      </c>
      <c r="E431" s="21">
        <v>108.58000000000004</v>
      </c>
      <c r="F431" s="27">
        <f t="shared" si="18"/>
        <v>0.87610467610467635</v>
      </c>
      <c r="G431" s="21" t="str">
        <f>IFERROR(INDEX(Users!$A$2:$A$310,MATCH(A431,Users!$B$2:$B$310,0)),"")</f>
        <v>Service A</v>
      </c>
      <c r="H431" s="21" t="str">
        <f>IFERROR(INDEX(Users!$D$2:$D$310,MATCH(A431,Users!$B$2:$B$310,0)),"")</f>
        <v>Band 5</v>
      </c>
      <c r="I431" s="19" t="b">
        <f t="shared" si="19"/>
        <v>0</v>
      </c>
      <c r="J431" s="33" t="str">
        <f t="shared" si="20"/>
        <v/>
      </c>
    </row>
    <row r="432" spans="1:10">
      <c r="A432" s="19" t="s">
        <v>103</v>
      </c>
      <c r="B432" s="20">
        <v>45748</v>
      </c>
      <c r="C432" s="21">
        <v>148</v>
      </c>
      <c r="D432" s="21">
        <v>145.19333333333338</v>
      </c>
      <c r="E432" s="21">
        <v>118.11000000000004</v>
      </c>
      <c r="F432" s="27">
        <f t="shared" si="18"/>
        <v>0.9810360360360364</v>
      </c>
      <c r="G432" s="21" t="str">
        <f>IFERROR(INDEX(Users!$A$2:$A$310,MATCH(A432,Users!$B$2:$B$310,0)),"")</f>
        <v>Service A</v>
      </c>
      <c r="H432" s="21" t="str">
        <f>IFERROR(INDEX(Users!$D$2:$D$310,MATCH(A432,Users!$B$2:$B$310,0)),"")</f>
        <v>Band 5</v>
      </c>
      <c r="I432" s="19" t="b">
        <f t="shared" si="19"/>
        <v>0</v>
      </c>
      <c r="J432" s="33" t="str">
        <f t="shared" si="20"/>
        <v/>
      </c>
    </row>
    <row r="433" spans="1:10">
      <c r="A433" s="19" t="s">
        <v>103</v>
      </c>
      <c r="B433" s="20">
        <v>45778</v>
      </c>
      <c r="C433" s="21">
        <v>148</v>
      </c>
      <c r="D433" s="21">
        <v>132.83000000000001</v>
      </c>
      <c r="E433" s="21">
        <v>110.58000000000001</v>
      </c>
      <c r="F433" s="27">
        <f t="shared" si="18"/>
        <v>0.89750000000000008</v>
      </c>
      <c r="G433" s="21" t="str">
        <f>IFERROR(INDEX(Users!$A$2:$A$310,MATCH(A433,Users!$B$2:$B$310,0)),"")</f>
        <v>Service A</v>
      </c>
      <c r="H433" s="21" t="str">
        <f>IFERROR(INDEX(Users!$D$2:$D$310,MATCH(A433,Users!$B$2:$B$310,0)),"")</f>
        <v>Band 5</v>
      </c>
      <c r="I433" s="19" t="b">
        <f t="shared" si="19"/>
        <v>0</v>
      </c>
      <c r="J433" s="33" t="str">
        <f t="shared" si="20"/>
        <v/>
      </c>
    </row>
    <row r="434" spans="1:10">
      <c r="A434" s="19" t="s">
        <v>103</v>
      </c>
      <c r="B434" s="20">
        <v>45809</v>
      </c>
      <c r="C434" s="21">
        <v>155.4</v>
      </c>
      <c r="D434" s="21">
        <v>148.57666666666668</v>
      </c>
      <c r="E434" s="21">
        <v>107.41000000000001</v>
      </c>
      <c r="F434" s="27">
        <f t="shared" si="18"/>
        <v>0.95609180609180611</v>
      </c>
      <c r="G434" s="21" t="str">
        <f>IFERROR(INDEX(Users!$A$2:$A$310,MATCH(A434,Users!$B$2:$B$310,0)),"")</f>
        <v>Service A</v>
      </c>
      <c r="H434" s="21" t="str">
        <f>IFERROR(INDEX(Users!$D$2:$D$310,MATCH(A434,Users!$B$2:$B$310,0)),"")</f>
        <v>Band 5</v>
      </c>
      <c r="I434" s="19" t="b">
        <f t="shared" si="19"/>
        <v>0</v>
      </c>
      <c r="J434" s="33" t="str">
        <f t="shared" si="20"/>
        <v/>
      </c>
    </row>
    <row r="435" spans="1:10">
      <c r="A435" s="19" t="s">
        <v>103</v>
      </c>
      <c r="B435" s="20">
        <v>45839</v>
      </c>
      <c r="C435" s="21">
        <v>170.20000000000002</v>
      </c>
      <c r="D435" s="21">
        <v>166.67000000000002</v>
      </c>
      <c r="E435" s="21">
        <v>106.17000000000002</v>
      </c>
      <c r="F435" s="27">
        <f t="shared" si="18"/>
        <v>0.97925969447708583</v>
      </c>
      <c r="G435" s="21" t="str">
        <f>IFERROR(INDEX(Users!$A$2:$A$310,MATCH(A435,Users!$B$2:$B$310,0)),"")</f>
        <v>Service A</v>
      </c>
      <c r="H435" s="21" t="str">
        <f>IFERROR(INDEX(Users!$D$2:$D$310,MATCH(A435,Users!$B$2:$B$310,0)),"")</f>
        <v>Band 5</v>
      </c>
      <c r="I435" s="19" t="b">
        <f t="shared" si="19"/>
        <v>0</v>
      </c>
      <c r="J435" s="33" t="str">
        <f t="shared" si="20"/>
        <v/>
      </c>
    </row>
    <row r="436" spans="1:10">
      <c r="A436" s="19" t="s">
        <v>103</v>
      </c>
      <c r="B436" s="20">
        <v>45870</v>
      </c>
      <c r="C436" s="21">
        <v>148</v>
      </c>
      <c r="D436" s="21">
        <v>101.32000000000001</v>
      </c>
      <c r="E436" s="21">
        <v>75.320000000000007</v>
      </c>
      <c r="F436" s="27">
        <f t="shared" si="18"/>
        <v>0.6845945945945946</v>
      </c>
      <c r="G436" s="21" t="str">
        <f>IFERROR(INDEX(Users!$A$2:$A$310,MATCH(A436,Users!$B$2:$B$310,0)),"")</f>
        <v>Service A</v>
      </c>
      <c r="H436" s="21" t="str">
        <f>IFERROR(INDEX(Users!$D$2:$D$310,MATCH(A436,Users!$B$2:$B$310,0)),"")</f>
        <v>Band 5</v>
      </c>
      <c r="I436" s="19" t="b">
        <f t="shared" si="19"/>
        <v>0</v>
      </c>
      <c r="J436" s="33" t="str">
        <f t="shared" si="20"/>
        <v/>
      </c>
    </row>
    <row r="437" spans="1:10">
      <c r="A437" s="19" t="s">
        <v>103</v>
      </c>
      <c r="B437" s="20">
        <v>45901</v>
      </c>
      <c r="C437" s="21">
        <v>162.80000000000001</v>
      </c>
      <c r="D437" s="21">
        <v>164.03666666666666</v>
      </c>
      <c r="E437" s="21">
        <v>106.72</v>
      </c>
      <c r="F437" s="27">
        <f t="shared" si="18"/>
        <v>1.0075962325962324</v>
      </c>
      <c r="G437" s="21" t="str">
        <f>IFERROR(INDEX(Users!$A$2:$A$310,MATCH(A437,Users!$B$2:$B$310,0)),"")</f>
        <v>Service A</v>
      </c>
      <c r="H437" s="21" t="str">
        <f>IFERROR(INDEX(Users!$D$2:$D$310,MATCH(A437,Users!$B$2:$B$310,0)),"")</f>
        <v>Band 5</v>
      </c>
      <c r="I437" s="19" t="b">
        <f t="shared" si="19"/>
        <v>0</v>
      </c>
      <c r="J437" s="33" t="str">
        <f t="shared" si="20"/>
        <v/>
      </c>
    </row>
    <row r="438" spans="1:10">
      <c r="A438" s="19" t="s">
        <v>103</v>
      </c>
      <c r="B438" s="20">
        <v>45931</v>
      </c>
      <c r="C438" s="21">
        <v>170.20000000000002</v>
      </c>
      <c r="D438" s="21">
        <v>79.533333333333331</v>
      </c>
      <c r="E438" s="21">
        <v>53.95</v>
      </c>
      <c r="F438" s="27">
        <f t="shared" si="18"/>
        <v>0.46729338033685852</v>
      </c>
      <c r="G438" s="21" t="str">
        <f>IFERROR(INDEX(Users!$A$2:$A$310,MATCH(A438,Users!$B$2:$B$310,0)),"")</f>
        <v>Service A</v>
      </c>
      <c r="H438" s="21" t="str">
        <f>IFERROR(INDEX(Users!$D$2:$D$310,MATCH(A438,Users!$B$2:$B$310,0)),"")</f>
        <v>Band 5</v>
      </c>
      <c r="I438" s="19" t="b">
        <f t="shared" si="19"/>
        <v>0</v>
      </c>
      <c r="J438" s="33" t="str">
        <f t="shared" si="20"/>
        <v/>
      </c>
    </row>
    <row r="439" spans="1:10">
      <c r="A439" s="19" t="s">
        <v>103</v>
      </c>
      <c r="B439" s="20">
        <v>45962</v>
      </c>
      <c r="C439" s="21">
        <v>148</v>
      </c>
      <c r="D439" s="21">
        <v>140.90666666666667</v>
      </c>
      <c r="E439" s="21">
        <v>97.99</v>
      </c>
      <c r="F439" s="27">
        <f t="shared" si="18"/>
        <v>0.95207207207207212</v>
      </c>
      <c r="G439" s="21" t="str">
        <f>IFERROR(INDEX(Users!$A$2:$A$310,MATCH(A439,Users!$B$2:$B$310,0)),"")</f>
        <v>Service A</v>
      </c>
      <c r="H439" s="21" t="str">
        <f>IFERROR(INDEX(Users!$D$2:$D$310,MATCH(A439,Users!$B$2:$B$310,0)),"")</f>
        <v>Band 5</v>
      </c>
      <c r="I439" s="19" t="b">
        <f t="shared" si="19"/>
        <v>0</v>
      </c>
      <c r="J439" s="33" t="str">
        <f t="shared" si="20"/>
        <v/>
      </c>
    </row>
    <row r="440" spans="1:10">
      <c r="A440" s="19" t="s">
        <v>105</v>
      </c>
      <c r="B440" s="20">
        <v>45658</v>
      </c>
      <c r="C440" s="21">
        <v>162.80000000000001</v>
      </c>
      <c r="D440" s="21">
        <v>139.88666666666666</v>
      </c>
      <c r="E440" s="21">
        <v>62.469999999999992</v>
      </c>
      <c r="F440" s="27">
        <f t="shared" si="18"/>
        <v>0.85925470925470915</v>
      </c>
      <c r="G440" s="21" t="str">
        <f>IFERROR(INDEX(Users!$A$2:$A$310,MATCH(A440,Users!$B$2:$B$310,0)),"")</f>
        <v>Service A</v>
      </c>
      <c r="H440" s="21" t="str">
        <f>IFERROR(INDEX(Users!$D$2:$D$310,MATCH(A440,Users!$B$2:$B$310,0)),"")</f>
        <v>Band 5</v>
      </c>
      <c r="I440" s="19" t="b">
        <f t="shared" si="19"/>
        <v>0</v>
      </c>
      <c r="J440" s="33" t="str">
        <f t="shared" si="20"/>
        <v/>
      </c>
    </row>
    <row r="441" spans="1:10">
      <c r="A441" s="19" t="s">
        <v>105</v>
      </c>
      <c r="B441" s="20">
        <v>45689</v>
      </c>
      <c r="C441" s="21">
        <v>148</v>
      </c>
      <c r="D441" s="21">
        <v>150.47333333333333</v>
      </c>
      <c r="E441" s="21">
        <v>77.64</v>
      </c>
      <c r="F441" s="27">
        <f t="shared" si="18"/>
        <v>1.0167117117117117</v>
      </c>
      <c r="G441" s="21" t="str">
        <f>IFERROR(INDEX(Users!$A$2:$A$310,MATCH(A441,Users!$B$2:$B$310,0)),"")</f>
        <v>Service A</v>
      </c>
      <c r="H441" s="21" t="str">
        <f>IFERROR(INDEX(Users!$D$2:$D$310,MATCH(A441,Users!$B$2:$B$310,0)),"")</f>
        <v>Band 5</v>
      </c>
      <c r="I441" s="19" t="b">
        <f t="shared" si="19"/>
        <v>0</v>
      </c>
      <c r="J441" s="33" t="str">
        <f t="shared" si="20"/>
        <v/>
      </c>
    </row>
    <row r="442" spans="1:10">
      <c r="A442" s="19" t="s">
        <v>105</v>
      </c>
      <c r="B442" s="20">
        <v>45717</v>
      </c>
      <c r="C442" s="21">
        <v>155.4</v>
      </c>
      <c r="D442" s="21">
        <v>150.77999999999997</v>
      </c>
      <c r="E442" s="21">
        <v>80.78</v>
      </c>
      <c r="F442" s="27">
        <f t="shared" si="18"/>
        <v>0.97027027027027002</v>
      </c>
      <c r="G442" s="21" t="str">
        <f>IFERROR(INDEX(Users!$A$2:$A$310,MATCH(A442,Users!$B$2:$B$310,0)),"")</f>
        <v>Service A</v>
      </c>
      <c r="H442" s="21" t="str">
        <f>IFERROR(INDEX(Users!$D$2:$D$310,MATCH(A442,Users!$B$2:$B$310,0)),"")</f>
        <v>Band 5</v>
      </c>
      <c r="I442" s="19" t="b">
        <f t="shared" si="19"/>
        <v>0</v>
      </c>
      <c r="J442" s="33" t="str">
        <f t="shared" si="20"/>
        <v/>
      </c>
    </row>
    <row r="443" spans="1:10">
      <c r="A443" s="19" t="s">
        <v>105</v>
      </c>
      <c r="B443" s="20">
        <v>45748</v>
      </c>
      <c r="C443" s="21">
        <v>148</v>
      </c>
      <c r="D443" s="21">
        <v>144.6</v>
      </c>
      <c r="E443" s="21">
        <v>91.6</v>
      </c>
      <c r="F443" s="27">
        <f t="shared" si="18"/>
        <v>0.97702702702702704</v>
      </c>
      <c r="G443" s="21" t="str">
        <f>IFERROR(INDEX(Users!$A$2:$A$310,MATCH(A443,Users!$B$2:$B$310,0)),"")</f>
        <v>Service A</v>
      </c>
      <c r="H443" s="21" t="str">
        <f>IFERROR(INDEX(Users!$D$2:$D$310,MATCH(A443,Users!$B$2:$B$310,0)),"")</f>
        <v>Band 5</v>
      </c>
      <c r="I443" s="19" t="b">
        <f t="shared" si="19"/>
        <v>0</v>
      </c>
      <c r="J443" s="33" t="str">
        <f t="shared" si="20"/>
        <v/>
      </c>
    </row>
    <row r="444" spans="1:10">
      <c r="A444" s="19" t="s">
        <v>105</v>
      </c>
      <c r="B444" s="20">
        <v>45778</v>
      </c>
      <c r="C444" s="21">
        <v>148</v>
      </c>
      <c r="D444" s="21">
        <v>79.94</v>
      </c>
      <c r="E444" s="21">
        <v>53.94</v>
      </c>
      <c r="F444" s="27">
        <f t="shared" si="18"/>
        <v>0.54013513513513511</v>
      </c>
      <c r="G444" s="21" t="str">
        <f>IFERROR(INDEX(Users!$A$2:$A$310,MATCH(A444,Users!$B$2:$B$310,0)),"")</f>
        <v>Service A</v>
      </c>
      <c r="H444" s="21" t="str">
        <f>IFERROR(INDEX(Users!$D$2:$D$310,MATCH(A444,Users!$B$2:$B$310,0)),"")</f>
        <v>Band 5</v>
      </c>
      <c r="I444" s="19" t="b">
        <f t="shared" si="19"/>
        <v>0</v>
      </c>
      <c r="J444" s="33" t="str">
        <f t="shared" si="20"/>
        <v/>
      </c>
    </row>
    <row r="445" spans="1:10">
      <c r="A445" s="19" t="s">
        <v>105</v>
      </c>
      <c r="B445" s="20">
        <v>45809</v>
      </c>
      <c r="C445" s="21">
        <v>155.4</v>
      </c>
      <c r="D445" s="21">
        <v>108.55</v>
      </c>
      <c r="E445" s="21">
        <v>64.55</v>
      </c>
      <c r="F445" s="27">
        <f t="shared" si="18"/>
        <v>0.69851994851994847</v>
      </c>
      <c r="G445" s="21" t="str">
        <f>IFERROR(INDEX(Users!$A$2:$A$310,MATCH(A445,Users!$B$2:$B$310,0)),"")</f>
        <v>Service A</v>
      </c>
      <c r="H445" s="21" t="str">
        <f>IFERROR(INDEX(Users!$D$2:$D$310,MATCH(A445,Users!$B$2:$B$310,0)),"")</f>
        <v>Band 5</v>
      </c>
      <c r="I445" s="19" t="b">
        <f t="shared" si="19"/>
        <v>0</v>
      </c>
      <c r="J445" s="33" t="str">
        <f t="shared" si="20"/>
        <v/>
      </c>
    </row>
    <row r="446" spans="1:10">
      <c r="A446" s="19" t="s">
        <v>105</v>
      </c>
      <c r="B446" s="20">
        <v>45839</v>
      </c>
      <c r="C446" s="21">
        <v>170.20000000000002</v>
      </c>
      <c r="D446" s="21">
        <v>170.27000000000004</v>
      </c>
      <c r="E446" s="21">
        <v>88.27</v>
      </c>
      <c r="F446" s="27">
        <f t="shared" si="18"/>
        <v>1.0004112808460637</v>
      </c>
      <c r="G446" s="21" t="str">
        <f>IFERROR(INDEX(Users!$A$2:$A$310,MATCH(A446,Users!$B$2:$B$310,0)),"")</f>
        <v>Service A</v>
      </c>
      <c r="H446" s="21" t="str">
        <f>IFERROR(INDEX(Users!$D$2:$D$310,MATCH(A446,Users!$B$2:$B$310,0)),"")</f>
        <v>Band 5</v>
      </c>
      <c r="I446" s="19" t="b">
        <f t="shared" si="19"/>
        <v>0</v>
      </c>
      <c r="J446" s="33" t="str">
        <f t="shared" si="20"/>
        <v/>
      </c>
    </row>
    <row r="447" spans="1:10">
      <c r="A447" s="19" t="s">
        <v>105</v>
      </c>
      <c r="B447" s="20">
        <v>45870</v>
      </c>
      <c r="C447" s="21">
        <v>148</v>
      </c>
      <c r="D447" s="21">
        <v>111.35</v>
      </c>
      <c r="E447" s="21">
        <v>54.6</v>
      </c>
      <c r="F447" s="27">
        <f t="shared" si="18"/>
        <v>0.75236486486486487</v>
      </c>
      <c r="G447" s="21" t="str">
        <f>IFERROR(INDEX(Users!$A$2:$A$310,MATCH(A447,Users!$B$2:$B$310,0)),"")</f>
        <v>Service A</v>
      </c>
      <c r="H447" s="21" t="str">
        <f>IFERROR(INDEX(Users!$D$2:$D$310,MATCH(A447,Users!$B$2:$B$310,0)),"")</f>
        <v>Band 5</v>
      </c>
      <c r="I447" s="19" t="b">
        <f t="shared" si="19"/>
        <v>0</v>
      </c>
      <c r="J447" s="33" t="str">
        <f t="shared" si="20"/>
        <v/>
      </c>
    </row>
    <row r="448" spans="1:10">
      <c r="A448" s="19" t="s">
        <v>105</v>
      </c>
      <c r="B448" s="20">
        <v>45901</v>
      </c>
      <c r="C448" s="21">
        <v>162.80000000000001</v>
      </c>
      <c r="D448" s="21">
        <v>166.47333333333336</v>
      </c>
      <c r="E448" s="21">
        <v>103.89</v>
      </c>
      <c r="F448" s="27">
        <f t="shared" si="18"/>
        <v>1.0225634725634727</v>
      </c>
      <c r="G448" s="21" t="str">
        <f>IFERROR(INDEX(Users!$A$2:$A$310,MATCH(A448,Users!$B$2:$B$310,0)),"")</f>
        <v>Service A</v>
      </c>
      <c r="H448" s="21" t="str">
        <f>IFERROR(INDEX(Users!$D$2:$D$310,MATCH(A448,Users!$B$2:$B$310,0)),"")</f>
        <v>Band 5</v>
      </c>
      <c r="I448" s="19" t="b">
        <f t="shared" si="19"/>
        <v>0</v>
      </c>
      <c r="J448" s="33" t="str">
        <f t="shared" si="20"/>
        <v/>
      </c>
    </row>
    <row r="449" spans="1:10">
      <c r="A449" s="19" t="s">
        <v>105</v>
      </c>
      <c r="B449" s="20">
        <v>45931</v>
      </c>
      <c r="C449" s="21">
        <v>170.20000000000002</v>
      </c>
      <c r="D449" s="21">
        <v>152.79000000000002</v>
      </c>
      <c r="E449" s="21">
        <v>91.29</v>
      </c>
      <c r="F449" s="27">
        <f t="shared" si="18"/>
        <v>0.8977085781433608</v>
      </c>
      <c r="G449" s="21" t="str">
        <f>IFERROR(INDEX(Users!$A$2:$A$310,MATCH(A449,Users!$B$2:$B$310,0)),"")</f>
        <v>Service A</v>
      </c>
      <c r="H449" s="21" t="str">
        <f>IFERROR(INDEX(Users!$D$2:$D$310,MATCH(A449,Users!$B$2:$B$310,0)),"")</f>
        <v>Band 5</v>
      </c>
      <c r="I449" s="19" t="b">
        <f t="shared" si="19"/>
        <v>0</v>
      </c>
      <c r="J449" s="33" t="str">
        <f t="shared" si="20"/>
        <v/>
      </c>
    </row>
    <row r="450" spans="1:10">
      <c r="A450" s="19" t="s">
        <v>105</v>
      </c>
      <c r="B450" s="20">
        <v>45962</v>
      </c>
      <c r="C450" s="21">
        <v>148</v>
      </c>
      <c r="D450" s="21">
        <v>65.286666666666662</v>
      </c>
      <c r="E450" s="21">
        <v>40.870000000000005</v>
      </c>
      <c r="F450" s="27">
        <f t="shared" ref="F450:F513" si="21">IFERROR(IF(OR(C450="",D450="",C450=0),"",D450/C450),"")</f>
        <v>0.44112612612612612</v>
      </c>
      <c r="G450" s="21" t="str">
        <f>IFERROR(INDEX(Users!$A$2:$A$310,MATCH(A450,Users!$B$2:$B$310,0)),"")</f>
        <v>Service A</v>
      </c>
      <c r="H450" s="21" t="str">
        <f>IFERROR(INDEX(Users!$D$2:$D$310,MATCH(A450,Users!$B$2:$B$310,0)),"")</f>
        <v>Band 5</v>
      </c>
      <c r="I450" s="19" t="b">
        <f t="shared" ref="I450:I513" si="22">AND(G450="Service A",H450="Band 3")</f>
        <v>0</v>
      </c>
      <c r="J450" s="33" t="str">
        <f t="shared" ref="J450:J513" si="23">IF(AND(B450&gt;=DATE(2025,1,1),B450&lt;DATE(2026,1,1),G450="Service B",OR(H450="Band 3",H450="Band 5"),ISNUMBER(F450)),F450,"")</f>
        <v/>
      </c>
    </row>
    <row r="451" spans="1:10">
      <c r="A451" s="19" t="s">
        <v>105</v>
      </c>
      <c r="B451" s="20">
        <v>45992</v>
      </c>
      <c r="C451" s="21">
        <v>155.4</v>
      </c>
      <c r="D451" s="21">
        <v>137.88999999999999</v>
      </c>
      <c r="E451" s="21">
        <v>91.39</v>
      </c>
      <c r="F451" s="27">
        <f t="shared" si="21"/>
        <v>0.88732303732303719</v>
      </c>
      <c r="G451" s="21" t="str">
        <f>IFERROR(INDEX(Users!$A$2:$A$310,MATCH(A451,Users!$B$2:$B$310,0)),"")</f>
        <v>Service A</v>
      </c>
      <c r="H451" s="21" t="str">
        <f>IFERROR(INDEX(Users!$D$2:$D$310,MATCH(A451,Users!$B$2:$B$310,0)),"")</f>
        <v>Band 5</v>
      </c>
      <c r="I451" s="19" t="b">
        <f t="shared" si="22"/>
        <v>0</v>
      </c>
      <c r="J451" s="33" t="str">
        <f t="shared" si="23"/>
        <v/>
      </c>
    </row>
    <row r="452" spans="1:10">
      <c r="A452" s="19" t="s">
        <v>105</v>
      </c>
      <c r="B452" s="20">
        <v>46023</v>
      </c>
      <c r="C452" s="21">
        <v>155.4</v>
      </c>
      <c r="D452" s="21">
        <v>150.67000000000002</v>
      </c>
      <c r="E452" s="21">
        <v>78.42</v>
      </c>
      <c r="F452" s="27">
        <f t="shared" si="21"/>
        <v>0.96956241956241962</v>
      </c>
      <c r="G452" s="21" t="str">
        <f>IFERROR(INDEX(Users!$A$2:$A$310,MATCH(A452,Users!$B$2:$B$310,0)),"")</f>
        <v>Service A</v>
      </c>
      <c r="H452" s="21" t="str">
        <f>IFERROR(INDEX(Users!$D$2:$D$310,MATCH(A452,Users!$B$2:$B$310,0)),"")</f>
        <v>Band 5</v>
      </c>
      <c r="I452" s="19" t="b">
        <f t="shared" si="22"/>
        <v>0</v>
      </c>
      <c r="J452" s="33" t="str">
        <f t="shared" si="23"/>
        <v/>
      </c>
    </row>
    <row r="453" spans="1:10">
      <c r="A453" s="19" t="s">
        <v>106</v>
      </c>
      <c r="B453" s="20">
        <v>45658</v>
      </c>
      <c r="C453" s="21">
        <v>162.80000000000001</v>
      </c>
      <c r="D453" s="21">
        <v>135.07000000000005</v>
      </c>
      <c r="E453" s="21">
        <v>70.820000000000036</v>
      </c>
      <c r="F453" s="27">
        <f t="shared" si="21"/>
        <v>0.82966830466830488</v>
      </c>
      <c r="G453" s="21" t="str">
        <f>IFERROR(INDEX(Users!$A$2:$A$310,MATCH(A453,Users!$B$2:$B$310,0)),"")</f>
        <v>Service A</v>
      </c>
      <c r="H453" s="21" t="str">
        <f>IFERROR(INDEX(Users!$D$2:$D$310,MATCH(A453,Users!$B$2:$B$310,0)),"")</f>
        <v>Band 5</v>
      </c>
      <c r="I453" s="19" t="b">
        <f t="shared" si="22"/>
        <v>0</v>
      </c>
      <c r="J453" s="33" t="str">
        <f t="shared" si="23"/>
        <v/>
      </c>
    </row>
    <row r="454" spans="1:10">
      <c r="A454" s="19" t="s">
        <v>106</v>
      </c>
      <c r="B454" s="20">
        <v>45689</v>
      </c>
      <c r="C454" s="21">
        <v>148</v>
      </c>
      <c r="D454" s="21">
        <v>77.91</v>
      </c>
      <c r="E454" s="21">
        <v>28.91</v>
      </c>
      <c r="F454" s="27">
        <f t="shared" si="21"/>
        <v>0.5264189189189189</v>
      </c>
      <c r="G454" s="21" t="str">
        <f>IFERROR(INDEX(Users!$A$2:$A$310,MATCH(A454,Users!$B$2:$B$310,0)),"")</f>
        <v>Service A</v>
      </c>
      <c r="H454" s="21" t="str">
        <f>IFERROR(INDEX(Users!$D$2:$D$310,MATCH(A454,Users!$B$2:$B$310,0)),"")</f>
        <v>Band 5</v>
      </c>
      <c r="I454" s="19" t="b">
        <f t="shared" si="22"/>
        <v>0</v>
      </c>
      <c r="J454" s="33" t="str">
        <f t="shared" si="23"/>
        <v/>
      </c>
    </row>
    <row r="455" spans="1:10">
      <c r="A455" s="19" t="s">
        <v>106</v>
      </c>
      <c r="B455" s="20">
        <v>45717</v>
      </c>
      <c r="C455" s="21">
        <v>155.4</v>
      </c>
      <c r="D455" s="21"/>
      <c r="E455" s="21"/>
      <c r="F455" s="27" t="str">
        <f t="shared" si="21"/>
        <v/>
      </c>
      <c r="G455" s="21" t="str">
        <f>IFERROR(INDEX(Users!$A$2:$A$310,MATCH(A455,Users!$B$2:$B$310,0)),"")</f>
        <v>Service A</v>
      </c>
      <c r="H455" s="21" t="str">
        <f>IFERROR(INDEX(Users!$D$2:$D$310,MATCH(A455,Users!$B$2:$B$310,0)),"")</f>
        <v>Band 5</v>
      </c>
      <c r="I455" s="19" t="b">
        <f t="shared" si="22"/>
        <v>0</v>
      </c>
      <c r="J455" s="33" t="str">
        <f t="shared" si="23"/>
        <v/>
      </c>
    </row>
    <row r="456" spans="1:10">
      <c r="A456" s="19" t="s">
        <v>106</v>
      </c>
      <c r="B456" s="20">
        <v>45748</v>
      </c>
      <c r="C456" s="21">
        <v>148</v>
      </c>
      <c r="D456" s="21"/>
      <c r="E456" s="21"/>
      <c r="F456" s="27" t="str">
        <f t="shared" si="21"/>
        <v/>
      </c>
      <c r="G456" s="21" t="str">
        <f>IFERROR(INDEX(Users!$A$2:$A$310,MATCH(A456,Users!$B$2:$B$310,0)),"")</f>
        <v>Service A</v>
      </c>
      <c r="H456" s="21" t="str">
        <f>IFERROR(INDEX(Users!$D$2:$D$310,MATCH(A456,Users!$B$2:$B$310,0)),"")</f>
        <v>Band 5</v>
      </c>
      <c r="I456" s="19" t="b">
        <f t="shared" si="22"/>
        <v>0</v>
      </c>
      <c r="J456" s="33" t="str">
        <f t="shared" si="23"/>
        <v/>
      </c>
    </row>
    <row r="457" spans="1:10">
      <c r="A457" s="19" t="s">
        <v>106</v>
      </c>
      <c r="B457" s="20">
        <v>45778</v>
      </c>
      <c r="C457" s="21">
        <v>148</v>
      </c>
      <c r="D457" s="21">
        <v>46</v>
      </c>
      <c r="E457" s="21"/>
      <c r="F457" s="27">
        <f t="shared" si="21"/>
        <v>0.3108108108108108</v>
      </c>
      <c r="G457" s="21" t="str">
        <f>IFERROR(INDEX(Users!$A$2:$A$310,MATCH(A457,Users!$B$2:$B$310,0)),"")</f>
        <v>Service A</v>
      </c>
      <c r="H457" s="21" t="str">
        <f>IFERROR(INDEX(Users!$D$2:$D$310,MATCH(A457,Users!$B$2:$B$310,0)),"")</f>
        <v>Band 5</v>
      </c>
      <c r="I457" s="19" t="b">
        <f t="shared" si="22"/>
        <v>0</v>
      </c>
      <c r="J457" s="33" t="str">
        <f t="shared" si="23"/>
        <v/>
      </c>
    </row>
    <row r="458" spans="1:10">
      <c r="A458" s="19" t="s">
        <v>106</v>
      </c>
      <c r="B458" s="20">
        <v>45809</v>
      </c>
      <c r="C458" s="21">
        <v>155.4</v>
      </c>
      <c r="D458" s="21">
        <v>110.64333333333335</v>
      </c>
      <c r="E458" s="21">
        <v>54.56</v>
      </c>
      <c r="F458" s="27">
        <f t="shared" si="21"/>
        <v>0.71199056199056199</v>
      </c>
      <c r="G458" s="21" t="str">
        <f>IFERROR(INDEX(Users!$A$2:$A$310,MATCH(A458,Users!$B$2:$B$310,0)),"")</f>
        <v>Service A</v>
      </c>
      <c r="H458" s="21" t="str">
        <f>IFERROR(INDEX(Users!$D$2:$D$310,MATCH(A458,Users!$B$2:$B$310,0)),"")</f>
        <v>Band 5</v>
      </c>
      <c r="I458" s="19" t="b">
        <f t="shared" si="22"/>
        <v>0</v>
      </c>
      <c r="J458" s="33" t="str">
        <f t="shared" si="23"/>
        <v/>
      </c>
    </row>
    <row r="459" spans="1:10">
      <c r="A459" s="19" t="s">
        <v>106</v>
      </c>
      <c r="B459" s="20">
        <v>45839</v>
      </c>
      <c r="C459" s="21">
        <v>170.20000000000002</v>
      </c>
      <c r="D459" s="21">
        <v>169.05</v>
      </c>
      <c r="E459" s="21">
        <v>105.55</v>
      </c>
      <c r="F459" s="27">
        <f t="shared" si="21"/>
        <v>0.9932432432432432</v>
      </c>
      <c r="G459" s="21" t="str">
        <f>IFERROR(INDEX(Users!$A$2:$A$310,MATCH(A459,Users!$B$2:$B$310,0)),"")</f>
        <v>Service A</v>
      </c>
      <c r="H459" s="21" t="str">
        <f>IFERROR(INDEX(Users!$D$2:$D$310,MATCH(A459,Users!$B$2:$B$310,0)),"")</f>
        <v>Band 5</v>
      </c>
      <c r="I459" s="19" t="b">
        <f t="shared" si="22"/>
        <v>0</v>
      </c>
      <c r="J459" s="33" t="str">
        <f t="shared" si="23"/>
        <v/>
      </c>
    </row>
    <row r="460" spans="1:10">
      <c r="A460" s="19" t="s">
        <v>106</v>
      </c>
      <c r="B460" s="20">
        <v>45870</v>
      </c>
      <c r="C460" s="21">
        <v>148</v>
      </c>
      <c r="D460" s="21">
        <v>68.446666666666658</v>
      </c>
      <c r="E460" s="21">
        <v>40.779999999999994</v>
      </c>
      <c r="F460" s="27">
        <f t="shared" si="21"/>
        <v>0.46247747747747742</v>
      </c>
      <c r="G460" s="21" t="str">
        <f>IFERROR(INDEX(Users!$A$2:$A$310,MATCH(A460,Users!$B$2:$B$310,0)),"")</f>
        <v>Service A</v>
      </c>
      <c r="H460" s="21" t="str">
        <f>IFERROR(INDEX(Users!$D$2:$D$310,MATCH(A460,Users!$B$2:$B$310,0)),"")</f>
        <v>Band 5</v>
      </c>
      <c r="I460" s="19" t="b">
        <f t="shared" si="22"/>
        <v>0</v>
      </c>
      <c r="J460" s="33" t="str">
        <f t="shared" si="23"/>
        <v/>
      </c>
    </row>
    <row r="461" spans="1:10">
      <c r="A461" s="19" t="s">
        <v>106</v>
      </c>
      <c r="B461" s="20">
        <v>45901</v>
      </c>
      <c r="C461" s="21">
        <v>162.80000000000001</v>
      </c>
      <c r="D461" s="21">
        <v>152.62333333333333</v>
      </c>
      <c r="E461" s="21">
        <v>79.040000000000006</v>
      </c>
      <c r="F461" s="27">
        <f t="shared" si="21"/>
        <v>0.93748976248976246</v>
      </c>
      <c r="G461" s="21" t="str">
        <f>IFERROR(INDEX(Users!$A$2:$A$310,MATCH(A461,Users!$B$2:$B$310,0)),"")</f>
        <v>Service A</v>
      </c>
      <c r="H461" s="21" t="str">
        <f>IFERROR(INDEX(Users!$D$2:$D$310,MATCH(A461,Users!$B$2:$B$310,0)),"")</f>
        <v>Band 5</v>
      </c>
      <c r="I461" s="19" t="b">
        <f t="shared" si="22"/>
        <v>0</v>
      </c>
      <c r="J461" s="33" t="str">
        <f t="shared" si="23"/>
        <v/>
      </c>
    </row>
    <row r="462" spans="1:10">
      <c r="A462" s="19" t="s">
        <v>106</v>
      </c>
      <c r="B462" s="20">
        <v>45931</v>
      </c>
      <c r="C462" s="21">
        <v>170.20000000000002</v>
      </c>
      <c r="D462" s="21">
        <v>163.83666666666667</v>
      </c>
      <c r="E462" s="21">
        <v>88.17</v>
      </c>
      <c r="F462" s="27">
        <f t="shared" si="21"/>
        <v>0.96261261261261255</v>
      </c>
      <c r="G462" s="21" t="str">
        <f>IFERROR(INDEX(Users!$A$2:$A$310,MATCH(A462,Users!$B$2:$B$310,0)),"")</f>
        <v>Service A</v>
      </c>
      <c r="H462" s="21" t="str">
        <f>IFERROR(INDEX(Users!$D$2:$D$310,MATCH(A462,Users!$B$2:$B$310,0)),"")</f>
        <v>Band 5</v>
      </c>
      <c r="I462" s="19" t="b">
        <f t="shared" si="22"/>
        <v>0</v>
      </c>
      <c r="J462" s="33" t="str">
        <f t="shared" si="23"/>
        <v/>
      </c>
    </row>
    <row r="463" spans="1:10">
      <c r="A463" s="19" t="s">
        <v>106</v>
      </c>
      <c r="B463" s="20">
        <v>45962</v>
      </c>
      <c r="C463" s="21">
        <v>148</v>
      </c>
      <c r="D463" s="21">
        <v>106.68</v>
      </c>
      <c r="E463" s="21">
        <v>47.680000000000007</v>
      </c>
      <c r="F463" s="27">
        <f t="shared" si="21"/>
        <v>0.72081081081081089</v>
      </c>
      <c r="G463" s="21" t="str">
        <f>IFERROR(INDEX(Users!$A$2:$A$310,MATCH(A463,Users!$B$2:$B$310,0)),"")</f>
        <v>Service A</v>
      </c>
      <c r="H463" s="21" t="str">
        <f>IFERROR(INDEX(Users!$D$2:$D$310,MATCH(A463,Users!$B$2:$B$310,0)),"")</f>
        <v>Band 5</v>
      </c>
      <c r="I463" s="19" t="b">
        <f t="shared" si="22"/>
        <v>0</v>
      </c>
      <c r="J463" s="33" t="str">
        <f t="shared" si="23"/>
        <v/>
      </c>
    </row>
    <row r="464" spans="1:10">
      <c r="A464" s="19" t="s">
        <v>106</v>
      </c>
      <c r="B464" s="20">
        <v>45992</v>
      </c>
      <c r="C464" s="21">
        <v>155.4</v>
      </c>
      <c r="D464" s="21"/>
      <c r="E464" s="21"/>
      <c r="F464" s="27" t="str">
        <f t="shared" si="21"/>
        <v/>
      </c>
      <c r="G464" s="21" t="str">
        <f>IFERROR(INDEX(Users!$A$2:$A$310,MATCH(A464,Users!$B$2:$B$310,0)),"")</f>
        <v>Service A</v>
      </c>
      <c r="H464" s="21" t="str">
        <f>IFERROR(INDEX(Users!$D$2:$D$310,MATCH(A464,Users!$B$2:$B$310,0)),"")</f>
        <v>Band 5</v>
      </c>
      <c r="I464" s="19" t="b">
        <f t="shared" si="22"/>
        <v>0</v>
      </c>
      <c r="J464" s="33" t="str">
        <f t="shared" si="23"/>
        <v/>
      </c>
    </row>
    <row r="465" spans="1:10">
      <c r="A465" s="19" t="s">
        <v>106</v>
      </c>
      <c r="B465" s="20">
        <v>46023</v>
      </c>
      <c r="C465" s="21">
        <v>155.4</v>
      </c>
      <c r="D465" s="21"/>
      <c r="E465" s="21"/>
      <c r="F465" s="27" t="str">
        <f t="shared" si="21"/>
        <v/>
      </c>
      <c r="G465" s="21" t="str">
        <f>IFERROR(INDEX(Users!$A$2:$A$310,MATCH(A465,Users!$B$2:$B$310,0)),"")</f>
        <v>Service A</v>
      </c>
      <c r="H465" s="21" t="str">
        <f>IFERROR(INDEX(Users!$D$2:$D$310,MATCH(A465,Users!$B$2:$B$310,0)),"")</f>
        <v>Band 5</v>
      </c>
      <c r="I465" s="19" t="b">
        <f t="shared" si="22"/>
        <v>0</v>
      </c>
      <c r="J465" s="33" t="str">
        <f t="shared" si="23"/>
        <v/>
      </c>
    </row>
    <row r="466" spans="1:10">
      <c r="A466" s="19" t="s">
        <v>110</v>
      </c>
      <c r="B466" s="20">
        <v>45658</v>
      </c>
      <c r="C466" s="21">
        <v>162.80000000000001</v>
      </c>
      <c r="D466" s="21">
        <v>6.24</v>
      </c>
      <c r="E466" s="21">
        <v>6.24</v>
      </c>
      <c r="F466" s="27">
        <f t="shared" si="21"/>
        <v>3.8329238329238326E-2</v>
      </c>
      <c r="G466" s="21" t="str">
        <f>IFERROR(INDEX(Users!$A$2:$A$310,MATCH(A466,Users!$B$2:$B$310,0)),"")</f>
        <v>Service B</v>
      </c>
      <c r="H466" s="21" t="str">
        <f>IFERROR(INDEX(Users!$D$2:$D$310,MATCH(A466,Users!$B$2:$B$310,0)),"")</f>
        <v>Band 3</v>
      </c>
      <c r="I466" s="19" t="b">
        <f t="shared" si="22"/>
        <v>0</v>
      </c>
      <c r="J466" s="33">
        <f t="shared" si="23"/>
        <v>3.8329238329238326E-2</v>
      </c>
    </row>
    <row r="467" spans="1:10">
      <c r="A467" s="19" t="s">
        <v>110</v>
      </c>
      <c r="B467" s="20">
        <v>45689</v>
      </c>
      <c r="C467" s="21">
        <v>148</v>
      </c>
      <c r="D467" s="21">
        <v>145.65500000000003</v>
      </c>
      <c r="E467" s="21">
        <v>76.509999999999991</v>
      </c>
      <c r="F467" s="27">
        <f t="shared" si="21"/>
        <v>0.98415540540540558</v>
      </c>
      <c r="G467" s="21" t="str">
        <f>IFERROR(INDEX(Users!$A$2:$A$310,MATCH(A467,Users!$B$2:$B$310,0)),"")</f>
        <v>Service B</v>
      </c>
      <c r="H467" s="21" t="str">
        <f>IFERROR(INDEX(Users!$D$2:$D$310,MATCH(A467,Users!$B$2:$B$310,0)),"")</f>
        <v>Band 3</v>
      </c>
      <c r="I467" s="19" t="b">
        <f t="shared" si="22"/>
        <v>0</v>
      </c>
      <c r="J467" s="33">
        <f t="shared" si="23"/>
        <v>0.98415540540540558</v>
      </c>
    </row>
    <row r="468" spans="1:10">
      <c r="A468" s="19" t="s">
        <v>110</v>
      </c>
      <c r="B468" s="20">
        <v>45717</v>
      </c>
      <c r="C468" s="21">
        <v>155.4</v>
      </c>
      <c r="D468" s="21">
        <v>157.96999999999997</v>
      </c>
      <c r="E468" s="21">
        <v>77.270000000000024</v>
      </c>
      <c r="F468" s="27">
        <f t="shared" si="21"/>
        <v>1.0165379665379664</v>
      </c>
      <c r="G468" s="21" t="str">
        <f>IFERROR(INDEX(Users!$A$2:$A$310,MATCH(A468,Users!$B$2:$B$310,0)),"")</f>
        <v>Service B</v>
      </c>
      <c r="H468" s="21" t="str">
        <f>IFERROR(INDEX(Users!$D$2:$D$310,MATCH(A468,Users!$B$2:$B$310,0)),"")</f>
        <v>Band 3</v>
      </c>
      <c r="I468" s="19" t="b">
        <f t="shared" si="22"/>
        <v>0</v>
      </c>
      <c r="J468" s="33">
        <f t="shared" si="23"/>
        <v>1.0165379665379664</v>
      </c>
    </row>
    <row r="469" spans="1:10">
      <c r="A469" s="19" t="s">
        <v>110</v>
      </c>
      <c r="B469" s="20">
        <v>45748</v>
      </c>
      <c r="C469" s="21">
        <v>148</v>
      </c>
      <c r="D469" s="21">
        <v>126.87333333333333</v>
      </c>
      <c r="E469" s="21">
        <v>82.09</v>
      </c>
      <c r="F469" s="27">
        <f t="shared" si="21"/>
        <v>0.85725225225225221</v>
      </c>
      <c r="G469" s="21" t="str">
        <f>IFERROR(INDEX(Users!$A$2:$A$310,MATCH(A469,Users!$B$2:$B$310,0)),"")</f>
        <v>Service B</v>
      </c>
      <c r="H469" s="21" t="str">
        <f>IFERROR(INDEX(Users!$D$2:$D$310,MATCH(A469,Users!$B$2:$B$310,0)),"")</f>
        <v>Band 3</v>
      </c>
      <c r="I469" s="19" t="b">
        <f t="shared" si="22"/>
        <v>0</v>
      </c>
      <c r="J469" s="33">
        <f t="shared" si="23"/>
        <v>0.85725225225225221</v>
      </c>
    </row>
    <row r="470" spans="1:10">
      <c r="A470" s="19" t="s">
        <v>110</v>
      </c>
      <c r="B470" s="20">
        <v>45778</v>
      </c>
      <c r="C470" s="21">
        <v>148</v>
      </c>
      <c r="D470" s="21">
        <v>107.27666666666667</v>
      </c>
      <c r="E470" s="21">
        <v>68.81</v>
      </c>
      <c r="F470" s="27">
        <f t="shared" si="21"/>
        <v>0.72484234234234235</v>
      </c>
      <c r="G470" s="21" t="str">
        <f>IFERROR(INDEX(Users!$A$2:$A$310,MATCH(A470,Users!$B$2:$B$310,0)),"")</f>
        <v>Service B</v>
      </c>
      <c r="H470" s="21" t="str">
        <f>IFERROR(INDEX(Users!$D$2:$D$310,MATCH(A470,Users!$B$2:$B$310,0)),"")</f>
        <v>Band 3</v>
      </c>
      <c r="I470" s="19" t="b">
        <f t="shared" si="22"/>
        <v>0</v>
      </c>
      <c r="J470" s="33">
        <f t="shared" si="23"/>
        <v>0.72484234234234235</v>
      </c>
    </row>
    <row r="471" spans="1:10">
      <c r="A471" s="19" t="s">
        <v>110</v>
      </c>
      <c r="B471" s="20">
        <v>45809</v>
      </c>
      <c r="C471" s="21">
        <v>155.4</v>
      </c>
      <c r="D471" s="21">
        <v>112.76333333333335</v>
      </c>
      <c r="E471" s="21">
        <v>78.63000000000001</v>
      </c>
      <c r="F471" s="27">
        <f t="shared" si="21"/>
        <v>0.72563277563277573</v>
      </c>
      <c r="G471" s="21" t="str">
        <f>IFERROR(INDEX(Users!$A$2:$A$310,MATCH(A471,Users!$B$2:$B$310,0)),"")</f>
        <v>Service B</v>
      </c>
      <c r="H471" s="21" t="str">
        <f>IFERROR(INDEX(Users!$D$2:$D$310,MATCH(A471,Users!$B$2:$B$310,0)),"")</f>
        <v>Band 3</v>
      </c>
      <c r="I471" s="19" t="b">
        <f t="shared" si="22"/>
        <v>0</v>
      </c>
      <c r="J471" s="33">
        <f t="shared" si="23"/>
        <v>0.72563277563277573</v>
      </c>
    </row>
    <row r="472" spans="1:10">
      <c r="A472" s="19" t="s">
        <v>110</v>
      </c>
      <c r="B472" s="20">
        <v>45839</v>
      </c>
      <c r="C472" s="21">
        <v>170.20000000000002</v>
      </c>
      <c r="D472" s="21">
        <v>150.32999999999998</v>
      </c>
      <c r="E472" s="21">
        <v>96.779999999999987</v>
      </c>
      <c r="F472" s="27">
        <f t="shared" si="21"/>
        <v>0.88325499412455921</v>
      </c>
      <c r="G472" s="21" t="str">
        <f>IFERROR(INDEX(Users!$A$2:$A$310,MATCH(A472,Users!$B$2:$B$310,0)),"")</f>
        <v>Service B</v>
      </c>
      <c r="H472" s="21" t="str">
        <f>IFERROR(INDEX(Users!$D$2:$D$310,MATCH(A472,Users!$B$2:$B$310,0)),"")</f>
        <v>Band 3</v>
      </c>
      <c r="I472" s="19" t="b">
        <f t="shared" si="22"/>
        <v>0</v>
      </c>
      <c r="J472" s="33">
        <f t="shared" si="23"/>
        <v>0.88325499412455921</v>
      </c>
    </row>
    <row r="473" spans="1:10">
      <c r="A473" s="19" t="s">
        <v>110</v>
      </c>
      <c r="B473" s="20">
        <v>45870</v>
      </c>
      <c r="C473" s="21">
        <v>148</v>
      </c>
      <c r="D473" s="21">
        <v>140.71666666666667</v>
      </c>
      <c r="E473" s="21">
        <v>104.2</v>
      </c>
      <c r="F473" s="27">
        <f t="shared" si="21"/>
        <v>0.95078828828828832</v>
      </c>
      <c r="G473" s="21" t="str">
        <f>IFERROR(INDEX(Users!$A$2:$A$310,MATCH(A473,Users!$B$2:$B$310,0)),"")</f>
        <v>Service B</v>
      </c>
      <c r="H473" s="21" t="str">
        <f>IFERROR(INDEX(Users!$D$2:$D$310,MATCH(A473,Users!$B$2:$B$310,0)),"")</f>
        <v>Band 3</v>
      </c>
      <c r="I473" s="19" t="b">
        <f t="shared" si="22"/>
        <v>0</v>
      </c>
      <c r="J473" s="33">
        <f t="shared" si="23"/>
        <v>0.95078828828828832</v>
      </c>
    </row>
    <row r="474" spans="1:10">
      <c r="A474" s="19" t="s">
        <v>110</v>
      </c>
      <c r="B474" s="20">
        <v>45901</v>
      </c>
      <c r="C474" s="21">
        <v>162.80000000000001</v>
      </c>
      <c r="D474" s="21">
        <v>176.45333333333332</v>
      </c>
      <c r="E474" s="21">
        <v>125.46999999999998</v>
      </c>
      <c r="F474" s="27">
        <f t="shared" si="21"/>
        <v>1.0838656838656837</v>
      </c>
      <c r="G474" s="21" t="str">
        <f>IFERROR(INDEX(Users!$A$2:$A$310,MATCH(A474,Users!$B$2:$B$310,0)),"")</f>
        <v>Service B</v>
      </c>
      <c r="H474" s="21" t="str">
        <f>IFERROR(INDEX(Users!$D$2:$D$310,MATCH(A474,Users!$B$2:$B$310,0)),"")</f>
        <v>Band 3</v>
      </c>
      <c r="I474" s="19" t="b">
        <f t="shared" si="22"/>
        <v>0</v>
      </c>
      <c r="J474" s="33">
        <f t="shared" si="23"/>
        <v>1.0838656838656837</v>
      </c>
    </row>
    <row r="475" spans="1:10">
      <c r="A475" s="19" t="s">
        <v>110</v>
      </c>
      <c r="B475" s="20">
        <v>45931</v>
      </c>
      <c r="C475" s="21">
        <v>170.20000000000002</v>
      </c>
      <c r="D475" s="21">
        <v>177.63666666666671</v>
      </c>
      <c r="E475" s="21">
        <v>111.57000000000004</v>
      </c>
      <c r="F475" s="27">
        <f t="shared" si="21"/>
        <v>1.0436936936936938</v>
      </c>
      <c r="G475" s="21" t="str">
        <f>IFERROR(INDEX(Users!$A$2:$A$310,MATCH(A475,Users!$B$2:$B$310,0)),"")</f>
        <v>Service B</v>
      </c>
      <c r="H475" s="21" t="str">
        <f>IFERROR(INDEX(Users!$D$2:$D$310,MATCH(A475,Users!$B$2:$B$310,0)),"")</f>
        <v>Band 3</v>
      </c>
      <c r="I475" s="19" t="b">
        <f t="shared" si="22"/>
        <v>0</v>
      </c>
      <c r="J475" s="33">
        <f t="shared" si="23"/>
        <v>1.0436936936936938</v>
      </c>
    </row>
    <row r="476" spans="1:10">
      <c r="A476" s="19" t="s">
        <v>110</v>
      </c>
      <c r="B476" s="20">
        <v>45962</v>
      </c>
      <c r="C476" s="21">
        <v>148</v>
      </c>
      <c r="D476" s="21">
        <v>133.89666666666662</v>
      </c>
      <c r="E476" s="21">
        <v>95.67999999999995</v>
      </c>
      <c r="F476" s="27">
        <f t="shared" si="21"/>
        <v>0.90470720720720688</v>
      </c>
      <c r="G476" s="21" t="str">
        <f>IFERROR(INDEX(Users!$A$2:$A$310,MATCH(A476,Users!$B$2:$B$310,0)),"")</f>
        <v>Service B</v>
      </c>
      <c r="H476" s="21" t="str">
        <f>IFERROR(INDEX(Users!$D$2:$D$310,MATCH(A476,Users!$B$2:$B$310,0)),"")</f>
        <v>Band 3</v>
      </c>
      <c r="I476" s="19" t="b">
        <f t="shared" si="22"/>
        <v>0</v>
      </c>
      <c r="J476" s="33">
        <f t="shared" si="23"/>
        <v>0.90470720720720688</v>
      </c>
    </row>
    <row r="477" spans="1:10">
      <c r="A477" s="19" t="s">
        <v>110</v>
      </c>
      <c r="B477" s="20">
        <v>45992</v>
      </c>
      <c r="C477" s="21">
        <v>155.4</v>
      </c>
      <c r="D477" s="21">
        <v>88.823333333333338</v>
      </c>
      <c r="E477" s="21">
        <v>65.59</v>
      </c>
      <c r="F477" s="27">
        <f t="shared" si="21"/>
        <v>0.57157872157872158</v>
      </c>
      <c r="G477" s="21" t="str">
        <f>IFERROR(INDEX(Users!$A$2:$A$310,MATCH(A477,Users!$B$2:$B$310,0)),"")</f>
        <v>Service B</v>
      </c>
      <c r="H477" s="21" t="str">
        <f>IFERROR(INDEX(Users!$D$2:$D$310,MATCH(A477,Users!$B$2:$B$310,0)),"")</f>
        <v>Band 3</v>
      </c>
      <c r="I477" s="19" t="b">
        <f t="shared" si="22"/>
        <v>0</v>
      </c>
      <c r="J477" s="33">
        <f t="shared" si="23"/>
        <v>0.57157872157872158</v>
      </c>
    </row>
    <row r="478" spans="1:10">
      <c r="A478" s="19" t="s">
        <v>110</v>
      </c>
      <c r="B478" s="20">
        <v>46023</v>
      </c>
      <c r="C478" s="21">
        <v>155.4</v>
      </c>
      <c r="D478" s="21">
        <v>124.50000000000001</v>
      </c>
      <c r="E478" s="21">
        <v>72.950000000000017</v>
      </c>
      <c r="F478" s="27">
        <f t="shared" si="21"/>
        <v>0.80115830115830122</v>
      </c>
      <c r="G478" s="21" t="str">
        <f>IFERROR(INDEX(Users!$A$2:$A$310,MATCH(A478,Users!$B$2:$B$310,0)),"")</f>
        <v>Service B</v>
      </c>
      <c r="H478" s="21" t="str">
        <f>IFERROR(INDEX(Users!$D$2:$D$310,MATCH(A478,Users!$B$2:$B$310,0)),"")</f>
        <v>Band 3</v>
      </c>
      <c r="I478" s="19" t="b">
        <f t="shared" si="22"/>
        <v>0</v>
      </c>
      <c r="J478" s="33" t="str">
        <f t="shared" si="23"/>
        <v/>
      </c>
    </row>
    <row r="479" spans="1:10">
      <c r="A479" s="19" t="s">
        <v>111</v>
      </c>
      <c r="B479" s="20">
        <v>45658</v>
      </c>
      <c r="C479" s="21">
        <v>162.80000000000001</v>
      </c>
      <c r="D479" s="21">
        <v>160.33666666666664</v>
      </c>
      <c r="E479" s="21">
        <v>88.17</v>
      </c>
      <c r="F479" s="27">
        <f t="shared" si="21"/>
        <v>0.98486895986895961</v>
      </c>
      <c r="G479" s="21" t="str">
        <f>IFERROR(INDEX(Users!$A$2:$A$310,MATCH(A479,Users!$B$2:$B$310,0)),"")</f>
        <v>Service B</v>
      </c>
      <c r="H479" s="21" t="str">
        <f>IFERROR(INDEX(Users!$D$2:$D$310,MATCH(A479,Users!$B$2:$B$310,0)),"")</f>
        <v>Band 3</v>
      </c>
      <c r="I479" s="19" t="b">
        <f t="shared" si="22"/>
        <v>0</v>
      </c>
      <c r="J479" s="33">
        <f t="shared" si="23"/>
        <v>0.98486895986895961</v>
      </c>
    </row>
    <row r="480" spans="1:10">
      <c r="A480" s="19" t="s">
        <v>111</v>
      </c>
      <c r="B480" s="20">
        <v>45689</v>
      </c>
      <c r="C480" s="21">
        <v>148</v>
      </c>
      <c r="D480" s="21">
        <v>143.99666666666667</v>
      </c>
      <c r="E480" s="21">
        <v>77.13</v>
      </c>
      <c r="F480" s="27">
        <f t="shared" si="21"/>
        <v>0.97295045045045048</v>
      </c>
      <c r="G480" s="21" t="str">
        <f>IFERROR(INDEX(Users!$A$2:$A$310,MATCH(A480,Users!$B$2:$B$310,0)),"")</f>
        <v>Service B</v>
      </c>
      <c r="H480" s="21" t="str">
        <f>IFERROR(INDEX(Users!$D$2:$D$310,MATCH(A480,Users!$B$2:$B$310,0)),"")</f>
        <v>Band 3</v>
      </c>
      <c r="I480" s="19" t="b">
        <f t="shared" si="22"/>
        <v>0</v>
      </c>
      <c r="J480" s="33">
        <f t="shared" si="23"/>
        <v>0.97295045045045048</v>
      </c>
    </row>
    <row r="481" spans="1:10">
      <c r="A481" s="19" t="s">
        <v>111</v>
      </c>
      <c r="B481" s="20">
        <v>45717</v>
      </c>
      <c r="C481" s="21">
        <v>155.4</v>
      </c>
      <c r="D481" s="21">
        <v>164.42999999999998</v>
      </c>
      <c r="E481" s="21">
        <v>94.98</v>
      </c>
      <c r="F481" s="27">
        <f t="shared" si="21"/>
        <v>1.0581081081081078</v>
      </c>
      <c r="G481" s="21" t="str">
        <f>IFERROR(INDEX(Users!$A$2:$A$310,MATCH(A481,Users!$B$2:$B$310,0)),"")</f>
        <v>Service B</v>
      </c>
      <c r="H481" s="21" t="str">
        <f>IFERROR(INDEX(Users!$D$2:$D$310,MATCH(A481,Users!$B$2:$B$310,0)),"")</f>
        <v>Band 3</v>
      </c>
      <c r="I481" s="19" t="b">
        <f t="shared" si="22"/>
        <v>0</v>
      </c>
      <c r="J481" s="33">
        <f t="shared" si="23"/>
        <v>1.0581081081081078</v>
      </c>
    </row>
    <row r="482" spans="1:10">
      <c r="A482" s="19" t="s">
        <v>111</v>
      </c>
      <c r="B482" s="20">
        <v>45748</v>
      </c>
      <c r="C482" s="21">
        <v>148</v>
      </c>
      <c r="D482" s="21">
        <v>97.953333333333319</v>
      </c>
      <c r="E482" s="21">
        <v>71.17</v>
      </c>
      <c r="F482" s="27">
        <f t="shared" si="21"/>
        <v>0.6618468468468468</v>
      </c>
      <c r="G482" s="21" t="str">
        <f>IFERROR(INDEX(Users!$A$2:$A$310,MATCH(A482,Users!$B$2:$B$310,0)),"")</f>
        <v>Service B</v>
      </c>
      <c r="H482" s="21" t="str">
        <f>IFERROR(INDEX(Users!$D$2:$D$310,MATCH(A482,Users!$B$2:$B$310,0)),"")</f>
        <v>Band 3</v>
      </c>
      <c r="I482" s="19" t="b">
        <f t="shared" si="22"/>
        <v>0</v>
      </c>
      <c r="J482" s="33">
        <f t="shared" si="23"/>
        <v>0.6618468468468468</v>
      </c>
    </row>
    <row r="483" spans="1:10">
      <c r="A483" s="19" t="s">
        <v>111</v>
      </c>
      <c r="B483" s="20">
        <v>45778</v>
      </c>
      <c r="C483" s="21">
        <v>148</v>
      </c>
      <c r="D483" s="21">
        <v>144.84666666666669</v>
      </c>
      <c r="E483" s="21">
        <v>108.13000000000002</v>
      </c>
      <c r="F483" s="27">
        <f t="shared" si="21"/>
        <v>0.97869369369369386</v>
      </c>
      <c r="G483" s="21" t="str">
        <f>IFERROR(INDEX(Users!$A$2:$A$310,MATCH(A483,Users!$B$2:$B$310,0)),"")</f>
        <v>Service B</v>
      </c>
      <c r="H483" s="21" t="str">
        <f>IFERROR(INDEX(Users!$D$2:$D$310,MATCH(A483,Users!$B$2:$B$310,0)),"")</f>
        <v>Band 3</v>
      </c>
      <c r="I483" s="19" t="b">
        <f t="shared" si="22"/>
        <v>0</v>
      </c>
      <c r="J483" s="33">
        <f t="shared" si="23"/>
        <v>0.97869369369369386</v>
      </c>
    </row>
    <row r="484" spans="1:10">
      <c r="A484" s="19" t="s">
        <v>111</v>
      </c>
      <c r="B484" s="20">
        <v>45809</v>
      </c>
      <c r="C484" s="21">
        <v>155.4</v>
      </c>
      <c r="D484" s="21">
        <v>150.95666666666665</v>
      </c>
      <c r="E484" s="21">
        <v>107.33999999999999</v>
      </c>
      <c r="F484" s="27">
        <f t="shared" si="21"/>
        <v>0.97140712140712127</v>
      </c>
      <c r="G484" s="21" t="str">
        <f>IFERROR(INDEX(Users!$A$2:$A$310,MATCH(A484,Users!$B$2:$B$310,0)),"")</f>
        <v>Service B</v>
      </c>
      <c r="H484" s="21" t="str">
        <f>IFERROR(INDEX(Users!$D$2:$D$310,MATCH(A484,Users!$B$2:$B$310,0)),"")</f>
        <v>Band 3</v>
      </c>
      <c r="I484" s="19" t="b">
        <f t="shared" si="22"/>
        <v>0</v>
      </c>
      <c r="J484" s="33">
        <f t="shared" si="23"/>
        <v>0.97140712140712127</v>
      </c>
    </row>
    <row r="485" spans="1:10">
      <c r="A485" s="19" t="s">
        <v>111</v>
      </c>
      <c r="B485" s="20">
        <v>45839</v>
      </c>
      <c r="C485" s="21">
        <v>170.20000000000002</v>
      </c>
      <c r="D485" s="21">
        <v>182.54666666666665</v>
      </c>
      <c r="E485" s="21">
        <v>137.53</v>
      </c>
      <c r="F485" s="27">
        <f t="shared" si="21"/>
        <v>1.0725421073247159</v>
      </c>
      <c r="G485" s="21" t="str">
        <f>IFERROR(INDEX(Users!$A$2:$A$310,MATCH(A485,Users!$B$2:$B$310,0)),"")</f>
        <v>Service B</v>
      </c>
      <c r="H485" s="21" t="str">
        <f>IFERROR(INDEX(Users!$D$2:$D$310,MATCH(A485,Users!$B$2:$B$310,0)),"")</f>
        <v>Band 3</v>
      </c>
      <c r="I485" s="19" t="b">
        <f t="shared" si="22"/>
        <v>0</v>
      </c>
      <c r="J485" s="33">
        <f t="shared" si="23"/>
        <v>1.0725421073247159</v>
      </c>
    </row>
    <row r="486" spans="1:10">
      <c r="A486" s="19" t="s">
        <v>111</v>
      </c>
      <c r="B486" s="20">
        <v>45870</v>
      </c>
      <c r="C486" s="21">
        <v>148</v>
      </c>
      <c r="D486" s="21">
        <v>47.826666666666668</v>
      </c>
      <c r="E486" s="21">
        <v>38.96</v>
      </c>
      <c r="F486" s="27">
        <f t="shared" si="21"/>
        <v>0.32315315315315318</v>
      </c>
      <c r="G486" s="21" t="str">
        <f>IFERROR(INDEX(Users!$A$2:$A$310,MATCH(A486,Users!$B$2:$B$310,0)),"")</f>
        <v>Service B</v>
      </c>
      <c r="H486" s="21" t="str">
        <f>IFERROR(INDEX(Users!$D$2:$D$310,MATCH(A486,Users!$B$2:$B$310,0)),"")</f>
        <v>Band 3</v>
      </c>
      <c r="I486" s="19" t="b">
        <f t="shared" si="22"/>
        <v>0</v>
      </c>
      <c r="J486" s="33">
        <f t="shared" si="23"/>
        <v>0.32315315315315318</v>
      </c>
    </row>
    <row r="487" spans="1:10">
      <c r="A487" s="19" t="s">
        <v>111</v>
      </c>
      <c r="B487" s="20">
        <v>45901</v>
      </c>
      <c r="C487" s="21">
        <v>162.80000000000001</v>
      </c>
      <c r="D487" s="21">
        <v>157.04000000000008</v>
      </c>
      <c r="E487" s="21">
        <v>124.39000000000007</v>
      </c>
      <c r="F487" s="27">
        <f t="shared" si="21"/>
        <v>0.96461916461916508</v>
      </c>
      <c r="G487" s="21" t="str">
        <f>IFERROR(INDEX(Users!$A$2:$A$310,MATCH(A487,Users!$B$2:$B$310,0)),"")</f>
        <v>Service B</v>
      </c>
      <c r="H487" s="21" t="str">
        <f>IFERROR(INDEX(Users!$D$2:$D$310,MATCH(A487,Users!$B$2:$B$310,0)),"")</f>
        <v>Band 3</v>
      </c>
      <c r="I487" s="19" t="b">
        <f t="shared" si="22"/>
        <v>0</v>
      </c>
      <c r="J487" s="33">
        <f t="shared" si="23"/>
        <v>0.96461916461916508</v>
      </c>
    </row>
    <row r="488" spans="1:10">
      <c r="A488" s="19" t="s">
        <v>111</v>
      </c>
      <c r="B488" s="20">
        <v>45931</v>
      </c>
      <c r="C488" s="21">
        <v>22.200000000000003</v>
      </c>
      <c r="D488" s="21">
        <v>18.8</v>
      </c>
      <c r="E488" s="21">
        <v>14.85</v>
      </c>
      <c r="F488" s="27">
        <f t="shared" si="21"/>
        <v>0.84684684684684675</v>
      </c>
      <c r="G488" s="21" t="str">
        <f>IFERROR(INDEX(Users!$A$2:$A$310,MATCH(A488,Users!$B$2:$B$310,0)),"")</f>
        <v>Service B</v>
      </c>
      <c r="H488" s="21" t="str">
        <f>IFERROR(INDEX(Users!$D$2:$D$310,MATCH(A488,Users!$B$2:$B$310,0)),"")</f>
        <v>Band 3</v>
      </c>
      <c r="I488" s="19" t="b">
        <f t="shared" si="22"/>
        <v>0</v>
      </c>
      <c r="J488" s="33">
        <f t="shared" si="23"/>
        <v>0.84684684684684675</v>
      </c>
    </row>
    <row r="489" spans="1:10">
      <c r="A489" s="19" t="s">
        <v>113</v>
      </c>
      <c r="B489" s="20">
        <v>45658</v>
      </c>
      <c r="C489" s="21">
        <v>162.80000000000001</v>
      </c>
      <c r="D489" s="21">
        <v>143.07</v>
      </c>
      <c r="E489" s="21">
        <v>83.57</v>
      </c>
      <c r="F489" s="27">
        <f t="shared" si="21"/>
        <v>0.87880835380835376</v>
      </c>
      <c r="G489" s="21" t="str">
        <f>IFERROR(INDEX(Users!$A$2:$A$310,MATCH(A489,Users!$B$2:$B$310,0)),"")</f>
        <v>Service A</v>
      </c>
      <c r="H489" s="21" t="str">
        <f>IFERROR(INDEX(Users!$D$2:$D$310,MATCH(A489,Users!$B$2:$B$310,0)),"")</f>
        <v>Band 3</v>
      </c>
      <c r="I489" s="19" t="b">
        <f t="shared" si="22"/>
        <v>1</v>
      </c>
      <c r="J489" s="33" t="str">
        <f t="shared" si="23"/>
        <v/>
      </c>
    </row>
    <row r="490" spans="1:10">
      <c r="A490" s="19" t="s">
        <v>113</v>
      </c>
      <c r="B490" s="20">
        <v>45689</v>
      </c>
      <c r="C490" s="21">
        <v>148</v>
      </c>
      <c r="D490" s="21">
        <v>147.09666666666666</v>
      </c>
      <c r="E490" s="21">
        <v>105.42999999999999</v>
      </c>
      <c r="F490" s="27">
        <f t="shared" si="21"/>
        <v>0.99389639639639638</v>
      </c>
      <c r="G490" s="21" t="str">
        <f>IFERROR(INDEX(Users!$A$2:$A$310,MATCH(A490,Users!$B$2:$B$310,0)),"")</f>
        <v>Service A</v>
      </c>
      <c r="H490" s="21" t="str">
        <f>IFERROR(INDEX(Users!$D$2:$D$310,MATCH(A490,Users!$B$2:$B$310,0)),"")</f>
        <v>Band 3</v>
      </c>
      <c r="I490" s="19" t="b">
        <f t="shared" si="22"/>
        <v>1</v>
      </c>
      <c r="J490" s="33" t="str">
        <f t="shared" si="23"/>
        <v/>
      </c>
    </row>
    <row r="491" spans="1:10">
      <c r="A491" s="19" t="s">
        <v>113</v>
      </c>
      <c r="B491" s="20">
        <v>45717</v>
      </c>
      <c r="C491" s="21">
        <v>155.4</v>
      </c>
      <c r="D491" s="21">
        <v>122.31666666666666</v>
      </c>
      <c r="E491" s="21">
        <v>63.9</v>
      </c>
      <c r="F491" s="27">
        <f t="shared" si="21"/>
        <v>0.78710853710853701</v>
      </c>
      <c r="G491" s="21" t="str">
        <f>IFERROR(INDEX(Users!$A$2:$A$310,MATCH(A491,Users!$B$2:$B$310,0)),"")</f>
        <v>Service A</v>
      </c>
      <c r="H491" s="21" t="str">
        <f>IFERROR(INDEX(Users!$D$2:$D$310,MATCH(A491,Users!$B$2:$B$310,0)),"")</f>
        <v>Band 3</v>
      </c>
      <c r="I491" s="19" t="b">
        <f t="shared" si="22"/>
        <v>1</v>
      </c>
      <c r="J491" s="33" t="str">
        <f t="shared" si="23"/>
        <v/>
      </c>
    </row>
    <row r="492" spans="1:10">
      <c r="A492" s="19" t="s">
        <v>113</v>
      </c>
      <c r="B492" s="20">
        <v>45748</v>
      </c>
      <c r="C492" s="21">
        <v>148</v>
      </c>
      <c r="D492" s="21">
        <v>127.08666666666667</v>
      </c>
      <c r="E492" s="21">
        <v>71.92</v>
      </c>
      <c r="F492" s="27">
        <f t="shared" si="21"/>
        <v>0.85869369369369375</v>
      </c>
      <c r="G492" s="21" t="str">
        <f>IFERROR(INDEX(Users!$A$2:$A$310,MATCH(A492,Users!$B$2:$B$310,0)),"")</f>
        <v>Service A</v>
      </c>
      <c r="H492" s="21" t="str">
        <f>IFERROR(INDEX(Users!$D$2:$D$310,MATCH(A492,Users!$B$2:$B$310,0)),"")</f>
        <v>Band 3</v>
      </c>
      <c r="I492" s="19" t="b">
        <f t="shared" si="22"/>
        <v>1</v>
      </c>
      <c r="J492" s="33" t="str">
        <f t="shared" si="23"/>
        <v/>
      </c>
    </row>
    <row r="493" spans="1:10">
      <c r="A493" s="19" t="s">
        <v>113</v>
      </c>
      <c r="B493" s="20">
        <v>45778</v>
      </c>
      <c r="C493" s="21">
        <v>148</v>
      </c>
      <c r="D493" s="21">
        <v>154.78333333333333</v>
      </c>
      <c r="E493" s="21">
        <v>92</v>
      </c>
      <c r="F493" s="27">
        <f t="shared" si="21"/>
        <v>1.0458333333333334</v>
      </c>
      <c r="G493" s="21" t="str">
        <f>IFERROR(INDEX(Users!$A$2:$A$310,MATCH(A493,Users!$B$2:$B$310,0)),"")</f>
        <v>Service A</v>
      </c>
      <c r="H493" s="21" t="str">
        <f>IFERROR(INDEX(Users!$D$2:$D$310,MATCH(A493,Users!$B$2:$B$310,0)),"")</f>
        <v>Band 3</v>
      </c>
      <c r="I493" s="19" t="b">
        <f t="shared" si="22"/>
        <v>1</v>
      </c>
      <c r="J493" s="33" t="str">
        <f t="shared" si="23"/>
        <v/>
      </c>
    </row>
    <row r="494" spans="1:10">
      <c r="A494" s="19" t="s">
        <v>113</v>
      </c>
      <c r="B494" s="20">
        <v>45809</v>
      </c>
      <c r="C494" s="21">
        <v>155.4</v>
      </c>
      <c r="D494" s="21">
        <v>145.18333333333334</v>
      </c>
      <c r="E494" s="21">
        <v>87.600000000000009</v>
      </c>
      <c r="F494" s="27">
        <f t="shared" si="21"/>
        <v>0.93425568425568428</v>
      </c>
      <c r="G494" s="21" t="str">
        <f>IFERROR(INDEX(Users!$A$2:$A$310,MATCH(A494,Users!$B$2:$B$310,0)),"")</f>
        <v>Service A</v>
      </c>
      <c r="H494" s="21" t="str">
        <f>IFERROR(INDEX(Users!$D$2:$D$310,MATCH(A494,Users!$B$2:$B$310,0)),"")</f>
        <v>Band 3</v>
      </c>
      <c r="I494" s="19" t="b">
        <f t="shared" si="22"/>
        <v>1</v>
      </c>
      <c r="J494" s="33" t="str">
        <f t="shared" si="23"/>
        <v/>
      </c>
    </row>
    <row r="495" spans="1:10">
      <c r="A495" s="19" t="s">
        <v>113</v>
      </c>
      <c r="B495" s="20">
        <v>45839</v>
      </c>
      <c r="C495" s="21">
        <v>170.20000000000002</v>
      </c>
      <c r="D495" s="21">
        <v>161.26999999999998</v>
      </c>
      <c r="E495" s="21">
        <v>121.27</v>
      </c>
      <c r="F495" s="27">
        <f t="shared" si="21"/>
        <v>0.94753231492361911</v>
      </c>
      <c r="G495" s="21" t="str">
        <f>IFERROR(INDEX(Users!$A$2:$A$310,MATCH(A495,Users!$B$2:$B$310,0)),"")</f>
        <v>Service A</v>
      </c>
      <c r="H495" s="21" t="str">
        <f>IFERROR(INDEX(Users!$D$2:$D$310,MATCH(A495,Users!$B$2:$B$310,0)),"")</f>
        <v>Band 3</v>
      </c>
      <c r="I495" s="19" t="b">
        <f t="shared" si="22"/>
        <v>1</v>
      </c>
      <c r="J495" s="33" t="str">
        <f t="shared" si="23"/>
        <v/>
      </c>
    </row>
    <row r="496" spans="1:10">
      <c r="A496" s="19" t="s">
        <v>113</v>
      </c>
      <c r="B496" s="20">
        <v>45870</v>
      </c>
      <c r="C496" s="21">
        <v>148</v>
      </c>
      <c r="D496" s="21">
        <v>105.57666666666665</v>
      </c>
      <c r="E496" s="21">
        <v>73.41</v>
      </c>
      <c r="F496" s="27">
        <f t="shared" si="21"/>
        <v>0.71335585585585581</v>
      </c>
      <c r="G496" s="21" t="str">
        <f>IFERROR(INDEX(Users!$A$2:$A$310,MATCH(A496,Users!$B$2:$B$310,0)),"")</f>
        <v>Service A</v>
      </c>
      <c r="H496" s="21" t="str">
        <f>IFERROR(INDEX(Users!$D$2:$D$310,MATCH(A496,Users!$B$2:$B$310,0)),"")</f>
        <v>Band 3</v>
      </c>
      <c r="I496" s="19" t="b">
        <f t="shared" si="22"/>
        <v>1</v>
      </c>
      <c r="J496" s="33" t="str">
        <f t="shared" si="23"/>
        <v/>
      </c>
    </row>
    <row r="497" spans="1:10">
      <c r="A497" s="19" t="s">
        <v>113</v>
      </c>
      <c r="B497" s="20">
        <v>45901</v>
      </c>
      <c r="C497" s="21">
        <v>162.80000000000001</v>
      </c>
      <c r="D497" s="21">
        <v>150.74</v>
      </c>
      <c r="E497" s="21">
        <v>103.79</v>
      </c>
      <c r="F497" s="27">
        <f t="shared" si="21"/>
        <v>0.92592137592137591</v>
      </c>
      <c r="G497" s="21" t="str">
        <f>IFERROR(INDEX(Users!$A$2:$A$310,MATCH(A497,Users!$B$2:$B$310,0)),"")</f>
        <v>Service A</v>
      </c>
      <c r="H497" s="21" t="str">
        <f>IFERROR(INDEX(Users!$D$2:$D$310,MATCH(A497,Users!$B$2:$B$310,0)),"")</f>
        <v>Band 3</v>
      </c>
      <c r="I497" s="19" t="b">
        <f t="shared" si="22"/>
        <v>1</v>
      </c>
      <c r="J497" s="33" t="str">
        <f t="shared" si="23"/>
        <v/>
      </c>
    </row>
    <row r="498" spans="1:10">
      <c r="A498" s="19" t="s">
        <v>113</v>
      </c>
      <c r="B498" s="20">
        <v>45931</v>
      </c>
      <c r="C498" s="21">
        <v>170.20000000000002</v>
      </c>
      <c r="D498" s="21"/>
      <c r="E498" s="21"/>
      <c r="F498" s="27" t="str">
        <f t="shared" si="21"/>
        <v/>
      </c>
      <c r="G498" s="21" t="str">
        <f>IFERROR(INDEX(Users!$A$2:$A$310,MATCH(A498,Users!$B$2:$B$310,0)),"")</f>
        <v>Service A</v>
      </c>
      <c r="H498" s="21" t="str">
        <f>IFERROR(INDEX(Users!$D$2:$D$310,MATCH(A498,Users!$B$2:$B$310,0)),"")</f>
        <v>Band 3</v>
      </c>
      <c r="I498" s="19" t="b">
        <f t="shared" si="22"/>
        <v>1</v>
      </c>
      <c r="J498" s="33" t="str">
        <f t="shared" si="23"/>
        <v/>
      </c>
    </row>
    <row r="499" spans="1:10">
      <c r="A499" s="19" t="s">
        <v>113</v>
      </c>
      <c r="B499" s="20">
        <v>45962</v>
      </c>
      <c r="C499" s="21">
        <v>148</v>
      </c>
      <c r="D499" s="21">
        <v>3.5</v>
      </c>
      <c r="E499" s="21"/>
      <c r="F499" s="27">
        <f t="shared" si="21"/>
        <v>2.364864864864865E-2</v>
      </c>
      <c r="G499" s="21" t="str">
        <f>IFERROR(INDEX(Users!$A$2:$A$310,MATCH(A499,Users!$B$2:$B$310,0)),"")</f>
        <v>Service A</v>
      </c>
      <c r="H499" s="21" t="str">
        <f>IFERROR(INDEX(Users!$D$2:$D$310,MATCH(A499,Users!$B$2:$B$310,0)),"")</f>
        <v>Band 3</v>
      </c>
      <c r="I499" s="19" t="b">
        <f t="shared" si="22"/>
        <v>1</v>
      </c>
      <c r="J499" s="33" t="str">
        <f t="shared" si="23"/>
        <v/>
      </c>
    </row>
    <row r="500" spans="1:10">
      <c r="A500" s="19" t="s">
        <v>113</v>
      </c>
      <c r="B500" s="20">
        <v>45992</v>
      </c>
      <c r="C500" s="21">
        <v>155.4</v>
      </c>
      <c r="D500" s="21">
        <v>64.459999999999994</v>
      </c>
      <c r="E500" s="21">
        <v>15.41</v>
      </c>
      <c r="F500" s="27">
        <f t="shared" si="21"/>
        <v>0.41480051480051472</v>
      </c>
      <c r="G500" s="21" t="str">
        <f>IFERROR(INDEX(Users!$A$2:$A$310,MATCH(A500,Users!$B$2:$B$310,0)),"")</f>
        <v>Service A</v>
      </c>
      <c r="H500" s="21" t="str">
        <f>IFERROR(INDEX(Users!$D$2:$D$310,MATCH(A500,Users!$B$2:$B$310,0)),"")</f>
        <v>Band 3</v>
      </c>
      <c r="I500" s="19" t="b">
        <f t="shared" si="22"/>
        <v>1</v>
      </c>
      <c r="J500" s="33" t="str">
        <f t="shared" si="23"/>
        <v/>
      </c>
    </row>
    <row r="501" spans="1:10">
      <c r="A501" s="19" t="s">
        <v>113</v>
      </c>
      <c r="B501" s="20">
        <v>46023</v>
      </c>
      <c r="C501" s="21">
        <v>155.4</v>
      </c>
      <c r="D501" s="21">
        <v>119.16666666666667</v>
      </c>
      <c r="E501" s="21">
        <v>90.5</v>
      </c>
      <c r="F501" s="27">
        <f t="shared" si="21"/>
        <v>0.76683826683826684</v>
      </c>
      <c r="G501" s="21" t="str">
        <f>IFERROR(INDEX(Users!$A$2:$A$310,MATCH(A501,Users!$B$2:$B$310,0)),"")</f>
        <v>Service A</v>
      </c>
      <c r="H501" s="21" t="str">
        <f>IFERROR(INDEX(Users!$D$2:$D$310,MATCH(A501,Users!$B$2:$B$310,0)),"")</f>
        <v>Band 3</v>
      </c>
      <c r="I501" s="19" t="b">
        <f t="shared" si="22"/>
        <v>1</v>
      </c>
      <c r="J501" s="33" t="str">
        <f t="shared" si="23"/>
        <v/>
      </c>
    </row>
    <row r="502" spans="1:10">
      <c r="A502" s="19" t="s">
        <v>114</v>
      </c>
      <c r="B502" s="20">
        <v>45658</v>
      </c>
      <c r="C502" s="21">
        <v>162.80000000000001</v>
      </c>
      <c r="D502" s="21">
        <v>143.73000000000002</v>
      </c>
      <c r="E502" s="21">
        <v>53.83</v>
      </c>
      <c r="F502" s="27">
        <f t="shared" si="21"/>
        <v>0.88286240786240788</v>
      </c>
      <c r="G502" s="21" t="str">
        <f>IFERROR(INDEX(Users!$A$2:$A$310,MATCH(A502,Users!$B$2:$B$310,0)),"")</f>
        <v>Service D</v>
      </c>
      <c r="H502" s="21" t="str">
        <f>IFERROR(INDEX(Users!$D$2:$D$310,MATCH(A502,Users!$B$2:$B$310,0)),"")</f>
        <v>Band 3</v>
      </c>
      <c r="I502" s="19" t="b">
        <f t="shared" si="22"/>
        <v>0</v>
      </c>
      <c r="J502" s="33" t="str">
        <f t="shared" si="23"/>
        <v/>
      </c>
    </row>
    <row r="503" spans="1:10">
      <c r="A503" s="19" t="s">
        <v>114</v>
      </c>
      <c r="B503" s="20">
        <v>45689</v>
      </c>
      <c r="C503" s="21">
        <v>148</v>
      </c>
      <c r="D503" s="21">
        <v>127.01333333333335</v>
      </c>
      <c r="E503" s="21">
        <v>64.180000000000007</v>
      </c>
      <c r="F503" s="27">
        <f t="shared" si="21"/>
        <v>0.85819819819819831</v>
      </c>
      <c r="G503" s="21" t="str">
        <f>IFERROR(INDEX(Users!$A$2:$A$310,MATCH(A503,Users!$B$2:$B$310,0)),"")</f>
        <v>Service D</v>
      </c>
      <c r="H503" s="21" t="str">
        <f>IFERROR(INDEX(Users!$D$2:$D$310,MATCH(A503,Users!$B$2:$B$310,0)),"")</f>
        <v>Band 3</v>
      </c>
      <c r="I503" s="19" t="b">
        <f t="shared" si="22"/>
        <v>0</v>
      </c>
      <c r="J503" s="33" t="str">
        <f t="shared" si="23"/>
        <v/>
      </c>
    </row>
    <row r="504" spans="1:10">
      <c r="A504" s="19" t="s">
        <v>114</v>
      </c>
      <c r="B504" s="20">
        <v>45717</v>
      </c>
      <c r="C504" s="21">
        <v>155.4</v>
      </c>
      <c r="D504" s="21">
        <v>141.52000000000001</v>
      </c>
      <c r="E504" s="21">
        <v>98.02000000000001</v>
      </c>
      <c r="F504" s="27">
        <f t="shared" si="21"/>
        <v>0.91068211068211069</v>
      </c>
      <c r="G504" s="21" t="str">
        <f>IFERROR(INDEX(Users!$A$2:$A$310,MATCH(A504,Users!$B$2:$B$310,0)),"")</f>
        <v>Service D</v>
      </c>
      <c r="H504" s="21" t="str">
        <f>IFERROR(INDEX(Users!$D$2:$D$310,MATCH(A504,Users!$B$2:$B$310,0)),"")</f>
        <v>Band 3</v>
      </c>
      <c r="I504" s="19" t="b">
        <f t="shared" si="22"/>
        <v>0</v>
      </c>
      <c r="J504" s="33" t="str">
        <f t="shared" si="23"/>
        <v/>
      </c>
    </row>
    <row r="505" spans="1:10">
      <c r="A505" s="19" t="s">
        <v>114</v>
      </c>
      <c r="B505" s="20">
        <v>45748</v>
      </c>
      <c r="C505" s="21">
        <v>148</v>
      </c>
      <c r="D505" s="21">
        <v>122.01666666666665</v>
      </c>
      <c r="E505" s="21">
        <v>80.849999999999994</v>
      </c>
      <c r="F505" s="27">
        <f t="shared" si="21"/>
        <v>0.82443693693693687</v>
      </c>
      <c r="G505" s="21" t="str">
        <f>IFERROR(INDEX(Users!$A$2:$A$310,MATCH(A505,Users!$B$2:$B$310,0)),"")</f>
        <v>Service D</v>
      </c>
      <c r="H505" s="21" t="str">
        <f>IFERROR(INDEX(Users!$D$2:$D$310,MATCH(A505,Users!$B$2:$B$310,0)),"")</f>
        <v>Band 3</v>
      </c>
      <c r="I505" s="19" t="b">
        <f t="shared" si="22"/>
        <v>0</v>
      </c>
      <c r="J505" s="33" t="str">
        <f t="shared" si="23"/>
        <v/>
      </c>
    </row>
    <row r="506" spans="1:10">
      <c r="A506" s="19" t="s">
        <v>114</v>
      </c>
      <c r="B506" s="20">
        <v>45778</v>
      </c>
      <c r="C506" s="21">
        <v>148</v>
      </c>
      <c r="D506" s="21">
        <v>120.07</v>
      </c>
      <c r="E506" s="21">
        <v>50.17</v>
      </c>
      <c r="F506" s="27">
        <f t="shared" si="21"/>
        <v>0.81128378378378374</v>
      </c>
      <c r="G506" s="21" t="str">
        <f>IFERROR(INDEX(Users!$A$2:$A$310,MATCH(A506,Users!$B$2:$B$310,0)),"")</f>
        <v>Service D</v>
      </c>
      <c r="H506" s="21" t="str">
        <f>IFERROR(INDEX(Users!$D$2:$D$310,MATCH(A506,Users!$B$2:$B$310,0)),"")</f>
        <v>Band 3</v>
      </c>
      <c r="I506" s="19" t="b">
        <f t="shared" si="22"/>
        <v>0</v>
      </c>
      <c r="J506" s="33" t="str">
        <f t="shared" si="23"/>
        <v/>
      </c>
    </row>
    <row r="507" spans="1:10">
      <c r="A507" s="19" t="s">
        <v>114</v>
      </c>
      <c r="B507" s="20">
        <v>45809</v>
      </c>
      <c r="C507" s="21">
        <v>155.4</v>
      </c>
      <c r="D507" s="21">
        <v>139.48666666666665</v>
      </c>
      <c r="E507" s="21">
        <v>71.02</v>
      </c>
      <c r="F507" s="27">
        <f t="shared" si="21"/>
        <v>0.8975975975975975</v>
      </c>
      <c r="G507" s="21" t="str">
        <f>IFERROR(INDEX(Users!$A$2:$A$310,MATCH(A507,Users!$B$2:$B$310,0)),"")</f>
        <v>Service D</v>
      </c>
      <c r="H507" s="21" t="str">
        <f>IFERROR(INDEX(Users!$D$2:$D$310,MATCH(A507,Users!$B$2:$B$310,0)),"")</f>
        <v>Band 3</v>
      </c>
      <c r="I507" s="19" t="b">
        <f t="shared" si="22"/>
        <v>0</v>
      </c>
      <c r="J507" s="33" t="str">
        <f t="shared" si="23"/>
        <v/>
      </c>
    </row>
    <row r="508" spans="1:10">
      <c r="A508" s="19" t="s">
        <v>114</v>
      </c>
      <c r="B508" s="20">
        <v>45839</v>
      </c>
      <c r="C508" s="21">
        <v>170.20000000000002</v>
      </c>
      <c r="D508" s="21">
        <v>156.77000000000001</v>
      </c>
      <c r="E508" s="21">
        <v>92.27000000000001</v>
      </c>
      <c r="F508" s="27">
        <f t="shared" si="21"/>
        <v>0.92109283196239711</v>
      </c>
      <c r="G508" s="21" t="str">
        <f>IFERROR(INDEX(Users!$A$2:$A$310,MATCH(A508,Users!$B$2:$B$310,0)),"")</f>
        <v>Service D</v>
      </c>
      <c r="H508" s="21" t="str">
        <f>IFERROR(INDEX(Users!$D$2:$D$310,MATCH(A508,Users!$B$2:$B$310,0)),"")</f>
        <v>Band 3</v>
      </c>
      <c r="I508" s="19" t="b">
        <f t="shared" si="22"/>
        <v>0</v>
      </c>
      <c r="J508" s="33" t="str">
        <f t="shared" si="23"/>
        <v/>
      </c>
    </row>
    <row r="509" spans="1:10">
      <c r="A509" s="19" t="s">
        <v>114</v>
      </c>
      <c r="B509" s="20">
        <v>45870</v>
      </c>
      <c r="C509" s="21">
        <v>148</v>
      </c>
      <c r="D509" s="21">
        <v>65.289999999999992</v>
      </c>
      <c r="E509" s="21">
        <v>39.94</v>
      </c>
      <c r="F509" s="27">
        <f t="shared" si="21"/>
        <v>0.44114864864864861</v>
      </c>
      <c r="G509" s="21" t="str">
        <f>IFERROR(INDEX(Users!$A$2:$A$310,MATCH(A509,Users!$B$2:$B$310,0)),"")</f>
        <v>Service D</v>
      </c>
      <c r="H509" s="21" t="str">
        <f>IFERROR(INDEX(Users!$D$2:$D$310,MATCH(A509,Users!$B$2:$B$310,0)),"")</f>
        <v>Band 3</v>
      </c>
      <c r="I509" s="19" t="b">
        <f t="shared" si="22"/>
        <v>0</v>
      </c>
      <c r="J509" s="33" t="str">
        <f t="shared" si="23"/>
        <v/>
      </c>
    </row>
    <row r="510" spans="1:10">
      <c r="A510" s="19" t="s">
        <v>114</v>
      </c>
      <c r="B510" s="20">
        <v>45901</v>
      </c>
      <c r="C510" s="21">
        <v>162.80000000000001</v>
      </c>
      <c r="D510" s="21">
        <v>165.10666666666665</v>
      </c>
      <c r="E510" s="21">
        <v>105.44000000000001</v>
      </c>
      <c r="F510" s="27">
        <f t="shared" si="21"/>
        <v>1.0141687141687141</v>
      </c>
      <c r="G510" s="21" t="str">
        <f>IFERROR(INDEX(Users!$A$2:$A$310,MATCH(A510,Users!$B$2:$B$310,0)),"")</f>
        <v>Service D</v>
      </c>
      <c r="H510" s="21" t="str">
        <f>IFERROR(INDEX(Users!$D$2:$D$310,MATCH(A510,Users!$B$2:$B$310,0)),"")</f>
        <v>Band 3</v>
      </c>
      <c r="I510" s="19" t="b">
        <f t="shared" si="22"/>
        <v>0</v>
      </c>
      <c r="J510" s="33" t="str">
        <f t="shared" si="23"/>
        <v/>
      </c>
    </row>
    <row r="511" spans="1:10">
      <c r="A511" s="19" t="s">
        <v>114</v>
      </c>
      <c r="B511" s="20">
        <v>45931</v>
      </c>
      <c r="C511" s="21">
        <v>170.20000000000002</v>
      </c>
      <c r="D511" s="21">
        <v>160.38333333333333</v>
      </c>
      <c r="E511" s="21">
        <v>82.25</v>
      </c>
      <c r="F511" s="27">
        <f t="shared" si="21"/>
        <v>0.94232275754014871</v>
      </c>
      <c r="G511" s="21" t="str">
        <f>IFERROR(INDEX(Users!$A$2:$A$310,MATCH(A511,Users!$B$2:$B$310,0)),"")</f>
        <v>Service D</v>
      </c>
      <c r="H511" s="21" t="str">
        <f>IFERROR(INDEX(Users!$D$2:$D$310,MATCH(A511,Users!$B$2:$B$310,0)),"")</f>
        <v>Band 3</v>
      </c>
      <c r="I511" s="19" t="b">
        <f t="shared" si="22"/>
        <v>0</v>
      </c>
      <c r="J511" s="33" t="str">
        <f t="shared" si="23"/>
        <v/>
      </c>
    </row>
    <row r="512" spans="1:10">
      <c r="A512" s="19" t="s">
        <v>114</v>
      </c>
      <c r="B512" s="20">
        <v>45962</v>
      </c>
      <c r="C512" s="21">
        <v>148</v>
      </c>
      <c r="D512" s="21">
        <v>135.41333333333336</v>
      </c>
      <c r="E512" s="21">
        <v>73.330000000000013</v>
      </c>
      <c r="F512" s="27">
        <f t="shared" si="21"/>
        <v>0.91495495495495516</v>
      </c>
      <c r="G512" s="21" t="str">
        <f>IFERROR(INDEX(Users!$A$2:$A$310,MATCH(A512,Users!$B$2:$B$310,0)),"")</f>
        <v>Service D</v>
      </c>
      <c r="H512" s="21" t="str">
        <f>IFERROR(INDEX(Users!$D$2:$D$310,MATCH(A512,Users!$B$2:$B$310,0)),"")</f>
        <v>Band 3</v>
      </c>
      <c r="I512" s="19" t="b">
        <f t="shared" si="22"/>
        <v>0</v>
      </c>
      <c r="J512" s="33" t="str">
        <f t="shared" si="23"/>
        <v/>
      </c>
    </row>
    <row r="513" spans="1:10">
      <c r="A513" s="19" t="s">
        <v>114</v>
      </c>
      <c r="B513" s="20">
        <v>45992</v>
      </c>
      <c r="C513" s="21">
        <v>155.4</v>
      </c>
      <c r="D513" s="21">
        <v>111.69666666666666</v>
      </c>
      <c r="E513" s="21">
        <v>56.08</v>
      </c>
      <c r="F513" s="27">
        <f t="shared" si="21"/>
        <v>0.71876876876876872</v>
      </c>
      <c r="G513" s="21" t="str">
        <f>IFERROR(INDEX(Users!$A$2:$A$310,MATCH(A513,Users!$B$2:$B$310,0)),"")</f>
        <v>Service D</v>
      </c>
      <c r="H513" s="21" t="str">
        <f>IFERROR(INDEX(Users!$D$2:$D$310,MATCH(A513,Users!$B$2:$B$310,0)),"")</f>
        <v>Band 3</v>
      </c>
      <c r="I513" s="19" t="b">
        <f t="shared" si="22"/>
        <v>0</v>
      </c>
      <c r="J513" s="33" t="str">
        <f t="shared" si="23"/>
        <v/>
      </c>
    </row>
    <row r="514" spans="1:10">
      <c r="A514" s="19" t="s">
        <v>114</v>
      </c>
      <c r="B514" s="20">
        <v>46023</v>
      </c>
      <c r="C514" s="21">
        <v>155.4</v>
      </c>
      <c r="D514" s="21">
        <v>147.15666666666667</v>
      </c>
      <c r="E514" s="21">
        <v>78.990000000000009</v>
      </c>
      <c r="F514" s="27">
        <f t="shared" ref="F514:F577" si="24">IFERROR(IF(OR(C514="",D514="",C514=0),"",D514/C514),"")</f>
        <v>0.94695409695409694</v>
      </c>
      <c r="G514" s="21" t="str">
        <f>IFERROR(INDEX(Users!$A$2:$A$310,MATCH(A514,Users!$B$2:$B$310,0)),"")</f>
        <v>Service D</v>
      </c>
      <c r="H514" s="21" t="str">
        <f>IFERROR(INDEX(Users!$D$2:$D$310,MATCH(A514,Users!$B$2:$B$310,0)),"")</f>
        <v>Band 3</v>
      </c>
      <c r="I514" s="19" t="b">
        <f t="shared" ref="I514:I577" si="25">AND(G514="Service A",H514="Band 3")</f>
        <v>0</v>
      </c>
      <c r="J514" s="33" t="str">
        <f t="shared" ref="J514:J577" si="26">IF(AND(B514&gt;=DATE(2025,1,1),B514&lt;DATE(2026,1,1),G514="Service B",OR(H514="Band 3",H514="Band 5"),ISNUMBER(F514)),F514,"")</f>
        <v/>
      </c>
    </row>
    <row r="515" spans="1:10">
      <c r="A515" s="19" t="s">
        <v>115</v>
      </c>
      <c r="B515" s="20">
        <v>45658</v>
      </c>
      <c r="C515" s="21">
        <v>162.80000000000001</v>
      </c>
      <c r="D515" s="21">
        <v>156.46999999999997</v>
      </c>
      <c r="E515" s="21">
        <v>31.47</v>
      </c>
      <c r="F515" s="27">
        <f t="shared" si="24"/>
        <v>0.96111793611793583</v>
      </c>
      <c r="G515" s="21" t="str">
        <f>IFERROR(INDEX(Users!$A$2:$A$310,MATCH(A515,Users!$B$2:$B$310,0)),"")</f>
        <v>Service B</v>
      </c>
      <c r="H515" s="21" t="str">
        <f>IFERROR(INDEX(Users!$D$2:$D$310,MATCH(A515,Users!$B$2:$B$310,0)),"")</f>
        <v>Band 3</v>
      </c>
      <c r="I515" s="19" t="b">
        <f t="shared" si="25"/>
        <v>0</v>
      </c>
      <c r="J515" s="33">
        <f t="shared" si="26"/>
        <v>0.96111793611793583</v>
      </c>
    </row>
    <row r="516" spans="1:10">
      <c r="A516" s="19" t="s">
        <v>115</v>
      </c>
      <c r="B516" s="20">
        <v>45689</v>
      </c>
      <c r="C516" s="21">
        <v>148</v>
      </c>
      <c r="D516" s="21">
        <v>154.75</v>
      </c>
      <c r="E516" s="21">
        <v>57</v>
      </c>
      <c r="F516" s="27">
        <f t="shared" si="24"/>
        <v>1.0456081081081081</v>
      </c>
      <c r="G516" s="21" t="str">
        <f>IFERROR(INDEX(Users!$A$2:$A$310,MATCH(A516,Users!$B$2:$B$310,0)),"")</f>
        <v>Service B</v>
      </c>
      <c r="H516" s="21" t="str">
        <f>IFERROR(INDEX(Users!$D$2:$D$310,MATCH(A516,Users!$B$2:$B$310,0)),"")</f>
        <v>Band 3</v>
      </c>
      <c r="I516" s="19" t="b">
        <f t="shared" si="25"/>
        <v>0</v>
      </c>
      <c r="J516" s="33">
        <f t="shared" si="26"/>
        <v>1.0456081081081081</v>
      </c>
    </row>
    <row r="517" spans="1:10">
      <c r="A517" s="19" t="s">
        <v>115</v>
      </c>
      <c r="B517" s="20">
        <v>45717</v>
      </c>
      <c r="C517" s="21">
        <v>155.4</v>
      </c>
      <c r="D517" s="21">
        <v>151.57333333333332</v>
      </c>
      <c r="E517" s="21">
        <v>75.740000000000009</v>
      </c>
      <c r="F517" s="27">
        <f t="shared" si="24"/>
        <v>0.97537537537537533</v>
      </c>
      <c r="G517" s="21" t="str">
        <f>IFERROR(INDEX(Users!$A$2:$A$310,MATCH(A517,Users!$B$2:$B$310,0)),"")</f>
        <v>Service B</v>
      </c>
      <c r="H517" s="21" t="str">
        <f>IFERROR(INDEX(Users!$D$2:$D$310,MATCH(A517,Users!$B$2:$B$310,0)),"")</f>
        <v>Band 3</v>
      </c>
      <c r="I517" s="19" t="b">
        <f t="shared" si="25"/>
        <v>0</v>
      </c>
      <c r="J517" s="33">
        <f t="shared" si="26"/>
        <v>0.97537537537537533</v>
      </c>
    </row>
    <row r="518" spans="1:10">
      <c r="A518" s="19" t="s">
        <v>115</v>
      </c>
      <c r="B518" s="20">
        <v>45748</v>
      </c>
      <c r="C518" s="21">
        <v>148</v>
      </c>
      <c r="D518" s="21">
        <v>113.83333333333334</v>
      </c>
      <c r="E518" s="21">
        <v>65.25</v>
      </c>
      <c r="F518" s="27">
        <f t="shared" si="24"/>
        <v>0.76914414414414423</v>
      </c>
      <c r="G518" s="21" t="str">
        <f>IFERROR(INDEX(Users!$A$2:$A$310,MATCH(A518,Users!$B$2:$B$310,0)),"")</f>
        <v>Service B</v>
      </c>
      <c r="H518" s="21" t="str">
        <f>IFERROR(INDEX(Users!$D$2:$D$310,MATCH(A518,Users!$B$2:$B$310,0)),"")</f>
        <v>Band 3</v>
      </c>
      <c r="I518" s="19" t="b">
        <f t="shared" si="25"/>
        <v>0</v>
      </c>
      <c r="J518" s="33">
        <f t="shared" si="26"/>
        <v>0.76914414414414423</v>
      </c>
    </row>
    <row r="519" spans="1:10">
      <c r="A519" s="19" t="s">
        <v>115</v>
      </c>
      <c r="B519" s="20">
        <v>45778</v>
      </c>
      <c r="C519" s="21">
        <v>148</v>
      </c>
      <c r="D519" s="21">
        <v>140.00333333333333</v>
      </c>
      <c r="E519" s="21">
        <v>70.42</v>
      </c>
      <c r="F519" s="27">
        <f t="shared" si="24"/>
        <v>0.94596846846846849</v>
      </c>
      <c r="G519" s="21" t="str">
        <f>IFERROR(INDEX(Users!$A$2:$A$310,MATCH(A519,Users!$B$2:$B$310,0)),"")</f>
        <v>Service B</v>
      </c>
      <c r="H519" s="21" t="str">
        <f>IFERROR(INDEX(Users!$D$2:$D$310,MATCH(A519,Users!$B$2:$B$310,0)),"")</f>
        <v>Band 3</v>
      </c>
      <c r="I519" s="19" t="b">
        <f t="shared" si="25"/>
        <v>0</v>
      </c>
      <c r="J519" s="33">
        <f t="shared" si="26"/>
        <v>0.94596846846846849</v>
      </c>
    </row>
    <row r="520" spans="1:10">
      <c r="A520" s="19" t="s">
        <v>115</v>
      </c>
      <c r="B520" s="20">
        <v>45809</v>
      </c>
      <c r="C520" s="21">
        <v>155.4</v>
      </c>
      <c r="D520" s="21">
        <v>141.28333333333333</v>
      </c>
      <c r="E520" s="21">
        <v>79.95</v>
      </c>
      <c r="F520" s="27">
        <f t="shared" si="24"/>
        <v>0.90915915915915912</v>
      </c>
      <c r="G520" s="21" t="str">
        <f>IFERROR(INDEX(Users!$A$2:$A$310,MATCH(A520,Users!$B$2:$B$310,0)),"")</f>
        <v>Service B</v>
      </c>
      <c r="H520" s="21" t="str">
        <f>IFERROR(INDEX(Users!$D$2:$D$310,MATCH(A520,Users!$B$2:$B$310,0)),"")</f>
        <v>Band 3</v>
      </c>
      <c r="I520" s="19" t="b">
        <f t="shared" si="25"/>
        <v>0</v>
      </c>
      <c r="J520" s="33">
        <f t="shared" si="26"/>
        <v>0.90915915915915912</v>
      </c>
    </row>
    <row r="521" spans="1:10">
      <c r="A521" s="19" t="s">
        <v>115</v>
      </c>
      <c r="B521" s="20">
        <v>45839</v>
      </c>
      <c r="C521" s="21">
        <v>170.20000000000002</v>
      </c>
      <c r="D521" s="21">
        <v>139.65333333333334</v>
      </c>
      <c r="E521" s="21">
        <v>80.070000000000007</v>
      </c>
      <c r="F521" s="27">
        <f t="shared" si="24"/>
        <v>0.82052487269878571</v>
      </c>
      <c r="G521" s="21" t="str">
        <f>IFERROR(INDEX(Users!$A$2:$A$310,MATCH(A521,Users!$B$2:$B$310,0)),"")</f>
        <v>Service B</v>
      </c>
      <c r="H521" s="21" t="str">
        <f>IFERROR(INDEX(Users!$D$2:$D$310,MATCH(A521,Users!$B$2:$B$310,0)),"")</f>
        <v>Band 3</v>
      </c>
      <c r="I521" s="19" t="b">
        <f t="shared" si="25"/>
        <v>0</v>
      </c>
      <c r="J521" s="33">
        <f t="shared" si="26"/>
        <v>0.82052487269878571</v>
      </c>
    </row>
    <row r="522" spans="1:10">
      <c r="A522" s="19" t="s">
        <v>115</v>
      </c>
      <c r="B522" s="20">
        <v>45870</v>
      </c>
      <c r="C522" s="21">
        <v>148</v>
      </c>
      <c r="D522" s="21">
        <v>129.83666666666664</v>
      </c>
      <c r="E522" s="21">
        <v>96.419999999999973</v>
      </c>
      <c r="F522" s="27">
        <f t="shared" si="24"/>
        <v>0.87727477477477467</v>
      </c>
      <c r="G522" s="21" t="str">
        <f>IFERROR(INDEX(Users!$A$2:$A$310,MATCH(A522,Users!$B$2:$B$310,0)),"")</f>
        <v>Service B</v>
      </c>
      <c r="H522" s="21" t="str">
        <f>IFERROR(INDEX(Users!$D$2:$D$310,MATCH(A522,Users!$B$2:$B$310,0)),"")</f>
        <v>Band 3</v>
      </c>
      <c r="I522" s="19" t="b">
        <f t="shared" si="25"/>
        <v>0</v>
      </c>
      <c r="J522" s="33">
        <f t="shared" si="26"/>
        <v>0.87727477477477467</v>
      </c>
    </row>
    <row r="523" spans="1:10">
      <c r="A523" s="19" t="s">
        <v>115</v>
      </c>
      <c r="B523" s="20">
        <v>45901</v>
      </c>
      <c r="C523" s="21">
        <v>162.80000000000001</v>
      </c>
      <c r="D523" s="21">
        <v>138.25999999999996</v>
      </c>
      <c r="E523" s="21">
        <v>109.50999999999996</v>
      </c>
      <c r="F523" s="27">
        <f t="shared" si="24"/>
        <v>0.849262899262899</v>
      </c>
      <c r="G523" s="21" t="str">
        <f>IFERROR(INDEX(Users!$A$2:$A$310,MATCH(A523,Users!$B$2:$B$310,0)),"")</f>
        <v>Service B</v>
      </c>
      <c r="H523" s="21" t="str">
        <f>IFERROR(INDEX(Users!$D$2:$D$310,MATCH(A523,Users!$B$2:$B$310,0)),"")</f>
        <v>Band 3</v>
      </c>
      <c r="I523" s="19" t="b">
        <f t="shared" si="25"/>
        <v>0</v>
      </c>
      <c r="J523" s="33">
        <f t="shared" si="26"/>
        <v>0.849262899262899</v>
      </c>
    </row>
    <row r="524" spans="1:10">
      <c r="A524" s="19" t="s">
        <v>115</v>
      </c>
      <c r="B524" s="20">
        <v>45931</v>
      </c>
      <c r="C524" s="21">
        <v>170.20000000000002</v>
      </c>
      <c r="D524" s="21">
        <v>161.93</v>
      </c>
      <c r="E524" s="21">
        <v>121.43</v>
      </c>
      <c r="F524" s="27">
        <f t="shared" si="24"/>
        <v>0.95141010575793183</v>
      </c>
      <c r="G524" s="21" t="str">
        <f>IFERROR(INDEX(Users!$A$2:$A$310,MATCH(A524,Users!$B$2:$B$310,0)),"")</f>
        <v>Service B</v>
      </c>
      <c r="H524" s="21" t="str">
        <f>IFERROR(INDEX(Users!$D$2:$D$310,MATCH(A524,Users!$B$2:$B$310,0)),"")</f>
        <v>Band 3</v>
      </c>
      <c r="I524" s="19" t="b">
        <f t="shared" si="25"/>
        <v>0</v>
      </c>
      <c r="J524" s="33">
        <f t="shared" si="26"/>
        <v>0.95141010575793183</v>
      </c>
    </row>
    <row r="525" spans="1:10">
      <c r="A525" s="19" t="s">
        <v>115</v>
      </c>
      <c r="B525" s="20">
        <v>45962</v>
      </c>
      <c r="C525" s="21">
        <v>148</v>
      </c>
      <c r="D525" s="21">
        <v>142.25333333333333</v>
      </c>
      <c r="E525" s="21">
        <v>115.67</v>
      </c>
      <c r="F525" s="27">
        <f t="shared" si="24"/>
        <v>0.96117117117117112</v>
      </c>
      <c r="G525" s="21" t="str">
        <f>IFERROR(INDEX(Users!$A$2:$A$310,MATCH(A525,Users!$B$2:$B$310,0)),"")</f>
        <v>Service B</v>
      </c>
      <c r="H525" s="21" t="str">
        <f>IFERROR(INDEX(Users!$D$2:$D$310,MATCH(A525,Users!$B$2:$B$310,0)),"")</f>
        <v>Band 3</v>
      </c>
      <c r="I525" s="19" t="b">
        <f t="shared" si="25"/>
        <v>0</v>
      </c>
      <c r="J525" s="33">
        <f t="shared" si="26"/>
        <v>0.96117117117117112</v>
      </c>
    </row>
    <row r="526" spans="1:10">
      <c r="A526" s="19" t="s">
        <v>115</v>
      </c>
      <c r="B526" s="20">
        <v>45992</v>
      </c>
      <c r="C526" s="21">
        <v>155.4</v>
      </c>
      <c r="D526" s="21">
        <v>112.40999999999998</v>
      </c>
      <c r="E526" s="21">
        <v>89.909999999999982</v>
      </c>
      <c r="F526" s="27">
        <f t="shared" si="24"/>
        <v>0.72335907335907323</v>
      </c>
      <c r="G526" s="21" t="str">
        <f>IFERROR(INDEX(Users!$A$2:$A$310,MATCH(A526,Users!$B$2:$B$310,0)),"")</f>
        <v>Service B</v>
      </c>
      <c r="H526" s="21" t="str">
        <f>IFERROR(INDEX(Users!$D$2:$D$310,MATCH(A526,Users!$B$2:$B$310,0)),"")</f>
        <v>Band 3</v>
      </c>
      <c r="I526" s="19" t="b">
        <f t="shared" si="25"/>
        <v>0</v>
      </c>
      <c r="J526" s="33">
        <f t="shared" si="26"/>
        <v>0.72335907335907323</v>
      </c>
    </row>
    <row r="527" spans="1:10">
      <c r="A527" s="19" t="s">
        <v>115</v>
      </c>
      <c r="B527" s="20">
        <v>46023</v>
      </c>
      <c r="C527" s="21">
        <v>155.4</v>
      </c>
      <c r="D527" s="21">
        <v>162.12333333333331</v>
      </c>
      <c r="E527" s="21">
        <v>102.78999999999999</v>
      </c>
      <c r="F527" s="27">
        <f t="shared" si="24"/>
        <v>1.043264693264693</v>
      </c>
      <c r="G527" s="21" t="str">
        <f>IFERROR(INDEX(Users!$A$2:$A$310,MATCH(A527,Users!$B$2:$B$310,0)),"")</f>
        <v>Service B</v>
      </c>
      <c r="H527" s="21" t="str">
        <f>IFERROR(INDEX(Users!$D$2:$D$310,MATCH(A527,Users!$B$2:$B$310,0)),"")</f>
        <v>Band 3</v>
      </c>
      <c r="I527" s="19" t="b">
        <f t="shared" si="25"/>
        <v>0</v>
      </c>
      <c r="J527" s="33" t="str">
        <f t="shared" si="26"/>
        <v/>
      </c>
    </row>
    <row r="528" spans="1:10">
      <c r="A528" s="19" t="s">
        <v>116</v>
      </c>
      <c r="B528" s="20">
        <v>45658</v>
      </c>
      <c r="C528" s="21">
        <v>162.80000000000001</v>
      </c>
      <c r="D528" s="21">
        <v>122.32</v>
      </c>
      <c r="E528" s="21">
        <v>57.070000000000007</v>
      </c>
      <c r="F528" s="27">
        <f t="shared" si="24"/>
        <v>0.75135135135135123</v>
      </c>
      <c r="G528" s="21" t="str">
        <f>IFERROR(INDEX(Users!$A$2:$A$310,MATCH(A528,Users!$B$2:$B$310,0)),"")</f>
        <v>Service A</v>
      </c>
      <c r="H528" s="21" t="str">
        <f>IFERROR(INDEX(Users!$D$2:$D$310,MATCH(A528,Users!$B$2:$B$310,0)),"")</f>
        <v>Band 5</v>
      </c>
      <c r="I528" s="19" t="b">
        <f t="shared" si="25"/>
        <v>0</v>
      </c>
      <c r="J528" s="33" t="str">
        <f t="shared" si="26"/>
        <v/>
      </c>
    </row>
    <row r="529" spans="1:10">
      <c r="A529" s="19" t="s">
        <v>116</v>
      </c>
      <c r="B529" s="20">
        <v>45689</v>
      </c>
      <c r="C529" s="21">
        <v>148</v>
      </c>
      <c r="D529" s="21">
        <v>144.58333333333331</v>
      </c>
      <c r="E529" s="21">
        <v>68.5</v>
      </c>
      <c r="F529" s="27">
        <f t="shared" si="24"/>
        <v>0.97691441441441429</v>
      </c>
      <c r="G529" s="21" t="str">
        <f>IFERROR(INDEX(Users!$A$2:$A$310,MATCH(A529,Users!$B$2:$B$310,0)),"")</f>
        <v>Service A</v>
      </c>
      <c r="H529" s="21" t="str">
        <f>IFERROR(INDEX(Users!$D$2:$D$310,MATCH(A529,Users!$B$2:$B$310,0)),"")</f>
        <v>Band 5</v>
      </c>
      <c r="I529" s="19" t="b">
        <f t="shared" si="25"/>
        <v>0</v>
      </c>
      <c r="J529" s="33" t="str">
        <f t="shared" si="26"/>
        <v/>
      </c>
    </row>
    <row r="530" spans="1:10">
      <c r="A530" s="19" t="s">
        <v>116</v>
      </c>
      <c r="B530" s="20">
        <v>45717</v>
      </c>
      <c r="C530" s="21">
        <v>155.4</v>
      </c>
      <c r="D530" s="21">
        <v>163.51333333333332</v>
      </c>
      <c r="E530" s="21">
        <v>98.68</v>
      </c>
      <c r="F530" s="27">
        <f t="shared" si="24"/>
        <v>1.0522093522093521</v>
      </c>
      <c r="G530" s="21" t="str">
        <f>IFERROR(INDEX(Users!$A$2:$A$310,MATCH(A530,Users!$B$2:$B$310,0)),"")</f>
        <v>Service A</v>
      </c>
      <c r="H530" s="21" t="str">
        <f>IFERROR(INDEX(Users!$D$2:$D$310,MATCH(A530,Users!$B$2:$B$310,0)),"")</f>
        <v>Band 5</v>
      </c>
      <c r="I530" s="19" t="b">
        <f t="shared" si="25"/>
        <v>0</v>
      </c>
      <c r="J530" s="33" t="str">
        <f t="shared" si="26"/>
        <v/>
      </c>
    </row>
    <row r="531" spans="1:10">
      <c r="A531" s="19" t="s">
        <v>116</v>
      </c>
      <c r="B531" s="20">
        <v>45748</v>
      </c>
      <c r="C531" s="21">
        <v>148</v>
      </c>
      <c r="D531" s="21">
        <v>139.71333333333331</v>
      </c>
      <c r="E531" s="21">
        <v>80.63</v>
      </c>
      <c r="F531" s="27">
        <f t="shared" si="24"/>
        <v>0.94400900900900886</v>
      </c>
      <c r="G531" s="21" t="str">
        <f>IFERROR(INDEX(Users!$A$2:$A$310,MATCH(A531,Users!$B$2:$B$310,0)),"")</f>
        <v>Service A</v>
      </c>
      <c r="H531" s="21" t="str">
        <f>IFERROR(INDEX(Users!$D$2:$D$310,MATCH(A531,Users!$B$2:$B$310,0)),"")</f>
        <v>Band 5</v>
      </c>
      <c r="I531" s="19" t="b">
        <f t="shared" si="25"/>
        <v>0</v>
      </c>
      <c r="J531" s="33" t="str">
        <f t="shared" si="26"/>
        <v/>
      </c>
    </row>
    <row r="532" spans="1:10">
      <c r="A532" s="19" t="s">
        <v>116</v>
      </c>
      <c r="B532" s="20">
        <v>45778</v>
      </c>
      <c r="C532" s="21">
        <v>148</v>
      </c>
      <c r="D532" s="21">
        <v>126.93</v>
      </c>
      <c r="E532" s="21">
        <v>85.179999999999993</v>
      </c>
      <c r="F532" s="27">
        <f t="shared" si="24"/>
        <v>0.85763513513513523</v>
      </c>
      <c r="G532" s="21" t="str">
        <f>IFERROR(INDEX(Users!$A$2:$A$310,MATCH(A532,Users!$B$2:$B$310,0)),"")</f>
        <v>Service A</v>
      </c>
      <c r="H532" s="21" t="str">
        <f>IFERROR(INDEX(Users!$D$2:$D$310,MATCH(A532,Users!$B$2:$B$310,0)),"")</f>
        <v>Band 5</v>
      </c>
      <c r="I532" s="19" t="b">
        <f t="shared" si="25"/>
        <v>0</v>
      </c>
      <c r="J532" s="33" t="str">
        <f t="shared" si="26"/>
        <v/>
      </c>
    </row>
    <row r="533" spans="1:10">
      <c r="A533" s="19" t="s">
        <v>116</v>
      </c>
      <c r="B533" s="20">
        <v>45809</v>
      </c>
      <c r="C533" s="21">
        <v>155.4</v>
      </c>
      <c r="D533" s="21">
        <v>113.73666666666665</v>
      </c>
      <c r="E533" s="21">
        <v>74.069999999999993</v>
      </c>
      <c r="F533" s="27">
        <f t="shared" si="24"/>
        <v>0.73189618189618177</v>
      </c>
      <c r="G533" s="21" t="str">
        <f>IFERROR(INDEX(Users!$A$2:$A$310,MATCH(A533,Users!$B$2:$B$310,0)),"")</f>
        <v>Service A</v>
      </c>
      <c r="H533" s="21" t="str">
        <f>IFERROR(INDEX(Users!$D$2:$D$310,MATCH(A533,Users!$B$2:$B$310,0)),"")</f>
        <v>Band 5</v>
      </c>
      <c r="I533" s="19" t="b">
        <f t="shared" si="25"/>
        <v>0</v>
      </c>
      <c r="J533" s="33" t="str">
        <f t="shared" si="26"/>
        <v/>
      </c>
    </row>
    <row r="534" spans="1:10">
      <c r="A534" s="19" t="s">
        <v>116</v>
      </c>
      <c r="B534" s="20">
        <v>45839</v>
      </c>
      <c r="C534" s="21">
        <v>170.20000000000002</v>
      </c>
      <c r="D534" s="21">
        <v>180.39333333333332</v>
      </c>
      <c r="E534" s="21">
        <v>106.80999999999997</v>
      </c>
      <c r="F534" s="27">
        <f t="shared" si="24"/>
        <v>1.0598903251077163</v>
      </c>
      <c r="G534" s="21" t="str">
        <f>IFERROR(INDEX(Users!$A$2:$A$310,MATCH(A534,Users!$B$2:$B$310,0)),"")</f>
        <v>Service A</v>
      </c>
      <c r="H534" s="21" t="str">
        <f>IFERROR(INDEX(Users!$D$2:$D$310,MATCH(A534,Users!$B$2:$B$310,0)),"")</f>
        <v>Band 5</v>
      </c>
      <c r="I534" s="19" t="b">
        <f t="shared" si="25"/>
        <v>0</v>
      </c>
      <c r="J534" s="33" t="str">
        <f t="shared" si="26"/>
        <v/>
      </c>
    </row>
    <row r="535" spans="1:10">
      <c r="A535" s="19" t="s">
        <v>116</v>
      </c>
      <c r="B535" s="20">
        <v>45870</v>
      </c>
      <c r="C535" s="21">
        <v>148</v>
      </c>
      <c r="D535" s="21">
        <v>29.900000000000006</v>
      </c>
      <c r="E535" s="21">
        <v>17.400000000000006</v>
      </c>
      <c r="F535" s="27">
        <f t="shared" si="24"/>
        <v>0.20202702702702707</v>
      </c>
      <c r="G535" s="21" t="str">
        <f>IFERROR(INDEX(Users!$A$2:$A$310,MATCH(A535,Users!$B$2:$B$310,0)),"")</f>
        <v>Service A</v>
      </c>
      <c r="H535" s="21" t="str">
        <f>IFERROR(INDEX(Users!$D$2:$D$310,MATCH(A535,Users!$B$2:$B$310,0)),"")</f>
        <v>Band 5</v>
      </c>
      <c r="I535" s="19" t="b">
        <f t="shared" si="25"/>
        <v>0</v>
      </c>
      <c r="J535" s="33" t="str">
        <f t="shared" si="26"/>
        <v/>
      </c>
    </row>
    <row r="536" spans="1:10">
      <c r="A536" s="19" t="s">
        <v>116</v>
      </c>
      <c r="B536" s="20">
        <v>45901</v>
      </c>
      <c r="C536" s="21">
        <v>74</v>
      </c>
      <c r="D536" s="21">
        <v>77.819999999999979</v>
      </c>
      <c r="E536" s="21">
        <v>53.569999999999979</v>
      </c>
      <c r="F536" s="27">
        <f t="shared" si="24"/>
        <v>1.0516216216216214</v>
      </c>
      <c r="G536" s="21" t="str">
        <f>IFERROR(INDEX(Users!$A$2:$A$310,MATCH(A536,Users!$B$2:$B$310,0)),"")</f>
        <v>Service A</v>
      </c>
      <c r="H536" s="21" t="str">
        <f>IFERROR(INDEX(Users!$D$2:$D$310,MATCH(A536,Users!$B$2:$B$310,0)),"")</f>
        <v>Band 5</v>
      </c>
      <c r="I536" s="19" t="b">
        <f t="shared" si="25"/>
        <v>0</v>
      </c>
      <c r="J536" s="33" t="str">
        <f t="shared" si="26"/>
        <v/>
      </c>
    </row>
    <row r="537" spans="1:10">
      <c r="A537" s="19" t="s">
        <v>117</v>
      </c>
      <c r="B537" s="20">
        <v>45658</v>
      </c>
      <c r="C537" s="21">
        <v>140.80000000000001</v>
      </c>
      <c r="D537" s="21">
        <v>104.99666666666667</v>
      </c>
      <c r="E537" s="21">
        <v>69.330000000000013</v>
      </c>
      <c r="F537" s="27">
        <f t="shared" si="24"/>
        <v>0.74571496212121213</v>
      </c>
      <c r="G537" s="21" t="str">
        <f>IFERROR(INDEX(Users!$A$2:$A$310,MATCH(A537,Users!$B$2:$B$310,0)),"")</f>
        <v>Service A</v>
      </c>
      <c r="H537" s="21" t="str">
        <f>IFERROR(INDEX(Users!$D$2:$D$310,MATCH(A537,Users!$B$2:$B$310,0)),"")</f>
        <v>Band 3</v>
      </c>
      <c r="I537" s="19" t="b">
        <f t="shared" si="25"/>
        <v>1</v>
      </c>
      <c r="J537" s="33" t="str">
        <f t="shared" si="26"/>
        <v/>
      </c>
    </row>
    <row r="538" spans="1:10">
      <c r="A538" s="19" t="s">
        <v>117</v>
      </c>
      <c r="B538" s="20">
        <v>45689</v>
      </c>
      <c r="C538" s="21">
        <v>128</v>
      </c>
      <c r="D538" s="21">
        <v>131.90666666666667</v>
      </c>
      <c r="E538" s="21">
        <v>78.239999999999995</v>
      </c>
      <c r="F538" s="27">
        <f t="shared" si="24"/>
        <v>1.0305208333333333</v>
      </c>
      <c r="G538" s="21" t="str">
        <f>IFERROR(INDEX(Users!$A$2:$A$310,MATCH(A538,Users!$B$2:$B$310,0)),"")</f>
        <v>Service A</v>
      </c>
      <c r="H538" s="21" t="str">
        <f>IFERROR(INDEX(Users!$D$2:$D$310,MATCH(A538,Users!$B$2:$B$310,0)),"")</f>
        <v>Band 3</v>
      </c>
      <c r="I538" s="19" t="b">
        <f t="shared" si="25"/>
        <v>1</v>
      </c>
      <c r="J538" s="33" t="str">
        <f t="shared" si="26"/>
        <v/>
      </c>
    </row>
    <row r="539" spans="1:10">
      <c r="A539" s="19" t="s">
        <v>117</v>
      </c>
      <c r="B539" s="20">
        <v>45717</v>
      </c>
      <c r="C539" s="21">
        <v>134.4</v>
      </c>
      <c r="D539" s="21">
        <v>129.50666666666666</v>
      </c>
      <c r="E539" s="21">
        <v>81.09</v>
      </c>
      <c r="F539" s="27">
        <f t="shared" si="24"/>
        <v>0.96359126984126975</v>
      </c>
      <c r="G539" s="21" t="str">
        <f>IFERROR(INDEX(Users!$A$2:$A$310,MATCH(A539,Users!$B$2:$B$310,0)),"")</f>
        <v>Service A</v>
      </c>
      <c r="H539" s="21" t="str">
        <f>IFERROR(INDEX(Users!$D$2:$D$310,MATCH(A539,Users!$B$2:$B$310,0)),"")</f>
        <v>Band 3</v>
      </c>
      <c r="I539" s="19" t="b">
        <f t="shared" si="25"/>
        <v>1</v>
      </c>
      <c r="J539" s="33" t="str">
        <f t="shared" si="26"/>
        <v/>
      </c>
    </row>
    <row r="540" spans="1:10">
      <c r="A540" s="19" t="s">
        <v>117</v>
      </c>
      <c r="B540" s="20">
        <v>45748</v>
      </c>
      <c r="C540" s="21">
        <v>128</v>
      </c>
      <c r="D540" s="21">
        <v>119.33666666666667</v>
      </c>
      <c r="E540" s="21">
        <v>85.42</v>
      </c>
      <c r="F540" s="27">
        <f t="shared" si="24"/>
        <v>0.93231770833333338</v>
      </c>
      <c r="G540" s="21" t="str">
        <f>IFERROR(INDEX(Users!$A$2:$A$310,MATCH(A540,Users!$B$2:$B$310,0)),"")</f>
        <v>Service A</v>
      </c>
      <c r="H540" s="21" t="str">
        <f>IFERROR(INDEX(Users!$D$2:$D$310,MATCH(A540,Users!$B$2:$B$310,0)),"")</f>
        <v>Band 3</v>
      </c>
      <c r="I540" s="19" t="b">
        <f t="shared" si="25"/>
        <v>1</v>
      </c>
      <c r="J540" s="33" t="str">
        <f t="shared" si="26"/>
        <v/>
      </c>
    </row>
    <row r="541" spans="1:10">
      <c r="A541" s="19" t="s">
        <v>117</v>
      </c>
      <c r="B541" s="20">
        <v>45778</v>
      </c>
      <c r="C541" s="21">
        <v>128</v>
      </c>
      <c r="D541" s="21">
        <v>87.076666666666668</v>
      </c>
      <c r="E541" s="21">
        <v>59.41</v>
      </c>
      <c r="F541" s="27">
        <f t="shared" si="24"/>
        <v>0.68028645833333334</v>
      </c>
      <c r="G541" s="21" t="str">
        <f>IFERROR(INDEX(Users!$A$2:$A$310,MATCH(A541,Users!$B$2:$B$310,0)),"")</f>
        <v>Service A</v>
      </c>
      <c r="H541" s="21" t="str">
        <f>IFERROR(INDEX(Users!$D$2:$D$310,MATCH(A541,Users!$B$2:$B$310,0)),"")</f>
        <v>Band 3</v>
      </c>
      <c r="I541" s="19" t="b">
        <f t="shared" si="25"/>
        <v>1</v>
      </c>
      <c r="J541" s="33" t="str">
        <f t="shared" si="26"/>
        <v/>
      </c>
    </row>
    <row r="542" spans="1:10">
      <c r="A542" s="19" t="s">
        <v>117</v>
      </c>
      <c r="B542" s="20">
        <v>45809</v>
      </c>
      <c r="C542" s="21">
        <v>134.4</v>
      </c>
      <c r="D542" s="21">
        <v>124.74666666666667</v>
      </c>
      <c r="E542" s="21">
        <v>103.33</v>
      </c>
      <c r="F542" s="27">
        <f t="shared" si="24"/>
        <v>0.92817460317460321</v>
      </c>
      <c r="G542" s="21" t="str">
        <f>IFERROR(INDEX(Users!$A$2:$A$310,MATCH(A542,Users!$B$2:$B$310,0)),"")</f>
        <v>Service A</v>
      </c>
      <c r="H542" s="21" t="str">
        <f>IFERROR(INDEX(Users!$D$2:$D$310,MATCH(A542,Users!$B$2:$B$310,0)),"")</f>
        <v>Band 3</v>
      </c>
      <c r="I542" s="19" t="b">
        <f t="shared" si="25"/>
        <v>1</v>
      </c>
      <c r="J542" s="33" t="str">
        <f t="shared" si="26"/>
        <v/>
      </c>
    </row>
    <row r="543" spans="1:10">
      <c r="A543" s="19" t="s">
        <v>117</v>
      </c>
      <c r="B543" s="20">
        <v>45839</v>
      </c>
      <c r="C543" s="21">
        <v>147.20000000000002</v>
      </c>
      <c r="D543" s="21">
        <v>123.08666666666667</v>
      </c>
      <c r="E543" s="21">
        <v>81.42</v>
      </c>
      <c r="F543" s="27">
        <f t="shared" si="24"/>
        <v>0.83618659420289854</v>
      </c>
      <c r="G543" s="21" t="str">
        <f>IFERROR(INDEX(Users!$A$2:$A$310,MATCH(A543,Users!$B$2:$B$310,0)),"")</f>
        <v>Service A</v>
      </c>
      <c r="H543" s="21" t="str">
        <f>IFERROR(INDEX(Users!$D$2:$D$310,MATCH(A543,Users!$B$2:$B$310,0)),"")</f>
        <v>Band 3</v>
      </c>
      <c r="I543" s="19" t="b">
        <f t="shared" si="25"/>
        <v>1</v>
      </c>
      <c r="J543" s="33" t="str">
        <f t="shared" si="26"/>
        <v/>
      </c>
    </row>
    <row r="544" spans="1:10">
      <c r="A544" s="19" t="s">
        <v>117</v>
      </c>
      <c r="B544" s="20">
        <v>45870</v>
      </c>
      <c r="C544" s="21">
        <v>128</v>
      </c>
      <c r="D544" s="21">
        <v>117.08666666666667</v>
      </c>
      <c r="E544" s="21">
        <v>84.42</v>
      </c>
      <c r="F544" s="27">
        <f t="shared" si="24"/>
        <v>0.91473958333333338</v>
      </c>
      <c r="G544" s="21" t="str">
        <f>IFERROR(INDEX(Users!$A$2:$A$310,MATCH(A544,Users!$B$2:$B$310,0)),"")</f>
        <v>Service A</v>
      </c>
      <c r="H544" s="21" t="str">
        <f>IFERROR(INDEX(Users!$D$2:$D$310,MATCH(A544,Users!$B$2:$B$310,0)),"")</f>
        <v>Band 3</v>
      </c>
      <c r="I544" s="19" t="b">
        <f t="shared" si="25"/>
        <v>1</v>
      </c>
      <c r="J544" s="33" t="str">
        <f t="shared" si="26"/>
        <v/>
      </c>
    </row>
    <row r="545" spans="1:10">
      <c r="A545" s="19" t="s">
        <v>117</v>
      </c>
      <c r="B545" s="20">
        <v>45901</v>
      </c>
      <c r="C545" s="21">
        <v>140.80000000000001</v>
      </c>
      <c r="D545" s="21">
        <v>103.16</v>
      </c>
      <c r="E545" s="21">
        <v>73.91</v>
      </c>
      <c r="F545" s="27">
        <f t="shared" si="24"/>
        <v>0.73267045454545443</v>
      </c>
      <c r="G545" s="21" t="str">
        <f>IFERROR(INDEX(Users!$A$2:$A$310,MATCH(A545,Users!$B$2:$B$310,0)),"")</f>
        <v>Service A</v>
      </c>
      <c r="H545" s="21" t="str">
        <f>IFERROR(INDEX(Users!$D$2:$D$310,MATCH(A545,Users!$B$2:$B$310,0)),"")</f>
        <v>Band 3</v>
      </c>
      <c r="I545" s="19" t="b">
        <f t="shared" si="25"/>
        <v>1</v>
      </c>
      <c r="J545" s="33" t="str">
        <f t="shared" si="26"/>
        <v/>
      </c>
    </row>
    <row r="546" spans="1:10">
      <c r="A546" s="19" t="s">
        <v>117</v>
      </c>
      <c r="B546" s="20">
        <v>45931</v>
      </c>
      <c r="C546" s="21">
        <v>147.20000000000002</v>
      </c>
      <c r="D546" s="21">
        <v>140.24333333333334</v>
      </c>
      <c r="E546" s="21">
        <v>107.66</v>
      </c>
      <c r="F546" s="27">
        <f t="shared" si="24"/>
        <v>0.95274003623188397</v>
      </c>
      <c r="G546" s="21" t="str">
        <f>IFERROR(INDEX(Users!$A$2:$A$310,MATCH(A546,Users!$B$2:$B$310,0)),"")</f>
        <v>Service A</v>
      </c>
      <c r="H546" s="21" t="str">
        <f>IFERROR(INDEX(Users!$D$2:$D$310,MATCH(A546,Users!$B$2:$B$310,0)),"")</f>
        <v>Band 3</v>
      </c>
      <c r="I546" s="19" t="b">
        <f t="shared" si="25"/>
        <v>1</v>
      </c>
      <c r="J546" s="33" t="str">
        <f t="shared" si="26"/>
        <v/>
      </c>
    </row>
    <row r="547" spans="1:10">
      <c r="A547" s="19" t="s">
        <v>117</v>
      </c>
      <c r="B547" s="20">
        <v>45962</v>
      </c>
      <c r="C547" s="21">
        <v>128</v>
      </c>
      <c r="D547" s="21">
        <v>128.00333333333333</v>
      </c>
      <c r="E547" s="21">
        <v>105.42</v>
      </c>
      <c r="F547" s="27">
        <f t="shared" si="24"/>
        <v>1.0000260416666666</v>
      </c>
      <c r="G547" s="21" t="str">
        <f>IFERROR(INDEX(Users!$A$2:$A$310,MATCH(A547,Users!$B$2:$B$310,0)),"")</f>
        <v>Service A</v>
      </c>
      <c r="H547" s="21" t="str">
        <f>IFERROR(INDEX(Users!$D$2:$D$310,MATCH(A547,Users!$B$2:$B$310,0)),"")</f>
        <v>Band 3</v>
      </c>
      <c r="I547" s="19" t="b">
        <f t="shared" si="25"/>
        <v>1</v>
      </c>
      <c r="J547" s="33" t="str">
        <f t="shared" si="26"/>
        <v/>
      </c>
    </row>
    <row r="548" spans="1:10">
      <c r="A548" s="19" t="s">
        <v>117</v>
      </c>
      <c r="B548" s="20">
        <v>45992</v>
      </c>
      <c r="C548" s="21">
        <v>134.4</v>
      </c>
      <c r="D548" s="21">
        <v>106.08333333333333</v>
      </c>
      <c r="E548" s="21">
        <v>80.25</v>
      </c>
      <c r="F548" s="27">
        <f t="shared" si="24"/>
        <v>0.78931051587301582</v>
      </c>
      <c r="G548" s="21" t="str">
        <f>IFERROR(INDEX(Users!$A$2:$A$310,MATCH(A548,Users!$B$2:$B$310,0)),"")</f>
        <v>Service A</v>
      </c>
      <c r="H548" s="21" t="str">
        <f>IFERROR(INDEX(Users!$D$2:$D$310,MATCH(A548,Users!$B$2:$B$310,0)),"")</f>
        <v>Band 3</v>
      </c>
      <c r="I548" s="19" t="b">
        <f t="shared" si="25"/>
        <v>1</v>
      </c>
      <c r="J548" s="33" t="str">
        <f t="shared" si="26"/>
        <v/>
      </c>
    </row>
    <row r="549" spans="1:10">
      <c r="A549" s="19" t="s">
        <v>117</v>
      </c>
      <c r="B549" s="20">
        <v>46023</v>
      </c>
      <c r="C549" s="21">
        <v>134.4</v>
      </c>
      <c r="D549" s="21">
        <v>129.41666666666666</v>
      </c>
      <c r="E549" s="21">
        <v>99.25</v>
      </c>
      <c r="F549" s="27">
        <f t="shared" si="24"/>
        <v>0.96292162698412687</v>
      </c>
      <c r="G549" s="21" t="str">
        <f>IFERROR(INDEX(Users!$A$2:$A$310,MATCH(A549,Users!$B$2:$B$310,0)),"")</f>
        <v>Service A</v>
      </c>
      <c r="H549" s="21" t="str">
        <f>IFERROR(INDEX(Users!$D$2:$D$310,MATCH(A549,Users!$B$2:$B$310,0)),"")</f>
        <v>Band 3</v>
      </c>
      <c r="I549" s="19" t="b">
        <f t="shared" si="25"/>
        <v>1</v>
      </c>
      <c r="J549" s="33" t="str">
        <f t="shared" si="26"/>
        <v/>
      </c>
    </row>
    <row r="550" spans="1:10">
      <c r="A550" s="19" t="s">
        <v>118</v>
      </c>
      <c r="B550" s="20">
        <v>45689</v>
      </c>
      <c r="C550" s="21">
        <v>37</v>
      </c>
      <c r="D550" s="21"/>
      <c r="E550" s="21"/>
      <c r="F550" s="27" t="str">
        <f t="shared" si="24"/>
        <v/>
      </c>
      <c r="G550" s="21" t="str">
        <f>IFERROR(INDEX(Users!$A$2:$A$310,MATCH(A550,Users!$B$2:$B$310,0)),"")</f>
        <v>Service B</v>
      </c>
      <c r="H550" s="21" t="str">
        <f>IFERROR(INDEX(Users!$D$2:$D$310,MATCH(A550,Users!$B$2:$B$310,0)),"")</f>
        <v>Band 3</v>
      </c>
      <c r="I550" s="19" t="b">
        <f t="shared" si="25"/>
        <v>0</v>
      </c>
      <c r="J550" s="33" t="str">
        <f t="shared" si="26"/>
        <v/>
      </c>
    </row>
    <row r="551" spans="1:10">
      <c r="A551" s="19" t="s">
        <v>118</v>
      </c>
      <c r="B551" s="20">
        <v>45717</v>
      </c>
      <c r="C551" s="21">
        <v>155.40000000000006</v>
      </c>
      <c r="D551" s="21"/>
      <c r="E551" s="21"/>
      <c r="F551" s="27" t="str">
        <f t="shared" si="24"/>
        <v/>
      </c>
      <c r="G551" s="21" t="str">
        <f>IFERROR(INDEX(Users!$A$2:$A$310,MATCH(A551,Users!$B$2:$B$310,0)),"")</f>
        <v>Service B</v>
      </c>
      <c r="H551" s="21" t="str">
        <f>IFERROR(INDEX(Users!$D$2:$D$310,MATCH(A551,Users!$B$2:$B$310,0)),"")</f>
        <v>Band 3</v>
      </c>
      <c r="I551" s="19" t="b">
        <f t="shared" si="25"/>
        <v>0</v>
      </c>
      <c r="J551" s="33" t="str">
        <f t="shared" si="26"/>
        <v/>
      </c>
    </row>
    <row r="552" spans="1:10">
      <c r="A552" s="19" t="s">
        <v>118</v>
      </c>
      <c r="B552" s="20">
        <v>45748</v>
      </c>
      <c r="C552" s="21">
        <v>148.00000000000006</v>
      </c>
      <c r="D552" s="21">
        <v>52.176666666666669</v>
      </c>
      <c r="E552" s="21">
        <v>4.26</v>
      </c>
      <c r="F552" s="27">
        <f t="shared" si="24"/>
        <v>0.35254504504504491</v>
      </c>
      <c r="G552" s="21" t="str">
        <f>IFERROR(INDEX(Users!$A$2:$A$310,MATCH(A552,Users!$B$2:$B$310,0)),"")</f>
        <v>Service B</v>
      </c>
      <c r="H552" s="21" t="str">
        <f>IFERROR(INDEX(Users!$D$2:$D$310,MATCH(A552,Users!$B$2:$B$310,0)),"")</f>
        <v>Band 3</v>
      </c>
      <c r="I552" s="19" t="b">
        <f t="shared" si="25"/>
        <v>0</v>
      </c>
      <c r="J552" s="33">
        <f t="shared" si="26"/>
        <v>0.35254504504504491</v>
      </c>
    </row>
    <row r="553" spans="1:10">
      <c r="A553" s="19" t="s">
        <v>118</v>
      </c>
      <c r="B553" s="20">
        <v>45778</v>
      </c>
      <c r="C553" s="21">
        <v>148.00000000000006</v>
      </c>
      <c r="D553" s="21">
        <v>114.56</v>
      </c>
      <c r="E553" s="21">
        <v>10.41</v>
      </c>
      <c r="F553" s="27">
        <f t="shared" si="24"/>
        <v>0.77405405405405381</v>
      </c>
      <c r="G553" s="21" t="str">
        <f>IFERROR(INDEX(Users!$A$2:$A$310,MATCH(A553,Users!$B$2:$B$310,0)),"")</f>
        <v>Service B</v>
      </c>
      <c r="H553" s="21" t="str">
        <f>IFERROR(INDEX(Users!$D$2:$D$310,MATCH(A553,Users!$B$2:$B$310,0)),"")</f>
        <v>Band 3</v>
      </c>
      <c r="I553" s="19" t="b">
        <f t="shared" si="25"/>
        <v>0</v>
      </c>
      <c r="J553" s="33">
        <f t="shared" si="26"/>
        <v>0.77405405405405381</v>
      </c>
    </row>
    <row r="554" spans="1:10">
      <c r="A554" s="19" t="s">
        <v>118</v>
      </c>
      <c r="B554" s="20">
        <v>45809</v>
      </c>
      <c r="C554" s="21">
        <v>155.40000000000006</v>
      </c>
      <c r="D554" s="21">
        <v>148.49333333333331</v>
      </c>
      <c r="E554" s="21">
        <v>17.36</v>
      </c>
      <c r="F554" s="27">
        <f t="shared" si="24"/>
        <v>0.95555555555555505</v>
      </c>
      <c r="G554" s="21" t="str">
        <f>IFERROR(INDEX(Users!$A$2:$A$310,MATCH(A554,Users!$B$2:$B$310,0)),"")</f>
        <v>Service B</v>
      </c>
      <c r="H554" s="21" t="str">
        <f>IFERROR(INDEX(Users!$D$2:$D$310,MATCH(A554,Users!$B$2:$B$310,0)),"")</f>
        <v>Band 3</v>
      </c>
      <c r="I554" s="19" t="b">
        <f t="shared" si="25"/>
        <v>0</v>
      </c>
      <c r="J554" s="33">
        <f t="shared" si="26"/>
        <v>0.95555555555555505</v>
      </c>
    </row>
    <row r="555" spans="1:10">
      <c r="A555" s="19" t="s">
        <v>118</v>
      </c>
      <c r="B555" s="20">
        <v>45839</v>
      </c>
      <c r="C555" s="21">
        <v>170.20000000000007</v>
      </c>
      <c r="D555" s="21">
        <v>86.023333333333341</v>
      </c>
      <c r="E555" s="21">
        <v>17.939999999999998</v>
      </c>
      <c r="F555" s="27">
        <f t="shared" si="24"/>
        <v>0.50542499020759868</v>
      </c>
      <c r="G555" s="21" t="str">
        <f>IFERROR(INDEX(Users!$A$2:$A$310,MATCH(A555,Users!$B$2:$B$310,0)),"")</f>
        <v>Service B</v>
      </c>
      <c r="H555" s="21" t="str">
        <f>IFERROR(INDEX(Users!$D$2:$D$310,MATCH(A555,Users!$B$2:$B$310,0)),"")</f>
        <v>Band 3</v>
      </c>
      <c r="I555" s="19" t="b">
        <f t="shared" si="25"/>
        <v>0</v>
      </c>
      <c r="J555" s="33">
        <f t="shared" si="26"/>
        <v>0.50542499020759868</v>
      </c>
    </row>
    <row r="556" spans="1:10">
      <c r="A556" s="19" t="s">
        <v>118</v>
      </c>
      <c r="B556" s="20">
        <v>45870</v>
      </c>
      <c r="C556" s="21">
        <v>148.00000000000006</v>
      </c>
      <c r="D556" s="21">
        <v>112.60666666666668</v>
      </c>
      <c r="E556" s="21">
        <v>39.190000000000012</v>
      </c>
      <c r="F556" s="27">
        <f t="shared" si="24"/>
        <v>0.76085585585585569</v>
      </c>
      <c r="G556" s="21" t="str">
        <f>IFERROR(INDEX(Users!$A$2:$A$310,MATCH(A556,Users!$B$2:$B$310,0)),"")</f>
        <v>Service B</v>
      </c>
      <c r="H556" s="21" t="str">
        <f>IFERROR(INDEX(Users!$D$2:$D$310,MATCH(A556,Users!$B$2:$B$310,0)),"")</f>
        <v>Band 3</v>
      </c>
      <c r="I556" s="19" t="b">
        <f t="shared" si="25"/>
        <v>0</v>
      </c>
      <c r="J556" s="33">
        <f t="shared" si="26"/>
        <v>0.76085585585585569</v>
      </c>
    </row>
    <row r="557" spans="1:10">
      <c r="A557" s="19" t="s">
        <v>118</v>
      </c>
      <c r="B557" s="20">
        <v>45901</v>
      </c>
      <c r="C557" s="21">
        <v>162.80000000000007</v>
      </c>
      <c r="D557" s="21">
        <v>165.09</v>
      </c>
      <c r="E557" s="21">
        <v>64.640000000000015</v>
      </c>
      <c r="F557" s="27">
        <f t="shared" si="24"/>
        <v>1.0140663390663387</v>
      </c>
      <c r="G557" s="21" t="str">
        <f>IFERROR(INDEX(Users!$A$2:$A$310,MATCH(A557,Users!$B$2:$B$310,0)),"")</f>
        <v>Service B</v>
      </c>
      <c r="H557" s="21" t="str">
        <f>IFERROR(INDEX(Users!$D$2:$D$310,MATCH(A557,Users!$B$2:$B$310,0)),"")</f>
        <v>Band 3</v>
      </c>
      <c r="I557" s="19" t="b">
        <f t="shared" si="25"/>
        <v>0</v>
      </c>
      <c r="J557" s="33">
        <f t="shared" si="26"/>
        <v>1.0140663390663387</v>
      </c>
    </row>
    <row r="558" spans="1:10">
      <c r="A558" s="19" t="s">
        <v>118</v>
      </c>
      <c r="B558" s="20">
        <v>45931</v>
      </c>
      <c r="C558" s="21">
        <v>170.20000000000007</v>
      </c>
      <c r="D558" s="21">
        <v>115.41</v>
      </c>
      <c r="E558" s="21">
        <v>45.809999999999995</v>
      </c>
      <c r="F558" s="27">
        <f t="shared" si="24"/>
        <v>0.67808460634547563</v>
      </c>
      <c r="G558" s="21" t="str">
        <f>IFERROR(INDEX(Users!$A$2:$A$310,MATCH(A558,Users!$B$2:$B$310,0)),"")</f>
        <v>Service B</v>
      </c>
      <c r="H558" s="21" t="str">
        <f>IFERROR(INDEX(Users!$D$2:$D$310,MATCH(A558,Users!$B$2:$B$310,0)),"")</f>
        <v>Band 3</v>
      </c>
      <c r="I558" s="19" t="b">
        <f t="shared" si="25"/>
        <v>0</v>
      </c>
      <c r="J558" s="33">
        <f t="shared" si="26"/>
        <v>0.67808460634547563</v>
      </c>
    </row>
    <row r="559" spans="1:10">
      <c r="A559" s="19" t="s">
        <v>118</v>
      </c>
      <c r="B559" s="20">
        <v>45962</v>
      </c>
      <c r="C559" s="21">
        <v>148.00000000000006</v>
      </c>
      <c r="D559" s="21">
        <v>135.92999999999998</v>
      </c>
      <c r="E559" s="21">
        <v>73.47999999999999</v>
      </c>
      <c r="F559" s="27">
        <f t="shared" si="24"/>
        <v>0.91844594594594542</v>
      </c>
      <c r="G559" s="21" t="str">
        <f>IFERROR(INDEX(Users!$A$2:$A$310,MATCH(A559,Users!$B$2:$B$310,0)),"")</f>
        <v>Service B</v>
      </c>
      <c r="H559" s="21" t="str">
        <f>IFERROR(INDEX(Users!$D$2:$D$310,MATCH(A559,Users!$B$2:$B$310,0)),"")</f>
        <v>Band 3</v>
      </c>
      <c r="I559" s="19" t="b">
        <f t="shared" si="25"/>
        <v>0</v>
      </c>
      <c r="J559" s="33">
        <f t="shared" si="26"/>
        <v>0.91844594594594542</v>
      </c>
    </row>
    <row r="560" spans="1:10">
      <c r="A560" s="19" t="s">
        <v>118</v>
      </c>
      <c r="B560" s="20">
        <v>45992</v>
      </c>
      <c r="C560" s="21">
        <v>155.40000000000006</v>
      </c>
      <c r="D560" s="21">
        <v>110.83333333333334</v>
      </c>
      <c r="E560" s="21">
        <v>49.000000000000007</v>
      </c>
      <c r="F560" s="27">
        <f t="shared" si="24"/>
        <v>0.71321321321321296</v>
      </c>
      <c r="G560" s="21" t="str">
        <f>IFERROR(INDEX(Users!$A$2:$A$310,MATCH(A560,Users!$B$2:$B$310,0)),"")</f>
        <v>Service B</v>
      </c>
      <c r="H560" s="21" t="str">
        <f>IFERROR(INDEX(Users!$D$2:$D$310,MATCH(A560,Users!$B$2:$B$310,0)),"")</f>
        <v>Band 3</v>
      </c>
      <c r="I560" s="19" t="b">
        <f t="shared" si="25"/>
        <v>0</v>
      </c>
      <c r="J560" s="33">
        <f t="shared" si="26"/>
        <v>0.71321321321321296</v>
      </c>
    </row>
    <row r="561" spans="1:10">
      <c r="A561" s="19" t="s">
        <v>118</v>
      </c>
      <c r="B561" s="20">
        <v>46023</v>
      </c>
      <c r="C561" s="21">
        <v>155.40000000000006</v>
      </c>
      <c r="D561" s="21">
        <v>153.52000000000004</v>
      </c>
      <c r="E561" s="21">
        <v>77.569999999999993</v>
      </c>
      <c r="F561" s="27">
        <f t="shared" si="24"/>
        <v>0.98790218790218776</v>
      </c>
      <c r="G561" s="21" t="str">
        <f>IFERROR(INDEX(Users!$A$2:$A$310,MATCH(A561,Users!$B$2:$B$310,0)),"")</f>
        <v>Service B</v>
      </c>
      <c r="H561" s="21" t="str">
        <f>IFERROR(INDEX(Users!$D$2:$D$310,MATCH(A561,Users!$B$2:$B$310,0)),"")</f>
        <v>Band 3</v>
      </c>
      <c r="I561" s="19" t="b">
        <f t="shared" si="25"/>
        <v>0</v>
      </c>
      <c r="J561" s="33" t="str">
        <f t="shared" si="26"/>
        <v/>
      </c>
    </row>
    <row r="562" spans="1:10">
      <c r="A562" s="19" t="s">
        <v>120</v>
      </c>
      <c r="B562" s="20">
        <v>45658</v>
      </c>
      <c r="C562" s="21">
        <v>162.79999999999998</v>
      </c>
      <c r="D562" s="21">
        <v>161.68416666666667</v>
      </c>
      <c r="E562" s="21">
        <v>80.240000000000009</v>
      </c>
      <c r="F562" s="27">
        <f t="shared" si="24"/>
        <v>0.99314598689598699</v>
      </c>
      <c r="G562" s="21" t="str">
        <f>IFERROR(INDEX(Users!$A$2:$A$310,MATCH(A562,Users!$B$2:$B$310,0)),"")</f>
        <v>Service B</v>
      </c>
      <c r="H562" s="21" t="str">
        <f>IFERROR(INDEX(Users!$D$2:$D$310,MATCH(A562,Users!$B$2:$B$310,0)),"")</f>
        <v>Band 3</v>
      </c>
      <c r="I562" s="19" t="b">
        <f t="shared" si="25"/>
        <v>0</v>
      </c>
      <c r="J562" s="33">
        <f t="shared" si="26"/>
        <v>0.99314598689598699</v>
      </c>
    </row>
    <row r="563" spans="1:10">
      <c r="A563" s="19" t="s">
        <v>120</v>
      </c>
      <c r="B563" s="20">
        <v>45689</v>
      </c>
      <c r="C563" s="21">
        <v>148</v>
      </c>
      <c r="D563" s="21">
        <v>156.60833333333335</v>
      </c>
      <c r="E563" s="21">
        <v>82.62</v>
      </c>
      <c r="F563" s="27">
        <f t="shared" si="24"/>
        <v>1.0581644144144144</v>
      </c>
      <c r="G563" s="21" t="str">
        <f>IFERROR(INDEX(Users!$A$2:$A$310,MATCH(A563,Users!$B$2:$B$310,0)),"")</f>
        <v>Service B</v>
      </c>
      <c r="H563" s="21" t="str">
        <f>IFERROR(INDEX(Users!$D$2:$D$310,MATCH(A563,Users!$B$2:$B$310,0)),"")</f>
        <v>Band 3</v>
      </c>
      <c r="I563" s="19" t="b">
        <f t="shared" si="25"/>
        <v>0</v>
      </c>
      <c r="J563" s="33">
        <f t="shared" si="26"/>
        <v>1.0581644144144144</v>
      </c>
    </row>
    <row r="564" spans="1:10">
      <c r="A564" s="19" t="s">
        <v>120</v>
      </c>
      <c r="B564" s="20">
        <v>45717</v>
      </c>
      <c r="C564" s="21">
        <v>155.4</v>
      </c>
      <c r="D564" s="21">
        <v>159.8655555555556</v>
      </c>
      <c r="E564" s="21">
        <v>77.050000000000011</v>
      </c>
      <c r="F564" s="27">
        <f t="shared" si="24"/>
        <v>1.0287358787358789</v>
      </c>
      <c r="G564" s="21" t="str">
        <f>IFERROR(INDEX(Users!$A$2:$A$310,MATCH(A564,Users!$B$2:$B$310,0)),"")</f>
        <v>Service B</v>
      </c>
      <c r="H564" s="21" t="str">
        <f>IFERROR(INDEX(Users!$D$2:$D$310,MATCH(A564,Users!$B$2:$B$310,0)),"")</f>
        <v>Band 3</v>
      </c>
      <c r="I564" s="19" t="b">
        <f t="shared" si="25"/>
        <v>0</v>
      </c>
      <c r="J564" s="33">
        <f t="shared" si="26"/>
        <v>1.0287358787358789</v>
      </c>
    </row>
    <row r="565" spans="1:10">
      <c r="A565" s="19" t="s">
        <v>120</v>
      </c>
      <c r="B565" s="20">
        <v>45748</v>
      </c>
      <c r="C565" s="21">
        <v>148</v>
      </c>
      <c r="D565" s="21"/>
      <c r="E565" s="21"/>
      <c r="F565" s="27" t="str">
        <f t="shared" si="24"/>
        <v/>
      </c>
      <c r="G565" s="21" t="str">
        <f>IFERROR(INDEX(Users!$A$2:$A$310,MATCH(A565,Users!$B$2:$B$310,0)),"")</f>
        <v>Service B</v>
      </c>
      <c r="H565" s="21" t="str">
        <f>IFERROR(INDEX(Users!$D$2:$D$310,MATCH(A565,Users!$B$2:$B$310,0)),"")</f>
        <v>Band 3</v>
      </c>
      <c r="I565" s="19" t="b">
        <f t="shared" si="25"/>
        <v>0</v>
      </c>
      <c r="J565" s="33" t="str">
        <f t="shared" si="26"/>
        <v/>
      </c>
    </row>
    <row r="566" spans="1:10">
      <c r="A566" s="19" t="s">
        <v>120</v>
      </c>
      <c r="B566" s="20">
        <v>45778</v>
      </c>
      <c r="C566" s="21">
        <v>148</v>
      </c>
      <c r="D566" s="21">
        <v>127.11055555555555</v>
      </c>
      <c r="E566" s="21">
        <v>55.25</v>
      </c>
      <c r="F566" s="27">
        <f t="shared" si="24"/>
        <v>0.8588551051051051</v>
      </c>
      <c r="G566" s="21" t="str">
        <f>IFERROR(INDEX(Users!$A$2:$A$310,MATCH(A566,Users!$B$2:$B$310,0)),"")</f>
        <v>Service B</v>
      </c>
      <c r="H566" s="21" t="str">
        <f>IFERROR(INDEX(Users!$D$2:$D$310,MATCH(A566,Users!$B$2:$B$310,0)),"")</f>
        <v>Band 3</v>
      </c>
      <c r="I566" s="19" t="b">
        <f t="shared" si="25"/>
        <v>0</v>
      </c>
      <c r="J566" s="33">
        <f t="shared" si="26"/>
        <v>0.8588551051051051</v>
      </c>
    </row>
    <row r="567" spans="1:10">
      <c r="A567" s="19" t="s">
        <v>120</v>
      </c>
      <c r="B567" s="20">
        <v>45809</v>
      </c>
      <c r="C567" s="21">
        <v>155.4</v>
      </c>
      <c r="D567" s="21">
        <v>167.62611111111107</v>
      </c>
      <c r="E567" s="21">
        <v>84.76</v>
      </c>
      <c r="F567" s="27">
        <f t="shared" si="24"/>
        <v>1.0786751036751034</v>
      </c>
      <c r="G567" s="21" t="str">
        <f>IFERROR(INDEX(Users!$A$2:$A$310,MATCH(A567,Users!$B$2:$B$310,0)),"")</f>
        <v>Service B</v>
      </c>
      <c r="H567" s="21" t="str">
        <f>IFERROR(INDEX(Users!$D$2:$D$310,MATCH(A567,Users!$B$2:$B$310,0)),"")</f>
        <v>Band 3</v>
      </c>
      <c r="I567" s="19" t="b">
        <f t="shared" si="25"/>
        <v>0</v>
      </c>
      <c r="J567" s="33">
        <f t="shared" si="26"/>
        <v>1.0786751036751034</v>
      </c>
    </row>
    <row r="568" spans="1:10">
      <c r="A568" s="19" t="s">
        <v>120</v>
      </c>
      <c r="B568" s="20">
        <v>45839</v>
      </c>
      <c r="C568" s="21">
        <v>170.2</v>
      </c>
      <c r="D568" s="21">
        <v>164.45638888888891</v>
      </c>
      <c r="E568" s="21">
        <v>89.79</v>
      </c>
      <c r="F568" s="27">
        <f t="shared" si="24"/>
        <v>0.96625375375375389</v>
      </c>
      <c r="G568" s="21" t="str">
        <f>IFERROR(INDEX(Users!$A$2:$A$310,MATCH(A568,Users!$B$2:$B$310,0)),"")</f>
        <v>Service B</v>
      </c>
      <c r="H568" s="21" t="str">
        <f>IFERROR(INDEX(Users!$D$2:$D$310,MATCH(A568,Users!$B$2:$B$310,0)),"")</f>
        <v>Band 3</v>
      </c>
      <c r="I568" s="19" t="b">
        <f t="shared" si="25"/>
        <v>0</v>
      </c>
      <c r="J568" s="33">
        <f t="shared" si="26"/>
        <v>0.96625375375375389</v>
      </c>
    </row>
    <row r="569" spans="1:10">
      <c r="A569" s="19" t="s">
        <v>120</v>
      </c>
      <c r="B569" s="20">
        <v>45870</v>
      </c>
      <c r="C569" s="21">
        <v>148</v>
      </c>
      <c r="D569" s="21">
        <v>144.12916666666666</v>
      </c>
      <c r="E569" s="21">
        <v>80.010000000000005</v>
      </c>
      <c r="F569" s="27">
        <f t="shared" si="24"/>
        <v>0.97384572072072073</v>
      </c>
      <c r="G569" s="21" t="str">
        <f>IFERROR(INDEX(Users!$A$2:$A$310,MATCH(A569,Users!$B$2:$B$310,0)),"")</f>
        <v>Service B</v>
      </c>
      <c r="H569" s="21" t="str">
        <f>IFERROR(INDEX(Users!$D$2:$D$310,MATCH(A569,Users!$B$2:$B$310,0)),"")</f>
        <v>Band 3</v>
      </c>
      <c r="I569" s="19" t="b">
        <f t="shared" si="25"/>
        <v>0</v>
      </c>
      <c r="J569" s="33">
        <f t="shared" si="26"/>
        <v>0.97384572072072073</v>
      </c>
    </row>
    <row r="570" spans="1:10">
      <c r="A570" s="19" t="s">
        <v>120</v>
      </c>
      <c r="B570" s="20">
        <v>45901</v>
      </c>
      <c r="C570" s="21">
        <v>162.80000000000001</v>
      </c>
      <c r="D570" s="21">
        <v>140.62222222222223</v>
      </c>
      <c r="E570" s="21">
        <v>74.06</v>
      </c>
      <c r="F570" s="27">
        <f t="shared" si="24"/>
        <v>0.86377286377286377</v>
      </c>
      <c r="G570" s="21" t="str">
        <f>IFERROR(INDEX(Users!$A$2:$A$310,MATCH(A570,Users!$B$2:$B$310,0)),"")</f>
        <v>Service B</v>
      </c>
      <c r="H570" s="21" t="str">
        <f>IFERROR(INDEX(Users!$D$2:$D$310,MATCH(A570,Users!$B$2:$B$310,0)),"")</f>
        <v>Band 3</v>
      </c>
      <c r="I570" s="19" t="b">
        <f t="shared" si="25"/>
        <v>0</v>
      </c>
      <c r="J570" s="33">
        <f t="shared" si="26"/>
        <v>0.86377286377286377</v>
      </c>
    </row>
    <row r="571" spans="1:10">
      <c r="A571" s="19" t="s">
        <v>120</v>
      </c>
      <c r="B571" s="20">
        <v>45931</v>
      </c>
      <c r="C571" s="21">
        <v>170.2</v>
      </c>
      <c r="D571" s="21">
        <v>140.91194444444443</v>
      </c>
      <c r="E571" s="21">
        <v>84.97</v>
      </c>
      <c r="F571" s="27">
        <f t="shared" si="24"/>
        <v>0.82791976759368058</v>
      </c>
      <c r="G571" s="21" t="str">
        <f>IFERROR(INDEX(Users!$A$2:$A$310,MATCH(A571,Users!$B$2:$B$310,0)),"")</f>
        <v>Service B</v>
      </c>
      <c r="H571" s="21" t="str">
        <f>IFERROR(INDEX(Users!$D$2:$D$310,MATCH(A571,Users!$B$2:$B$310,0)),"")</f>
        <v>Band 3</v>
      </c>
      <c r="I571" s="19" t="b">
        <f t="shared" si="25"/>
        <v>0</v>
      </c>
      <c r="J571" s="33">
        <f t="shared" si="26"/>
        <v>0.82791976759368058</v>
      </c>
    </row>
    <row r="572" spans="1:10">
      <c r="A572" s="19" t="s">
        <v>120</v>
      </c>
      <c r="B572" s="20">
        <v>45962</v>
      </c>
      <c r="C572" s="21">
        <v>148</v>
      </c>
      <c r="D572" s="21">
        <v>154.9733333333333</v>
      </c>
      <c r="E572" s="21">
        <v>88.889999999999986</v>
      </c>
      <c r="F572" s="27">
        <f t="shared" si="24"/>
        <v>1.047117117117117</v>
      </c>
      <c r="G572" s="21" t="str">
        <f>IFERROR(INDEX(Users!$A$2:$A$310,MATCH(A572,Users!$B$2:$B$310,0)),"")</f>
        <v>Service B</v>
      </c>
      <c r="H572" s="21" t="str">
        <f>IFERROR(INDEX(Users!$D$2:$D$310,MATCH(A572,Users!$B$2:$B$310,0)),"")</f>
        <v>Band 3</v>
      </c>
      <c r="I572" s="19" t="b">
        <f t="shared" si="25"/>
        <v>0</v>
      </c>
      <c r="J572" s="33">
        <f t="shared" si="26"/>
        <v>1.047117117117117</v>
      </c>
    </row>
    <row r="573" spans="1:10">
      <c r="A573" s="19" t="s">
        <v>120</v>
      </c>
      <c r="B573" s="20">
        <v>45992</v>
      </c>
      <c r="C573" s="21">
        <v>155.4</v>
      </c>
      <c r="D573" s="21">
        <v>123.56750000000001</v>
      </c>
      <c r="E573" s="21">
        <v>66.510000000000005</v>
      </c>
      <c r="F573" s="27">
        <f t="shared" si="24"/>
        <v>0.79515765765765767</v>
      </c>
      <c r="G573" s="21" t="str">
        <f>IFERROR(INDEX(Users!$A$2:$A$310,MATCH(A573,Users!$B$2:$B$310,0)),"")</f>
        <v>Service B</v>
      </c>
      <c r="H573" s="21" t="str">
        <f>IFERROR(INDEX(Users!$D$2:$D$310,MATCH(A573,Users!$B$2:$B$310,0)),"")</f>
        <v>Band 3</v>
      </c>
      <c r="I573" s="19" t="b">
        <f t="shared" si="25"/>
        <v>0</v>
      </c>
      <c r="J573" s="33">
        <f t="shared" si="26"/>
        <v>0.79515765765765767</v>
      </c>
    </row>
    <row r="574" spans="1:10">
      <c r="A574" s="19" t="s">
        <v>120</v>
      </c>
      <c r="B574" s="20">
        <v>46023</v>
      </c>
      <c r="C574" s="21">
        <v>155.39999999999998</v>
      </c>
      <c r="D574" s="21">
        <v>93.994166666666672</v>
      </c>
      <c r="E574" s="21">
        <v>39.17</v>
      </c>
      <c r="F574" s="27">
        <f t="shared" si="24"/>
        <v>0.60485306735306743</v>
      </c>
      <c r="G574" s="21" t="str">
        <f>IFERROR(INDEX(Users!$A$2:$A$310,MATCH(A574,Users!$B$2:$B$310,0)),"")</f>
        <v>Service B</v>
      </c>
      <c r="H574" s="21" t="str">
        <f>IFERROR(INDEX(Users!$D$2:$D$310,MATCH(A574,Users!$B$2:$B$310,0)),"")</f>
        <v>Band 3</v>
      </c>
      <c r="I574" s="19" t="b">
        <f t="shared" si="25"/>
        <v>0</v>
      </c>
      <c r="J574" s="33" t="str">
        <f t="shared" si="26"/>
        <v/>
      </c>
    </row>
    <row r="575" spans="1:10">
      <c r="A575" s="19" t="s">
        <v>122</v>
      </c>
      <c r="B575" s="20">
        <v>45658</v>
      </c>
      <c r="C575" s="21">
        <v>162.79999999999998</v>
      </c>
      <c r="D575" s="21">
        <v>193.83999999999992</v>
      </c>
      <c r="E575" s="21">
        <v>145.58999999999992</v>
      </c>
      <c r="F575" s="27">
        <f t="shared" si="24"/>
        <v>1.1906633906633903</v>
      </c>
      <c r="G575" s="21" t="str">
        <f>IFERROR(INDEX(Users!$A$2:$A$310,MATCH(A575,Users!$B$2:$B$310,0)),"")</f>
        <v>Service B</v>
      </c>
      <c r="H575" s="21" t="str">
        <f>IFERROR(INDEX(Users!$D$2:$D$310,MATCH(A575,Users!$B$2:$B$310,0)),"")</f>
        <v>Band 3</v>
      </c>
      <c r="I575" s="19" t="b">
        <f t="shared" si="25"/>
        <v>0</v>
      </c>
      <c r="J575" s="33">
        <f t="shared" si="26"/>
        <v>1.1906633906633903</v>
      </c>
    </row>
    <row r="576" spans="1:10">
      <c r="A576" s="19" t="s">
        <v>122</v>
      </c>
      <c r="B576" s="20">
        <v>45689</v>
      </c>
      <c r="C576" s="21">
        <v>148</v>
      </c>
      <c r="D576" s="21">
        <v>128.77000000000001</v>
      </c>
      <c r="E576" s="21">
        <v>85.52000000000001</v>
      </c>
      <c r="F576" s="27">
        <f t="shared" si="24"/>
        <v>0.87006756756756765</v>
      </c>
      <c r="G576" s="21" t="str">
        <f>IFERROR(INDEX(Users!$A$2:$A$310,MATCH(A576,Users!$B$2:$B$310,0)),"")</f>
        <v>Service B</v>
      </c>
      <c r="H576" s="21" t="str">
        <f>IFERROR(INDEX(Users!$D$2:$D$310,MATCH(A576,Users!$B$2:$B$310,0)),"")</f>
        <v>Band 3</v>
      </c>
      <c r="I576" s="19" t="b">
        <f t="shared" si="25"/>
        <v>0</v>
      </c>
      <c r="J576" s="33">
        <f t="shared" si="26"/>
        <v>0.87006756756756765</v>
      </c>
    </row>
    <row r="577" spans="1:10">
      <c r="A577" s="19" t="s">
        <v>122</v>
      </c>
      <c r="B577" s="20">
        <v>45717</v>
      </c>
      <c r="C577" s="21">
        <v>155.4</v>
      </c>
      <c r="D577" s="21">
        <v>187.43333333333334</v>
      </c>
      <c r="E577" s="21">
        <v>108.85</v>
      </c>
      <c r="F577" s="27">
        <f t="shared" si="24"/>
        <v>1.2061347061347061</v>
      </c>
      <c r="G577" s="21" t="str">
        <f>IFERROR(INDEX(Users!$A$2:$A$310,MATCH(A577,Users!$B$2:$B$310,0)),"")</f>
        <v>Service B</v>
      </c>
      <c r="H577" s="21" t="str">
        <f>IFERROR(INDEX(Users!$D$2:$D$310,MATCH(A577,Users!$B$2:$B$310,0)),"")</f>
        <v>Band 3</v>
      </c>
      <c r="I577" s="19" t="b">
        <f t="shared" si="25"/>
        <v>0</v>
      </c>
      <c r="J577" s="33">
        <f t="shared" si="26"/>
        <v>1.2061347061347061</v>
      </c>
    </row>
    <row r="578" spans="1:10">
      <c r="A578" s="19" t="s">
        <v>122</v>
      </c>
      <c r="B578" s="20">
        <v>45748</v>
      </c>
      <c r="C578" s="21">
        <v>148</v>
      </c>
      <c r="D578" s="21">
        <v>127.20666666666668</v>
      </c>
      <c r="E578" s="21">
        <v>80.290000000000006</v>
      </c>
      <c r="F578" s="27">
        <f t="shared" ref="F578:F641" si="27">IFERROR(IF(OR(C578="",D578="",C578=0),"",D578/C578),"")</f>
        <v>0.85950450450450455</v>
      </c>
      <c r="G578" s="21" t="str">
        <f>IFERROR(INDEX(Users!$A$2:$A$310,MATCH(A578,Users!$B$2:$B$310,0)),"")</f>
        <v>Service B</v>
      </c>
      <c r="H578" s="21" t="str">
        <f>IFERROR(INDEX(Users!$D$2:$D$310,MATCH(A578,Users!$B$2:$B$310,0)),"")</f>
        <v>Band 3</v>
      </c>
      <c r="I578" s="19" t="b">
        <f t="shared" ref="I578:I641" si="28">AND(G578="Service A",H578="Band 3")</f>
        <v>0</v>
      </c>
      <c r="J578" s="33">
        <f t="shared" ref="J578:J641" si="29">IF(AND(B578&gt;=DATE(2025,1,1),B578&lt;DATE(2026,1,1),G578="Service B",OR(H578="Band 3",H578="Band 5"),ISNUMBER(F578)),F578,"")</f>
        <v>0.85950450450450455</v>
      </c>
    </row>
    <row r="579" spans="1:10">
      <c r="A579" s="19" t="s">
        <v>122</v>
      </c>
      <c r="B579" s="20">
        <v>45778</v>
      </c>
      <c r="C579" s="21">
        <v>148</v>
      </c>
      <c r="D579" s="21">
        <v>129.72</v>
      </c>
      <c r="E579" s="21">
        <v>81.72</v>
      </c>
      <c r="F579" s="27">
        <f t="shared" si="27"/>
        <v>0.87648648648648653</v>
      </c>
      <c r="G579" s="21" t="str">
        <f>IFERROR(INDEX(Users!$A$2:$A$310,MATCH(A579,Users!$B$2:$B$310,0)),"")</f>
        <v>Service B</v>
      </c>
      <c r="H579" s="21" t="str">
        <f>IFERROR(INDEX(Users!$D$2:$D$310,MATCH(A579,Users!$B$2:$B$310,0)),"")</f>
        <v>Band 3</v>
      </c>
      <c r="I579" s="19" t="b">
        <f t="shared" si="28"/>
        <v>0</v>
      </c>
      <c r="J579" s="33">
        <f t="shared" si="29"/>
        <v>0.87648648648648653</v>
      </c>
    </row>
    <row r="580" spans="1:10">
      <c r="A580" s="19" t="s">
        <v>122</v>
      </c>
      <c r="B580" s="20">
        <v>45809</v>
      </c>
      <c r="C580" s="21">
        <v>155.4</v>
      </c>
      <c r="D580" s="21">
        <v>141.57666666666665</v>
      </c>
      <c r="E580" s="21">
        <v>97.16</v>
      </c>
      <c r="F580" s="27">
        <f t="shared" si="27"/>
        <v>0.91104676104676097</v>
      </c>
      <c r="G580" s="21" t="str">
        <f>IFERROR(INDEX(Users!$A$2:$A$310,MATCH(A580,Users!$B$2:$B$310,0)),"")</f>
        <v>Service B</v>
      </c>
      <c r="H580" s="21" t="str">
        <f>IFERROR(INDEX(Users!$D$2:$D$310,MATCH(A580,Users!$B$2:$B$310,0)),"")</f>
        <v>Band 3</v>
      </c>
      <c r="I580" s="19" t="b">
        <f t="shared" si="28"/>
        <v>0</v>
      </c>
      <c r="J580" s="33">
        <f t="shared" si="29"/>
        <v>0.91104676104676097</v>
      </c>
    </row>
    <row r="581" spans="1:10">
      <c r="A581" s="19" t="s">
        <v>122</v>
      </c>
      <c r="B581" s="20">
        <v>45839</v>
      </c>
      <c r="C581" s="21">
        <v>170.2</v>
      </c>
      <c r="D581" s="21">
        <v>185.63333333333335</v>
      </c>
      <c r="E581" s="21">
        <v>144.80000000000001</v>
      </c>
      <c r="F581" s="27">
        <f t="shared" si="27"/>
        <v>1.0906776341558952</v>
      </c>
      <c r="G581" s="21" t="str">
        <f>IFERROR(INDEX(Users!$A$2:$A$310,MATCH(A581,Users!$B$2:$B$310,0)),"")</f>
        <v>Service B</v>
      </c>
      <c r="H581" s="21" t="str">
        <f>IFERROR(INDEX(Users!$D$2:$D$310,MATCH(A581,Users!$B$2:$B$310,0)),"")</f>
        <v>Band 3</v>
      </c>
      <c r="I581" s="19" t="b">
        <f t="shared" si="28"/>
        <v>0</v>
      </c>
      <c r="J581" s="33">
        <f t="shared" si="29"/>
        <v>1.0906776341558952</v>
      </c>
    </row>
    <row r="582" spans="1:10">
      <c r="A582" s="19" t="s">
        <v>122</v>
      </c>
      <c r="B582" s="20">
        <v>45870</v>
      </c>
      <c r="C582" s="21">
        <v>148</v>
      </c>
      <c r="D582" s="21">
        <v>2.5</v>
      </c>
      <c r="E582" s="21">
        <v>2.5</v>
      </c>
      <c r="F582" s="27">
        <f t="shared" si="27"/>
        <v>1.6891891891891893E-2</v>
      </c>
      <c r="G582" s="21" t="str">
        <f>IFERROR(INDEX(Users!$A$2:$A$310,MATCH(A582,Users!$B$2:$B$310,0)),"")</f>
        <v>Service B</v>
      </c>
      <c r="H582" s="21" t="str">
        <f>IFERROR(INDEX(Users!$D$2:$D$310,MATCH(A582,Users!$B$2:$B$310,0)),"")</f>
        <v>Band 3</v>
      </c>
      <c r="I582" s="19" t="b">
        <f t="shared" si="28"/>
        <v>0</v>
      </c>
      <c r="J582" s="33">
        <f t="shared" si="29"/>
        <v>1.6891891891891893E-2</v>
      </c>
    </row>
    <row r="583" spans="1:10">
      <c r="A583" s="19" t="s">
        <v>122</v>
      </c>
      <c r="B583" s="20">
        <v>45901</v>
      </c>
      <c r="C583" s="21">
        <v>162.80000000000001</v>
      </c>
      <c r="D583" s="21">
        <v>197.61666666666667</v>
      </c>
      <c r="E583" s="21">
        <v>107.45</v>
      </c>
      <c r="F583" s="27">
        <f t="shared" si="27"/>
        <v>1.2138615888615889</v>
      </c>
      <c r="G583" s="21" t="str">
        <f>IFERROR(INDEX(Users!$A$2:$A$310,MATCH(A583,Users!$B$2:$B$310,0)),"")</f>
        <v>Service B</v>
      </c>
      <c r="H583" s="21" t="str">
        <f>IFERROR(INDEX(Users!$D$2:$D$310,MATCH(A583,Users!$B$2:$B$310,0)),"")</f>
        <v>Band 3</v>
      </c>
      <c r="I583" s="19" t="b">
        <f t="shared" si="28"/>
        <v>0</v>
      </c>
      <c r="J583" s="33">
        <f t="shared" si="29"/>
        <v>1.2138615888615889</v>
      </c>
    </row>
    <row r="584" spans="1:10">
      <c r="A584" s="19" t="s">
        <v>122</v>
      </c>
      <c r="B584" s="20">
        <v>45931</v>
      </c>
      <c r="C584" s="21">
        <v>170.2</v>
      </c>
      <c r="D584" s="21">
        <v>190.30666666666667</v>
      </c>
      <c r="E584" s="21">
        <v>119.63999999999997</v>
      </c>
      <c r="F584" s="27">
        <f t="shared" si="27"/>
        <v>1.118135526831179</v>
      </c>
      <c r="G584" s="21" t="str">
        <f>IFERROR(INDEX(Users!$A$2:$A$310,MATCH(A584,Users!$B$2:$B$310,0)),"")</f>
        <v>Service B</v>
      </c>
      <c r="H584" s="21" t="str">
        <f>IFERROR(INDEX(Users!$D$2:$D$310,MATCH(A584,Users!$B$2:$B$310,0)),"")</f>
        <v>Band 3</v>
      </c>
      <c r="I584" s="19" t="b">
        <f t="shared" si="28"/>
        <v>0</v>
      </c>
      <c r="J584" s="33">
        <f t="shared" si="29"/>
        <v>1.118135526831179</v>
      </c>
    </row>
    <row r="585" spans="1:10">
      <c r="A585" s="19" t="s">
        <v>122</v>
      </c>
      <c r="B585" s="20">
        <v>45962</v>
      </c>
      <c r="C585" s="21">
        <v>148</v>
      </c>
      <c r="D585" s="21">
        <v>170.00666666666666</v>
      </c>
      <c r="E585" s="21">
        <v>109.58999999999999</v>
      </c>
      <c r="F585" s="27">
        <f t="shared" si="27"/>
        <v>1.1486936936936936</v>
      </c>
      <c r="G585" s="21" t="str">
        <f>IFERROR(INDEX(Users!$A$2:$A$310,MATCH(A585,Users!$B$2:$B$310,0)),"")</f>
        <v>Service B</v>
      </c>
      <c r="H585" s="21" t="str">
        <f>IFERROR(INDEX(Users!$D$2:$D$310,MATCH(A585,Users!$B$2:$B$310,0)),"")</f>
        <v>Band 3</v>
      </c>
      <c r="I585" s="19" t="b">
        <f t="shared" si="28"/>
        <v>0</v>
      </c>
      <c r="J585" s="33">
        <f t="shared" si="29"/>
        <v>1.1486936936936936</v>
      </c>
    </row>
    <row r="586" spans="1:10">
      <c r="A586" s="19" t="s">
        <v>122</v>
      </c>
      <c r="B586" s="20">
        <v>45992</v>
      </c>
      <c r="C586" s="21">
        <v>155.4</v>
      </c>
      <c r="D586" s="21">
        <v>140.92333333333335</v>
      </c>
      <c r="E586" s="21">
        <v>87.839999999999989</v>
      </c>
      <c r="F586" s="27">
        <f t="shared" si="27"/>
        <v>0.90684255684255688</v>
      </c>
      <c r="G586" s="21" t="str">
        <f>IFERROR(INDEX(Users!$A$2:$A$310,MATCH(A586,Users!$B$2:$B$310,0)),"")</f>
        <v>Service B</v>
      </c>
      <c r="H586" s="21" t="str">
        <f>IFERROR(INDEX(Users!$D$2:$D$310,MATCH(A586,Users!$B$2:$B$310,0)),"")</f>
        <v>Band 3</v>
      </c>
      <c r="I586" s="19" t="b">
        <f t="shared" si="28"/>
        <v>0</v>
      </c>
      <c r="J586" s="33">
        <f t="shared" si="29"/>
        <v>0.90684255684255688</v>
      </c>
    </row>
    <row r="587" spans="1:10">
      <c r="A587" s="19" t="s">
        <v>122</v>
      </c>
      <c r="B587" s="20">
        <v>46023</v>
      </c>
      <c r="C587" s="21">
        <v>155.39999999999998</v>
      </c>
      <c r="D587" s="21">
        <v>157.99</v>
      </c>
      <c r="E587" s="21">
        <v>96.99</v>
      </c>
      <c r="F587" s="27">
        <f t="shared" si="27"/>
        <v>1.0166666666666668</v>
      </c>
      <c r="G587" s="21" t="str">
        <f>IFERROR(INDEX(Users!$A$2:$A$310,MATCH(A587,Users!$B$2:$B$310,0)),"")</f>
        <v>Service B</v>
      </c>
      <c r="H587" s="21" t="str">
        <f>IFERROR(INDEX(Users!$D$2:$D$310,MATCH(A587,Users!$B$2:$B$310,0)),"")</f>
        <v>Band 3</v>
      </c>
      <c r="I587" s="19" t="b">
        <f t="shared" si="28"/>
        <v>0</v>
      </c>
      <c r="J587" s="33" t="str">
        <f t="shared" si="29"/>
        <v/>
      </c>
    </row>
    <row r="588" spans="1:10">
      <c r="A588" s="19" t="s">
        <v>124</v>
      </c>
      <c r="B588" s="20">
        <v>45658</v>
      </c>
      <c r="C588" s="21">
        <v>162.80000000000001</v>
      </c>
      <c r="D588" s="21">
        <v>110.65</v>
      </c>
      <c r="E588" s="21">
        <v>87.15</v>
      </c>
      <c r="F588" s="27">
        <f t="shared" si="27"/>
        <v>0.67966830466830463</v>
      </c>
      <c r="G588" s="21" t="str">
        <f>IFERROR(INDEX(Users!$A$2:$A$310,MATCH(A588,Users!$B$2:$B$310,0)),"")</f>
        <v>Service A</v>
      </c>
      <c r="H588" s="21" t="str">
        <f>IFERROR(INDEX(Users!$D$2:$D$310,MATCH(A588,Users!$B$2:$B$310,0)),"")</f>
        <v>Band 3</v>
      </c>
      <c r="I588" s="19" t="b">
        <f t="shared" si="28"/>
        <v>1</v>
      </c>
      <c r="J588" s="33" t="str">
        <f t="shared" si="29"/>
        <v/>
      </c>
    </row>
    <row r="589" spans="1:10">
      <c r="A589" s="19" t="s">
        <v>124</v>
      </c>
      <c r="B589" s="20">
        <v>45689</v>
      </c>
      <c r="C589" s="21">
        <v>148</v>
      </c>
      <c r="D589" s="21">
        <v>129.22333333333333</v>
      </c>
      <c r="E589" s="21">
        <v>111.14</v>
      </c>
      <c r="F589" s="27">
        <f t="shared" si="27"/>
        <v>0.87313063063063057</v>
      </c>
      <c r="G589" s="21" t="str">
        <f>IFERROR(INDEX(Users!$A$2:$A$310,MATCH(A589,Users!$B$2:$B$310,0)),"")</f>
        <v>Service A</v>
      </c>
      <c r="H589" s="21" t="str">
        <f>IFERROR(INDEX(Users!$D$2:$D$310,MATCH(A589,Users!$B$2:$B$310,0)),"")</f>
        <v>Band 3</v>
      </c>
      <c r="I589" s="19" t="b">
        <f t="shared" si="28"/>
        <v>1</v>
      </c>
      <c r="J589" s="33" t="str">
        <f t="shared" si="29"/>
        <v/>
      </c>
    </row>
    <row r="590" spans="1:10">
      <c r="A590" s="19" t="s">
        <v>124</v>
      </c>
      <c r="B590" s="20">
        <v>45717</v>
      </c>
      <c r="C590" s="21">
        <v>155.4</v>
      </c>
      <c r="D590" s="21">
        <v>136.24666666666667</v>
      </c>
      <c r="E590" s="21">
        <v>96.83</v>
      </c>
      <c r="F590" s="27">
        <f t="shared" si="27"/>
        <v>0.87674817674817673</v>
      </c>
      <c r="G590" s="21" t="str">
        <f>IFERROR(INDEX(Users!$A$2:$A$310,MATCH(A590,Users!$B$2:$B$310,0)),"")</f>
        <v>Service A</v>
      </c>
      <c r="H590" s="21" t="str">
        <f>IFERROR(INDEX(Users!$D$2:$D$310,MATCH(A590,Users!$B$2:$B$310,0)),"")</f>
        <v>Band 3</v>
      </c>
      <c r="I590" s="19" t="b">
        <f t="shared" si="28"/>
        <v>1</v>
      </c>
      <c r="J590" s="33" t="str">
        <f t="shared" si="29"/>
        <v/>
      </c>
    </row>
    <row r="591" spans="1:10">
      <c r="A591" s="19" t="s">
        <v>124</v>
      </c>
      <c r="B591" s="20">
        <v>45748</v>
      </c>
      <c r="C591" s="21">
        <v>148</v>
      </c>
      <c r="D591" s="21">
        <v>139.43666666666667</v>
      </c>
      <c r="E591" s="21">
        <v>112.27000000000001</v>
      </c>
      <c r="F591" s="27">
        <f t="shared" si="27"/>
        <v>0.94213963963963965</v>
      </c>
      <c r="G591" s="21" t="str">
        <f>IFERROR(INDEX(Users!$A$2:$A$310,MATCH(A591,Users!$B$2:$B$310,0)),"")</f>
        <v>Service A</v>
      </c>
      <c r="H591" s="21" t="str">
        <f>IFERROR(INDEX(Users!$D$2:$D$310,MATCH(A591,Users!$B$2:$B$310,0)),"")</f>
        <v>Band 3</v>
      </c>
      <c r="I591" s="19" t="b">
        <f t="shared" si="28"/>
        <v>1</v>
      </c>
      <c r="J591" s="33" t="str">
        <f t="shared" si="29"/>
        <v/>
      </c>
    </row>
    <row r="592" spans="1:10">
      <c r="A592" s="19" t="s">
        <v>124</v>
      </c>
      <c r="B592" s="20">
        <v>45778</v>
      </c>
      <c r="C592" s="21">
        <v>148</v>
      </c>
      <c r="D592" s="21">
        <v>123.22666666666666</v>
      </c>
      <c r="E592" s="21">
        <v>100.31</v>
      </c>
      <c r="F592" s="27">
        <f t="shared" si="27"/>
        <v>0.83261261261261255</v>
      </c>
      <c r="G592" s="21" t="str">
        <f>IFERROR(INDEX(Users!$A$2:$A$310,MATCH(A592,Users!$B$2:$B$310,0)),"")</f>
        <v>Service A</v>
      </c>
      <c r="H592" s="21" t="str">
        <f>IFERROR(INDEX(Users!$D$2:$D$310,MATCH(A592,Users!$B$2:$B$310,0)),"")</f>
        <v>Band 3</v>
      </c>
      <c r="I592" s="19" t="b">
        <f t="shared" si="28"/>
        <v>1</v>
      </c>
      <c r="J592" s="33" t="str">
        <f t="shared" si="29"/>
        <v/>
      </c>
    </row>
    <row r="593" spans="1:10">
      <c r="A593" s="19" t="s">
        <v>124</v>
      </c>
      <c r="B593" s="20">
        <v>45809</v>
      </c>
      <c r="C593" s="21">
        <v>155.4</v>
      </c>
      <c r="D593" s="21">
        <v>108.09</v>
      </c>
      <c r="E593" s="21">
        <v>86.09</v>
      </c>
      <c r="F593" s="27">
        <f t="shared" si="27"/>
        <v>0.69555984555984551</v>
      </c>
      <c r="G593" s="21" t="str">
        <f>IFERROR(INDEX(Users!$A$2:$A$310,MATCH(A593,Users!$B$2:$B$310,0)),"")</f>
        <v>Service A</v>
      </c>
      <c r="H593" s="21" t="str">
        <f>IFERROR(INDEX(Users!$D$2:$D$310,MATCH(A593,Users!$B$2:$B$310,0)),"")</f>
        <v>Band 3</v>
      </c>
      <c r="I593" s="19" t="b">
        <f t="shared" si="28"/>
        <v>1</v>
      </c>
      <c r="J593" s="33" t="str">
        <f t="shared" si="29"/>
        <v/>
      </c>
    </row>
    <row r="594" spans="1:10">
      <c r="A594" s="19" t="s">
        <v>124</v>
      </c>
      <c r="B594" s="20">
        <v>45839</v>
      </c>
      <c r="C594" s="21">
        <v>170.20000000000002</v>
      </c>
      <c r="D594" s="21">
        <v>158.38666666666663</v>
      </c>
      <c r="E594" s="21">
        <v>126.96999999999998</v>
      </c>
      <c r="F594" s="27">
        <f t="shared" si="27"/>
        <v>0.93059146102624335</v>
      </c>
      <c r="G594" s="21" t="str">
        <f>IFERROR(INDEX(Users!$A$2:$A$310,MATCH(A594,Users!$B$2:$B$310,0)),"")</f>
        <v>Service A</v>
      </c>
      <c r="H594" s="21" t="str">
        <f>IFERROR(INDEX(Users!$D$2:$D$310,MATCH(A594,Users!$B$2:$B$310,0)),"")</f>
        <v>Band 3</v>
      </c>
      <c r="I594" s="19" t="b">
        <f t="shared" si="28"/>
        <v>1</v>
      </c>
      <c r="J594" s="33" t="str">
        <f t="shared" si="29"/>
        <v/>
      </c>
    </row>
    <row r="595" spans="1:10">
      <c r="A595" s="19" t="s">
        <v>124</v>
      </c>
      <c r="B595" s="20">
        <v>45870</v>
      </c>
      <c r="C595" s="21">
        <v>148</v>
      </c>
      <c r="D595" s="21">
        <v>140.08333333333334</v>
      </c>
      <c r="E595" s="21">
        <v>124.25</v>
      </c>
      <c r="F595" s="27">
        <f t="shared" si="27"/>
        <v>0.94650900900900903</v>
      </c>
      <c r="G595" s="21" t="str">
        <f>IFERROR(INDEX(Users!$A$2:$A$310,MATCH(A595,Users!$B$2:$B$310,0)),"")</f>
        <v>Service A</v>
      </c>
      <c r="H595" s="21" t="str">
        <f>IFERROR(INDEX(Users!$D$2:$D$310,MATCH(A595,Users!$B$2:$B$310,0)),"")</f>
        <v>Band 3</v>
      </c>
      <c r="I595" s="19" t="b">
        <f t="shared" si="28"/>
        <v>1</v>
      </c>
      <c r="J595" s="33" t="str">
        <f t="shared" si="29"/>
        <v/>
      </c>
    </row>
    <row r="596" spans="1:10">
      <c r="A596" s="19" t="s">
        <v>124</v>
      </c>
      <c r="B596" s="20">
        <v>45901</v>
      </c>
      <c r="C596" s="21">
        <v>162.80000000000001</v>
      </c>
      <c r="D596" s="21">
        <v>175.19333333333336</v>
      </c>
      <c r="E596" s="21">
        <v>149.61000000000001</v>
      </c>
      <c r="F596" s="27">
        <f t="shared" si="27"/>
        <v>1.0761261261261261</v>
      </c>
      <c r="G596" s="21" t="str">
        <f>IFERROR(INDEX(Users!$A$2:$A$310,MATCH(A596,Users!$B$2:$B$310,0)),"")</f>
        <v>Service A</v>
      </c>
      <c r="H596" s="21" t="str">
        <f>IFERROR(INDEX(Users!$D$2:$D$310,MATCH(A596,Users!$B$2:$B$310,0)),"")</f>
        <v>Band 3</v>
      </c>
      <c r="I596" s="19" t="b">
        <f t="shared" si="28"/>
        <v>1</v>
      </c>
      <c r="J596" s="33" t="str">
        <f t="shared" si="29"/>
        <v/>
      </c>
    </row>
    <row r="597" spans="1:10">
      <c r="A597" s="19" t="s">
        <v>124</v>
      </c>
      <c r="B597" s="20">
        <v>45931</v>
      </c>
      <c r="C597" s="21">
        <v>170.20000000000002</v>
      </c>
      <c r="D597" s="21">
        <v>148.33666666666667</v>
      </c>
      <c r="E597" s="21">
        <v>106.67</v>
      </c>
      <c r="F597" s="27">
        <f t="shared" si="27"/>
        <v>0.87154328241284762</v>
      </c>
      <c r="G597" s="21" t="str">
        <f>IFERROR(INDEX(Users!$A$2:$A$310,MATCH(A597,Users!$B$2:$B$310,0)),"")</f>
        <v>Service A</v>
      </c>
      <c r="H597" s="21" t="str">
        <f>IFERROR(INDEX(Users!$D$2:$D$310,MATCH(A597,Users!$B$2:$B$310,0)),"")</f>
        <v>Band 3</v>
      </c>
      <c r="I597" s="19" t="b">
        <f t="shared" si="28"/>
        <v>1</v>
      </c>
      <c r="J597" s="33" t="str">
        <f t="shared" si="29"/>
        <v/>
      </c>
    </row>
    <row r="598" spans="1:10">
      <c r="A598" s="19" t="s">
        <v>124</v>
      </c>
      <c r="B598" s="20">
        <v>45962</v>
      </c>
      <c r="C598" s="21">
        <v>148</v>
      </c>
      <c r="D598" s="21">
        <v>134.98333333333332</v>
      </c>
      <c r="E598" s="21">
        <v>124.14999999999999</v>
      </c>
      <c r="F598" s="27">
        <f t="shared" si="27"/>
        <v>0.91204954954954942</v>
      </c>
      <c r="G598" s="21" t="str">
        <f>IFERROR(INDEX(Users!$A$2:$A$310,MATCH(A598,Users!$B$2:$B$310,0)),"")</f>
        <v>Service A</v>
      </c>
      <c r="H598" s="21" t="str">
        <f>IFERROR(INDEX(Users!$D$2:$D$310,MATCH(A598,Users!$B$2:$B$310,0)),"")</f>
        <v>Band 3</v>
      </c>
      <c r="I598" s="19" t="b">
        <f t="shared" si="28"/>
        <v>1</v>
      </c>
      <c r="J598" s="33" t="str">
        <f t="shared" si="29"/>
        <v/>
      </c>
    </row>
    <row r="599" spans="1:10">
      <c r="A599" s="19" t="s">
        <v>124</v>
      </c>
      <c r="B599" s="20">
        <v>45992</v>
      </c>
      <c r="C599" s="21">
        <v>155.4</v>
      </c>
      <c r="D599" s="21">
        <v>84.923333333333346</v>
      </c>
      <c r="E599" s="21">
        <v>64.84</v>
      </c>
      <c r="F599" s="27">
        <f t="shared" si="27"/>
        <v>0.54648219648219654</v>
      </c>
      <c r="G599" s="21" t="str">
        <f>IFERROR(INDEX(Users!$A$2:$A$310,MATCH(A599,Users!$B$2:$B$310,0)),"")</f>
        <v>Service A</v>
      </c>
      <c r="H599" s="21" t="str">
        <f>IFERROR(INDEX(Users!$D$2:$D$310,MATCH(A599,Users!$B$2:$B$310,0)),"")</f>
        <v>Band 3</v>
      </c>
      <c r="I599" s="19" t="b">
        <f t="shared" si="28"/>
        <v>1</v>
      </c>
      <c r="J599" s="33" t="str">
        <f t="shared" si="29"/>
        <v/>
      </c>
    </row>
    <row r="600" spans="1:10">
      <c r="A600" s="19" t="s">
        <v>124</v>
      </c>
      <c r="B600" s="20">
        <v>46023</v>
      </c>
      <c r="C600" s="21">
        <v>155.4</v>
      </c>
      <c r="D600" s="21">
        <v>125.25666666666666</v>
      </c>
      <c r="E600" s="21">
        <v>106.09</v>
      </c>
      <c r="F600" s="27">
        <f t="shared" si="27"/>
        <v>0.80602745602745596</v>
      </c>
      <c r="G600" s="21" t="str">
        <f>IFERROR(INDEX(Users!$A$2:$A$310,MATCH(A600,Users!$B$2:$B$310,0)),"")</f>
        <v>Service A</v>
      </c>
      <c r="H600" s="21" t="str">
        <f>IFERROR(INDEX(Users!$D$2:$D$310,MATCH(A600,Users!$B$2:$B$310,0)),"")</f>
        <v>Band 3</v>
      </c>
      <c r="I600" s="19" t="b">
        <f t="shared" si="28"/>
        <v>1</v>
      </c>
      <c r="J600" s="33" t="str">
        <f t="shared" si="29"/>
        <v/>
      </c>
    </row>
    <row r="601" spans="1:10">
      <c r="A601" s="19" t="s">
        <v>125</v>
      </c>
      <c r="B601" s="20">
        <v>45658</v>
      </c>
      <c r="C601" s="21">
        <v>130.24</v>
      </c>
      <c r="D601" s="21">
        <v>132.17000000000004</v>
      </c>
      <c r="E601" s="21">
        <v>39.920000000000051</v>
      </c>
      <c r="F601" s="27">
        <f t="shared" si="27"/>
        <v>1.0148187960687964</v>
      </c>
      <c r="G601" s="21" t="str">
        <f>IFERROR(INDEX(Users!$A$2:$A$310,MATCH(A601,Users!$B$2:$B$310,0)),"")</f>
        <v>Service A</v>
      </c>
      <c r="H601" s="21" t="str">
        <f>IFERROR(INDEX(Users!$D$2:$D$310,MATCH(A601,Users!$B$2:$B$310,0)),"")</f>
        <v>Band 5</v>
      </c>
      <c r="I601" s="19" t="b">
        <f t="shared" si="28"/>
        <v>0</v>
      </c>
      <c r="J601" s="33" t="str">
        <f t="shared" si="29"/>
        <v/>
      </c>
    </row>
    <row r="602" spans="1:10">
      <c r="A602" s="19" t="s">
        <v>125</v>
      </c>
      <c r="B602" s="20">
        <v>45689</v>
      </c>
      <c r="C602" s="21">
        <v>88.800000000000011</v>
      </c>
      <c r="D602" s="21">
        <v>58.38</v>
      </c>
      <c r="E602" s="21">
        <v>7.38</v>
      </c>
      <c r="F602" s="27">
        <f t="shared" si="27"/>
        <v>0.65743243243243232</v>
      </c>
      <c r="G602" s="21" t="str">
        <f>IFERROR(INDEX(Users!$A$2:$A$310,MATCH(A602,Users!$B$2:$B$310,0)),"")</f>
        <v>Service A</v>
      </c>
      <c r="H602" s="21" t="str">
        <f>IFERROR(INDEX(Users!$D$2:$D$310,MATCH(A602,Users!$B$2:$B$310,0)),"")</f>
        <v>Band 5</v>
      </c>
      <c r="I602" s="19" t="b">
        <f t="shared" si="28"/>
        <v>0</v>
      </c>
      <c r="J602" s="33" t="str">
        <f t="shared" si="29"/>
        <v/>
      </c>
    </row>
    <row r="603" spans="1:10">
      <c r="A603" s="19" t="s">
        <v>127</v>
      </c>
      <c r="B603" s="20">
        <v>45658</v>
      </c>
      <c r="C603" s="21">
        <v>162.80000000000001</v>
      </c>
      <c r="D603" s="21">
        <v>162.00000000000003</v>
      </c>
      <c r="E603" s="21">
        <v>10.450000000000001</v>
      </c>
      <c r="F603" s="27">
        <f t="shared" si="27"/>
        <v>0.99508599508599516</v>
      </c>
      <c r="G603" s="21" t="str">
        <f>IFERROR(INDEX(Users!$A$2:$A$310,MATCH(A603,Users!$B$2:$B$310,0)),"")</f>
        <v>Service B</v>
      </c>
      <c r="H603" s="21" t="str">
        <f>IFERROR(INDEX(Users!$D$2:$D$310,MATCH(A603,Users!$B$2:$B$310,0)),"")</f>
        <v>Band 3</v>
      </c>
      <c r="I603" s="19" t="b">
        <f t="shared" si="28"/>
        <v>0</v>
      </c>
      <c r="J603" s="33">
        <f t="shared" si="29"/>
        <v>0.99508599508599516</v>
      </c>
    </row>
    <row r="604" spans="1:10">
      <c r="A604" s="19" t="s">
        <v>127</v>
      </c>
      <c r="B604" s="20">
        <v>45689</v>
      </c>
      <c r="C604" s="21">
        <v>148</v>
      </c>
      <c r="D604" s="21">
        <v>146.05333333333334</v>
      </c>
      <c r="E604" s="21">
        <v>32.769999999999996</v>
      </c>
      <c r="F604" s="27">
        <f t="shared" si="27"/>
        <v>0.98684684684684687</v>
      </c>
      <c r="G604" s="21" t="str">
        <f>IFERROR(INDEX(Users!$A$2:$A$310,MATCH(A604,Users!$B$2:$B$310,0)),"")</f>
        <v>Service B</v>
      </c>
      <c r="H604" s="21" t="str">
        <f>IFERROR(INDEX(Users!$D$2:$D$310,MATCH(A604,Users!$B$2:$B$310,0)),"")</f>
        <v>Band 3</v>
      </c>
      <c r="I604" s="19" t="b">
        <f t="shared" si="28"/>
        <v>0</v>
      </c>
      <c r="J604" s="33">
        <f t="shared" si="29"/>
        <v>0.98684684684684687</v>
      </c>
    </row>
    <row r="605" spans="1:10">
      <c r="A605" s="19" t="s">
        <v>127</v>
      </c>
      <c r="B605" s="20">
        <v>45717</v>
      </c>
      <c r="C605" s="21">
        <v>155.4</v>
      </c>
      <c r="D605" s="21">
        <v>147.74222222222224</v>
      </c>
      <c r="E605" s="21">
        <v>46.899999999999991</v>
      </c>
      <c r="F605" s="27">
        <f t="shared" si="27"/>
        <v>0.95072215072215083</v>
      </c>
      <c r="G605" s="21" t="str">
        <f>IFERROR(INDEX(Users!$A$2:$A$310,MATCH(A605,Users!$B$2:$B$310,0)),"")</f>
        <v>Service B</v>
      </c>
      <c r="H605" s="21" t="str">
        <f>IFERROR(INDEX(Users!$D$2:$D$310,MATCH(A605,Users!$B$2:$B$310,0)),"")</f>
        <v>Band 3</v>
      </c>
      <c r="I605" s="19" t="b">
        <f t="shared" si="28"/>
        <v>0</v>
      </c>
      <c r="J605" s="33">
        <f t="shared" si="29"/>
        <v>0.95072215072215083</v>
      </c>
    </row>
    <row r="606" spans="1:10">
      <c r="A606" s="19" t="s">
        <v>127</v>
      </c>
      <c r="B606" s="20">
        <v>45748</v>
      </c>
      <c r="C606" s="21">
        <v>148</v>
      </c>
      <c r="D606" s="21">
        <v>128.37666666666672</v>
      </c>
      <c r="E606" s="21">
        <v>55.960000000000008</v>
      </c>
      <c r="F606" s="27">
        <f t="shared" si="27"/>
        <v>0.86740990990991029</v>
      </c>
      <c r="G606" s="21" t="str">
        <f>IFERROR(INDEX(Users!$A$2:$A$310,MATCH(A606,Users!$B$2:$B$310,0)),"")</f>
        <v>Service B</v>
      </c>
      <c r="H606" s="21" t="str">
        <f>IFERROR(INDEX(Users!$D$2:$D$310,MATCH(A606,Users!$B$2:$B$310,0)),"")</f>
        <v>Band 3</v>
      </c>
      <c r="I606" s="19" t="b">
        <f t="shared" si="28"/>
        <v>0</v>
      </c>
      <c r="J606" s="33">
        <f t="shared" si="29"/>
        <v>0.86740990990991029</v>
      </c>
    </row>
    <row r="607" spans="1:10">
      <c r="A607" s="19" t="s">
        <v>127</v>
      </c>
      <c r="B607" s="20">
        <v>45778</v>
      </c>
      <c r="C607" s="21">
        <v>148</v>
      </c>
      <c r="D607" s="21">
        <v>85.576666666666654</v>
      </c>
      <c r="E607" s="21">
        <v>35.659999999999997</v>
      </c>
      <c r="F607" s="27">
        <f t="shared" si="27"/>
        <v>0.57822072072072062</v>
      </c>
      <c r="G607" s="21" t="str">
        <f>IFERROR(INDEX(Users!$A$2:$A$310,MATCH(A607,Users!$B$2:$B$310,0)),"")</f>
        <v>Service B</v>
      </c>
      <c r="H607" s="21" t="str">
        <f>IFERROR(INDEX(Users!$D$2:$D$310,MATCH(A607,Users!$B$2:$B$310,0)),"")</f>
        <v>Band 3</v>
      </c>
      <c r="I607" s="19" t="b">
        <f t="shared" si="28"/>
        <v>0</v>
      </c>
      <c r="J607" s="33">
        <f t="shared" si="29"/>
        <v>0.57822072072072062</v>
      </c>
    </row>
    <row r="608" spans="1:10">
      <c r="A608" s="19" t="s">
        <v>127</v>
      </c>
      <c r="B608" s="20">
        <v>45809</v>
      </c>
      <c r="C608" s="21">
        <v>155.4</v>
      </c>
      <c r="D608" s="21">
        <v>142.59666666666669</v>
      </c>
      <c r="E608" s="21">
        <v>76.480000000000018</v>
      </c>
      <c r="F608" s="27">
        <f t="shared" si="27"/>
        <v>0.91761046761046772</v>
      </c>
      <c r="G608" s="21" t="str">
        <f>IFERROR(INDEX(Users!$A$2:$A$310,MATCH(A608,Users!$B$2:$B$310,0)),"")</f>
        <v>Service B</v>
      </c>
      <c r="H608" s="21" t="str">
        <f>IFERROR(INDEX(Users!$D$2:$D$310,MATCH(A608,Users!$B$2:$B$310,0)),"")</f>
        <v>Band 3</v>
      </c>
      <c r="I608" s="19" t="b">
        <f t="shared" si="28"/>
        <v>0</v>
      </c>
      <c r="J608" s="33">
        <f t="shared" si="29"/>
        <v>0.91761046761046772</v>
      </c>
    </row>
    <row r="609" spans="1:10">
      <c r="A609" s="19" t="s">
        <v>127</v>
      </c>
      <c r="B609" s="20">
        <v>45839</v>
      </c>
      <c r="C609" s="21">
        <v>170.20000000000002</v>
      </c>
      <c r="D609" s="21">
        <v>181.98000000000002</v>
      </c>
      <c r="E609" s="21">
        <v>115.08000000000003</v>
      </c>
      <c r="F609" s="27">
        <f t="shared" si="27"/>
        <v>1.0692126909518214</v>
      </c>
      <c r="G609" s="21" t="str">
        <f>IFERROR(INDEX(Users!$A$2:$A$310,MATCH(A609,Users!$B$2:$B$310,0)),"")</f>
        <v>Service B</v>
      </c>
      <c r="H609" s="21" t="str">
        <f>IFERROR(INDEX(Users!$D$2:$D$310,MATCH(A609,Users!$B$2:$B$310,0)),"")</f>
        <v>Band 3</v>
      </c>
      <c r="I609" s="19" t="b">
        <f t="shared" si="28"/>
        <v>0</v>
      </c>
      <c r="J609" s="33">
        <f t="shared" si="29"/>
        <v>1.0692126909518214</v>
      </c>
    </row>
    <row r="610" spans="1:10">
      <c r="A610" s="19" t="s">
        <v>127</v>
      </c>
      <c r="B610" s="20">
        <v>45870</v>
      </c>
      <c r="C610" s="21">
        <v>148</v>
      </c>
      <c r="D610" s="21">
        <v>119.35666666666665</v>
      </c>
      <c r="E610" s="21">
        <v>82.740000000000009</v>
      </c>
      <c r="F610" s="27">
        <f t="shared" si="27"/>
        <v>0.80646396396396391</v>
      </c>
      <c r="G610" s="21" t="str">
        <f>IFERROR(INDEX(Users!$A$2:$A$310,MATCH(A610,Users!$B$2:$B$310,0)),"")</f>
        <v>Service B</v>
      </c>
      <c r="H610" s="21" t="str">
        <f>IFERROR(INDEX(Users!$D$2:$D$310,MATCH(A610,Users!$B$2:$B$310,0)),"")</f>
        <v>Band 3</v>
      </c>
      <c r="I610" s="19" t="b">
        <f t="shared" si="28"/>
        <v>0</v>
      </c>
      <c r="J610" s="33">
        <f t="shared" si="29"/>
        <v>0.80646396396396391</v>
      </c>
    </row>
    <row r="611" spans="1:10">
      <c r="A611" s="19" t="s">
        <v>127</v>
      </c>
      <c r="B611" s="20">
        <v>45901</v>
      </c>
      <c r="C611" s="21">
        <v>162.80000000000001</v>
      </c>
      <c r="D611" s="21">
        <v>122.10999999999999</v>
      </c>
      <c r="E611" s="21">
        <v>73.610000000000014</v>
      </c>
      <c r="F611" s="27">
        <f t="shared" si="27"/>
        <v>0.75006142506142492</v>
      </c>
      <c r="G611" s="21" t="str">
        <f>IFERROR(INDEX(Users!$A$2:$A$310,MATCH(A611,Users!$B$2:$B$310,0)),"")</f>
        <v>Service B</v>
      </c>
      <c r="H611" s="21" t="str">
        <f>IFERROR(INDEX(Users!$D$2:$D$310,MATCH(A611,Users!$B$2:$B$310,0)),"")</f>
        <v>Band 3</v>
      </c>
      <c r="I611" s="19" t="b">
        <f t="shared" si="28"/>
        <v>0</v>
      </c>
      <c r="J611" s="33">
        <f t="shared" si="29"/>
        <v>0.75006142506142492</v>
      </c>
    </row>
    <row r="612" spans="1:10">
      <c r="A612" s="19" t="s">
        <v>127</v>
      </c>
      <c r="B612" s="20">
        <v>45931</v>
      </c>
      <c r="C612" s="21">
        <v>170.20000000000002</v>
      </c>
      <c r="D612" s="21">
        <v>149.66</v>
      </c>
      <c r="E612" s="21">
        <v>97.210000000000008</v>
      </c>
      <c r="F612" s="27">
        <f t="shared" si="27"/>
        <v>0.87931844888366617</v>
      </c>
      <c r="G612" s="21" t="str">
        <f>IFERROR(INDEX(Users!$A$2:$A$310,MATCH(A612,Users!$B$2:$B$310,0)),"")</f>
        <v>Service B</v>
      </c>
      <c r="H612" s="21" t="str">
        <f>IFERROR(INDEX(Users!$D$2:$D$310,MATCH(A612,Users!$B$2:$B$310,0)),"")</f>
        <v>Band 3</v>
      </c>
      <c r="I612" s="19" t="b">
        <f t="shared" si="28"/>
        <v>0</v>
      </c>
      <c r="J612" s="33">
        <f t="shared" si="29"/>
        <v>0.87931844888366617</v>
      </c>
    </row>
    <row r="613" spans="1:10">
      <c r="A613" s="19" t="s">
        <v>127</v>
      </c>
      <c r="B613" s="20">
        <v>45962</v>
      </c>
      <c r="C613" s="21">
        <v>148</v>
      </c>
      <c r="D613" s="21">
        <v>154.07</v>
      </c>
      <c r="E613" s="21">
        <v>93.820000000000007</v>
      </c>
      <c r="F613" s="27">
        <f t="shared" si="27"/>
        <v>1.0410135135135135</v>
      </c>
      <c r="G613" s="21" t="str">
        <f>IFERROR(INDEX(Users!$A$2:$A$310,MATCH(A613,Users!$B$2:$B$310,0)),"")</f>
        <v>Service B</v>
      </c>
      <c r="H613" s="21" t="str">
        <f>IFERROR(INDEX(Users!$D$2:$D$310,MATCH(A613,Users!$B$2:$B$310,0)),"")</f>
        <v>Band 3</v>
      </c>
      <c r="I613" s="19" t="b">
        <f t="shared" si="28"/>
        <v>0</v>
      </c>
      <c r="J613" s="33">
        <f t="shared" si="29"/>
        <v>1.0410135135135135</v>
      </c>
    </row>
    <row r="614" spans="1:10">
      <c r="A614" s="19" t="s">
        <v>127</v>
      </c>
      <c r="B614" s="20">
        <v>45992</v>
      </c>
      <c r="C614" s="21">
        <v>155.4</v>
      </c>
      <c r="D614" s="21">
        <v>181.66333333333333</v>
      </c>
      <c r="E614" s="21">
        <v>124.58000000000001</v>
      </c>
      <c r="F614" s="27">
        <f t="shared" si="27"/>
        <v>1.169004719004719</v>
      </c>
      <c r="G614" s="21" t="str">
        <f>IFERROR(INDEX(Users!$A$2:$A$310,MATCH(A614,Users!$B$2:$B$310,0)),"")</f>
        <v>Service B</v>
      </c>
      <c r="H614" s="21" t="str">
        <f>IFERROR(INDEX(Users!$D$2:$D$310,MATCH(A614,Users!$B$2:$B$310,0)),"")</f>
        <v>Band 3</v>
      </c>
      <c r="I614" s="19" t="b">
        <f t="shared" si="28"/>
        <v>0</v>
      </c>
      <c r="J614" s="33">
        <f t="shared" si="29"/>
        <v>1.169004719004719</v>
      </c>
    </row>
    <row r="615" spans="1:10">
      <c r="A615" s="19" t="s">
        <v>127</v>
      </c>
      <c r="B615" s="20">
        <v>46023</v>
      </c>
      <c r="C615" s="21">
        <v>155.4</v>
      </c>
      <c r="D615" s="21">
        <v>180.55083333333334</v>
      </c>
      <c r="E615" s="21">
        <v>120.53000000000002</v>
      </c>
      <c r="F615" s="27">
        <f t="shared" si="27"/>
        <v>1.1618457743457744</v>
      </c>
      <c r="G615" s="21" t="str">
        <f>IFERROR(INDEX(Users!$A$2:$A$310,MATCH(A615,Users!$B$2:$B$310,0)),"")</f>
        <v>Service B</v>
      </c>
      <c r="H615" s="21" t="str">
        <f>IFERROR(INDEX(Users!$D$2:$D$310,MATCH(A615,Users!$B$2:$B$310,0)),"")</f>
        <v>Band 3</v>
      </c>
      <c r="I615" s="19" t="b">
        <f t="shared" si="28"/>
        <v>0</v>
      </c>
      <c r="J615" s="33" t="str">
        <f t="shared" si="29"/>
        <v/>
      </c>
    </row>
    <row r="616" spans="1:10">
      <c r="A616" s="19" t="s">
        <v>128</v>
      </c>
      <c r="B616" s="20">
        <v>45658</v>
      </c>
      <c r="C616" s="21">
        <v>162.80000000000001</v>
      </c>
      <c r="D616" s="21">
        <v>141.42000000000002</v>
      </c>
      <c r="E616" s="21">
        <v>95.920000000000016</v>
      </c>
      <c r="F616" s="27">
        <f t="shared" si="27"/>
        <v>0.86867321867321867</v>
      </c>
      <c r="G616" s="21" t="str">
        <f>IFERROR(INDEX(Users!$A$2:$A$310,MATCH(A616,Users!$B$2:$B$310,0)),"")</f>
        <v>Service A</v>
      </c>
      <c r="H616" s="21" t="str">
        <f>IFERROR(INDEX(Users!$D$2:$D$310,MATCH(A616,Users!$B$2:$B$310,0)),"")</f>
        <v>Band 3</v>
      </c>
      <c r="I616" s="19" t="b">
        <f t="shared" si="28"/>
        <v>1</v>
      </c>
      <c r="J616" s="33" t="str">
        <f t="shared" si="29"/>
        <v/>
      </c>
    </row>
    <row r="617" spans="1:10">
      <c r="A617" s="19" t="s">
        <v>128</v>
      </c>
      <c r="B617" s="20">
        <v>45689</v>
      </c>
      <c r="C617" s="21">
        <v>148</v>
      </c>
      <c r="D617" s="21">
        <v>119.57</v>
      </c>
      <c r="E617" s="21">
        <v>88.82</v>
      </c>
      <c r="F617" s="27">
        <f t="shared" si="27"/>
        <v>0.80790540540540534</v>
      </c>
      <c r="G617" s="21" t="str">
        <f>IFERROR(INDEX(Users!$A$2:$A$310,MATCH(A617,Users!$B$2:$B$310,0)),"")</f>
        <v>Service A</v>
      </c>
      <c r="H617" s="21" t="str">
        <f>IFERROR(INDEX(Users!$D$2:$D$310,MATCH(A617,Users!$B$2:$B$310,0)),"")</f>
        <v>Band 3</v>
      </c>
      <c r="I617" s="19" t="b">
        <f t="shared" si="28"/>
        <v>1</v>
      </c>
      <c r="J617" s="33" t="str">
        <f t="shared" si="29"/>
        <v/>
      </c>
    </row>
    <row r="618" spans="1:10">
      <c r="A618" s="19" t="s">
        <v>128</v>
      </c>
      <c r="B618" s="20">
        <v>45717</v>
      </c>
      <c r="C618" s="21">
        <v>155.4</v>
      </c>
      <c r="D618" s="21">
        <v>133.82666666666665</v>
      </c>
      <c r="E618" s="21">
        <v>69.91</v>
      </c>
      <c r="F618" s="27">
        <f t="shared" si="27"/>
        <v>0.86117546117546107</v>
      </c>
      <c r="G618" s="21" t="str">
        <f>IFERROR(INDEX(Users!$A$2:$A$310,MATCH(A618,Users!$B$2:$B$310,0)),"")</f>
        <v>Service A</v>
      </c>
      <c r="H618" s="21" t="str">
        <f>IFERROR(INDEX(Users!$D$2:$D$310,MATCH(A618,Users!$B$2:$B$310,0)),"")</f>
        <v>Band 3</v>
      </c>
      <c r="I618" s="19" t="b">
        <f t="shared" si="28"/>
        <v>1</v>
      </c>
      <c r="J618" s="33" t="str">
        <f t="shared" si="29"/>
        <v/>
      </c>
    </row>
    <row r="619" spans="1:10">
      <c r="A619" s="19" t="s">
        <v>128</v>
      </c>
      <c r="B619" s="20">
        <v>45748</v>
      </c>
      <c r="C619" s="21">
        <v>148</v>
      </c>
      <c r="D619" s="21">
        <v>122.89666666666665</v>
      </c>
      <c r="E619" s="21">
        <v>71.72999999999999</v>
      </c>
      <c r="F619" s="27">
        <f t="shared" si="27"/>
        <v>0.83038288288288276</v>
      </c>
      <c r="G619" s="21" t="str">
        <f>IFERROR(INDEX(Users!$A$2:$A$310,MATCH(A619,Users!$B$2:$B$310,0)),"")</f>
        <v>Service A</v>
      </c>
      <c r="H619" s="21" t="str">
        <f>IFERROR(INDEX(Users!$D$2:$D$310,MATCH(A619,Users!$B$2:$B$310,0)),"")</f>
        <v>Band 3</v>
      </c>
      <c r="I619" s="19" t="b">
        <f t="shared" si="28"/>
        <v>1</v>
      </c>
      <c r="J619" s="33" t="str">
        <f t="shared" si="29"/>
        <v/>
      </c>
    </row>
    <row r="620" spans="1:10">
      <c r="A620" s="19" t="s">
        <v>128</v>
      </c>
      <c r="B620" s="20">
        <v>45778</v>
      </c>
      <c r="C620" s="21">
        <v>148</v>
      </c>
      <c r="D620" s="21">
        <v>117.00666666666667</v>
      </c>
      <c r="E620" s="21">
        <v>82.84</v>
      </c>
      <c r="F620" s="27">
        <f t="shared" si="27"/>
        <v>0.79058558558558567</v>
      </c>
      <c r="G620" s="21" t="str">
        <f>IFERROR(INDEX(Users!$A$2:$A$310,MATCH(A620,Users!$B$2:$B$310,0)),"")</f>
        <v>Service A</v>
      </c>
      <c r="H620" s="21" t="str">
        <f>IFERROR(INDEX(Users!$D$2:$D$310,MATCH(A620,Users!$B$2:$B$310,0)),"")</f>
        <v>Band 3</v>
      </c>
      <c r="I620" s="19" t="b">
        <f t="shared" si="28"/>
        <v>1</v>
      </c>
      <c r="J620" s="33" t="str">
        <f t="shared" si="29"/>
        <v/>
      </c>
    </row>
    <row r="621" spans="1:10">
      <c r="A621" s="19" t="s">
        <v>128</v>
      </c>
      <c r="B621" s="20">
        <v>45809</v>
      </c>
      <c r="C621" s="21">
        <v>155.4</v>
      </c>
      <c r="D621" s="21">
        <v>103.59</v>
      </c>
      <c r="E621" s="21">
        <v>68.09</v>
      </c>
      <c r="F621" s="27">
        <f t="shared" si="27"/>
        <v>0.66660231660231661</v>
      </c>
      <c r="G621" s="21" t="str">
        <f>IFERROR(INDEX(Users!$A$2:$A$310,MATCH(A621,Users!$B$2:$B$310,0)),"")</f>
        <v>Service A</v>
      </c>
      <c r="H621" s="21" t="str">
        <f>IFERROR(INDEX(Users!$D$2:$D$310,MATCH(A621,Users!$B$2:$B$310,0)),"")</f>
        <v>Band 3</v>
      </c>
      <c r="I621" s="19" t="b">
        <f t="shared" si="28"/>
        <v>1</v>
      </c>
      <c r="J621" s="33" t="str">
        <f t="shared" si="29"/>
        <v/>
      </c>
    </row>
    <row r="622" spans="1:10">
      <c r="A622" s="19" t="s">
        <v>128</v>
      </c>
      <c r="B622" s="20">
        <v>45839</v>
      </c>
      <c r="C622" s="21">
        <v>170.20000000000002</v>
      </c>
      <c r="D622" s="21">
        <v>166.43333333333334</v>
      </c>
      <c r="E622" s="21">
        <v>130.1</v>
      </c>
      <c r="F622" s="27">
        <f t="shared" si="27"/>
        <v>0.97786917352134739</v>
      </c>
      <c r="G622" s="21" t="str">
        <f>IFERROR(INDEX(Users!$A$2:$A$310,MATCH(A622,Users!$B$2:$B$310,0)),"")</f>
        <v>Service A</v>
      </c>
      <c r="H622" s="21" t="str">
        <f>IFERROR(INDEX(Users!$D$2:$D$310,MATCH(A622,Users!$B$2:$B$310,0)),"")</f>
        <v>Band 3</v>
      </c>
      <c r="I622" s="19" t="b">
        <f t="shared" si="28"/>
        <v>1</v>
      </c>
      <c r="J622" s="33" t="str">
        <f t="shared" si="29"/>
        <v/>
      </c>
    </row>
    <row r="623" spans="1:10">
      <c r="A623" s="19" t="s">
        <v>128</v>
      </c>
      <c r="B623" s="20">
        <v>45870</v>
      </c>
      <c r="C623" s="21">
        <v>148</v>
      </c>
      <c r="D623" s="21">
        <v>122.09</v>
      </c>
      <c r="E623" s="21">
        <v>100.59</v>
      </c>
      <c r="F623" s="27">
        <f t="shared" si="27"/>
        <v>0.82493243243243242</v>
      </c>
      <c r="G623" s="21" t="str">
        <f>IFERROR(INDEX(Users!$A$2:$A$310,MATCH(A623,Users!$B$2:$B$310,0)),"")</f>
        <v>Service A</v>
      </c>
      <c r="H623" s="21" t="str">
        <f>IFERROR(INDEX(Users!$D$2:$D$310,MATCH(A623,Users!$B$2:$B$310,0)),"")</f>
        <v>Band 3</v>
      </c>
      <c r="I623" s="19" t="b">
        <f t="shared" si="28"/>
        <v>1</v>
      </c>
      <c r="J623" s="33" t="str">
        <f t="shared" si="29"/>
        <v/>
      </c>
    </row>
    <row r="624" spans="1:10">
      <c r="A624" s="19" t="s">
        <v>128</v>
      </c>
      <c r="B624" s="20">
        <v>45901</v>
      </c>
      <c r="C624" s="21">
        <v>162.80000000000001</v>
      </c>
      <c r="D624" s="21">
        <v>127</v>
      </c>
      <c r="E624" s="21">
        <v>102</v>
      </c>
      <c r="F624" s="27">
        <f t="shared" si="27"/>
        <v>0.78009828009828008</v>
      </c>
      <c r="G624" s="21" t="str">
        <f>IFERROR(INDEX(Users!$A$2:$A$310,MATCH(A624,Users!$B$2:$B$310,0)),"")</f>
        <v>Service A</v>
      </c>
      <c r="H624" s="21" t="str">
        <f>IFERROR(INDEX(Users!$D$2:$D$310,MATCH(A624,Users!$B$2:$B$310,0)),"")</f>
        <v>Band 3</v>
      </c>
      <c r="I624" s="19" t="b">
        <f t="shared" si="28"/>
        <v>1</v>
      </c>
      <c r="J624" s="33" t="str">
        <f t="shared" si="29"/>
        <v/>
      </c>
    </row>
    <row r="625" spans="1:10">
      <c r="A625" s="19" t="s">
        <v>128</v>
      </c>
      <c r="B625" s="20">
        <v>45931</v>
      </c>
      <c r="C625" s="21">
        <v>170.20000000000002</v>
      </c>
      <c r="D625" s="21">
        <v>143.66</v>
      </c>
      <c r="E625" s="21">
        <v>108.91</v>
      </c>
      <c r="F625" s="27">
        <f t="shared" si="27"/>
        <v>0.84406580493537009</v>
      </c>
      <c r="G625" s="21" t="str">
        <f>IFERROR(INDEX(Users!$A$2:$A$310,MATCH(A625,Users!$B$2:$B$310,0)),"")</f>
        <v>Service A</v>
      </c>
      <c r="H625" s="21" t="str">
        <f>IFERROR(INDEX(Users!$D$2:$D$310,MATCH(A625,Users!$B$2:$B$310,0)),"")</f>
        <v>Band 3</v>
      </c>
      <c r="I625" s="19" t="b">
        <f t="shared" si="28"/>
        <v>1</v>
      </c>
      <c r="J625" s="33" t="str">
        <f t="shared" si="29"/>
        <v/>
      </c>
    </row>
    <row r="626" spans="1:10">
      <c r="A626" s="19" t="s">
        <v>128</v>
      </c>
      <c r="B626" s="20">
        <v>45962</v>
      </c>
      <c r="C626" s="21">
        <v>148</v>
      </c>
      <c r="D626" s="21">
        <v>131.99</v>
      </c>
      <c r="E626" s="21">
        <v>95.740000000000009</v>
      </c>
      <c r="F626" s="27">
        <f t="shared" si="27"/>
        <v>0.89182432432432435</v>
      </c>
      <c r="G626" s="21" t="str">
        <f>IFERROR(INDEX(Users!$A$2:$A$310,MATCH(A626,Users!$B$2:$B$310,0)),"")</f>
        <v>Service A</v>
      </c>
      <c r="H626" s="21" t="str">
        <f>IFERROR(INDEX(Users!$D$2:$D$310,MATCH(A626,Users!$B$2:$B$310,0)),"")</f>
        <v>Band 3</v>
      </c>
      <c r="I626" s="19" t="b">
        <f t="shared" si="28"/>
        <v>1</v>
      </c>
      <c r="J626" s="33" t="str">
        <f t="shared" si="29"/>
        <v/>
      </c>
    </row>
    <row r="627" spans="1:10">
      <c r="A627" s="19" t="s">
        <v>128</v>
      </c>
      <c r="B627" s="20">
        <v>45992</v>
      </c>
      <c r="C627" s="21">
        <v>155.4</v>
      </c>
      <c r="D627" s="21">
        <v>99.166666666666657</v>
      </c>
      <c r="E627" s="21">
        <v>60</v>
      </c>
      <c r="F627" s="27">
        <f t="shared" si="27"/>
        <v>0.63813813813813802</v>
      </c>
      <c r="G627" s="21" t="str">
        <f>IFERROR(INDEX(Users!$A$2:$A$310,MATCH(A627,Users!$B$2:$B$310,0)),"")</f>
        <v>Service A</v>
      </c>
      <c r="H627" s="21" t="str">
        <f>IFERROR(INDEX(Users!$D$2:$D$310,MATCH(A627,Users!$B$2:$B$310,0)),"")</f>
        <v>Band 3</v>
      </c>
      <c r="I627" s="19" t="b">
        <f t="shared" si="28"/>
        <v>1</v>
      </c>
      <c r="J627" s="33" t="str">
        <f t="shared" si="29"/>
        <v/>
      </c>
    </row>
    <row r="628" spans="1:10">
      <c r="A628" s="19" t="s">
        <v>128</v>
      </c>
      <c r="B628" s="20">
        <v>46023</v>
      </c>
      <c r="C628" s="21">
        <v>155.4</v>
      </c>
      <c r="D628" s="21">
        <v>137</v>
      </c>
      <c r="E628" s="21">
        <v>88.75</v>
      </c>
      <c r="F628" s="27">
        <f t="shared" si="27"/>
        <v>0.88159588159588154</v>
      </c>
      <c r="G628" s="21" t="str">
        <f>IFERROR(INDEX(Users!$A$2:$A$310,MATCH(A628,Users!$B$2:$B$310,0)),"")</f>
        <v>Service A</v>
      </c>
      <c r="H628" s="21" t="str">
        <f>IFERROR(INDEX(Users!$D$2:$D$310,MATCH(A628,Users!$B$2:$B$310,0)),"")</f>
        <v>Band 3</v>
      </c>
      <c r="I628" s="19" t="b">
        <f t="shared" si="28"/>
        <v>1</v>
      </c>
      <c r="J628" s="33" t="str">
        <f t="shared" si="29"/>
        <v/>
      </c>
    </row>
    <row r="629" spans="1:10">
      <c r="A629" s="19" t="s">
        <v>129</v>
      </c>
      <c r="B629" s="20">
        <v>45658</v>
      </c>
      <c r="C629" s="21">
        <v>162.80000000000001</v>
      </c>
      <c r="D629" s="21">
        <v>164.60000000000002</v>
      </c>
      <c r="E629" s="21">
        <v>145.35000000000002</v>
      </c>
      <c r="F629" s="27">
        <f t="shared" si="27"/>
        <v>1.0110565110565111</v>
      </c>
      <c r="G629" s="21" t="str">
        <f>IFERROR(INDEX(Users!$A$2:$A$310,MATCH(A629,Users!$B$2:$B$310,0)),"")</f>
        <v>Service A</v>
      </c>
      <c r="H629" s="21" t="str">
        <f>IFERROR(INDEX(Users!$D$2:$D$310,MATCH(A629,Users!$B$2:$B$310,0)),"")</f>
        <v>Band 3</v>
      </c>
      <c r="I629" s="19" t="b">
        <f t="shared" si="28"/>
        <v>1</v>
      </c>
      <c r="J629" s="33" t="str">
        <f t="shared" si="29"/>
        <v/>
      </c>
    </row>
    <row r="630" spans="1:10">
      <c r="A630" s="19" t="s">
        <v>129</v>
      </c>
      <c r="B630" s="20">
        <v>45689</v>
      </c>
      <c r="C630" s="21">
        <v>148</v>
      </c>
      <c r="D630" s="21">
        <v>128.15666666666667</v>
      </c>
      <c r="E630" s="21">
        <v>89.74</v>
      </c>
      <c r="F630" s="27">
        <f t="shared" si="27"/>
        <v>0.86592342342342343</v>
      </c>
      <c r="G630" s="21" t="str">
        <f>IFERROR(INDEX(Users!$A$2:$A$310,MATCH(A630,Users!$B$2:$B$310,0)),"")</f>
        <v>Service A</v>
      </c>
      <c r="H630" s="21" t="str">
        <f>IFERROR(INDEX(Users!$D$2:$D$310,MATCH(A630,Users!$B$2:$B$310,0)),"")</f>
        <v>Band 3</v>
      </c>
      <c r="I630" s="19" t="b">
        <f t="shared" si="28"/>
        <v>1</v>
      </c>
      <c r="J630" s="33" t="str">
        <f t="shared" si="29"/>
        <v/>
      </c>
    </row>
    <row r="631" spans="1:10">
      <c r="A631" s="19" t="s">
        <v>129</v>
      </c>
      <c r="B631" s="20">
        <v>45717</v>
      </c>
      <c r="C631" s="21">
        <v>155.4</v>
      </c>
      <c r="D631" s="21">
        <v>152.85333333333332</v>
      </c>
      <c r="E631" s="21">
        <v>121.97</v>
      </c>
      <c r="F631" s="27">
        <f t="shared" si="27"/>
        <v>0.9836121836121835</v>
      </c>
      <c r="G631" s="21" t="str">
        <f>IFERROR(INDEX(Users!$A$2:$A$310,MATCH(A631,Users!$B$2:$B$310,0)),"")</f>
        <v>Service A</v>
      </c>
      <c r="H631" s="21" t="str">
        <f>IFERROR(INDEX(Users!$D$2:$D$310,MATCH(A631,Users!$B$2:$B$310,0)),"")</f>
        <v>Band 3</v>
      </c>
      <c r="I631" s="19" t="b">
        <f t="shared" si="28"/>
        <v>1</v>
      </c>
      <c r="J631" s="33" t="str">
        <f t="shared" si="29"/>
        <v/>
      </c>
    </row>
    <row r="632" spans="1:10">
      <c r="A632" s="19" t="s">
        <v>129</v>
      </c>
      <c r="B632" s="20">
        <v>45748</v>
      </c>
      <c r="C632" s="21">
        <v>148</v>
      </c>
      <c r="D632" s="21">
        <v>121.18</v>
      </c>
      <c r="E632" s="21">
        <v>95.580000000000013</v>
      </c>
      <c r="F632" s="27">
        <f t="shared" si="27"/>
        <v>0.8187837837837838</v>
      </c>
      <c r="G632" s="21" t="str">
        <f>IFERROR(INDEX(Users!$A$2:$A$310,MATCH(A632,Users!$B$2:$B$310,0)),"")</f>
        <v>Service A</v>
      </c>
      <c r="H632" s="21" t="str">
        <f>IFERROR(INDEX(Users!$D$2:$D$310,MATCH(A632,Users!$B$2:$B$310,0)),"")</f>
        <v>Band 3</v>
      </c>
      <c r="I632" s="19" t="b">
        <f t="shared" si="28"/>
        <v>1</v>
      </c>
      <c r="J632" s="33" t="str">
        <f t="shared" si="29"/>
        <v/>
      </c>
    </row>
    <row r="633" spans="1:10">
      <c r="A633" s="19" t="s">
        <v>129</v>
      </c>
      <c r="B633" s="20">
        <v>45778</v>
      </c>
      <c r="C633" s="21">
        <v>148</v>
      </c>
      <c r="D633" s="21">
        <v>142.81666666666666</v>
      </c>
      <c r="E633" s="21">
        <v>108.39999999999999</v>
      </c>
      <c r="F633" s="27">
        <f t="shared" si="27"/>
        <v>0.96497747747747742</v>
      </c>
      <c r="G633" s="21" t="str">
        <f>IFERROR(INDEX(Users!$A$2:$A$310,MATCH(A633,Users!$B$2:$B$310,0)),"")</f>
        <v>Service A</v>
      </c>
      <c r="H633" s="21" t="str">
        <f>IFERROR(INDEX(Users!$D$2:$D$310,MATCH(A633,Users!$B$2:$B$310,0)),"")</f>
        <v>Band 3</v>
      </c>
      <c r="I633" s="19" t="b">
        <f t="shared" si="28"/>
        <v>1</v>
      </c>
      <c r="J633" s="33" t="str">
        <f t="shared" si="29"/>
        <v/>
      </c>
    </row>
    <row r="634" spans="1:10">
      <c r="A634" s="19" t="s">
        <v>129</v>
      </c>
      <c r="B634" s="20">
        <v>45809</v>
      </c>
      <c r="C634" s="21">
        <v>155.4</v>
      </c>
      <c r="D634" s="21">
        <v>110.42999999999999</v>
      </c>
      <c r="E634" s="21">
        <v>97.38</v>
      </c>
      <c r="F634" s="27">
        <f t="shared" si="27"/>
        <v>0.7106177606177605</v>
      </c>
      <c r="G634" s="21" t="str">
        <f>IFERROR(INDEX(Users!$A$2:$A$310,MATCH(A634,Users!$B$2:$B$310,0)),"")</f>
        <v>Service A</v>
      </c>
      <c r="H634" s="21" t="str">
        <f>IFERROR(INDEX(Users!$D$2:$D$310,MATCH(A634,Users!$B$2:$B$310,0)),"")</f>
        <v>Band 3</v>
      </c>
      <c r="I634" s="19" t="b">
        <f t="shared" si="28"/>
        <v>1</v>
      </c>
      <c r="J634" s="33" t="str">
        <f t="shared" si="29"/>
        <v/>
      </c>
    </row>
    <row r="635" spans="1:10">
      <c r="A635" s="19" t="s">
        <v>129</v>
      </c>
      <c r="B635" s="20">
        <v>45839</v>
      </c>
      <c r="C635" s="21">
        <v>170.20000000000002</v>
      </c>
      <c r="D635" s="21">
        <v>139.18</v>
      </c>
      <c r="E635" s="21">
        <v>116.13000000000001</v>
      </c>
      <c r="F635" s="27">
        <f t="shared" si="27"/>
        <v>0.81774383078730906</v>
      </c>
      <c r="G635" s="21" t="str">
        <f>IFERROR(INDEX(Users!$A$2:$A$310,MATCH(A635,Users!$B$2:$B$310,0)),"")</f>
        <v>Service A</v>
      </c>
      <c r="H635" s="21" t="str">
        <f>IFERROR(INDEX(Users!$D$2:$D$310,MATCH(A635,Users!$B$2:$B$310,0)),"")</f>
        <v>Band 3</v>
      </c>
      <c r="I635" s="19" t="b">
        <f t="shared" si="28"/>
        <v>1</v>
      </c>
      <c r="J635" s="33" t="str">
        <f t="shared" si="29"/>
        <v/>
      </c>
    </row>
    <row r="636" spans="1:10">
      <c r="A636" s="19" t="s">
        <v>129</v>
      </c>
      <c r="B636" s="20">
        <v>45870</v>
      </c>
      <c r="C636" s="21">
        <v>148</v>
      </c>
      <c r="D636" s="21">
        <v>82.346666666666664</v>
      </c>
      <c r="E636" s="21">
        <v>65.930000000000007</v>
      </c>
      <c r="F636" s="27">
        <f t="shared" si="27"/>
        <v>0.55639639639639638</v>
      </c>
      <c r="G636" s="21" t="str">
        <f>IFERROR(INDEX(Users!$A$2:$A$310,MATCH(A636,Users!$B$2:$B$310,0)),"")</f>
        <v>Service A</v>
      </c>
      <c r="H636" s="21" t="str">
        <f>IFERROR(INDEX(Users!$D$2:$D$310,MATCH(A636,Users!$B$2:$B$310,0)),"")</f>
        <v>Band 3</v>
      </c>
      <c r="I636" s="19" t="b">
        <f t="shared" si="28"/>
        <v>1</v>
      </c>
      <c r="J636" s="33" t="str">
        <f t="shared" si="29"/>
        <v/>
      </c>
    </row>
    <row r="637" spans="1:10">
      <c r="A637" s="19" t="s">
        <v>129</v>
      </c>
      <c r="B637" s="20">
        <v>45901</v>
      </c>
      <c r="C637" s="21">
        <v>162.80000000000001</v>
      </c>
      <c r="D637" s="21">
        <v>13.253333333333334</v>
      </c>
      <c r="E637" s="21">
        <v>6.92</v>
      </c>
      <c r="F637" s="27">
        <f t="shared" si="27"/>
        <v>8.1408681408681405E-2</v>
      </c>
      <c r="G637" s="21" t="str">
        <f>IFERROR(INDEX(Users!$A$2:$A$310,MATCH(A637,Users!$B$2:$B$310,0)),"")</f>
        <v>Service A</v>
      </c>
      <c r="H637" s="21" t="str">
        <f>IFERROR(INDEX(Users!$D$2:$D$310,MATCH(A637,Users!$B$2:$B$310,0)),"")</f>
        <v>Band 3</v>
      </c>
      <c r="I637" s="19" t="b">
        <f t="shared" si="28"/>
        <v>1</v>
      </c>
      <c r="J637" s="33" t="str">
        <f t="shared" si="29"/>
        <v/>
      </c>
    </row>
    <row r="638" spans="1:10">
      <c r="A638" s="19" t="s">
        <v>129</v>
      </c>
      <c r="B638" s="20">
        <v>45931</v>
      </c>
      <c r="C638" s="21">
        <v>170.20000000000002</v>
      </c>
      <c r="D638" s="21">
        <v>98.666666666666657</v>
      </c>
      <c r="E638" s="21">
        <v>78.25</v>
      </c>
      <c r="F638" s="27">
        <f t="shared" si="27"/>
        <v>0.57971014492753614</v>
      </c>
      <c r="G638" s="21" t="str">
        <f>IFERROR(INDEX(Users!$A$2:$A$310,MATCH(A638,Users!$B$2:$B$310,0)),"")</f>
        <v>Service A</v>
      </c>
      <c r="H638" s="21" t="str">
        <f>IFERROR(INDEX(Users!$D$2:$D$310,MATCH(A638,Users!$B$2:$B$310,0)),"")</f>
        <v>Band 3</v>
      </c>
      <c r="I638" s="19" t="b">
        <f t="shared" si="28"/>
        <v>1</v>
      </c>
      <c r="J638" s="33" t="str">
        <f t="shared" si="29"/>
        <v/>
      </c>
    </row>
    <row r="639" spans="1:10">
      <c r="A639" s="19" t="s">
        <v>129</v>
      </c>
      <c r="B639" s="20">
        <v>45962</v>
      </c>
      <c r="C639" s="21">
        <v>148</v>
      </c>
      <c r="D639" s="21">
        <v>108.39999999999999</v>
      </c>
      <c r="E639" s="21">
        <v>78.149999999999991</v>
      </c>
      <c r="F639" s="27">
        <f t="shared" si="27"/>
        <v>0.73243243243243239</v>
      </c>
      <c r="G639" s="21" t="str">
        <f>IFERROR(INDEX(Users!$A$2:$A$310,MATCH(A639,Users!$B$2:$B$310,0)),"")</f>
        <v>Service A</v>
      </c>
      <c r="H639" s="21" t="str">
        <f>IFERROR(INDEX(Users!$D$2:$D$310,MATCH(A639,Users!$B$2:$B$310,0)),"")</f>
        <v>Band 3</v>
      </c>
      <c r="I639" s="19" t="b">
        <f t="shared" si="28"/>
        <v>1</v>
      </c>
      <c r="J639" s="33" t="str">
        <f t="shared" si="29"/>
        <v/>
      </c>
    </row>
    <row r="640" spans="1:10">
      <c r="A640" s="19" t="s">
        <v>129</v>
      </c>
      <c r="B640" s="20">
        <v>45992</v>
      </c>
      <c r="C640" s="21">
        <v>155.4</v>
      </c>
      <c r="D640" s="21">
        <v>103.99666666666667</v>
      </c>
      <c r="E640" s="21">
        <v>78.83</v>
      </c>
      <c r="F640" s="27">
        <f t="shared" si="27"/>
        <v>0.66921921921921923</v>
      </c>
      <c r="G640" s="21" t="str">
        <f>IFERROR(INDEX(Users!$A$2:$A$310,MATCH(A640,Users!$B$2:$B$310,0)),"")</f>
        <v>Service A</v>
      </c>
      <c r="H640" s="21" t="str">
        <f>IFERROR(INDEX(Users!$D$2:$D$310,MATCH(A640,Users!$B$2:$B$310,0)),"")</f>
        <v>Band 3</v>
      </c>
      <c r="I640" s="19" t="b">
        <f t="shared" si="28"/>
        <v>1</v>
      </c>
      <c r="J640" s="33" t="str">
        <f t="shared" si="29"/>
        <v/>
      </c>
    </row>
    <row r="641" spans="1:10">
      <c r="A641" s="19" t="s">
        <v>129</v>
      </c>
      <c r="B641" s="20">
        <v>46023</v>
      </c>
      <c r="C641" s="21">
        <v>155.4</v>
      </c>
      <c r="D641" s="21">
        <v>145.32</v>
      </c>
      <c r="E641" s="21">
        <v>110.82000000000001</v>
      </c>
      <c r="F641" s="27">
        <f t="shared" si="27"/>
        <v>0.93513513513513502</v>
      </c>
      <c r="G641" s="21" t="str">
        <f>IFERROR(INDEX(Users!$A$2:$A$310,MATCH(A641,Users!$B$2:$B$310,0)),"")</f>
        <v>Service A</v>
      </c>
      <c r="H641" s="21" t="str">
        <f>IFERROR(INDEX(Users!$D$2:$D$310,MATCH(A641,Users!$B$2:$B$310,0)),"")</f>
        <v>Band 3</v>
      </c>
      <c r="I641" s="19" t="b">
        <f t="shared" si="28"/>
        <v>1</v>
      </c>
      <c r="J641" s="33" t="str">
        <f t="shared" si="29"/>
        <v/>
      </c>
    </row>
    <row r="642" spans="1:10">
      <c r="A642" s="19" t="s">
        <v>131</v>
      </c>
      <c r="B642" s="20">
        <v>45658</v>
      </c>
      <c r="C642" s="21">
        <v>162.80000000000001</v>
      </c>
      <c r="D642" s="21">
        <v>148.14333333333332</v>
      </c>
      <c r="E642" s="21">
        <v>114.36</v>
      </c>
      <c r="F642" s="27">
        <f t="shared" ref="F642:F705" si="30">IFERROR(IF(OR(C642="",D642="",C642=0),"",D642/C642),"")</f>
        <v>0.90997133497133476</v>
      </c>
      <c r="G642" s="21" t="str">
        <f>IFERROR(INDEX(Users!$A$2:$A$310,MATCH(A642,Users!$B$2:$B$310,0)),"")</f>
        <v>Service A</v>
      </c>
      <c r="H642" s="21" t="str">
        <f>IFERROR(INDEX(Users!$D$2:$D$310,MATCH(A642,Users!$B$2:$B$310,0)),"")</f>
        <v>Band 3</v>
      </c>
      <c r="I642" s="19" t="b">
        <f t="shared" ref="I642:I705" si="31">AND(G642="Service A",H642="Band 3")</f>
        <v>1</v>
      </c>
      <c r="J642" s="33" t="str">
        <f t="shared" ref="J642:J705" si="32">IF(AND(B642&gt;=DATE(2025,1,1),B642&lt;DATE(2026,1,1),G642="Service B",OR(H642="Band 3",H642="Band 5"),ISNUMBER(F642)),F642,"")</f>
        <v/>
      </c>
    </row>
    <row r="643" spans="1:10">
      <c r="A643" s="19" t="s">
        <v>131</v>
      </c>
      <c r="B643" s="20">
        <v>45689</v>
      </c>
      <c r="C643" s="21">
        <v>148</v>
      </c>
      <c r="D643" s="21">
        <v>139.87333333333333</v>
      </c>
      <c r="E643" s="21">
        <v>117.64</v>
      </c>
      <c r="F643" s="27">
        <f t="shared" si="30"/>
        <v>0.94509009009009015</v>
      </c>
      <c r="G643" s="21" t="str">
        <f>IFERROR(INDEX(Users!$A$2:$A$310,MATCH(A643,Users!$B$2:$B$310,0)),"")</f>
        <v>Service A</v>
      </c>
      <c r="H643" s="21" t="str">
        <f>IFERROR(INDEX(Users!$D$2:$D$310,MATCH(A643,Users!$B$2:$B$310,0)),"")</f>
        <v>Band 3</v>
      </c>
      <c r="I643" s="19" t="b">
        <f t="shared" si="31"/>
        <v>1</v>
      </c>
      <c r="J643" s="33" t="str">
        <f t="shared" si="32"/>
        <v/>
      </c>
    </row>
    <row r="644" spans="1:10">
      <c r="A644" s="19" t="s">
        <v>131</v>
      </c>
      <c r="B644" s="20">
        <v>45717</v>
      </c>
      <c r="C644" s="21">
        <v>155.4</v>
      </c>
      <c r="D644" s="21">
        <v>158.92000000000002</v>
      </c>
      <c r="E644" s="21">
        <v>117.42</v>
      </c>
      <c r="F644" s="27">
        <f t="shared" si="30"/>
        <v>1.0226512226512228</v>
      </c>
      <c r="G644" s="21" t="str">
        <f>IFERROR(INDEX(Users!$A$2:$A$310,MATCH(A644,Users!$B$2:$B$310,0)),"")</f>
        <v>Service A</v>
      </c>
      <c r="H644" s="21" t="str">
        <f>IFERROR(INDEX(Users!$D$2:$D$310,MATCH(A644,Users!$B$2:$B$310,0)),"")</f>
        <v>Band 3</v>
      </c>
      <c r="I644" s="19" t="b">
        <f t="shared" si="31"/>
        <v>1</v>
      </c>
      <c r="J644" s="33" t="str">
        <f t="shared" si="32"/>
        <v/>
      </c>
    </row>
    <row r="645" spans="1:10">
      <c r="A645" s="19" t="s">
        <v>131</v>
      </c>
      <c r="B645" s="20">
        <v>45748</v>
      </c>
      <c r="C645" s="21">
        <v>148</v>
      </c>
      <c r="D645" s="21">
        <v>131.69999999999999</v>
      </c>
      <c r="E645" s="21">
        <v>82.4</v>
      </c>
      <c r="F645" s="27">
        <f t="shared" si="30"/>
        <v>0.88986486486486482</v>
      </c>
      <c r="G645" s="21" t="str">
        <f>IFERROR(INDEX(Users!$A$2:$A$310,MATCH(A645,Users!$B$2:$B$310,0)),"")</f>
        <v>Service A</v>
      </c>
      <c r="H645" s="21" t="str">
        <f>IFERROR(INDEX(Users!$D$2:$D$310,MATCH(A645,Users!$B$2:$B$310,0)),"")</f>
        <v>Band 3</v>
      </c>
      <c r="I645" s="19" t="b">
        <f t="shared" si="31"/>
        <v>1</v>
      </c>
      <c r="J645" s="33" t="str">
        <f t="shared" si="32"/>
        <v/>
      </c>
    </row>
    <row r="646" spans="1:10">
      <c r="A646" s="19" t="s">
        <v>131</v>
      </c>
      <c r="B646" s="20">
        <v>45778</v>
      </c>
      <c r="C646" s="21">
        <v>148</v>
      </c>
      <c r="D646" s="21">
        <v>132.66333333333333</v>
      </c>
      <c r="E646" s="21">
        <v>95.53</v>
      </c>
      <c r="F646" s="27">
        <f t="shared" si="30"/>
        <v>0.89637387387387379</v>
      </c>
      <c r="G646" s="21" t="str">
        <f>IFERROR(INDEX(Users!$A$2:$A$310,MATCH(A646,Users!$B$2:$B$310,0)),"")</f>
        <v>Service A</v>
      </c>
      <c r="H646" s="21" t="str">
        <f>IFERROR(INDEX(Users!$D$2:$D$310,MATCH(A646,Users!$B$2:$B$310,0)),"")</f>
        <v>Band 3</v>
      </c>
      <c r="I646" s="19" t="b">
        <f t="shared" si="31"/>
        <v>1</v>
      </c>
      <c r="J646" s="33" t="str">
        <f t="shared" si="32"/>
        <v/>
      </c>
    </row>
    <row r="647" spans="1:10">
      <c r="A647" s="19" t="s">
        <v>131</v>
      </c>
      <c r="B647" s="20">
        <v>45809</v>
      </c>
      <c r="C647" s="21">
        <v>155.4</v>
      </c>
      <c r="D647" s="21">
        <v>148.65333333333334</v>
      </c>
      <c r="E647" s="21">
        <v>108.92</v>
      </c>
      <c r="F647" s="27">
        <f t="shared" si="30"/>
        <v>0.95658515658515653</v>
      </c>
      <c r="G647" s="21" t="str">
        <f>IFERROR(INDEX(Users!$A$2:$A$310,MATCH(A647,Users!$B$2:$B$310,0)),"")</f>
        <v>Service A</v>
      </c>
      <c r="H647" s="21" t="str">
        <f>IFERROR(INDEX(Users!$D$2:$D$310,MATCH(A647,Users!$B$2:$B$310,0)),"")</f>
        <v>Band 3</v>
      </c>
      <c r="I647" s="19" t="b">
        <f t="shared" si="31"/>
        <v>1</v>
      </c>
      <c r="J647" s="33" t="str">
        <f t="shared" si="32"/>
        <v/>
      </c>
    </row>
    <row r="648" spans="1:10">
      <c r="A648" s="19" t="s">
        <v>131</v>
      </c>
      <c r="B648" s="20">
        <v>45839</v>
      </c>
      <c r="C648" s="21">
        <v>170.20000000000002</v>
      </c>
      <c r="D648" s="21">
        <v>155.82999999999998</v>
      </c>
      <c r="E648" s="21">
        <v>104.83</v>
      </c>
      <c r="F648" s="27">
        <f t="shared" si="30"/>
        <v>0.91556991774383056</v>
      </c>
      <c r="G648" s="21" t="str">
        <f>IFERROR(INDEX(Users!$A$2:$A$310,MATCH(A648,Users!$B$2:$B$310,0)),"")</f>
        <v>Service A</v>
      </c>
      <c r="H648" s="21" t="str">
        <f>IFERROR(INDEX(Users!$D$2:$D$310,MATCH(A648,Users!$B$2:$B$310,0)),"")</f>
        <v>Band 3</v>
      </c>
      <c r="I648" s="19" t="b">
        <f t="shared" si="31"/>
        <v>1</v>
      </c>
      <c r="J648" s="33" t="str">
        <f t="shared" si="32"/>
        <v/>
      </c>
    </row>
    <row r="649" spans="1:10">
      <c r="A649" s="19" t="s">
        <v>131</v>
      </c>
      <c r="B649" s="20">
        <v>45870</v>
      </c>
      <c r="C649" s="21">
        <v>148</v>
      </c>
      <c r="D649" s="21">
        <v>138</v>
      </c>
      <c r="E649" s="21">
        <v>99</v>
      </c>
      <c r="F649" s="27">
        <f t="shared" si="30"/>
        <v>0.93243243243243246</v>
      </c>
      <c r="G649" s="21" t="str">
        <f>IFERROR(INDEX(Users!$A$2:$A$310,MATCH(A649,Users!$B$2:$B$310,0)),"")</f>
        <v>Service A</v>
      </c>
      <c r="H649" s="21" t="str">
        <f>IFERROR(INDEX(Users!$D$2:$D$310,MATCH(A649,Users!$B$2:$B$310,0)),"")</f>
        <v>Band 3</v>
      </c>
      <c r="I649" s="19" t="b">
        <f t="shared" si="31"/>
        <v>1</v>
      </c>
      <c r="J649" s="33" t="str">
        <f t="shared" si="32"/>
        <v/>
      </c>
    </row>
    <row r="650" spans="1:10">
      <c r="A650" s="19" t="s">
        <v>131</v>
      </c>
      <c r="B650" s="20">
        <v>45901</v>
      </c>
      <c r="C650" s="21">
        <v>162.80000000000001</v>
      </c>
      <c r="D650" s="21">
        <v>114.5</v>
      </c>
      <c r="E650" s="21">
        <v>70</v>
      </c>
      <c r="F650" s="27">
        <f t="shared" si="30"/>
        <v>0.70331695331695332</v>
      </c>
      <c r="G650" s="21" t="str">
        <f>IFERROR(INDEX(Users!$A$2:$A$310,MATCH(A650,Users!$B$2:$B$310,0)),"")</f>
        <v>Service A</v>
      </c>
      <c r="H650" s="21" t="str">
        <f>IFERROR(INDEX(Users!$D$2:$D$310,MATCH(A650,Users!$B$2:$B$310,0)),"")</f>
        <v>Band 3</v>
      </c>
      <c r="I650" s="19" t="b">
        <f t="shared" si="31"/>
        <v>1</v>
      </c>
      <c r="J650" s="33" t="str">
        <f t="shared" si="32"/>
        <v/>
      </c>
    </row>
    <row r="651" spans="1:10">
      <c r="A651" s="19" t="s">
        <v>131</v>
      </c>
      <c r="B651" s="20">
        <v>45931</v>
      </c>
      <c r="C651" s="21">
        <v>170.20000000000002</v>
      </c>
      <c r="D651" s="21">
        <v>154.69999999999999</v>
      </c>
      <c r="E651" s="21">
        <v>93.9</v>
      </c>
      <c r="F651" s="27">
        <f t="shared" si="30"/>
        <v>0.90893066980023485</v>
      </c>
      <c r="G651" s="21" t="str">
        <f>IFERROR(INDEX(Users!$A$2:$A$310,MATCH(A651,Users!$B$2:$B$310,0)),"")</f>
        <v>Service A</v>
      </c>
      <c r="H651" s="21" t="str">
        <f>IFERROR(INDEX(Users!$D$2:$D$310,MATCH(A651,Users!$B$2:$B$310,0)),"")</f>
        <v>Band 3</v>
      </c>
      <c r="I651" s="19" t="b">
        <f t="shared" si="31"/>
        <v>1</v>
      </c>
      <c r="J651" s="33" t="str">
        <f t="shared" si="32"/>
        <v/>
      </c>
    </row>
    <row r="652" spans="1:10">
      <c r="A652" s="19" t="s">
        <v>131</v>
      </c>
      <c r="B652" s="20">
        <v>45962</v>
      </c>
      <c r="C652" s="21">
        <v>148</v>
      </c>
      <c r="D652" s="21">
        <v>145.44999999999999</v>
      </c>
      <c r="E652" s="21">
        <v>109.05</v>
      </c>
      <c r="F652" s="27">
        <f t="shared" si="30"/>
        <v>0.9827702702702702</v>
      </c>
      <c r="G652" s="21" t="str">
        <f>IFERROR(INDEX(Users!$A$2:$A$310,MATCH(A652,Users!$B$2:$B$310,0)),"")</f>
        <v>Service A</v>
      </c>
      <c r="H652" s="21" t="str">
        <f>IFERROR(INDEX(Users!$D$2:$D$310,MATCH(A652,Users!$B$2:$B$310,0)),"")</f>
        <v>Band 3</v>
      </c>
      <c r="I652" s="19" t="b">
        <f t="shared" si="31"/>
        <v>1</v>
      </c>
      <c r="J652" s="33" t="str">
        <f t="shared" si="32"/>
        <v/>
      </c>
    </row>
    <row r="653" spans="1:10">
      <c r="A653" s="19" t="s">
        <v>131</v>
      </c>
      <c r="B653" s="20">
        <v>45992</v>
      </c>
      <c r="C653" s="21">
        <v>155.4</v>
      </c>
      <c r="D653" s="21">
        <v>94.82</v>
      </c>
      <c r="E653" s="21">
        <v>62.519999999999996</v>
      </c>
      <c r="F653" s="27">
        <f t="shared" si="30"/>
        <v>0.61016731016731007</v>
      </c>
      <c r="G653" s="21" t="str">
        <f>IFERROR(INDEX(Users!$A$2:$A$310,MATCH(A653,Users!$B$2:$B$310,0)),"")</f>
        <v>Service A</v>
      </c>
      <c r="H653" s="21" t="str">
        <f>IFERROR(INDEX(Users!$D$2:$D$310,MATCH(A653,Users!$B$2:$B$310,0)),"")</f>
        <v>Band 3</v>
      </c>
      <c r="I653" s="19" t="b">
        <f t="shared" si="31"/>
        <v>1</v>
      </c>
      <c r="J653" s="33" t="str">
        <f t="shared" si="32"/>
        <v/>
      </c>
    </row>
    <row r="654" spans="1:10">
      <c r="A654" s="19" t="s">
        <v>131</v>
      </c>
      <c r="B654" s="20">
        <v>46023</v>
      </c>
      <c r="C654" s="21">
        <v>155.4</v>
      </c>
      <c r="D654" s="21">
        <v>151.4</v>
      </c>
      <c r="E654" s="21">
        <v>109.5</v>
      </c>
      <c r="F654" s="27">
        <f t="shared" si="30"/>
        <v>0.97425997425997424</v>
      </c>
      <c r="G654" s="21" t="str">
        <f>IFERROR(INDEX(Users!$A$2:$A$310,MATCH(A654,Users!$B$2:$B$310,0)),"")</f>
        <v>Service A</v>
      </c>
      <c r="H654" s="21" t="str">
        <f>IFERROR(INDEX(Users!$D$2:$D$310,MATCH(A654,Users!$B$2:$B$310,0)),"")</f>
        <v>Band 3</v>
      </c>
      <c r="I654" s="19" t="b">
        <f t="shared" si="31"/>
        <v>1</v>
      </c>
      <c r="J654" s="33" t="str">
        <f t="shared" si="32"/>
        <v/>
      </c>
    </row>
    <row r="655" spans="1:10">
      <c r="A655" s="19" t="s">
        <v>132</v>
      </c>
      <c r="B655" s="20">
        <v>45717</v>
      </c>
      <c r="C655" s="21">
        <v>155.40000000000006</v>
      </c>
      <c r="D655" s="21">
        <v>70.876388888888883</v>
      </c>
      <c r="E655" s="21">
        <v>0.68</v>
      </c>
      <c r="F655" s="27">
        <f t="shared" si="30"/>
        <v>0.45609001859001835</v>
      </c>
      <c r="G655" s="21" t="str">
        <f>IFERROR(INDEX(Users!$A$2:$A$310,MATCH(A655,Users!$B$2:$B$310,0)),"")</f>
        <v>Service B</v>
      </c>
      <c r="H655" s="21" t="str">
        <f>IFERROR(INDEX(Users!$D$2:$D$310,MATCH(A655,Users!$B$2:$B$310,0)),"")</f>
        <v>Band 3</v>
      </c>
      <c r="I655" s="19" t="b">
        <f t="shared" si="31"/>
        <v>0</v>
      </c>
      <c r="J655" s="33">
        <f t="shared" si="32"/>
        <v>0.45609001859001835</v>
      </c>
    </row>
    <row r="656" spans="1:10">
      <c r="A656" s="19" t="s">
        <v>132</v>
      </c>
      <c r="B656" s="20">
        <v>45748</v>
      </c>
      <c r="C656" s="21">
        <v>148.00000000000006</v>
      </c>
      <c r="D656" s="21">
        <v>126.01333333333338</v>
      </c>
      <c r="E656" s="21">
        <v>2.68</v>
      </c>
      <c r="F656" s="27">
        <f t="shared" si="30"/>
        <v>0.8514414414414414</v>
      </c>
      <c r="G656" s="21" t="str">
        <f>IFERROR(INDEX(Users!$A$2:$A$310,MATCH(A656,Users!$B$2:$B$310,0)),"")</f>
        <v>Service B</v>
      </c>
      <c r="H656" s="21" t="str">
        <f>IFERROR(INDEX(Users!$D$2:$D$310,MATCH(A656,Users!$B$2:$B$310,0)),"")</f>
        <v>Band 3</v>
      </c>
      <c r="I656" s="19" t="b">
        <f t="shared" si="31"/>
        <v>0</v>
      </c>
      <c r="J656" s="33">
        <f t="shared" si="32"/>
        <v>0.8514414414414414</v>
      </c>
    </row>
    <row r="657" spans="1:10">
      <c r="A657" s="19" t="s">
        <v>132</v>
      </c>
      <c r="B657" s="20">
        <v>45778</v>
      </c>
      <c r="C657" s="21">
        <v>148.00000000000006</v>
      </c>
      <c r="D657" s="21">
        <v>135.59333333333336</v>
      </c>
      <c r="E657" s="21">
        <v>24.66</v>
      </c>
      <c r="F657" s="27">
        <f t="shared" si="30"/>
        <v>0.91617117117117097</v>
      </c>
      <c r="G657" s="21" t="str">
        <f>IFERROR(INDEX(Users!$A$2:$A$310,MATCH(A657,Users!$B$2:$B$310,0)),"")</f>
        <v>Service B</v>
      </c>
      <c r="H657" s="21" t="str">
        <f>IFERROR(INDEX(Users!$D$2:$D$310,MATCH(A657,Users!$B$2:$B$310,0)),"")</f>
        <v>Band 3</v>
      </c>
      <c r="I657" s="19" t="b">
        <f t="shared" si="31"/>
        <v>0</v>
      </c>
      <c r="J657" s="33">
        <f t="shared" si="32"/>
        <v>0.91617117117117097</v>
      </c>
    </row>
    <row r="658" spans="1:10">
      <c r="A658" s="19" t="s">
        <v>132</v>
      </c>
      <c r="B658" s="20">
        <v>45809</v>
      </c>
      <c r="C658" s="21">
        <v>155.40000000000006</v>
      </c>
      <c r="D658" s="21">
        <v>120.2</v>
      </c>
      <c r="E658" s="21">
        <v>33.800000000000004</v>
      </c>
      <c r="F658" s="27">
        <f t="shared" si="30"/>
        <v>0.7734877734877732</v>
      </c>
      <c r="G658" s="21" t="str">
        <f>IFERROR(INDEX(Users!$A$2:$A$310,MATCH(A658,Users!$B$2:$B$310,0)),"")</f>
        <v>Service B</v>
      </c>
      <c r="H658" s="21" t="str">
        <f>IFERROR(INDEX(Users!$D$2:$D$310,MATCH(A658,Users!$B$2:$B$310,0)),"")</f>
        <v>Band 3</v>
      </c>
      <c r="I658" s="19" t="b">
        <f t="shared" si="31"/>
        <v>0</v>
      </c>
      <c r="J658" s="33">
        <f t="shared" si="32"/>
        <v>0.7734877734877732</v>
      </c>
    </row>
    <row r="659" spans="1:10">
      <c r="A659" s="19" t="s">
        <v>132</v>
      </c>
      <c r="B659" s="20">
        <v>45839</v>
      </c>
      <c r="C659" s="21">
        <v>170.20000000000007</v>
      </c>
      <c r="D659" s="21">
        <v>149.97333333333333</v>
      </c>
      <c r="E659" s="21">
        <v>73.389999999999986</v>
      </c>
      <c r="F659" s="27">
        <f t="shared" si="30"/>
        <v>0.88115942028985461</v>
      </c>
      <c r="G659" s="21" t="str">
        <f>IFERROR(INDEX(Users!$A$2:$A$310,MATCH(A659,Users!$B$2:$B$310,0)),"")</f>
        <v>Service B</v>
      </c>
      <c r="H659" s="21" t="str">
        <f>IFERROR(INDEX(Users!$D$2:$D$310,MATCH(A659,Users!$B$2:$B$310,0)),"")</f>
        <v>Band 3</v>
      </c>
      <c r="I659" s="19" t="b">
        <f t="shared" si="31"/>
        <v>0</v>
      </c>
      <c r="J659" s="33">
        <f t="shared" si="32"/>
        <v>0.88115942028985461</v>
      </c>
    </row>
    <row r="660" spans="1:10">
      <c r="A660" s="19" t="s">
        <v>132</v>
      </c>
      <c r="B660" s="20">
        <v>45870</v>
      </c>
      <c r="C660" s="21">
        <v>148.00000000000006</v>
      </c>
      <c r="D660" s="21">
        <v>73.696666666666658</v>
      </c>
      <c r="E660" s="21">
        <v>33.28</v>
      </c>
      <c r="F660" s="27">
        <f t="shared" si="30"/>
        <v>0.49795045045045022</v>
      </c>
      <c r="G660" s="21" t="str">
        <f>IFERROR(INDEX(Users!$A$2:$A$310,MATCH(A660,Users!$B$2:$B$310,0)),"")</f>
        <v>Service B</v>
      </c>
      <c r="H660" s="21" t="str">
        <f>IFERROR(INDEX(Users!$D$2:$D$310,MATCH(A660,Users!$B$2:$B$310,0)),"")</f>
        <v>Band 3</v>
      </c>
      <c r="I660" s="19" t="b">
        <f t="shared" si="31"/>
        <v>0</v>
      </c>
      <c r="J660" s="33">
        <f t="shared" si="32"/>
        <v>0.49795045045045022</v>
      </c>
    </row>
    <row r="661" spans="1:10">
      <c r="A661" s="19" t="s">
        <v>132</v>
      </c>
      <c r="B661" s="20">
        <v>45901</v>
      </c>
      <c r="C661" s="21">
        <v>162.80000000000007</v>
      </c>
      <c r="D661" s="21">
        <v>144.19</v>
      </c>
      <c r="E661" s="21">
        <v>53.19</v>
      </c>
      <c r="F661" s="27">
        <f t="shared" si="30"/>
        <v>0.8856879606879603</v>
      </c>
      <c r="G661" s="21" t="str">
        <f>IFERROR(INDEX(Users!$A$2:$A$310,MATCH(A661,Users!$B$2:$B$310,0)),"")</f>
        <v>Service B</v>
      </c>
      <c r="H661" s="21" t="str">
        <f>IFERROR(INDEX(Users!$D$2:$D$310,MATCH(A661,Users!$B$2:$B$310,0)),"")</f>
        <v>Band 3</v>
      </c>
      <c r="I661" s="19" t="b">
        <f t="shared" si="31"/>
        <v>0</v>
      </c>
      <c r="J661" s="33">
        <f t="shared" si="32"/>
        <v>0.8856879606879603</v>
      </c>
    </row>
    <row r="662" spans="1:10">
      <c r="A662" s="19" t="s">
        <v>132</v>
      </c>
      <c r="B662" s="20">
        <v>45931</v>
      </c>
      <c r="C662" s="21">
        <v>170.20000000000007</v>
      </c>
      <c r="D662" s="21">
        <v>78.353333333333339</v>
      </c>
      <c r="E662" s="21">
        <v>37.520000000000003</v>
      </c>
      <c r="F662" s="27">
        <f t="shared" si="30"/>
        <v>0.46036036036036021</v>
      </c>
      <c r="G662" s="21" t="str">
        <f>IFERROR(INDEX(Users!$A$2:$A$310,MATCH(A662,Users!$B$2:$B$310,0)),"")</f>
        <v>Service B</v>
      </c>
      <c r="H662" s="21" t="str">
        <f>IFERROR(INDEX(Users!$D$2:$D$310,MATCH(A662,Users!$B$2:$B$310,0)),"")</f>
        <v>Band 3</v>
      </c>
      <c r="I662" s="19" t="b">
        <f t="shared" si="31"/>
        <v>0</v>
      </c>
      <c r="J662" s="33">
        <f t="shared" si="32"/>
        <v>0.46036036036036021</v>
      </c>
    </row>
    <row r="663" spans="1:10">
      <c r="A663" s="19" t="s">
        <v>132</v>
      </c>
      <c r="B663" s="20">
        <v>45962</v>
      </c>
      <c r="C663" s="21">
        <v>148.00000000000006</v>
      </c>
      <c r="D663" s="21">
        <v>96.073333333333323</v>
      </c>
      <c r="E663" s="21">
        <v>52.190000000000005</v>
      </c>
      <c r="F663" s="27">
        <f t="shared" si="30"/>
        <v>0.64914414414414379</v>
      </c>
      <c r="G663" s="21" t="str">
        <f>IFERROR(INDEX(Users!$A$2:$A$310,MATCH(A663,Users!$B$2:$B$310,0)),"")</f>
        <v>Service B</v>
      </c>
      <c r="H663" s="21" t="str">
        <f>IFERROR(INDEX(Users!$D$2:$D$310,MATCH(A663,Users!$B$2:$B$310,0)),"")</f>
        <v>Band 3</v>
      </c>
      <c r="I663" s="19" t="b">
        <f t="shared" si="31"/>
        <v>0</v>
      </c>
      <c r="J663" s="33">
        <f t="shared" si="32"/>
        <v>0.64914414414414379</v>
      </c>
    </row>
    <row r="664" spans="1:10">
      <c r="A664" s="19" t="s">
        <v>132</v>
      </c>
      <c r="B664" s="20">
        <v>45992</v>
      </c>
      <c r="C664" s="21">
        <v>155.40000000000006</v>
      </c>
      <c r="D664" s="21">
        <v>115.39999999999998</v>
      </c>
      <c r="E664" s="21">
        <v>68.149999999999991</v>
      </c>
      <c r="F664" s="27">
        <f t="shared" si="30"/>
        <v>0.74259974259974215</v>
      </c>
      <c r="G664" s="21" t="str">
        <f>IFERROR(INDEX(Users!$A$2:$A$310,MATCH(A664,Users!$B$2:$B$310,0)),"")</f>
        <v>Service B</v>
      </c>
      <c r="H664" s="21" t="str">
        <f>IFERROR(INDEX(Users!$D$2:$D$310,MATCH(A664,Users!$B$2:$B$310,0)),"")</f>
        <v>Band 3</v>
      </c>
      <c r="I664" s="19" t="b">
        <f t="shared" si="31"/>
        <v>0</v>
      </c>
      <c r="J664" s="33">
        <f t="shared" si="32"/>
        <v>0.74259974259974215</v>
      </c>
    </row>
    <row r="665" spans="1:10">
      <c r="A665" s="19" t="s">
        <v>132</v>
      </c>
      <c r="B665" s="20">
        <v>46023</v>
      </c>
      <c r="C665" s="21">
        <v>155.40000000000006</v>
      </c>
      <c r="D665" s="21">
        <v>25.763333333333335</v>
      </c>
      <c r="E665" s="21">
        <v>9.93</v>
      </c>
      <c r="F665" s="27">
        <f t="shared" si="30"/>
        <v>0.16578721578721572</v>
      </c>
      <c r="G665" s="21" t="str">
        <f>IFERROR(INDEX(Users!$A$2:$A$310,MATCH(A665,Users!$B$2:$B$310,0)),"")</f>
        <v>Service B</v>
      </c>
      <c r="H665" s="21" t="str">
        <f>IFERROR(INDEX(Users!$D$2:$D$310,MATCH(A665,Users!$B$2:$B$310,0)),"")</f>
        <v>Band 3</v>
      </c>
      <c r="I665" s="19" t="b">
        <f t="shared" si="31"/>
        <v>0</v>
      </c>
      <c r="J665" s="33" t="str">
        <f t="shared" si="32"/>
        <v/>
      </c>
    </row>
    <row r="666" spans="1:10">
      <c r="A666" s="19" t="s">
        <v>134</v>
      </c>
      <c r="B666" s="20">
        <v>45689</v>
      </c>
      <c r="C666" s="21">
        <v>37</v>
      </c>
      <c r="D666" s="21">
        <v>37.4</v>
      </c>
      <c r="E666" s="21"/>
      <c r="F666" s="27">
        <f t="shared" si="30"/>
        <v>1.0108108108108107</v>
      </c>
      <c r="G666" s="21" t="str">
        <f>IFERROR(INDEX(Users!$A$2:$A$310,MATCH(A666,Users!$B$2:$B$310,0)),"")</f>
        <v>Service B</v>
      </c>
      <c r="H666" s="21" t="str">
        <f>IFERROR(INDEX(Users!$D$2:$D$310,MATCH(A666,Users!$B$2:$B$310,0)),"")</f>
        <v>Band 3</v>
      </c>
      <c r="I666" s="19" t="b">
        <f t="shared" si="31"/>
        <v>0</v>
      </c>
      <c r="J666" s="33">
        <f t="shared" si="32"/>
        <v>1.0108108108108107</v>
      </c>
    </row>
    <row r="667" spans="1:10">
      <c r="A667" s="19" t="s">
        <v>134</v>
      </c>
      <c r="B667" s="20">
        <v>45717</v>
      </c>
      <c r="C667" s="21">
        <v>155.40000000000006</v>
      </c>
      <c r="D667" s="21">
        <v>149.41666666666666</v>
      </c>
      <c r="E667" s="21"/>
      <c r="F667" s="27">
        <f t="shared" si="30"/>
        <v>0.96149721149721101</v>
      </c>
      <c r="G667" s="21" t="str">
        <f>IFERROR(INDEX(Users!$A$2:$A$310,MATCH(A667,Users!$B$2:$B$310,0)),"")</f>
        <v>Service B</v>
      </c>
      <c r="H667" s="21" t="str">
        <f>IFERROR(INDEX(Users!$D$2:$D$310,MATCH(A667,Users!$B$2:$B$310,0)),"")</f>
        <v>Band 3</v>
      </c>
      <c r="I667" s="19" t="b">
        <f t="shared" si="31"/>
        <v>0</v>
      </c>
      <c r="J667" s="33">
        <f t="shared" si="32"/>
        <v>0.96149721149721101</v>
      </c>
    </row>
    <row r="668" spans="1:10">
      <c r="A668" s="19" t="s">
        <v>134</v>
      </c>
      <c r="B668" s="20">
        <v>45748</v>
      </c>
      <c r="C668" s="21">
        <v>148.00000000000006</v>
      </c>
      <c r="D668" s="21">
        <v>144.54666666666671</v>
      </c>
      <c r="E668" s="21">
        <v>12.58</v>
      </c>
      <c r="F668" s="27">
        <f t="shared" si="30"/>
        <v>0.97666666666666657</v>
      </c>
      <c r="G668" s="21" t="str">
        <f>IFERROR(INDEX(Users!$A$2:$A$310,MATCH(A668,Users!$B$2:$B$310,0)),"")</f>
        <v>Service B</v>
      </c>
      <c r="H668" s="21" t="str">
        <f>IFERROR(INDEX(Users!$D$2:$D$310,MATCH(A668,Users!$B$2:$B$310,0)),"")</f>
        <v>Band 3</v>
      </c>
      <c r="I668" s="19" t="b">
        <f t="shared" si="31"/>
        <v>0</v>
      </c>
      <c r="J668" s="33">
        <f t="shared" si="32"/>
        <v>0.97666666666666657</v>
      </c>
    </row>
    <row r="669" spans="1:10">
      <c r="A669" s="19" t="s">
        <v>134</v>
      </c>
      <c r="B669" s="20">
        <v>45778</v>
      </c>
      <c r="C669" s="21">
        <v>148.00000000000006</v>
      </c>
      <c r="D669" s="21">
        <v>141.81666666666666</v>
      </c>
      <c r="E669" s="21">
        <v>76.149999999999977</v>
      </c>
      <c r="F669" s="27">
        <f t="shared" si="30"/>
        <v>0.95822072072072029</v>
      </c>
      <c r="G669" s="21" t="str">
        <f>IFERROR(INDEX(Users!$A$2:$A$310,MATCH(A669,Users!$B$2:$B$310,0)),"")</f>
        <v>Service B</v>
      </c>
      <c r="H669" s="21" t="str">
        <f>IFERROR(INDEX(Users!$D$2:$D$310,MATCH(A669,Users!$B$2:$B$310,0)),"")</f>
        <v>Band 3</v>
      </c>
      <c r="I669" s="19" t="b">
        <f t="shared" si="31"/>
        <v>0</v>
      </c>
      <c r="J669" s="33">
        <f t="shared" si="32"/>
        <v>0.95822072072072029</v>
      </c>
    </row>
    <row r="670" spans="1:10">
      <c r="A670" s="19" t="s">
        <v>134</v>
      </c>
      <c r="B670" s="20">
        <v>45809</v>
      </c>
      <c r="C670" s="21">
        <v>155.40000000000006</v>
      </c>
      <c r="D670" s="21">
        <v>157.6933333333333</v>
      </c>
      <c r="E670" s="21">
        <v>107.35999999999997</v>
      </c>
      <c r="F670" s="27">
        <f t="shared" si="30"/>
        <v>1.0147576147576141</v>
      </c>
      <c r="G670" s="21" t="str">
        <f>IFERROR(INDEX(Users!$A$2:$A$310,MATCH(A670,Users!$B$2:$B$310,0)),"")</f>
        <v>Service B</v>
      </c>
      <c r="H670" s="21" t="str">
        <f>IFERROR(INDEX(Users!$D$2:$D$310,MATCH(A670,Users!$B$2:$B$310,0)),"")</f>
        <v>Band 3</v>
      </c>
      <c r="I670" s="19" t="b">
        <f t="shared" si="31"/>
        <v>0</v>
      </c>
      <c r="J670" s="33">
        <f t="shared" si="32"/>
        <v>1.0147576147576141</v>
      </c>
    </row>
    <row r="671" spans="1:10">
      <c r="A671" s="19" t="s">
        <v>134</v>
      </c>
      <c r="B671" s="20">
        <v>45839</v>
      </c>
      <c r="C671" s="21">
        <v>170.20000000000007</v>
      </c>
      <c r="D671" s="21">
        <v>158.03333333333336</v>
      </c>
      <c r="E671" s="21">
        <v>101.2</v>
      </c>
      <c r="F671" s="27">
        <f t="shared" si="30"/>
        <v>0.92851547199373263</v>
      </c>
      <c r="G671" s="21" t="str">
        <f>IFERROR(INDEX(Users!$A$2:$A$310,MATCH(A671,Users!$B$2:$B$310,0)),"")</f>
        <v>Service B</v>
      </c>
      <c r="H671" s="21" t="str">
        <f>IFERROR(INDEX(Users!$D$2:$D$310,MATCH(A671,Users!$B$2:$B$310,0)),"")</f>
        <v>Band 3</v>
      </c>
      <c r="I671" s="19" t="b">
        <f t="shared" si="31"/>
        <v>0</v>
      </c>
      <c r="J671" s="33">
        <f t="shared" si="32"/>
        <v>0.92851547199373263</v>
      </c>
    </row>
    <row r="672" spans="1:10">
      <c r="A672" s="19" t="s">
        <v>134</v>
      </c>
      <c r="B672" s="20">
        <v>45870</v>
      </c>
      <c r="C672" s="21">
        <v>148.00000000000006</v>
      </c>
      <c r="D672" s="21">
        <v>97.903333333333308</v>
      </c>
      <c r="E672" s="21">
        <v>71.069999999999979</v>
      </c>
      <c r="F672" s="27">
        <f t="shared" si="30"/>
        <v>0.66150900900900855</v>
      </c>
      <c r="G672" s="21" t="str">
        <f>IFERROR(INDEX(Users!$A$2:$A$310,MATCH(A672,Users!$B$2:$B$310,0)),"")</f>
        <v>Service B</v>
      </c>
      <c r="H672" s="21" t="str">
        <f>IFERROR(INDEX(Users!$D$2:$D$310,MATCH(A672,Users!$B$2:$B$310,0)),"")</f>
        <v>Band 3</v>
      </c>
      <c r="I672" s="19" t="b">
        <f t="shared" si="31"/>
        <v>0</v>
      </c>
      <c r="J672" s="33">
        <f t="shared" si="32"/>
        <v>0.66150900900900855</v>
      </c>
    </row>
    <row r="673" spans="1:10">
      <c r="A673" s="19" t="s">
        <v>134</v>
      </c>
      <c r="B673" s="20">
        <v>45901</v>
      </c>
      <c r="C673" s="21">
        <v>162.80000000000007</v>
      </c>
      <c r="D673" s="21">
        <v>147.00999999999996</v>
      </c>
      <c r="E673" s="21">
        <v>103.25999999999996</v>
      </c>
      <c r="F673" s="27">
        <f t="shared" si="30"/>
        <v>0.90300982800982743</v>
      </c>
      <c r="G673" s="21" t="str">
        <f>IFERROR(INDEX(Users!$A$2:$A$310,MATCH(A673,Users!$B$2:$B$310,0)),"")</f>
        <v>Service B</v>
      </c>
      <c r="H673" s="21" t="str">
        <f>IFERROR(INDEX(Users!$D$2:$D$310,MATCH(A673,Users!$B$2:$B$310,0)),"")</f>
        <v>Band 3</v>
      </c>
      <c r="I673" s="19" t="b">
        <f t="shared" si="31"/>
        <v>0</v>
      </c>
      <c r="J673" s="33">
        <f t="shared" si="32"/>
        <v>0.90300982800982743</v>
      </c>
    </row>
    <row r="674" spans="1:10">
      <c r="A674" s="19" t="s">
        <v>134</v>
      </c>
      <c r="B674" s="20">
        <v>45931</v>
      </c>
      <c r="C674" s="21">
        <v>170.20000000000007</v>
      </c>
      <c r="D674" s="21">
        <v>165.94333333333333</v>
      </c>
      <c r="E674" s="21">
        <v>107.10999999999999</v>
      </c>
      <c r="F674" s="27">
        <f t="shared" si="30"/>
        <v>0.97499020759890276</v>
      </c>
      <c r="G674" s="21" t="str">
        <f>IFERROR(INDEX(Users!$A$2:$A$310,MATCH(A674,Users!$B$2:$B$310,0)),"")</f>
        <v>Service B</v>
      </c>
      <c r="H674" s="21" t="str">
        <f>IFERROR(INDEX(Users!$D$2:$D$310,MATCH(A674,Users!$B$2:$B$310,0)),"")</f>
        <v>Band 3</v>
      </c>
      <c r="I674" s="19" t="b">
        <f t="shared" si="31"/>
        <v>0</v>
      </c>
      <c r="J674" s="33">
        <f t="shared" si="32"/>
        <v>0.97499020759890276</v>
      </c>
    </row>
    <row r="675" spans="1:10">
      <c r="A675" s="19" t="s">
        <v>134</v>
      </c>
      <c r="B675" s="20">
        <v>45962</v>
      </c>
      <c r="C675" s="21">
        <v>148.00000000000006</v>
      </c>
      <c r="D675" s="21">
        <v>150.32999999999998</v>
      </c>
      <c r="E675" s="21">
        <v>98.829999999999984</v>
      </c>
      <c r="F675" s="27">
        <f t="shared" si="30"/>
        <v>1.0157432432432427</v>
      </c>
      <c r="G675" s="21" t="str">
        <f>IFERROR(INDEX(Users!$A$2:$A$310,MATCH(A675,Users!$B$2:$B$310,0)),"")</f>
        <v>Service B</v>
      </c>
      <c r="H675" s="21" t="str">
        <f>IFERROR(INDEX(Users!$D$2:$D$310,MATCH(A675,Users!$B$2:$B$310,0)),"")</f>
        <v>Band 3</v>
      </c>
      <c r="I675" s="19" t="b">
        <f t="shared" si="31"/>
        <v>0</v>
      </c>
      <c r="J675" s="33">
        <f t="shared" si="32"/>
        <v>1.0157432432432427</v>
      </c>
    </row>
    <row r="676" spans="1:10">
      <c r="A676" s="19" t="s">
        <v>134</v>
      </c>
      <c r="B676" s="20">
        <v>45992</v>
      </c>
      <c r="C676" s="21">
        <v>155.40000000000006</v>
      </c>
      <c r="D676" s="21">
        <v>96.346666666666664</v>
      </c>
      <c r="E676" s="21">
        <v>60.929999999999993</v>
      </c>
      <c r="F676" s="27">
        <f t="shared" si="30"/>
        <v>0.61999141999141971</v>
      </c>
      <c r="G676" s="21" t="str">
        <f>IFERROR(INDEX(Users!$A$2:$A$310,MATCH(A676,Users!$B$2:$B$310,0)),"")</f>
        <v>Service B</v>
      </c>
      <c r="H676" s="21" t="str">
        <f>IFERROR(INDEX(Users!$D$2:$D$310,MATCH(A676,Users!$B$2:$B$310,0)),"")</f>
        <v>Band 3</v>
      </c>
      <c r="I676" s="19" t="b">
        <f t="shared" si="31"/>
        <v>0</v>
      </c>
      <c r="J676" s="33">
        <f t="shared" si="32"/>
        <v>0.61999141999141971</v>
      </c>
    </row>
    <row r="677" spans="1:10">
      <c r="A677" s="19" t="s">
        <v>134</v>
      </c>
      <c r="B677" s="20">
        <v>46023</v>
      </c>
      <c r="C677" s="21">
        <v>155.40000000000006</v>
      </c>
      <c r="D677" s="21">
        <v>149.83333333333331</v>
      </c>
      <c r="E677" s="21">
        <v>88.249999999999986</v>
      </c>
      <c r="F677" s="27">
        <f t="shared" si="30"/>
        <v>0.96417846417846365</v>
      </c>
      <c r="G677" s="21" t="str">
        <f>IFERROR(INDEX(Users!$A$2:$A$310,MATCH(A677,Users!$B$2:$B$310,0)),"")</f>
        <v>Service B</v>
      </c>
      <c r="H677" s="21" t="str">
        <f>IFERROR(INDEX(Users!$D$2:$D$310,MATCH(A677,Users!$B$2:$B$310,0)),"")</f>
        <v>Band 3</v>
      </c>
      <c r="I677" s="19" t="b">
        <f t="shared" si="31"/>
        <v>0</v>
      </c>
      <c r="J677" s="33" t="str">
        <f t="shared" si="32"/>
        <v/>
      </c>
    </row>
    <row r="678" spans="1:10">
      <c r="A678" s="19" t="s">
        <v>135</v>
      </c>
      <c r="B678" s="20">
        <v>45658</v>
      </c>
      <c r="C678" s="21">
        <v>162.80000000000001</v>
      </c>
      <c r="D678" s="21">
        <v>163.75333333333336</v>
      </c>
      <c r="E678" s="21">
        <v>154.42000000000002</v>
      </c>
      <c r="F678" s="27">
        <f t="shared" si="30"/>
        <v>1.0058558558558559</v>
      </c>
      <c r="G678" s="21" t="str">
        <f>IFERROR(INDEX(Users!$A$2:$A$310,MATCH(A678,Users!$B$2:$B$310,0)),"")</f>
        <v>Service A</v>
      </c>
      <c r="H678" s="21" t="str">
        <f>IFERROR(INDEX(Users!$D$2:$D$310,MATCH(A678,Users!$B$2:$B$310,0)),"")</f>
        <v>Band 3</v>
      </c>
      <c r="I678" s="19" t="b">
        <f t="shared" si="31"/>
        <v>1</v>
      </c>
      <c r="J678" s="33" t="str">
        <f t="shared" si="32"/>
        <v/>
      </c>
    </row>
    <row r="679" spans="1:10">
      <c r="A679" s="19" t="s">
        <v>135</v>
      </c>
      <c r="B679" s="20">
        <v>45689</v>
      </c>
      <c r="C679" s="21">
        <v>148</v>
      </c>
      <c r="D679" s="21">
        <v>148.07999999999998</v>
      </c>
      <c r="E679" s="21">
        <v>118.83</v>
      </c>
      <c r="F679" s="27">
        <f t="shared" si="30"/>
        <v>1.0005405405405405</v>
      </c>
      <c r="G679" s="21" t="str">
        <f>IFERROR(INDEX(Users!$A$2:$A$310,MATCH(A679,Users!$B$2:$B$310,0)),"")</f>
        <v>Service A</v>
      </c>
      <c r="H679" s="21" t="str">
        <f>IFERROR(INDEX(Users!$D$2:$D$310,MATCH(A679,Users!$B$2:$B$310,0)),"")</f>
        <v>Band 3</v>
      </c>
      <c r="I679" s="19" t="b">
        <f t="shared" si="31"/>
        <v>1</v>
      </c>
      <c r="J679" s="33" t="str">
        <f t="shared" si="32"/>
        <v/>
      </c>
    </row>
    <row r="680" spans="1:10">
      <c r="A680" s="19" t="s">
        <v>135</v>
      </c>
      <c r="B680" s="20">
        <v>45717</v>
      </c>
      <c r="C680" s="21">
        <v>155.4</v>
      </c>
      <c r="D680" s="21">
        <v>126.16333333333333</v>
      </c>
      <c r="E680" s="21">
        <v>117.83</v>
      </c>
      <c r="F680" s="27">
        <f t="shared" si="30"/>
        <v>0.81186186186186182</v>
      </c>
      <c r="G680" s="21" t="str">
        <f>IFERROR(INDEX(Users!$A$2:$A$310,MATCH(A680,Users!$B$2:$B$310,0)),"")</f>
        <v>Service A</v>
      </c>
      <c r="H680" s="21" t="str">
        <f>IFERROR(INDEX(Users!$D$2:$D$310,MATCH(A680,Users!$B$2:$B$310,0)),"")</f>
        <v>Band 3</v>
      </c>
      <c r="I680" s="19" t="b">
        <f t="shared" si="31"/>
        <v>1</v>
      </c>
      <c r="J680" s="33" t="str">
        <f t="shared" si="32"/>
        <v/>
      </c>
    </row>
    <row r="681" spans="1:10">
      <c r="A681" s="19" t="s">
        <v>135</v>
      </c>
      <c r="B681" s="20">
        <v>45748</v>
      </c>
      <c r="C681" s="21">
        <v>148</v>
      </c>
      <c r="D681" s="21">
        <v>87.5</v>
      </c>
      <c r="E681" s="21">
        <v>75</v>
      </c>
      <c r="F681" s="27">
        <f t="shared" si="30"/>
        <v>0.59121621621621623</v>
      </c>
      <c r="G681" s="21" t="str">
        <f>IFERROR(INDEX(Users!$A$2:$A$310,MATCH(A681,Users!$B$2:$B$310,0)),"")</f>
        <v>Service A</v>
      </c>
      <c r="H681" s="21" t="str">
        <f>IFERROR(INDEX(Users!$D$2:$D$310,MATCH(A681,Users!$B$2:$B$310,0)),"")</f>
        <v>Band 3</v>
      </c>
      <c r="I681" s="19" t="b">
        <f t="shared" si="31"/>
        <v>1</v>
      </c>
      <c r="J681" s="33" t="str">
        <f t="shared" si="32"/>
        <v/>
      </c>
    </row>
    <row r="682" spans="1:10">
      <c r="A682" s="19" t="s">
        <v>135</v>
      </c>
      <c r="B682" s="20">
        <v>45778</v>
      </c>
      <c r="C682" s="21">
        <v>148</v>
      </c>
      <c r="D682" s="21">
        <v>79</v>
      </c>
      <c r="E682" s="21">
        <v>62.25</v>
      </c>
      <c r="F682" s="27">
        <f t="shared" si="30"/>
        <v>0.53378378378378377</v>
      </c>
      <c r="G682" s="21" t="str">
        <f>IFERROR(INDEX(Users!$A$2:$A$310,MATCH(A682,Users!$B$2:$B$310,0)),"")</f>
        <v>Service A</v>
      </c>
      <c r="H682" s="21" t="str">
        <f>IFERROR(INDEX(Users!$D$2:$D$310,MATCH(A682,Users!$B$2:$B$310,0)),"")</f>
        <v>Band 3</v>
      </c>
      <c r="I682" s="19" t="b">
        <f t="shared" si="31"/>
        <v>1</v>
      </c>
      <c r="J682" s="33" t="str">
        <f t="shared" si="32"/>
        <v/>
      </c>
    </row>
    <row r="683" spans="1:10">
      <c r="A683" s="19" t="s">
        <v>135</v>
      </c>
      <c r="B683" s="20">
        <v>45809</v>
      </c>
      <c r="C683" s="21">
        <v>155.4</v>
      </c>
      <c r="D683" s="21">
        <v>153.57999999999998</v>
      </c>
      <c r="E683" s="21">
        <v>142.82999999999998</v>
      </c>
      <c r="F683" s="27">
        <f t="shared" si="30"/>
        <v>0.98828828828828819</v>
      </c>
      <c r="G683" s="21" t="str">
        <f>IFERROR(INDEX(Users!$A$2:$A$310,MATCH(A683,Users!$B$2:$B$310,0)),"")</f>
        <v>Service A</v>
      </c>
      <c r="H683" s="21" t="str">
        <f>IFERROR(INDEX(Users!$D$2:$D$310,MATCH(A683,Users!$B$2:$B$310,0)),"")</f>
        <v>Band 3</v>
      </c>
      <c r="I683" s="19" t="b">
        <f t="shared" si="31"/>
        <v>1</v>
      </c>
      <c r="J683" s="33" t="str">
        <f t="shared" si="32"/>
        <v/>
      </c>
    </row>
    <row r="684" spans="1:10">
      <c r="A684" s="19" t="s">
        <v>135</v>
      </c>
      <c r="B684" s="20">
        <v>45839</v>
      </c>
      <c r="C684" s="21">
        <v>170.20000000000002</v>
      </c>
      <c r="D684" s="21">
        <v>167.82999999999998</v>
      </c>
      <c r="E684" s="21">
        <v>151.32999999999998</v>
      </c>
      <c r="F684" s="27">
        <f t="shared" si="30"/>
        <v>0.98607520564042284</v>
      </c>
      <c r="G684" s="21" t="str">
        <f>IFERROR(INDEX(Users!$A$2:$A$310,MATCH(A684,Users!$B$2:$B$310,0)),"")</f>
        <v>Service A</v>
      </c>
      <c r="H684" s="21" t="str">
        <f>IFERROR(INDEX(Users!$D$2:$D$310,MATCH(A684,Users!$B$2:$B$310,0)),"")</f>
        <v>Band 3</v>
      </c>
      <c r="I684" s="19" t="b">
        <f t="shared" si="31"/>
        <v>1</v>
      </c>
      <c r="J684" s="33" t="str">
        <f t="shared" si="32"/>
        <v/>
      </c>
    </row>
    <row r="685" spans="1:10">
      <c r="A685" s="19" t="s">
        <v>135</v>
      </c>
      <c r="B685" s="20">
        <v>45870</v>
      </c>
      <c r="C685" s="21">
        <v>148</v>
      </c>
      <c r="D685" s="21">
        <v>123.33666666666667</v>
      </c>
      <c r="E685" s="21">
        <v>118.17</v>
      </c>
      <c r="F685" s="27">
        <f t="shared" si="30"/>
        <v>0.83335585585585592</v>
      </c>
      <c r="G685" s="21" t="str">
        <f>IFERROR(INDEX(Users!$A$2:$A$310,MATCH(A685,Users!$B$2:$B$310,0)),"")</f>
        <v>Service A</v>
      </c>
      <c r="H685" s="21" t="str">
        <f>IFERROR(INDEX(Users!$D$2:$D$310,MATCH(A685,Users!$B$2:$B$310,0)),"")</f>
        <v>Band 3</v>
      </c>
      <c r="I685" s="19" t="b">
        <f t="shared" si="31"/>
        <v>1</v>
      </c>
      <c r="J685" s="33" t="str">
        <f t="shared" si="32"/>
        <v/>
      </c>
    </row>
    <row r="686" spans="1:10">
      <c r="A686" s="19" t="s">
        <v>135</v>
      </c>
      <c r="B686" s="20">
        <v>45901</v>
      </c>
      <c r="C686" s="21">
        <v>162.80000000000001</v>
      </c>
      <c r="D686" s="21">
        <v>164.16</v>
      </c>
      <c r="E686" s="21">
        <v>152.91</v>
      </c>
      <c r="F686" s="27">
        <f t="shared" si="30"/>
        <v>1.0083538083538082</v>
      </c>
      <c r="G686" s="21" t="str">
        <f>IFERROR(INDEX(Users!$A$2:$A$310,MATCH(A686,Users!$B$2:$B$310,0)),"")</f>
        <v>Service A</v>
      </c>
      <c r="H686" s="21" t="str">
        <f>IFERROR(INDEX(Users!$D$2:$D$310,MATCH(A686,Users!$B$2:$B$310,0)),"")</f>
        <v>Band 3</v>
      </c>
      <c r="I686" s="19" t="b">
        <f t="shared" si="31"/>
        <v>1</v>
      </c>
      <c r="J686" s="33" t="str">
        <f t="shared" si="32"/>
        <v/>
      </c>
    </row>
    <row r="687" spans="1:10">
      <c r="A687" s="19" t="s">
        <v>135</v>
      </c>
      <c r="B687" s="20">
        <v>45931</v>
      </c>
      <c r="C687" s="21">
        <v>170.20000000000002</v>
      </c>
      <c r="D687" s="21">
        <v>148.91333333333333</v>
      </c>
      <c r="E687" s="21">
        <v>137.82999999999998</v>
      </c>
      <c r="F687" s="27">
        <f t="shared" si="30"/>
        <v>0.87493145319232268</v>
      </c>
      <c r="G687" s="21" t="str">
        <f>IFERROR(INDEX(Users!$A$2:$A$310,MATCH(A687,Users!$B$2:$B$310,0)),"")</f>
        <v>Service A</v>
      </c>
      <c r="H687" s="21" t="str">
        <f>IFERROR(INDEX(Users!$D$2:$D$310,MATCH(A687,Users!$B$2:$B$310,0)),"")</f>
        <v>Band 3</v>
      </c>
      <c r="I687" s="19" t="b">
        <f t="shared" si="31"/>
        <v>1</v>
      </c>
      <c r="J687" s="33" t="str">
        <f t="shared" si="32"/>
        <v/>
      </c>
    </row>
    <row r="688" spans="1:10">
      <c r="A688" s="19" t="s">
        <v>135</v>
      </c>
      <c r="B688" s="20">
        <v>45962</v>
      </c>
      <c r="C688" s="21">
        <v>148</v>
      </c>
      <c r="D688" s="21">
        <v>111.91</v>
      </c>
      <c r="E688" s="21">
        <v>105.41</v>
      </c>
      <c r="F688" s="27">
        <f t="shared" si="30"/>
        <v>0.75614864864864861</v>
      </c>
      <c r="G688" s="21" t="str">
        <f>IFERROR(INDEX(Users!$A$2:$A$310,MATCH(A688,Users!$B$2:$B$310,0)),"")</f>
        <v>Service A</v>
      </c>
      <c r="H688" s="21" t="str">
        <f>IFERROR(INDEX(Users!$D$2:$D$310,MATCH(A688,Users!$B$2:$B$310,0)),"")</f>
        <v>Band 3</v>
      </c>
      <c r="I688" s="19" t="b">
        <f t="shared" si="31"/>
        <v>1</v>
      </c>
      <c r="J688" s="33" t="str">
        <f t="shared" si="32"/>
        <v/>
      </c>
    </row>
    <row r="689" spans="1:10">
      <c r="A689" s="19" t="s">
        <v>135</v>
      </c>
      <c r="B689" s="20">
        <v>45992</v>
      </c>
      <c r="C689" s="21">
        <v>155.4</v>
      </c>
      <c r="D689" s="21">
        <v>150</v>
      </c>
      <c r="E689" s="21">
        <v>143.75</v>
      </c>
      <c r="F689" s="27">
        <f t="shared" si="30"/>
        <v>0.96525096525096521</v>
      </c>
      <c r="G689" s="21" t="str">
        <f>IFERROR(INDEX(Users!$A$2:$A$310,MATCH(A689,Users!$B$2:$B$310,0)),"")</f>
        <v>Service A</v>
      </c>
      <c r="H689" s="21" t="str">
        <f>IFERROR(INDEX(Users!$D$2:$D$310,MATCH(A689,Users!$B$2:$B$310,0)),"")</f>
        <v>Band 3</v>
      </c>
      <c r="I689" s="19" t="b">
        <f t="shared" si="31"/>
        <v>1</v>
      </c>
      <c r="J689" s="33" t="str">
        <f t="shared" si="32"/>
        <v/>
      </c>
    </row>
    <row r="690" spans="1:10">
      <c r="A690" s="19" t="s">
        <v>135</v>
      </c>
      <c r="B690" s="20">
        <v>46023</v>
      </c>
      <c r="C690" s="21">
        <v>155.4</v>
      </c>
      <c r="D690" s="21">
        <v>53.25</v>
      </c>
      <c r="E690" s="21">
        <v>44.5</v>
      </c>
      <c r="F690" s="27">
        <f t="shared" si="30"/>
        <v>0.34266409266409265</v>
      </c>
      <c r="G690" s="21" t="str">
        <f>IFERROR(INDEX(Users!$A$2:$A$310,MATCH(A690,Users!$B$2:$B$310,0)),"")</f>
        <v>Service A</v>
      </c>
      <c r="H690" s="21" t="str">
        <f>IFERROR(INDEX(Users!$D$2:$D$310,MATCH(A690,Users!$B$2:$B$310,0)),"")</f>
        <v>Band 3</v>
      </c>
      <c r="I690" s="19" t="b">
        <f t="shared" si="31"/>
        <v>1</v>
      </c>
      <c r="J690" s="33" t="str">
        <f t="shared" si="32"/>
        <v/>
      </c>
    </row>
    <row r="691" spans="1:10">
      <c r="A691" s="19" t="s">
        <v>137</v>
      </c>
      <c r="B691" s="20">
        <v>45658</v>
      </c>
      <c r="C691" s="21">
        <v>162.80000000000001</v>
      </c>
      <c r="D691" s="21">
        <v>152.24666666666667</v>
      </c>
      <c r="E691" s="21">
        <v>12.58</v>
      </c>
      <c r="F691" s="27">
        <f t="shared" si="30"/>
        <v>0.93517608517608508</v>
      </c>
      <c r="G691" s="21" t="str">
        <f>IFERROR(INDEX(Users!$A$2:$A$310,MATCH(A691,Users!$B$2:$B$310,0)),"")</f>
        <v>Service B</v>
      </c>
      <c r="H691" s="21" t="str">
        <f>IFERROR(INDEX(Users!$D$2:$D$310,MATCH(A691,Users!$B$2:$B$310,0)),"")</f>
        <v>Band 3</v>
      </c>
      <c r="I691" s="19" t="b">
        <f t="shared" si="31"/>
        <v>0</v>
      </c>
      <c r="J691" s="33">
        <f t="shared" si="32"/>
        <v>0.93517608517608508</v>
      </c>
    </row>
    <row r="692" spans="1:10">
      <c r="A692" s="19" t="s">
        <v>137</v>
      </c>
      <c r="B692" s="20">
        <v>45689</v>
      </c>
      <c r="C692" s="21">
        <v>148</v>
      </c>
      <c r="D692" s="21">
        <v>137.49666666666667</v>
      </c>
      <c r="E692" s="21">
        <v>27.329999999999995</v>
      </c>
      <c r="F692" s="27">
        <f t="shared" si="30"/>
        <v>0.92903153153153151</v>
      </c>
      <c r="G692" s="21" t="str">
        <f>IFERROR(INDEX(Users!$A$2:$A$310,MATCH(A692,Users!$B$2:$B$310,0)),"")</f>
        <v>Service B</v>
      </c>
      <c r="H692" s="21" t="str">
        <f>IFERROR(INDEX(Users!$D$2:$D$310,MATCH(A692,Users!$B$2:$B$310,0)),"")</f>
        <v>Band 3</v>
      </c>
      <c r="I692" s="19" t="b">
        <f t="shared" si="31"/>
        <v>0</v>
      </c>
      <c r="J692" s="33">
        <f t="shared" si="32"/>
        <v>0.92903153153153151</v>
      </c>
    </row>
    <row r="693" spans="1:10">
      <c r="A693" s="19" t="s">
        <v>137</v>
      </c>
      <c r="B693" s="20">
        <v>45717</v>
      </c>
      <c r="C693" s="21">
        <v>155.4</v>
      </c>
      <c r="D693" s="21">
        <v>158.75666666666666</v>
      </c>
      <c r="E693" s="21">
        <v>61.589999999999989</v>
      </c>
      <c r="F693" s="27">
        <f t="shared" si="30"/>
        <v>1.0216001716001715</v>
      </c>
      <c r="G693" s="21" t="str">
        <f>IFERROR(INDEX(Users!$A$2:$A$310,MATCH(A693,Users!$B$2:$B$310,0)),"")</f>
        <v>Service B</v>
      </c>
      <c r="H693" s="21" t="str">
        <f>IFERROR(INDEX(Users!$D$2:$D$310,MATCH(A693,Users!$B$2:$B$310,0)),"")</f>
        <v>Band 3</v>
      </c>
      <c r="I693" s="19" t="b">
        <f t="shared" si="31"/>
        <v>0</v>
      </c>
      <c r="J693" s="33">
        <f t="shared" si="32"/>
        <v>1.0216001716001715</v>
      </c>
    </row>
    <row r="694" spans="1:10">
      <c r="A694" s="19" t="s">
        <v>137</v>
      </c>
      <c r="B694" s="20">
        <v>45748</v>
      </c>
      <c r="C694" s="21">
        <v>148</v>
      </c>
      <c r="D694" s="21">
        <v>155.47333333333333</v>
      </c>
      <c r="E694" s="21">
        <v>60.889999999999986</v>
      </c>
      <c r="F694" s="27">
        <f t="shared" si="30"/>
        <v>1.0504954954954955</v>
      </c>
      <c r="G694" s="21" t="str">
        <f>IFERROR(INDEX(Users!$A$2:$A$310,MATCH(A694,Users!$B$2:$B$310,0)),"")</f>
        <v>Service B</v>
      </c>
      <c r="H694" s="21" t="str">
        <f>IFERROR(INDEX(Users!$D$2:$D$310,MATCH(A694,Users!$B$2:$B$310,0)),"")</f>
        <v>Band 3</v>
      </c>
      <c r="I694" s="19" t="b">
        <f t="shared" si="31"/>
        <v>0</v>
      </c>
      <c r="J694" s="33">
        <f t="shared" si="32"/>
        <v>1.0504954954954955</v>
      </c>
    </row>
    <row r="695" spans="1:10">
      <c r="A695" s="19" t="s">
        <v>137</v>
      </c>
      <c r="B695" s="20">
        <v>45778</v>
      </c>
      <c r="C695" s="21">
        <v>148</v>
      </c>
      <c r="D695" s="21">
        <v>131.63999999999999</v>
      </c>
      <c r="E695" s="21">
        <v>45.139999999999993</v>
      </c>
      <c r="F695" s="27">
        <f t="shared" si="30"/>
        <v>0.88945945945945937</v>
      </c>
      <c r="G695" s="21" t="str">
        <f>IFERROR(INDEX(Users!$A$2:$A$310,MATCH(A695,Users!$B$2:$B$310,0)),"")</f>
        <v>Service B</v>
      </c>
      <c r="H695" s="21" t="str">
        <f>IFERROR(INDEX(Users!$D$2:$D$310,MATCH(A695,Users!$B$2:$B$310,0)),"")</f>
        <v>Band 3</v>
      </c>
      <c r="I695" s="19" t="b">
        <f t="shared" si="31"/>
        <v>0</v>
      </c>
      <c r="J695" s="33">
        <f t="shared" si="32"/>
        <v>0.88945945945945937</v>
      </c>
    </row>
    <row r="696" spans="1:10">
      <c r="A696" s="19" t="s">
        <v>137</v>
      </c>
      <c r="B696" s="20">
        <v>45809</v>
      </c>
      <c r="C696" s="21">
        <v>155.4</v>
      </c>
      <c r="D696" s="21">
        <v>119.34</v>
      </c>
      <c r="E696" s="21">
        <v>54.340000000000011</v>
      </c>
      <c r="F696" s="27">
        <f t="shared" si="30"/>
        <v>0.76795366795366793</v>
      </c>
      <c r="G696" s="21" t="str">
        <f>IFERROR(INDEX(Users!$A$2:$A$310,MATCH(A696,Users!$B$2:$B$310,0)),"")</f>
        <v>Service B</v>
      </c>
      <c r="H696" s="21" t="str">
        <f>IFERROR(INDEX(Users!$D$2:$D$310,MATCH(A696,Users!$B$2:$B$310,0)),"")</f>
        <v>Band 3</v>
      </c>
      <c r="I696" s="19" t="b">
        <f t="shared" si="31"/>
        <v>0</v>
      </c>
      <c r="J696" s="33">
        <f t="shared" si="32"/>
        <v>0.76795366795366793</v>
      </c>
    </row>
    <row r="697" spans="1:10">
      <c r="A697" s="19" t="s">
        <v>137</v>
      </c>
      <c r="B697" s="20">
        <v>45839</v>
      </c>
      <c r="C697" s="21">
        <v>170.20000000000002</v>
      </c>
      <c r="D697" s="21">
        <v>139.97666666666666</v>
      </c>
      <c r="E697" s="21">
        <v>85.309999999999988</v>
      </c>
      <c r="F697" s="27">
        <f t="shared" si="30"/>
        <v>0.82242459851155492</v>
      </c>
      <c r="G697" s="21" t="str">
        <f>IFERROR(INDEX(Users!$A$2:$A$310,MATCH(A697,Users!$B$2:$B$310,0)),"")</f>
        <v>Service B</v>
      </c>
      <c r="H697" s="21" t="str">
        <f>IFERROR(INDEX(Users!$D$2:$D$310,MATCH(A697,Users!$B$2:$B$310,0)),"")</f>
        <v>Band 3</v>
      </c>
      <c r="I697" s="19" t="b">
        <f t="shared" si="31"/>
        <v>0</v>
      </c>
      <c r="J697" s="33">
        <f t="shared" si="32"/>
        <v>0.82242459851155492</v>
      </c>
    </row>
    <row r="698" spans="1:10">
      <c r="A698" s="19" t="s">
        <v>137</v>
      </c>
      <c r="B698" s="20">
        <v>45870</v>
      </c>
      <c r="C698" s="21">
        <v>148</v>
      </c>
      <c r="D698" s="21">
        <v>160.97000000000003</v>
      </c>
      <c r="E698" s="21">
        <v>94.72</v>
      </c>
      <c r="F698" s="27">
        <f t="shared" si="30"/>
        <v>1.0876351351351352</v>
      </c>
      <c r="G698" s="21" t="str">
        <f>IFERROR(INDEX(Users!$A$2:$A$310,MATCH(A698,Users!$B$2:$B$310,0)),"")</f>
        <v>Service B</v>
      </c>
      <c r="H698" s="21" t="str">
        <f>IFERROR(INDEX(Users!$D$2:$D$310,MATCH(A698,Users!$B$2:$B$310,0)),"")</f>
        <v>Band 3</v>
      </c>
      <c r="I698" s="19" t="b">
        <f t="shared" si="31"/>
        <v>0</v>
      </c>
      <c r="J698" s="33">
        <f t="shared" si="32"/>
        <v>1.0876351351351352</v>
      </c>
    </row>
    <row r="699" spans="1:10">
      <c r="A699" s="19" t="s">
        <v>137</v>
      </c>
      <c r="B699" s="20">
        <v>45901</v>
      </c>
      <c r="C699" s="21">
        <v>162.80000000000001</v>
      </c>
      <c r="D699" s="21">
        <v>115.37666666666667</v>
      </c>
      <c r="E699" s="21">
        <v>62.209999999999994</v>
      </c>
      <c r="F699" s="27">
        <f t="shared" si="30"/>
        <v>0.70870188370188369</v>
      </c>
      <c r="G699" s="21" t="str">
        <f>IFERROR(INDEX(Users!$A$2:$A$310,MATCH(A699,Users!$B$2:$B$310,0)),"")</f>
        <v>Service B</v>
      </c>
      <c r="H699" s="21" t="str">
        <f>IFERROR(INDEX(Users!$D$2:$D$310,MATCH(A699,Users!$B$2:$B$310,0)),"")</f>
        <v>Band 3</v>
      </c>
      <c r="I699" s="19" t="b">
        <f t="shared" si="31"/>
        <v>0</v>
      </c>
      <c r="J699" s="33">
        <f t="shared" si="32"/>
        <v>0.70870188370188369</v>
      </c>
    </row>
    <row r="700" spans="1:10">
      <c r="A700" s="19" t="s">
        <v>137</v>
      </c>
      <c r="B700" s="20">
        <v>45931</v>
      </c>
      <c r="C700" s="21">
        <v>170.20000000000002</v>
      </c>
      <c r="D700" s="21">
        <v>184.01</v>
      </c>
      <c r="E700" s="21">
        <v>129.26</v>
      </c>
      <c r="F700" s="27">
        <f t="shared" si="30"/>
        <v>1.0811398354876613</v>
      </c>
      <c r="G700" s="21" t="str">
        <f>IFERROR(INDEX(Users!$A$2:$A$310,MATCH(A700,Users!$B$2:$B$310,0)),"")</f>
        <v>Service B</v>
      </c>
      <c r="H700" s="21" t="str">
        <f>IFERROR(INDEX(Users!$D$2:$D$310,MATCH(A700,Users!$B$2:$B$310,0)),"")</f>
        <v>Band 3</v>
      </c>
      <c r="I700" s="19" t="b">
        <f t="shared" si="31"/>
        <v>0</v>
      </c>
      <c r="J700" s="33">
        <f t="shared" si="32"/>
        <v>1.0811398354876613</v>
      </c>
    </row>
    <row r="701" spans="1:10">
      <c r="A701" s="19" t="s">
        <v>137</v>
      </c>
      <c r="B701" s="20">
        <v>45962</v>
      </c>
      <c r="C701" s="21">
        <v>148</v>
      </c>
      <c r="D701" s="21">
        <v>115.87</v>
      </c>
      <c r="E701" s="21">
        <v>80.12</v>
      </c>
      <c r="F701" s="27">
        <f t="shared" si="30"/>
        <v>0.78290540540540543</v>
      </c>
      <c r="G701" s="21" t="str">
        <f>IFERROR(INDEX(Users!$A$2:$A$310,MATCH(A701,Users!$B$2:$B$310,0)),"")</f>
        <v>Service B</v>
      </c>
      <c r="H701" s="21" t="str">
        <f>IFERROR(INDEX(Users!$D$2:$D$310,MATCH(A701,Users!$B$2:$B$310,0)),"")</f>
        <v>Band 3</v>
      </c>
      <c r="I701" s="19" t="b">
        <f t="shared" si="31"/>
        <v>0</v>
      </c>
      <c r="J701" s="33">
        <f t="shared" si="32"/>
        <v>0.78290540540540543</v>
      </c>
    </row>
    <row r="702" spans="1:10">
      <c r="A702" s="19" t="s">
        <v>137</v>
      </c>
      <c r="B702" s="20">
        <v>45992</v>
      </c>
      <c r="C702" s="21">
        <v>155.4</v>
      </c>
      <c r="D702" s="21">
        <v>145.46333333333331</v>
      </c>
      <c r="E702" s="21">
        <v>91.13</v>
      </c>
      <c r="F702" s="27">
        <f t="shared" si="30"/>
        <v>0.93605748605748584</v>
      </c>
      <c r="G702" s="21" t="str">
        <f>IFERROR(INDEX(Users!$A$2:$A$310,MATCH(A702,Users!$B$2:$B$310,0)),"")</f>
        <v>Service B</v>
      </c>
      <c r="H702" s="21" t="str">
        <f>IFERROR(INDEX(Users!$D$2:$D$310,MATCH(A702,Users!$B$2:$B$310,0)),"")</f>
        <v>Band 3</v>
      </c>
      <c r="I702" s="19" t="b">
        <f t="shared" si="31"/>
        <v>0</v>
      </c>
      <c r="J702" s="33">
        <f t="shared" si="32"/>
        <v>0.93605748605748584</v>
      </c>
    </row>
    <row r="703" spans="1:10">
      <c r="A703" s="19" t="s">
        <v>137</v>
      </c>
      <c r="B703" s="20">
        <v>46023</v>
      </c>
      <c r="C703" s="21">
        <v>155.4</v>
      </c>
      <c r="D703" s="21">
        <v>119.2833333333333</v>
      </c>
      <c r="E703" s="21">
        <v>77.399999999999977</v>
      </c>
      <c r="F703" s="27">
        <f t="shared" si="30"/>
        <v>0.76758901758901732</v>
      </c>
      <c r="G703" s="21" t="str">
        <f>IFERROR(INDEX(Users!$A$2:$A$310,MATCH(A703,Users!$B$2:$B$310,0)),"")</f>
        <v>Service B</v>
      </c>
      <c r="H703" s="21" t="str">
        <f>IFERROR(INDEX(Users!$D$2:$D$310,MATCH(A703,Users!$B$2:$B$310,0)),"")</f>
        <v>Band 3</v>
      </c>
      <c r="I703" s="19" t="b">
        <f t="shared" si="31"/>
        <v>0</v>
      </c>
      <c r="J703" s="33" t="str">
        <f t="shared" si="32"/>
        <v/>
      </c>
    </row>
    <row r="704" spans="1:10">
      <c r="A704" s="19" t="s">
        <v>138</v>
      </c>
      <c r="B704" s="20">
        <v>45658</v>
      </c>
      <c r="C704" s="21">
        <v>162.80000000000001</v>
      </c>
      <c r="D704" s="21">
        <v>130.5</v>
      </c>
      <c r="E704" s="21">
        <v>85.75</v>
      </c>
      <c r="F704" s="27">
        <f t="shared" si="30"/>
        <v>0.80159705159705152</v>
      </c>
      <c r="G704" s="21" t="str">
        <f>IFERROR(INDEX(Users!$A$2:$A$310,MATCH(A704,Users!$B$2:$B$310,0)),"")</f>
        <v>Service A</v>
      </c>
      <c r="H704" s="21" t="str">
        <f>IFERROR(INDEX(Users!$D$2:$D$310,MATCH(A704,Users!$B$2:$B$310,0)),"")</f>
        <v>Band 5</v>
      </c>
      <c r="I704" s="19" t="b">
        <f t="shared" si="31"/>
        <v>0</v>
      </c>
      <c r="J704" s="33" t="str">
        <f t="shared" si="32"/>
        <v/>
      </c>
    </row>
    <row r="705" spans="1:10">
      <c r="A705" s="19" t="s">
        <v>138</v>
      </c>
      <c r="B705" s="20">
        <v>45689</v>
      </c>
      <c r="C705" s="21">
        <v>148</v>
      </c>
      <c r="D705" s="21">
        <v>151.47666666666669</v>
      </c>
      <c r="E705" s="21">
        <v>92.31</v>
      </c>
      <c r="F705" s="27">
        <f t="shared" si="30"/>
        <v>1.0234909909909911</v>
      </c>
      <c r="G705" s="21" t="str">
        <f>IFERROR(INDEX(Users!$A$2:$A$310,MATCH(A705,Users!$B$2:$B$310,0)),"")</f>
        <v>Service A</v>
      </c>
      <c r="H705" s="21" t="str">
        <f>IFERROR(INDEX(Users!$D$2:$D$310,MATCH(A705,Users!$B$2:$B$310,0)),"")</f>
        <v>Band 5</v>
      </c>
      <c r="I705" s="19" t="b">
        <f t="shared" si="31"/>
        <v>0</v>
      </c>
      <c r="J705" s="33" t="str">
        <f t="shared" si="32"/>
        <v/>
      </c>
    </row>
    <row r="706" spans="1:10">
      <c r="A706" s="19" t="s">
        <v>138</v>
      </c>
      <c r="B706" s="20">
        <v>45717</v>
      </c>
      <c r="C706" s="21">
        <v>155.4</v>
      </c>
      <c r="D706" s="21">
        <v>150.35333333333332</v>
      </c>
      <c r="E706" s="21">
        <v>89.02</v>
      </c>
      <c r="F706" s="27">
        <f t="shared" ref="F706:F769" si="33">IFERROR(IF(OR(C706="",D706="",C706=0),"",D706/C706),"")</f>
        <v>0.96752466752466748</v>
      </c>
      <c r="G706" s="21" t="str">
        <f>IFERROR(INDEX(Users!$A$2:$A$310,MATCH(A706,Users!$B$2:$B$310,0)),"")</f>
        <v>Service A</v>
      </c>
      <c r="H706" s="21" t="str">
        <f>IFERROR(INDEX(Users!$D$2:$D$310,MATCH(A706,Users!$B$2:$B$310,0)),"")</f>
        <v>Band 5</v>
      </c>
      <c r="I706" s="19" t="b">
        <f t="shared" ref="I706:I769" si="34">AND(G706="Service A",H706="Band 3")</f>
        <v>0</v>
      </c>
      <c r="J706" s="33" t="str">
        <f t="shared" ref="J706:J769" si="35">IF(AND(B706&gt;=DATE(2025,1,1),B706&lt;DATE(2026,1,1),G706="Service B",OR(H706="Band 3",H706="Band 5"),ISNUMBER(F706)),F706,"")</f>
        <v/>
      </c>
    </row>
    <row r="707" spans="1:10">
      <c r="A707" s="19" t="s">
        <v>138</v>
      </c>
      <c r="B707" s="20">
        <v>45748</v>
      </c>
      <c r="C707" s="21">
        <v>148</v>
      </c>
      <c r="D707" s="21">
        <v>78.2</v>
      </c>
      <c r="E707" s="21">
        <v>48.2</v>
      </c>
      <c r="F707" s="27">
        <f t="shared" si="33"/>
        <v>0.52837837837837842</v>
      </c>
      <c r="G707" s="21" t="str">
        <f>IFERROR(INDEX(Users!$A$2:$A$310,MATCH(A707,Users!$B$2:$B$310,0)),"")</f>
        <v>Service A</v>
      </c>
      <c r="H707" s="21" t="str">
        <f>IFERROR(INDEX(Users!$D$2:$D$310,MATCH(A707,Users!$B$2:$B$310,0)),"")</f>
        <v>Band 5</v>
      </c>
      <c r="I707" s="19" t="b">
        <f t="shared" si="34"/>
        <v>0</v>
      </c>
      <c r="J707" s="33" t="str">
        <f t="shared" si="35"/>
        <v/>
      </c>
    </row>
    <row r="708" spans="1:10">
      <c r="A708" s="19" t="s">
        <v>138</v>
      </c>
      <c r="B708" s="20">
        <v>45778</v>
      </c>
      <c r="C708" s="21">
        <v>148</v>
      </c>
      <c r="D708" s="21">
        <v>150.40333333333334</v>
      </c>
      <c r="E708" s="21">
        <v>99.32</v>
      </c>
      <c r="F708" s="27">
        <f t="shared" si="33"/>
        <v>1.0162387387387388</v>
      </c>
      <c r="G708" s="21" t="str">
        <f>IFERROR(INDEX(Users!$A$2:$A$310,MATCH(A708,Users!$B$2:$B$310,0)),"")</f>
        <v>Service A</v>
      </c>
      <c r="H708" s="21" t="str">
        <f>IFERROR(INDEX(Users!$D$2:$D$310,MATCH(A708,Users!$B$2:$B$310,0)),"")</f>
        <v>Band 5</v>
      </c>
      <c r="I708" s="19" t="b">
        <f t="shared" si="34"/>
        <v>0</v>
      </c>
      <c r="J708" s="33" t="str">
        <f t="shared" si="35"/>
        <v/>
      </c>
    </row>
    <row r="709" spans="1:10">
      <c r="A709" s="19" t="s">
        <v>138</v>
      </c>
      <c r="B709" s="20">
        <v>45809</v>
      </c>
      <c r="C709" s="21">
        <v>155.4</v>
      </c>
      <c r="D709" s="21">
        <v>145.19999999999999</v>
      </c>
      <c r="E709" s="21">
        <v>85.2</v>
      </c>
      <c r="F709" s="27">
        <f t="shared" si="33"/>
        <v>0.93436293436293427</v>
      </c>
      <c r="G709" s="21" t="str">
        <f>IFERROR(INDEX(Users!$A$2:$A$310,MATCH(A709,Users!$B$2:$B$310,0)),"")</f>
        <v>Service A</v>
      </c>
      <c r="H709" s="21" t="str">
        <f>IFERROR(INDEX(Users!$D$2:$D$310,MATCH(A709,Users!$B$2:$B$310,0)),"")</f>
        <v>Band 5</v>
      </c>
      <c r="I709" s="19" t="b">
        <f t="shared" si="34"/>
        <v>0</v>
      </c>
      <c r="J709" s="33" t="str">
        <f t="shared" si="35"/>
        <v/>
      </c>
    </row>
    <row r="710" spans="1:10">
      <c r="A710" s="19" t="s">
        <v>138</v>
      </c>
      <c r="B710" s="20">
        <v>45839</v>
      </c>
      <c r="C710" s="21">
        <v>170.20000000000002</v>
      </c>
      <c r="D710" s="21">
        <v>156.79000000000002</v>
      </c>
      <c r="E710" s="21">
        <v>94.29</v>
      </c>
      <c r="F710" s="27">
        <f t="shared" si="33"/>
        <v>0.92121034077555819</v>
      </c>
      <c r="G710" s="21" t="str">
        <f>IFERROR(INDEX(Users!$A$2:$A$310,MATCH(A710,Users!$B$2:$B$310,0)),"")</f>
        <v>Service A</v>
      </c>
      <c r="H710" s="21" t="str">
        <f>IFERROR(INDEX(Users!$D$2:$D$310,MATCH(A710,Users!$B$2:$B$310,0)),"")</f>
        <v>Band 5</v>
      </c>
      <c r="I710" s="19" t="b">
        <f t="shared" si="34"/>
        <v>0</v>
      </c>
      <c r="J710" s="33" t="str">
        <f t="shared" si="35"/>
        <v/>
      </c>
    </row>
    <row r="711" spans="1:10">
      <c r="A711" s="19" t="s">
        <v>138</v>
      </c>
      <c r="B711" s="20">
        <v>45870</v>
      </c>
      <c r="C711" s="21">
        <v>148</v>
      </c>
      <c r="D711" s="21">
        <v>63.260000000000005</v>
      </c>
      <c r="E711" s="21">
        <v>47.510000000000005</v>
      </c>
      <c r="F711" s="27">
        <f t="shared" si="33"/>
        <v>0.42743243243243245</v>
      </c>
      <c r="G711" s="21" t="str">
        <f>IFERROR(INDEX(Users!$A$2:$A$310,MATCH(A711,Users!$B$2:$B$310,0)),"")</f>
        <v>Service A</v>
      </c>
      <c r="H711" s="21" t="str">
        <f>IFERROR(INDEX(Users!$D$2:$D$310,MATCH(A711,Users!$B$2:$B$310,0)),"")</f>
        <v>Band 5</v>
      </c>
      <c r="I711" s="19" t="b">
        <f t="shared" si="34"/>
        <v>0</v>
      </c>
      <c r="J711" s="33" t="str">
        <f t="shared" si="35"/>
        <v/>
      </c>
    </row>
    <row r="712" spans="1:10">
      <c r="A712" s="19" t="s">
        <v>138</v>
      </c>
      <c r="B712" s="20">
        <v>45901</v>
      </c>
      <c r="C712" s="21">
        <v>162.80000000000001</v>
      </c>
      <c r="D712" s="21">
        <v>162.64000000000001</v>
      </c>
      <c r="E712" s="21">
        <v>115.74000000000001</v>
      </c>
      <c r="F712" s="27">
        <f t="shared" si="33"/>
        <v>0.99901719901719899</v>
      </c>
      <c r="G712" s="21" t="str">
        <f>IFERROR(INDEX(Users!$A$2:$A$310,MATCH(A712,Users!$B$2:$B$310,0)),"")</f>
        <v>Service A</v>
      </c>
      <c r="H712" s="21" t="str">
        <f>IFERROR(INDEX(Users!$D$2:$D$310,MATCH(A712,Users!$B$2:$B$310,0)),"")</f>
        <v>Band 5</v>
      </c>
      <c r="I712" s="19" t="b">
        <f t="shared" si="34"/>
        <v>0</v>
      </c>
      <c r="J712" s="33" t="str">
        <f t="shared" si="35"/>
        <v/>
      </c>
    </row>
    <row r="713" spans="1:10">
      <c r="A713" s="19" t="s">
        <v>138</v>
      </c>
      <c r="B713" s="20">
        <v>45931</v>
      </c>
      <c r="C713" s="21">
        <v>170.20000000000002</v>
      </c>
      <c r="D713" s="21">
        <v>140.74333333333334</v>
      </c>
      <c r="E713" s="21">
        <v>106.91000000000001</v>
      </c>
      <c r="F713" s="27">
        <f t="shared" si="33"/>
        <v>0.82692910301605949</v>
      </c>
      <c r="G713" s="21" t="str">
        <f>IFERROR(INDEX(Users!$A$2:$A$310,MATCH(A713,Users!$B$2:$B$310,0)),"")</f>
        <v>Service A</v>
      </c>
      <c r="H713" s="21" t="str">
        <f>IFERROR(INDEX(Users!$D$2:$D$310,MATCH(A713,Users!$B$2:$B$310,0)),"")</f>
        <v>Band 5</v>
      </c>
      <c r="I713" s="19" t="b">
        <f t="shared" si="34"/>
        <v>0</v>
      </c>
      <c r="J713" s="33" t="str">
        <f t="shared" si="35"/>
        <v/>
      </c>
    </row>
    <row r="714" spans="1:10">
      <c r="A714" s="19" t="s">
        <v>138</v>
      </c>
      <c r="B714" s="20">
        <v>45962</v>
      </c>
      <c r="C714" s="21">
        <v>148</v>
      </c>
      <c r="D714" s="21">
        <v>145.69</v>
      </c>
      <c r="E714" s="21">
        <v>109.94</v>
      </c>
      <c r="F714" s="27">
        <f t="shared" si="33"/>
        <v>0.98439189189189191</v>
      </c>
      <c r="G714" s="21" t="str">
        <f>IFERROR(INDEX(Users!$A$2:$A$310,MATCH(A714,Users!$B$2:$B$310,0)),"")</f>
        <v>Service A</v>
      </c>
      <c r="H714" s="21" t="str">
        <f>IFERROR(INDEX(Users!$D$2:$D$310,MATCH(A714,Users!$B$2:$B$310,0)),"")</f>
        <v>Band 5</v>
      </c>
      <c r="I714" s="19" t="b">
        <f t="shared" si="34"/>
        <v>0</v>
      </c>
      <c r="J714" s="33" t="str">
        <f t="shared" si="35"/>
        <v/>
      </c>
    </row>
    <row r="715" spans="1:10">
      <c r="A715" s="19" t="s">
        <v>138</v>
      </c>
      <c r="B715" s="20">
        <v>45992</v>
      </c>
      <c r="C715" s="21">
        <v>155.4</v>
      </c>
      <c r="D715" s="21">
        <v>109.19</v>
      </c>
      <c r="E715" s="21">
        <v>81.44</v>
      </c>
      <c r="F715" s="27">
        <f t="shared" si="33"/>
        <v>0.70263835263835261</v>
      </c>
      <c r="G715" s="21" t="str">
        <f>IFERROR(INDEX(Users!$A$2:$A$310,MATCH(A715,Users!$B$2:$B$310,0)),"")</f>
        <v>Service A</v>
      </c>
      <c r="H715" s="21" t="str">
        <f>IFERROR(INDEX(Users!$D$2:$D$310,MATCH(A715,Users!$B$2:$B$310,0)),"")</f>
        <v>Band 5</v>
      </c>
      <c r="I715" s="19" t="b">
        <f t="shared" si="34"/>
        <v>0</v>
      </c>
      <c r="J715" s="33" t="str">
        <f t="shared" si="35"/>
        <v/>
      </c>
    </row>
    <row r="716" spans="1:10">
      <c r="A716" s="19" t="s">
        <v>138</v>
      </c>
      <c r="B716" s="20">
        <v>46023</v>
      </c>
      <c r="C716" s="21">
        <v>155.4</v>
      </c>
      <c r="D716" s="21">
        <v>154.22999999999999</v>
      </c>
      <c r="E716" s="21">
        <v>97.47999999999999</v>
      </c>
      <c r="F716" s="27">
        <f t="shared" si="33"/>
        <v>0.99247104247104234</v>
      </c>
      <c r="G716" s="21" t="str">
        <f>IFERROR(INDEX(Users!$A$2:$A$310,MATCH(A716,Users!$B$2:$B$310,0)),"")</f>
        <v>Service A</v>
      </c>
      <c r="H716" s="21" t="str">
        <f>IFERROR(INDEX(Users!$D$2:$D$310,MATCH(A716,Users!$B$2:$B$310,0)),"")</f>
        <v>Band 5</v>
      </c>
      <c r="I716" s="19" t="b">
        <f t="shared" si="34"/>
        <v>0</v>
      </c>
      <c r="J716" s="33" t="str">
        <f t="shared" si="35"/>
        <v/>
      </c>
    </row>
    <row r="717" spans="1:10">
      <c r="A717" s="19" t="s">
        <v>140</v>
      </c>
      <c r="B717" s="20">
        <v>45689</v>
      </c>
      <c r="C717" s="21">
        <v>59.2</v>
      </c>
      <c r="D717" s="21">
        <v>71.17</v>
      </c>
      <c r="E717" s="21">
        <v>2.17</v>
      </c>
      <c r="F717" s="27">
        <f t="shared" si="33"/>
        <v>1.2021959459459459</v>
      </c>
      <c r="G717" s="21" t="str">
        <f>IFERROR(INDEX(Users!$A$2:$A$310,MATCH(A717,Users!$B$2:$B$310,0)),"")</f>
        <v>Service A</v>
      </c>
      <c r="H717" s="21" t="str">
        <f>IFERROR(INDEX(Users!$D$2:$D$310,MATCH(A717,Users!$B$2:$B$310,0)),"")</f>
        <v>Band 3</v>
      </c>
      <c r="I717" s="19" t="b">
        <f t="shared" si="34"/>
        <v>1</v>
      </c>
      <c r="J717" s="33" t="str">
        <f t="shared" si="35"/>
        <v/>
      </c>
    </row>
    <row r="718" spans="1:10">
      <c r="A718" s="19" t="s">
        <v>140</v>
      </c>
      <c r="B718" s="20">
        <v>45717</v>
      </c>
      <c r="C718" s="21">
        <v>125.80000000000001</v>
      </c>
      <c r="D718" s="21">
        <v>155.25</v>
      </c>
      <c r="E718" s="21"/>
      <c r="F718" s="27">
        <f t="shared" si="33"/>
        <v>1.2341017488076311</v>
      </c>
      <c r="G718" s="21" t="str">
        <f>IFERROR(INDEX(Users!$A$2:$A$310,MATCH(A718,Users!$B$2:$B$310,0)),"")</f>
        <v>Service A</v>
      </c>
      <c r="H718" s="21" t="str">
        <f>IFERROR(INDEX(Users!$D$2:$D$310,MATCH(A718,Users!$B$2:$B$310,0)),"")</f>
        <v>Band 3</v>
      </c>
      <c r="I718" s="19" t="b">
        <f t="shared" si="34"/>
        <v>1</v>
      </c>
      <c r="J718" s="33" t="str">
        <f t="shared" si="35"/>
        <v/>
      </c>
    </row>
    <row r="719" spans="1:10">
      <c r="A719" s="19" t="s">
        <v>140</v>
      </c>
      <c r="B719" s="20">
        <v>45748</v>
      </c>
      <c r="C719" s="21">
        <v>111</v>
      </c>
      <c r="D719" s="21">
        <v>114.41333333333333</v>
      </c>
      <c r="E719" s="21">
        <v>0.83000000000000007</v>
      </c>
      <c r="F719" s="27">
        <f t="shared" si="33"/>
        <v>1.0307507507507507</v>
      </c>
      <c r="G719" s="21" t="str">
        <f>IFERROR(INDEX(Users!$A$2:$A$310,MATCH(A719,Users!$B$2:$B$310,0)),"")</f>
        <v>Service A</v>
      </c>
      <c r="H719" s="21" t="str">
        <f>IFERROR(INDEX(Users!$D$2:$D$310,MATCH(A719,Users!$B$2:$B$310,0)),"")</f>
        <v>Band 3</v>
      </c>
      <c r="I719" s="19" t="b">
        <f t="shared" si="34"/>
        <v>1</v>
      </c>
      <c r="J719" s="33" t="str">
        <f t="shared" si="35"/>
        <v/>
      </c>
    </row>
    <row r="720" spans="1:10">
      <c r="A720" s="19" t="s">
        <v>140</v>
      </c>
      <c r="B720" s="20">
        <v>45778</v>
      </c>
      <c r="C720" s="21">
        <v>118.4</v>
      </c>
      <c r="D720" s="21">
        <v>87.090000000000018</v>
      </c>
      <c r="E720" s="21">
        <v>2.34</v>
      </c>
      <c r="F720" s="27">
        <f t="shared" si="33"/>
        <v>0.73555743243243255</v>
      </c>
      <c r="G720" s="21" t="str">
        <f>IFERROR(INDEX(Users!$A$2:$A$310,MATCH(A720,Users!$B$2:$B$310,0)),"")</f>
        <v>Service A</v>
      </c>
      <c r="H720" s="21" t="str">
        <f>IFERROR(INDEX(Users!$D$2:$D$310,MATCH(A720,Users!$B$2:$B$310,0)),"")</f>
        <v>Band 3</v>
      </c>
      <c r="I720" s="19" t="b">
        <f t="shared" si="34"/>
        <v>1</v>
      </c>
      <c r="J720" s="33" t="str">
        <f t="shared" si="35"/>
        <v/>
      </c>
    </row>
    <row r="721" spans="1:10">
      <c r="A721" s="19" t="s">
        <v>140</v>
      </c>
      <c r="B721" s="20">
        <v>45809</v>
      </c>
      <c r="C721" s="21">
        <v>125.80000000000001</v>
      </c>
      <c r="D721" s="21">
        <v>121.72333333333333</v>
      </c>
      <c r="E721" s="21">
        <v>88.89</v>
      </c>
      <c r="F721" s="27">
        <f t="shared" si="33"/>
        <v>0.96759406465288811</v>
      </c>
      <c r="G721" s="21" t="str">
        <f>IFERROR(INDEX(Users!$A$2:$A$310,MATCH(A721,Users!$B$2:$B$310,0)),"")</f>
        <v>Service A</v>
      </c>
      <c r="H721" s="21" t="str">
        <f>IFERROR(INDEX(Users!$D$2:$D$310,MATCH(A721,Users!$B$2:$B$310,0)),"")</f>
        <v>Band 3</v>
      </c>
      <c r="I721" s="19" t="b">
        <f t="shared" si="34"/>
        <v>1</v>
      </c>
      <c r="J721" s="33" t="str">
        <f t="shared" si="35"/>
        <v/>
      </c>
    </row>
    <row r="722" spans="1:10">
      <c r="A722" s="19" t="s">
        <v>140</v>
      </c>
      <c r="B722" s="20">
        <v>45839</v>
      </c>
      <c r="C722" s="21">
        <v>133.20000000000002</v>
      </c>
      <c r="D722" s="21">
        <v>146.25666666666666</v>
      </c>
      <c r="E722" s="21">
        <v>86.34</v>
      </c>
      <c r="F722" s="27">
        <f t="shared" si="33"/>
        <v>1.0980230230230228</v>
      </c>
      <c r="G722" s="21" t="str">
        <f>IFERROR(INDEX(Users!$A$2:$A$310,MATCH(A722,Users!$B$2:$B$310,0)),"")</f>
        <v>Service A</v>
      </c>
      <c r="H722" s="21" t="str">
        <f>IFERROR(INDEX(Users!$D$2:$D$310,MATCH(A722,Users!$B$2:$B$310,0)),"")</f>
        <v>Band 3</v>
      </c>
      <c r="I722" s="19" t="b">
        <f t="shared" si="34"/>
        <v>1</v>
      </c>
      <c r="J722" s="33" t="str">
        <f t="shared" si="35"/>
        <v/>
      </c>
    </row>
    <row r="723" spans="1:10">
      <c r="A723" s="19" t="s">
        <v>140</v>
      </c>
      <c r="B723" s="20">
        <v>45870</v>
      </c>
      <c r="C723" s="21">
        <v>118.4</v>
      </c>
      <c r="D723" s="21">
        <v>86.916666666666671</v>
      </c>
      <c r="E723" s="21">
        <v>59.75</v>
      </c>
      <c r="F723" s="27">
        <f t="shared" si="33"/>
        <v>0.73409346846846846</v>
      </c>
      <c r="G723" s="21" t="str">
        <f>IFERROR(INDEX(Users!$A$2:$A$310,MATCH(A723,Users!$B$2:$B$310,0)),"")</f>
        <v>Service A</v>
      </c>
      <c r="H723" s="21" t="str">
        <f>IFERROR(INDEX(Users!$D$2:$D$310,MATCH(A723,Users!$B$2:$B$310,0)),"")</f>
        <v>Band 3</v>
      </c>
      <c r="I723" s="19" t="b">
        <f t="shared" si="34"/>
        <v>1</v>
      </c>
      <c r="J723" s="33" t="str">
        <f t="shared" si="35"/>
        <v/>
      </c>
    </row>
    <row r="724" spans="1:10">
      <c r="A724" s="19" t="s">
        <v>140</v>
      </c>
      <c r="B724" s="20">
        <v>45901</v>
      </c>
      <c r="C724" s="21">
        <v>133.20000000000002</v>
      </c>
      <c r="D724" s="21">
        <v>146.41333333333333</v>
      </c>
      <c r="E724" s="21">
        <v>96.33</v>
      </c>
      <c r="F724" s="27">
        <f t="shared" si="33"/>
        <v>1.099199199199199</v>
      </c>
      <c r="G724" s="21" t="str">
        <f>IFERROR(INDEX(Users!$A$2:$A$310,MATCH(A724,Users!$B$2:$B$310,0)),"")</f>
        <v>Service A</v>
      </c>
      <c r="H724" s="21" t="str">
        <f>IFERROR(INDEX(Users!$D$2:$D$310,MATCH(A724,Users!$B$2:$B$310,0)),"")</f>
        <v>Band 3</v>
      </c>
      <c r="I724" s="19" t="b">
        <f t="shared" si="34"/>
        <v>1</v>
      </c>
      <c r="J724" s="33" t="str">
        <f t="shared" si="35"/>
        <v/>
      </c>
    </row>
    <row r="725" spans="1:10">
      <c r="A725" s="19" t="s">
        <v>140</v>
      </c>
      <c r="B725" s="20">
        <v>45931</v>
      </c>
      <c r="C725" s="21">
        <v>133.20000000000002</v>
      </c>
      <c r="D725" s="21">
        <v>162.56333333333333</v>
      </c>
      <c r="E725" s="21">
        <v>119.48</v>
      </c>
      <c r="F725" s="27">
        <f t="shared" si="33"/>
        <v>1.2204454454454452</v>
      </c>
      <c r="G725" s="21" t="str">
        <f>IFERROR(INDEX(Users!$A$2:$A$310,MATCH(A725,Users!$B$2:$B$310,0)),"")</f>
        <v>Service A</v>
      </c>
      <c r="H725" s="21" t="str">
        <f>IFERROR(INDEX(Users!$D$2:$D$310,MATCH(A725,Users!$B$2:$B$310,0)),"")</f>
        <v>Band 3</v>
      </c>
      <c r="I725" s="19" t="b">
        <f t="shared" si="34"/>
        <v>1</v>
      </c>
      <c r="J725" s="33" t="str">
        <f t="shared" si="35"/>
        <v/>
      </c>
    </row>
    <row r="726" spans="1:10">
      <c r="A726" s="19" t="s">
        <v>140</v>
      </c>
      <c r="B726" s="20">
        <v>45962</v>
      </c>
      <c r="C726" s="21">
        <v>118.4</v>
      </c>
      <c r="D726" s="21">
        <v>136.4</v>
      </c>
      <c r="E726" s="21">
        <v>106.89999999999999</v>
      </c>
      <c r="F726" s="27">
        <f t="shared" si="33"/>
        <v>1.152027027027027</v>
      </c>
      <c r="G726" s="21" t="str">
        <f>IFERROR(INDEX(Users!$A$2:$A$310,MATCH(A726,Users!$B$2:$B$310,0)),"")</f>
        <v>Service A</v>
      </c>
      <c r="H726" s="21" t="str">
        <f>IFERROR(INDEX(Users!$D$2:$D$310,MATCH(A726,Users!$B$2:$B$310,0)),"")</f>
        <v>Band 3</v>
      </c>
      <c r="I726" s="19" t="b">
        <f t="shared" si="34"/>
        <v>1</v>
      </c>
      <c r="J726" s="33" t="str">
        <f t="shared" si="35"/>
        <v/>
      </c>
    </row>
    <row r="727" spans="1:10">
      <c r="A727" s="19" t="s">
        <v>140</v>
      </c>
      <c r="B727" s="20">
        <v>45992</v>
      </c>
      <c r="C727" s="21">
        <v>118.4</v>
      </c>
      <c r="D727" s="21">
        <v>93.833333333333343</v>
      </c>
      <c r="E727" s="21">
        <v>61.75</v>
      </c>
      <c r="F727" s="27">
        <f t="shared" si="33"/>
        <v>0.79251126126126126</v>
      </c>
      <c r="G727" s="21" t="str">
        <f>IFERROR(INDEX(Users!$A$2:$A$310,MATCH(A727,Users!$B$2:$B$310,0)),"")</f>
        <v>Service A</v>
      </c>
      <c r="H727" s="21" t="str">
        <f>IFERROR(INDEX(Users!$D$2:$D$310,MATCH(A727,Users!$B$2:$B$310,0)),"")</f>
        <v>Band 3</v>
      </c>
      <c r="I727" s="19" t="b">
        <f t="shared" si="34"/>
        <v>1</v>
      </c>
      <c r="J727" s="33" t="str">
        <f t="shared" si="35"/>
        <v/>
      </c>
    </row>
    <row r="728" spans="1:10">
      <c r="A728" s="19" t="s">
        <v>140</v>
      </c>
      <c r="B728" s="20">
        <v>46023</v>
      </c>
      <c r="C728" s="21">
        <v>125.80000000000001</v>
      </c>
      <c r="D728" s="21">
        <v>133.91</v>
      </c>
      <c r="E728" s="21">
        <v>100.41</v>
      </c>
      <c r="F728" s="27">
        <f t="shared" si="33"/>
        <v>1.0644674085850556</v>
      </c>
      <c r="G728" s="21" t="str">
        <f>IFERROR(INDEX(Users!$A$2:$A$310,MATCH(A728,Users!$B$2:$B$310,0)),"")</f>
        <v>Service A</v>
      </c>
      <c r="H728" s="21" t="str">
        <f>IFERROR(INDEX(Users!$D$2:$D$310,MATCH(A728,Users!$B$2:$B$310,0)),"")</f>
        <v>Band 3</v>
      </c>
      <c r="I728" s="19" t="b">
        <f t="shared" si="34"/>
        <v>1</v>
      </c>
      <c r="J728" s="33" t="str">
        <f t="shared" si="35"/>
        <v/>
      </c>
    </row>
    <row r="729" spans="1:10">
      <c r="A729" s="19" t="s">
        <v>142</v>
      </c>
      <c r="B729" s="20">
        <v>45658</v>
      </c>
      <c r="C729" s="21">
        <v>133.20000000000002</v>
      </c>
      <c r="D729" s="21">
        <v>138.65000000000003</v>
      </c>
      <c r="E729" s="21">
        <v>74.250000000000014</v>
      </c>
      <c r="F729" s="27">
        <f t="shared" si="33"/>
        <v>1.040915915915916</v>
      </c>
      <c r="G729" s="21" t="str">
        <f>IFERROR(INDEX(Users!$A$2:$A$310,MATCH(A729,Users!$B$2:$B$310,0)),"")</f>
        <v>Service C</v>
      </c>
      <c r="H729" s="21" t="str">
        <f>IFERROR(INDEX(Users!$D$2:$D$310,MATCH(A729,Users!$B$2:$B$310,0)),"")</f>
        <v>Band 4</v>
      </c>
      <c r="I729" s="19" t="b">
        <f t="shared" si="34"/>
        <v>0</v>
      </c>
      <c r="J729" s="33" t="str">
        <f t="shared" si="35"/>
        <v/>
      </c>
    </row>
    <row r="730" spans="1:10">
      <c r="A730" s="19" t="s">
        <v>142</v>
      </c>
      <c r="B730" s="20">
        <v>45689</v>
      </c>
      <c r="C730" s="21">
        <v>59.2</v>
      </c>
      <c r="D730" s="21">
        <v>40.409999999999997</v>
      </c>
      <c r="E730" s="21">
        <v>33.409999999999997</v>
      </c>
      <c r="F730" s="27">
        <f t="shared" si="33"/>
        <v>0.68260135135135125</v>
      </c>
      <c r="G730" s="21" t="str">
        <f>IFERROR(INDEX(Users!$A$2:$A$310,MATCH(A730,Users!$B$2:$B$310,0)),"")</f>
        <v>Service C</v>
      </c>
      <c r="H730" s="21" t="str">
        <f>IFERROR(INDEX(Users!$D$2:$D$310,MATCH(A730,Users!$B$2:$B$310,0)),"")</f>
        <v>Band 4</v>
      </c>
      <c r="I730" s="19" t="b">
        <f t="shared" si="34"/>
        <v>0</v>
      </c>
      <c r="J730" s="33" t="str">
        <f t="shared" si="35"/>
        <v/>
      </c>
    </row>
    <row r="731" spans="1:10">
      <c r="A731" s="19" t="s">
        <v>143</v>
      </c>
      <c r="B731" s="20">
        <v>45658</v>
      </c>
      <c r="C731" s="21">
        <v>162.80000000000001</v>
      </c>
      <c r="D731" s="21">
        <v>148.57500000000002</v>
      </c>
      <c r="E731" s="21">
        <v>48.390000000000015</v>
      </c>
      <c r="F731" s="27">
        <f t="shared" si="33"/>
        <v>0.91262285012285016</v>
      </c>
      <c r="G731" s="21" t="str">
        <f>IFERROR(INDEX(Users!$A$2:$A$310,MATCH(A731,Users!$B$2:$B$310,0)),"")</f>
        <v>Service C</v>
      </c>
      <c r="H731" s="21" t="str">
        <f>IFERROR(INDEX(Users!$D$2:$D$310,MATCH(A731,Users!$B$2:$B$310,0)),"")</f>
        <v>Band 3</v>
      </c>
      <c r="I731" s="19" t="b">
        <f t="shared" si="34"/>
        <v>0</v>
      </c>
      <c r="J731" s="33" t="str">
        <f t="shared" si="35"/>
        <v/>
      </c>
    </row>
    <row r="732" spans="1:10">
      <c r="A732" s="19" t="s">
        <v>143</v>
      </c>
      <c r="B732" s="20">
        <v>45689</v>
      </c>
      <c r="C732" s="21">
        <v>148</v>
      </c>
      <c r="D732" s="21">
        <v>148.54055555555558</v>
      </c>
      <c r="E732" s="21">
        <v>41.490000000000023</v>
      </c>
      <c r="F732" s="27">
        <f t="shared" si="33"/>
        <v>1.0036524024024025</v>
      </c>
      <c r="G732" s="21" t="str">
        <f>IFERROR(INDEX(Users!$A$2:$A$310,MATCH(A732,Users!$B$2:$B$310,0)),"")</f>
        <v>Service C</v>
      </c>
      <c r="H732" s="21" t="str">
        <f>IFERROR(INDEX(Users!$D$2:$D$310,MATCH(A732,Users!$B$2:$B$310,0)),"")</f>
        <v>Band 3</v>
      </c>
      <c r="I732" s="19" t="b">
        <f t="shared" si="34"/>
        <v>0</v>
      </c>
      <c r="J732" s="33" t="str">
        <f t="shared" si="35"/>
        <v/>
      </c>
    </row>
    <row r="733" spans="1:10">
      <c r="A733" s="19" t="s">
        <v>143</v>
      </c>
      <c r="B733" s="20">
        <v>45717</v>
      </c>
      <c r="C733" s="21">
        <v>155.4</v>
      </c>
      <c r="D733" s="21">
        <v>157.18805555555556</v>
      </c>
      <c r="E733" s="21">
        <v>46.010000000000005</v>
      </c>
      <c r="F733" s="27">
        <f t="shared" si="33"/>
        <v>1.011506149006149</v>
      </c>
      <c r="G733" s="21" t="str">
        <f>IFERROR(INDEX(Users!$A$2:$A$310,MATCH(A733,Users!$B$2:$B$310,0)),"")</f>
        <v>Service C</v>
      </c>
      <c r="H733" s="21" t="str">
        <f>IFERROR(INDEX(Users!$D$2:$D$310,MATCH(A733,Users!$B$2:$B$310,0)),"")</f>
        <v>Band 3</v>
      </c>
      <c r="I733" s="19" t="b">
        <f t="shared" si="34"/>
        <v>0</v>
      </c>
      <c r="J733" s="33" t="str">
        <f t="shared" si="35"/>
        <v/>
      </c>
    </row>
    <row r="734" spans="1:10">
      <c r="A734" s="19" t="s">
        <v>143</v>
      </c>
      <c r="B734" s="20">
        <v>45748</v>
      </c>
      <c r="C734" s="21">
        <v>148</v>
      </c>
      <c r="D734" s="21">
        <v>129.41222222222223</v>
      </c>
      <c r="E734" s="21">
        <v>60.95</v>
      </c>
      <c r="F734" s="27">
        <f t="shared" si="33"/>
        <v>0.87440690690690692</v>
      </c>
      <c r="G734" s="21" t="str">
        <f>IFERROR(INDEX(Users!$A$2:$A$310,MATCH(A734,Users!$B$2:$B$310,0)),"")</f>
        <v>Service C</v>
      </c>
      <c r="H734" s="21" t="str">
        <f>IFERROR(INDEX(Users!$D$2:$D$310,MATCH(A734,Users!$B$2:$B$310,0)),"")</f>
        <v>Band 3</v>
      </c>
      <c r="I734" s="19" t="b">
        <f t="shared" si="34"/>
        <v>0</v>
      </c>
      <c r="J734" s="33" t="str">
        <f t="shared" si="35"/>
        <v/>
      </c>
    </row>
    <row r="735" spans="1:10">
      <c r="A735" s="19" t="s">
        <v>143</v>
      </c>
      <c r="B735" s="20">
        <v>45778</v>
      </c>
      <c r="C735" s="21">
        <v>148</v>
      </c>
      <c r="D735" s="21">
        <v>115.40194444444447</v>
      </c>
      <c r="E735" s="21">
        <v>57.200000000000017</v>
      </c>
      <c r="F735" s="27">
        <f t="shared" si="33"/>
        <v>0.77974286786786806</v>
      </c>
      <c r="G735" s="21" t="str">
        <f>IFERROR(INDEX(Users!$A$2:$A$310,MATCH(A735,Users!$B$2:$B$310,0)),"")</f>
        <v>Service C</v>
      </c>
      <c r="H735" s="21" t="str">
        <f>IFERROR(INDEX(Users!$D$2:$D$310,MATCH(A735,Users!$B$2:$B$310,0)),"")</f>
        <v>Band 3</v>
      </c>
      <c r="I735" s="19" t="b">
        <f t="shared" si="34"/>
        <v>0</v>
      </c>
      <c r="J735" s="33" t="str">
        <f t="shared" si="35"/>
        <v/>
      </c>
    </row>
    <row r="736" spans="1:10">
      <c r="A736" s="19" t="s">
        <v>143</v>
      </c>
      <c r="B736" s="20">
        <v>45809</v>
      </c>
      <c r="C736" s="21">
        <v>155.4</v>
      </c>
      <c r="D736" s="21">
        <v>160.79388888888892</v>
      </c>
      <c r="E736" s="21">
        <v>74.530000000000015</v>
      </c>
      <c r="F736" s="27">
        <f t="shared" si="33"/>
        <v>1.0347097097097098</v>
      </c>
      <c r="G736" s="21" t="str">
        <f>IFERROR(INDEX(Users!$A$2:$A$310,MATCH(A736,Users!$B$2:$B$310,0)),"")</f>
        <v>Service C</v>
      </c>
      <c r="H736" s="21" t="str">
        <f>IFERROR(INDEX(Users!$D$2:$D$310,MATCH(A736,Users!$B$2:$B$310,0)),"")</f>
        <v>Band 3</v>
      </c>
      <c r="I736" s="19" t="b">
        <f t="shared" si="34"/>
        <v>0</v>
      </c>
      <c r="J736" s="33" t="str">
        <f t="shared" si="35"/>
        <v/>
      </c>
    </row>
    <row r="737" spans="1:10">
      <c r="A737" s="19" t="s">
        <v>143</v>
      </c>
      <c r="B737" s="20">
        <v>45839</v>
      </c>
      <c r="C737" s="21">
        <v>170.20000000000002</v>
      </c>
      <c r="D737" s="21">
        <v>41.729722222222215</v>
      </c>
      <c r="E737" s="21">
        <v>21.759999999999998</v>
      </c>
      <c r="F737" s="27">
        <f t="shared" si="33"/>
        <v>0.24518050659355001</v>
      </c>
      <c r="G737" s="21" t="str">
        <f>IFERROR(INDEX(Users!$A$2:$A$310,MATCH(A737,Users!$B$2:$B$310,0)),"")</f>
        <v>Service C</v>
      </c>
      <c r="H737" s="21" t="str">
        <f>IFERROR(INDEX(Users!$D$2:$D$310,MATCH(A737,Users!$B$2:$B$310,0)),"")</f>
        <v>Band 3</v>
      </c>
      <c r="I737" s="19" t="b">
        <f t="shared" si="34"/>
        <v>0</v>
      </c>
      <c r="J737" s="33" t="str">
        <f t="shared" si="35"/>
        <v/>
      </c>
    </row>
    <row r="738" spans="1:10">
      <c r="A738" s="19" t="s">
        <v>143</v>
      </c>
      <c r="B738" s="20">
        <v>45870</v>
      </c>
      <c r="C738" s="21">
        <v>148</v>
      </c>
      <c r="D738" s="21">
        <v>76.262222222222221</v>
      </c>
      <c r="E738" s="21">
        <v>44.66</v>
      </c>
      <c r="F738" s="27">
        <f t="shared" si="33"/>
        <v>0.51528528528528528</v>
      </c>
      <c r="G738" s="21" t="str">
        <f>IFERROR(INDEX(Users!$A$2:$A$310,MATCH(A738,Users!$B$2:$B$310,0)),"")</f>
        <v>Service C</v>
      </c>
      <c r="H738" s="21" t="str">
        <f>IFERROR(INDEX(Users!$D$2:$D$310,MATCH(A738,Users!$B$2:$B$310,0)),"")</f>
        <v>Band 3</v>
      </c>
      <c r="I738" s="19" t="b">
        <f t="shared" si="34"/>
        <v>0</v>
      </c>
      <c r="J738" s="33" t="str">
        <f t="shared" si="35"/>
        <v/>
      </c>
    </row>
    <row r="739" spans="1:10">
      <c r="A739" s="19" t="s">
        <v>143</v>
      </c>
      <c r="B739" s="20">
        <v>45901</v>
      </c>
      <c r="C739" s="21">
        <v>162.80000000000001</v>
      </c>
      <c r="D739" s="21">
        <v>168.23138888888889</v>
      </c>
      <c r="E739" s="21">
        <v>91.259999999999991</v>
      </c>
      <c r="F739" s="27">
        <f t="shared" si="33"/>
        <v>1.0333623396123395</v>
      </c>
      <c r="G739" s="21" t="str">
        <f>IFERROR(INDEX(Users!$A$2:$A$310,MATCH(A739,Users!$B$2:$B$310,0)),"")</f>
        <v>Service C</v>
      </c>
      <c r="H739" s="21" t="str">
        <f>IFERROR(INDEX(Users!$D$2:$D$310,MATCH(A739,Users!$B$2:$B$310,0)),"")</f>
        <v>Band 3</v>
      </c>
      <c r="I739" s="19" t="b">
        <f t="shared" si="34"/>
        <v>0</v>
      </c>
      <c r="J739" s="33" t="str">
        <f t="shared" si="35"/>
        <v/>
      </c>
    </row>
    <row r="740" spans="1:10">
      <c r="A740" s="19" t="s">
        <v>143</v>
      </c>
      <c r="B740" s="20">
        <v>45931</v>
      </c>
      <c r="C740" s="21">
        <v>170.20000000000002</v>
      </c>
      <c r="D740" s="21">
        <v>144.65694444444443</v>
      </c>
      <c r="E740" s="21">
        <v>68.830000000000013</v>
      </c>
      <c r="F740" s="27">
        <f t="shared" si="33"/>
        <v>0.84992329285807533</v>
      </c>
      <c r="G740" s="21" t="str">
        <f>IFERROR(INDEX(Users!$A$2:$A$310,MATCH(A740,Users!$B$2:$B$310,0)),"")</f>
        <v>Service C</v>
      </c>
      <c r="H740" s="21" t="str">
        <f>IFERROR(INDEX(Users!$D$2:$D$310,MATCH(A740,Users!$B$2:$B$310,0)),"")</f>
        <v>Band 3</v>
      </c>
      <c r="I740" s="19" t="b">
        <f t="shared" si="34"/>
        <v>0</v>
      </c>
      <c r="J740" s="33" t="str">
        <f t="shared" si="35"/>
        <v/>
      </c>
    </row>
    <row r="741" spans="1:10">
      <c r="A741" s="19" t="s">
        <v>143</v>
      </c>
      <c r="B741" s="20">
        <v>45962</v>
      </c>
      <c r="C741" s="21">
        <v>148</v>
      </c>
      <c r="D741" s="21">
        <v>141.80500000000001</v>
      </c>
      <c r="E741" s="21">
        <v>84.259999999999991</v>
      </c>
      <c r="F741" s="27">
        <f t="shared" si="33"/>
        <v>0.95814189189189192</v>
      </c>
      <c r="G741" s="21" t="str">
        <f>IFERROR(INDEX(Users!$A$2:$A$310,MATCH(A741,Users!$B$2:$B$310,0)),"")</f>
        <v>Service C</v>
      </c>
      <c r="H741" s="21" t="str">
        <f>IFERROR(INDEX(Users!$D$2:$D$310,MATCH(A741,Users!$B$2:$B$310,0)),"")</f>
        <v>Band 3</v>
      </c>
      <c r="I741" s="19" t="b">
        <f t="shared" si="34"/>
        <v>0</v>
      </c>
      <c r="J741" s="33" t="str">
        <f t="shared" si="35"/>
        <v/>
      </c>
    </row>
    <row r="742" spans="1:10">
      <c r="A742" s="19" t="s">
        <v>143</v>
      </c>
      <c r="B742" s="20">
        <v>45992</v>
      </c>
      <c r="C742" s="21">
        <v>155.4</v>
      </c>
      <c r="D742" s="21">
        <v>132.68416666666667</v>
      </c>
      <c r="E742" s="21">
        <v>89.07</v>
      </c>
      <c r="F742" s="27">
        <f t="shared" si="33"/>
        <v>0.85382346632346628</v>
      </c>
      <c r="G742" s="21" t="str">
        <f>IFERROR(INDEX(Users!$A$2:$A$310,MATCH(A742,Users!$B$2:$B$310,0)),"")</f>
        <v>Service C</v>
      </c>
      <c r="H742" s="21" t="str">
        <f>IFERROR(INDEX(Users!$D$2:$D$310,MATCH(A742,Users!$B$2:$B$310,0)),"")</f>
        <v>Band 3</v>
      </c>
      <c r="I742" s="19" t="b">
        <f t="shared" si="34"/>
        <v>0</v>
      </c>
      <c r="J742" s="33" t="str">
        <f t="shared" si="35"/>
        <v/>
      </c>
    </row>
    <row r="743" spans="1:10">
      <c r="A743" s="19" t="s">
        <v>143</v>
      </c>
      <c r="B743" s="20">
        <v>46023</v>
      </c>
      <c r="C743" s="21">
        <v>155.4</v>
      </c>
      <c r="D743" s="21">
        <v>136.9966666666667</v>
      </c>
      <c r="E743" s="21">
        <v>51.809999999999995</v>
      </c>
      <c r="F743" s="27">
        <f t="shared" si="33"/>
        <v>0.88157443157443172</v>
      </c>
      <c r="G743" s="21" t="str">
        <f>IFERROR(INDEX(Users!$A$2:$A$310,MATCH(A743,Users!$B$2:$B$310,0)),"")</f>
        <v>Service C</v>
      </c>
      <c r="H743" s="21" t="str">
        <f>IFERROR(INDEX(Users!$D$2:$D$310,MATCH(A743,Users!$B$2:$B$310,0)),"")</f>
        <v>Band 3</v>
      </c>
      <c r="I743" s="19" t="b">
        <f t="shared" si="34"/>
        <v>0</v>
      </c>
      <c r="J743" s="33" t="str">
        <f t="shared" si="35"/>
        <v/>
      </c>
    </row>
    <row r="744" spans="1:10">
      <c r="A744" s="19" t="s">
        <v>144</v>
      </c>
      <c r="B744" s="20">
        <v>45658</v>
      </c>
      <c r="C744" s="21">
        <v>162.79999999999998</v>
      </c>
      <c r="D744" s="21">
        <v>147.51</v>
      </c>
      <c r="E744" s="21">
        <v>100.00999999999999</v>
      </c>
      <c r="F744" s="27">
        <f t="shared" si="33"/>
        <v>0.9060810810810811</v>
      </c>
      <c r="G744" s="21" t="str">
        <f>IFERROR(INDEX(Users!$A$2:$A$310,MATCH(A744,Users!$B$2:$B$310,0)),"")</f>
        <v>Service B</v>
      </c>
      <c r="H744" s="21" t="str">
        <f>IFERROR(INDEX(Users!$D$2:$D$310,MATCH(A744,Users!$B$2:$B$310,0)),"")</f>
        <v>Band 5</v>
      </c>
      <c r="I744" s="19" t="b">
        <f t="shared" si="34"/>
        <v>0</v>
      </c>
      <c r="J744" s="33">
        <f t="shared" si="35"/>
        <v>0.9060810810810811</v>
      </c>
    </row>
    <row r="745" spans="1:10">
      <c r="A745" s="19" t="s">
        <v>144</v>
      </c>
      <c r="B745" s="20">
        <v>45689</v>
      </c>
      <c r="C745" s="21">
        <v>148</v>
      </c>
      <c r="D745" s="21">
        <v>153.42000000000002</v>
      </c>
      <c r="E745" s="21">
        <v>90.42</v>
      </c>
      <c r="F745" s="27">
        <f t="shared" si="33"/>
        <v>1.0366216216216217</v>
      </c>
      <c r="G745" s="21" t="str">
        <f>IFERROR(INDEX(Users!$A$2:$A$310,MATCH(A745,Users!$B$2:$B$310,0)),"")</f>
        <v>Service B</v>
      </c>
      <c r="H745" s="21" t="str">
        <f>IFERROR(INDEX(Users!$D$2:$D$310,MATCH(A745,Users!$B$2:$B$310,0)),"")</f>
        <v>Band 5</v>
      </c>
      <c r="I745" s="19" t="b">
        <f t="shared" si="34"/>
        <v>0</v>
      </c>
      <c r="J745" s="33">
        <f t="shared" si="35"/>
        <v>1.0366216216216217</v>
      </c>
    </row>
    <row r="746" spans="1:10">
      <c r="A746" s="19" t="s">
        <v>144</v>
      </c>
      <c r="B746" s="20">
        <v>45717</v>
      </c>
      <c r="C746" s="21">
        <v>155.4</v>
      </c>
      <c r="D746" s="21">
        <v>169.38166666666666</v>
      </c>
      <c r="E746" s="21">
        <v>110.26</v>
      </c>
      <c r="F746" s="27">
        <f t="shared" si="33"/>
        <v>1.0899721149721149</v>
      </c>
      <c r="G746" s="21" t="str">
        <f>IFERROR(INDEX(Users!$A$2:$A$310,MATCH(A746,Users!$B$2:$B$310,0)),"")</f>
        <v>Service B</v>
      </c>
      <c r="H746" s="21" t="str">
        <f>IFERROR(INDEX(Users!$D$2:$D$310,MATCH(A746,Users!$B$2:$B$310,0)),"")</f>
        <v>Band 5</v>
      </c>
      <c r="I746" s="19" t="b">
        <f t="shared" si="34"/>
        <v>0</v>
      </c>
      <c r="J746" s="33">
        <f t="shared" si="35"/>
        <v>1.0899721149721149</v>
      </c>
    </row>
    <row r="747" spans="1:10">
      <c r="A747" s="19" t="s">
        <v>144</v>
      </c>
      <c r="B747" s="20">
        <v>45748</v>
      </c>
      <c r="C747" s="21">
        <v>148</v>
      </c>
      <c r="D747" s="21">
        <v>149.7166666666667</v>
      </c>
      <c r="E747" s="21">
        <v>54.050000000000026</v>
      </c>
      <c r="F747" s="27">
        <f t="shared" si="33"/>
        <v>1.0115990990990993</v>
      </c>
      <c r="G747" s="21" t="str">
        <f>IFERROR(INDEX(Users!$A$2:$A$310,MATCH(A747,Users!$B$2:$B$310,0)),"")</f>
        <v>Service B</v>
      </c>
      <c r="H747" s="21" t="str">
        <f>IFERROR(INDEX(Users!$D$2:$D$310,MATCH(A747,Users!$B$2:$B$310,0)),"")</f>
        <v>Band 5</v>
      </c>
      <c r="I747" s="19" t="b">
        <f t="shared" si="34"/>
        <v>0</v>
      </c>
      <c r="J747" s="33">
        <f t="shared" si="35"/>
        <v>1.0115990990990993</v>
      </c>
    </row>
    <row r="748" spans="1:10">
      <c r="A748" s="19" t="s">
        <v>144</v>
      </c>
      <c r="B748" s="20">
        <v>45778</v>
      </c>
      <c r="C748" s="21">
        <v>148</v>
      </c>
      <c r="D748" s="21">
        <v>142.72916666666666</v>
      </c>
      <c r="E748" s="21">
        <v>34.159999999999982</v>
      </c>
      <c r="F748" s="27">
        <f t="shared" si="33"/>
        <v>0.96438626126126115</v>
      </c>
      <c r="G748" s="21" t="str">
        <f>IFERROR(INDEX(Users!$A$2:$A$310,MATCH(A748,Users!$B$2:$B$310,0)),"")</f>
        <v>Service B</v>
      </c>
      <c r="H748" s="21" t="str">
        <f>IFERROR(INDEX(Users!$D$2:$D$310,MATCH(A748,Users!$B$2:$B$310,0)),"")</f>
        <v>Band 5</v>
      </c>
      <c r="I748" s="19" t="b">
        <f t="shared" si="34"/>
        <v>0</v>
      </c>
      <c r="J748" s="33">
        <f t="shared" si="35"/>
        <v>0.96438626126126115</v>
      </c>
    </row>
    <row r="749" spans="1:10">
      <c r="A749" s="19" t="s">
        <v>144</v>
      </c>
      <c r="B749" s="20">
        <v>45809</v>
      </c>
      <c r="C749" s="21">
        <v>155.4</v>
      </c>
      <c r="D749" s="21">
        <v>158.58333333333331</v>
      </c>
      <c r="E749" s="21">
        <v>81.25</v>
      </c>
      <c r="F749" s="27">
        <f t="shared" si="33"/>
        <v>1.0204847704847704</v>
      </c>
      <c r="G749" s="21" t="str">
        <f>IFERROR(INDEX(Users!$A$2:$A$310,MATCH(A749,Users!$B$2:$B$310,0)),"")</f>
        <v>Service B</v>
      </c>
      <c r="H749" s="21" t="str">
        <f>IFERROR(INDEX(Users!$D$2:$D$310,MATCH(A749,Users!$B$2:$B$310,0)),"")</f>
        <v>Band 5</v>
      </c>
      <c r="I749" s="19" t="b">
        <f t="shared" si="34"/>
        <v>0</v>
      </c>
      <c r="J749" s="33">
        <f t="shared" si="35"/>
        <v>1.0204847704847704</v>
      </c>
    </row>
    <row r="750" spans="1:10">
      <c r="A750" s="19" t="s">
        <v>144</v>
      </c>
      <c r="B750" s="20">
        <v>45839</v>
      </c>
      <c r="C750" s="21">
        <v>170.2</v>
      </c>
      <c r="D750" s="21">
        <v>134.44333333333333</v>
      </c>
      <c r="E750" s="21">
        <v>84.359999999999985</v>
      </c>
      <c r="F750" s="27">
        <f t="shared" si="33"/>
        <v>0.78991382687034861</v>
      </c>
      <c r="G750" s="21" t="str">
        <f>IFERROR(INDEX(Users!$A$2:$A$310,MATCH(A750,Users!$B$2:$B$310,0)),"")</f>
        <v>Service B</v>
      </c>
      <c r="H750" s="21" t="str">
        <f>IFERROR(INDEX(Users!$D$2:$D$310,MATCH(A750,Users!$B$2:$B$310,0)),"")</f>
        <v>Band 5</v>
      </c>
      <c r="I750" s="19" t="b">
        <f t="shared" si="34"/>
        <v>0</v>
      </c>
      <c r="J750" s="33">
        <f t="shared" si="35"/>
        <v>0.78991382687034861</v>
      </c>
    </row>
    <row r="751" spans="1:10">
      <c r="A751" s="19" t="s">
        <v>144</v>
      </c>
      <c r="B751" s="20">
        <v>45870</v>
      </c>
      <c r="C751" s="21">
        <v>148</v>
      </c>
      <c r="D751" s="21">
        <v>87.926666666666677</v>
      </c>
      <c r="E751" s="21">
        <v>51.510000000000005</v>
      </c>
      <c r="F751" s="27">
        <f t="shared" si="33"/>
        <v>0.59409909909909919</v>
      </c>
      <c r="G751" s="21" t="str">
        <f>IFERROR(INDEX(Users!$A$2:$A$310,MATCH(A751,Users!$B$2:$B$310,0)),"")</f>
        <v>Service B</v>
      </c>
      <c r="H751" s="21" t="str">
        <f>IFERROR(INDEX(Users!$D$2:$D$310,MATCH(A751,Users!$B$2:$B$310,0)),"")</f>
        <v>Band 5</v>
      </c>
      <c r="I751" s="19" t="b">
        <f t="shared" si="34"/>
        <v>0</v>
      </c>
      <c r="J751" s="33">
        <f t="shared" si="35"/>
        <v>0.59409909909909919</v>
      </c>
    </row>
    <row r="752" spans="1:10">
      <c r="A752" s="19" t="s">
        <v>144</v>
      </c>
      <c r="B752" s="20">
        <v>45901</v>
      </c>
      <c r="C752" s="21">
        <v>162.80000000000001</v>
      </c>
      <c r="D752" s="21">
        <v>156.20666666666665</v>
      </c>
      <c r="E752" s="21">
        <v>79.14</v>
      </c>
      <c r="F752" s="27">
        <f t="shared" si="33"/>
        <v>0.95950040950040938</v>
      </c>
      <c r="G752" s="21" t="str">
        <f>IFERROR(INDEX(Users!$A$2:$A$310,MATCH(A752,Users!$B$2:$B$310,0)),"")</f>
        <v>Service B</v>
      </c>
      <c r="H752" s="21" t="str">
        <f>IFERROR(INDEX(Users!$D$2:$D$310,MATCH(A752,Users!$B$2:$B$310,0)),"")</f>
        <v>Band 5</v>
      </c>
      <c r="I752" s="19" t="b">
        <f t="shared" si="34"/>
        <v>0</v>
      </c>
      <c r="J752" s="33">
        <f t="shared" si="35"/>
        <v>0.95950040950040938</v>
      </c>
    </row>
    <row r="753" spans="1:10">
      <c r="A753" s="19" t="s">
        <v>144</v>
      </c>
      <c r="B753" s="20">
        <v>45931</v>
      </c>
      <c r="C753" s="21">
        <v>170.2</v>
      </c>
      <c r="D753" s="21">
        <v>140.54666666666665</v>
      </c>
      <c r="E753" s="21">
        <v>91.38</v>
      </c>
      <c r="F753" s="27">
        <f t="shared" si="33"/>
        <v>0.8257735996866431</v>
      </c>
      <c r="G753" s="21" t="str">
        <f>IFERROR(INDEX(Users!$A$2:$A$310,MATCH(A753,Users!$B$2:$B$310,0)),"")</f>
        <v>Service B</v>
      </c>
      <c r="H753" s="21" t="str">
        <f>IFERROR(INDEX(Users!$D$2:$D$310,MATCH(A753,Users!$B$2:$B$310,0)),"")</f>
        <v>Band 5</v>
      </c>
      <c r="I753" s="19" t="b">
        <f t="shared" si="34"/>
        <v>0</v>
      </c>
      <c r="J753" s="33">
        <f t="shared" si="35"/>
        <v>0.8257735996866431</v>
      </c>
    </row>
    <row r="754" spans="1:10">
      <c r="A754" s="19" t="s">
        <v>144</v>
      </c>
      <c r="B754" s="20">
        <v>45962</v>
      </c>
      <c r="C754" s="21">
        <v>148</v>
      </c>
      <c r="D754" s="21">
        <v>143.11000000000001</v>
      </c>
      <c r="E754" s="21">
        <v>86.86</v>
      </c>
      <c r="F754" s="27">
        <f t="shared" si="33"/>
        <v>0.9669594594594596</v>
      </c>
      <c r="G754" s="21" t="str">
        <f>IFERROR(INDEX(Users!$A$2:$A$310,MATCH(A754,Users!$B$2:$B$310,0)),"")</f>
        <v>Service B</v>
      </c>
      <c r="H754" s="21" t="str">
        <f>IFERROR(INDEX(Users!$D$2:$D$310,MATCH(A754,Users!$B$2:$B$310,0)),"")</f>
        <v>Band 5</v>
      </c>
      <c r="I754" s="19" t="b">
        <f t="shared" si="34"/>
        <v>0</v>
      </c>
      <c r="J754" s="33">
        <f t="shared" si="35"/>
        <v>0.9669594594594596</v>
      </c>
    </row>
    <row r="755" spans="1:10">
      <c r="A755" s="19" t="s">
        <v>144</v>
      </c>
      <c r="B755" s="20">
        <v>45992</v>
      </c>
      <c r="C755" s="21">
        <v>155.4</v>
      </c>
      <c r="D755" s="21">
        <v>126.20666666666665</v>
      </c>
      <c r="E755" s="21">
        <v>78.039999999999992</v>
      </c>
      <c r="F755" s="27">
        <f t="shared" si="33"/>
        <v>0.81214071214071204</v>
      </c>
      <c r="G755" s="21" t="str">
        <f>IFERROR(INDEX(Users!$A$2:$A$310,MATCH(A755,Users!$B$2:$B$310,0)),"")</f>
        <v>Service B</v>
      </c>
      <c r="H755" s="21" t="str">
        <f>IFERROR(INDEX(Users!$D$2:$D$310,MATCH(A755,Users!$B$2:$B$310,0)),"")</f>
        <v>Band 5</v>
      </c>
      <c r="I755" s="19" t="b">
        <f t="shared" si="34"/>
        <v>0</v>
      </c>
      <c r="J755" s="33">
        <f t="shared" si="35"/>
        <v>0.81214071214071204</v>
      </c>
    </row>
    <row r="756" spans="1:10">
      <c r="A756" s="19" t="s">
        <v>144</v>
      </c>
      <c r="B756" s="20">
        <v>46023</v>
      </c>
      <c r="C756" s="21">
        <v>155.39999999999998</v>
      </c>
      <c r="D756" s="21">
        <v>155.25666666666666</v>
      </c>
      <c r="E756" s="21">
        <v>90.839999999999989</v>
      </c>
      <c r="F756" s="27">
        <f t="shared" si="33"/>
        <v>0.99907764907764918</v>
      </c>
      <c r="G756" s="21" t="str">
        <f>IFERROR(INDEX(Users!$A$2:$A$310,MATCH(A756,Users!$B$2:$B$310,0)),"")</f>
        <v>Service B</v>
      </c>
      <c r="H756" s="21" t="str">
        <f>IFERROR(INDEX(Users!$D$2:$D$310,MATCH(A756,Users!$B$2:$B$310,0)),"")</f>
        <v>Band 5</v>
      </c>
      <c r="I756" s="19" t="b">
        <f t="shared" si="34"/>
        <v>0</v>
      </c>
      <c r="J756" s="33" t="str">
        <f t="shared" si="35"/>
        <v/>
      </c>
    </row>
    <row r="757" spans="1:10">
      <c r="A757" s="19" t="s">
        <v>145</v>
      </c>
      <c r="B757" s="20">
        <v>45658</v>
      </c>
      <c r="C757" s="21">
        <v>166.5</v>
      </c>
      <c r="D757" s="21">
        <v>142.83666666666667</v>
      </c>
      <c r="E757" s="21">
        <v>47.92</v>
      </c>
      <c r="F757" s="27">
        <f t="shared" si="33"/>
        <v>0.85787787787787795</v>
      </c>
      <c r="G757" s="21" t="str">
        <f>IFERROR(INDEX(Users!$A$2:$A$310,MATCH(A757,Users!$B$2:$B$310,0)),"")</f>
        <v>Service D</v>
      </c>
      <c r="H757" s="21" t="str">
        <f>IFERROR(INDEX(Users!$D$2:$D$310,MATCH(A757,Users!$B$2:$B$310,0)),"")</f>
        <v>Band 3</v>
      </c>
      <c r="I757" s="19" t="b">
        <f t="shared" si="34"/>
        <v>0</v>
      </c>
      <c r="J757" s="33" t="str">
        <f t="shared" si="35"/>
        <v/>
      </c>
    </row>
    <row r="758" spans="1:10">
      <c r="A758" s="19" t="s">
        <v>145</v>
      </c>
      <c r="B758" s="20">
        <v>45689</v>
      </c>
      <c r="C758" s="21">
        <v>148</v>
      </c>
      <c r="D758" s="21">
        <v>128</v>
      </c>
      <c r="E758" s="21">
        <v>40.5</v>
      </c>
      <c r="F758" s="27">
        <f t="shared" si="33"/>
        <v>0.86486486486486491</v>
      </c>
      <c r="G758" s="21" t="str">
        <f>IFERROR(INDEX(Users!$A$2:$A$310,MATCH(A758,Users!$B$2:$B$310,0)),"")</f>
        <v>Service D</v>
      </c>
      <c r="H758" s="21" t="str">
        <f>IFERROR(INDEX(Users!$D$2:$D$310,MATCH(A758,Users!$B$2:$B$310,0)),"")</f>
        <v>Band 3</v>
      </c>
      <c r="I758" s="19" t="b">
        <f t="shared" si="34"/>
        <v>0</v>
      </c>
      <c r="J758" s="33" t="str">
        <f t="shared" si="35"/>
        <v/>
      </c>
    </row>
    <row r="759" spans="1:10">
      <c r="A759" s="19" t="s">
        <v>145</v>
      </c>
      <c r="B759" s="20">
        <v>45717</v>
      </c>
      <c r="C759" s="21">
        <v>148</v>
      </c>
      <c r="D759" s="21">
        <v>115.08333333333333</v>
      </c>
      <c r="E759" s="21">
        <v>66</v>
      </c>
      <c r="F759" s="27">
        <f t="shared" si="33"/>
        <v>0.77759009009009006</v>
      </c>
      <c r="G759" s="21" t="str">
        <f>IFERROR(INDEX(Users!$A$2:$A$310,MATCH(A759,Users!$B$2:$B$310,0)),"")</f>
        <v>Service D</v>
      </c>
      <c r="H759" s="21" t="str">
        <f>IFERROR(INDEX(Users!$D$2:$D$310,MATCH(A759,Users!$B$2:$B$310,0)),"")</f>
        <v>Band 3</v>
      </c>
      <c r="I759" s="19" t="b">
        <f t="shared" si="34"/>
        <v>0</v>
      </c>
      <c r="J759" s="33" t="str">
        <f t="shared" si="35"/>
        <v/>
      </c>
    </row>
    <row r="760" spans="1:10">
      <c r="A760" s="19" t="s">
        <v>145</v>
      </c>
      <c r="B760" s="20">
        <v>45748</v>
      </c>
      <c r="C760" s="21">
        <v>157.25</v>
      </c>
      <c r="D760" s="21"/>
      <c r="E760" s="21"/>
      <c r="F760" s="27" t="str">
        <f t="shared" si="33"/>
        <v/>
      </c>
      <c r="G760" s="21" t="str">
        <f>IFERROR(INDEX(Users!$A$2:$A$310,MATCH(A760,Users!$B$2:$B$310,0)),"")</f>
        <v>Service D</v>
      </c>
      <c r="H760" s="21" t="str">
        <f>IFERROR(INDEX(Users!$D$2:$D$310,MATCH(A760,Users!$B$2:$B$310,0)),"")</f>
        <v>Band 3</v>
      </c>
      <c r="I760" s="19" t="b">
        <f t="shared" si="34"/>
        <v>0</v>
      </c>
      <c r="J760" s="33" t="str">
        <f t="shared" si="35"/>
        <v/>
      </c>
    </row>
    <row r="761" spans="1:10">
      <c r="A761" s="19" t="s">
        <v>145</v>
      </c>
      <c r="B761" s="20">
        <v>45778</v>
      </c>
      <c r="C761" s="21">
        <v>166.5</v>
      </c>
      <c r="D761" s="21">
        <v>28.75</v>
      </c>
      <c r="E761" s="21">
        <v>7.5</v>
      </c>
      <c r="F761" s="27">
        <f t="shared" si="33"/>
        <v>0.17267267267267267</v>
      </c>
      <c r="G761" s="21" t="str">
        <f>IFERROR(INDEX(Users!$A$2:$A$310,MATCH(A761,Users!$B$2:$B$310,0)),"")</f>
        <v>Service D</v>
      </c>
      <c r="H761" s="21" t="str">
        <f>IFERROR(INDEX(Users!$D$2:$D$310,MATCH(A761,Users!$B$2:$B$310,0)),"")</f>
        <v>Band 3</v>
      </c>
      <c r="I761" s="19" t="b">
        <f t="shared" si="34"/>
        <v>0</v>
      </c>
      <c r="J761" s="33" t="str">
        <f t="shared" si="35"/>
        <v/>
      </c>
    </row>
    <row r="762" spans="1:10">
      <c r="A762" s="19" t="s">
        <v>145</v>
      </c>
      <c r="B762" s="20">
        <v>45809</v>
      </c>
      <c r="C762" s="21">
        <v>148</v>
      </c>
      <c r="D762" s="21">
        <v>102</v>
      </c>
      <c r="E762" s="21">
        <v>2.25</v>
      </c>
      <c r="F762" s="27">
        <f t="shared" si="33"/>
        <v>0.68918918918918914</v>
      </c>
      <c r="G762" s="21" t="str">
        <f>IFERROR(INDEX(Users!$A$2:$A$310,MATCH(A762,Users!$B$2:$B$310,0)),"")</f>
        <v>Service D</v>
      </c>
      <c r="H762" s="21" t="str">
        <f>IFERROR(INDEX(Users!$D$2:$D$310,MATCH(A762,Users!$B$2:$B$310,0)),"")</f>
        <v>Band 3</v>
      </c>
      <c r="I762" s="19" t="b">
        <f t="shared" si="34"/>
        <v>0</v>
      </c>
      <c r="J762" s="33" t="str">
        <f t="shared" si="35"/>
        <v/>
      </c>
    </row>
    <row r="763" spans="1:10">
      <c r="A763" s="19" t="s">
        <v>145</v>
      </c>
      <c r="B763" s="20">
        <v>45839</v>
      </c>
      <c r="C763" s="21">
        <v>175.75</v>
      </c>
      <c r="D763" s="21">
        <v>182.25</v>
      </c>
      <c r="E763" s="21">
        <v>32.75</v>
      </c>
      <c r="F763" s="27">
        <f t="shared" si="33"/>
        <v>1.0369843527738265</v>
      </c>
      <c r="G763" s="21" t="str">
        <f>IFERROR(INDEX(Users!$A$2:$A$310,MATCH(A763,Users!$B$2:$B$310,0)),"")</f>
        <v>Service D</v>
      </c>
      <c r="H763" s="21" t="str">
        <f>IFERROR(INDEX(Users!$D$2:$D$310,MATCH(A763,Users!$B$2:$B$310,0)),"")</f>
        <v>Band 3</v>
      </c>
      <c r="I763" s="19" t="b">
        <f t="shared" si="34"/>
        <v>0</v>
      </c>
      <c r="J763" s="33" t="str">
        <f t="shared" si="35"/>
        <v/>
      </c>
    </row>
    <row r="764" spans="1:10">
      <c r="A764" s="19" t="s">
        <v>145</v>
      </c>
      <c r="B764" s="20">
        <v>45870</v>
      </c>
      <c r="C764" s="21">
        <v>157.25</v>
      </c>
      <c r="D764" s="21">
        <v>117.25</v>
      </c>
      <c r="E764" s="21">
        <v>57.75</v>
      </c>
      <c r="F764" s="27">
        <f t="shared" si="33"/>
        <v>0.74562798092209859</v>
      </c>
      <c r="G764" s="21" t="str">
        <f>IFERROR(INDEX(Users!$A$2:$A$310,MATCH(A764,Users!$B$2:$B$310,0)),"")</f>
        <v>Service D</v>
      </c>
      <c r="H764" s="21" t="str">
        <f>IFERROR(INDEX(Users!$D$2:$D$310,MATCH(A764,Users!$B$2:$B$310,0)),"")</f>
        <v>Band 3</v>
      </c>
      <c r="I764" s="19" t="b">
        <f t="shared" si="34"/>
        <v>0</v>
      </c>
      <c r="J764" s="33" t="str">
        <f t="shared" si="35"/>
        <v/>
      </c>
    </row>
    <row r="765" spans="1:10">
      <c r="A765" s="19" t="s">
        <v>145</v>
      </c>
      <c r="B765" s="20">
        <v>45901</v>
      </c>
      <c r="C765" s="21">
        <v>157.25</v>
      </c>
      <c r="D765" s="21">
        <v>8</v>
      </c>
      <c r="E765" s="21"/>
      <c r="F765" s="27">
        <f t="shared" si="33"/>
        <v>5.0874403815580289E-2</v>
      </c>
      <c r="G765" s="21" t="str">
        <f>IFERROR(INDEX(Users!$A$2:$A$310,MATCH(A765,Users!$B$2:$B$310,0)),"")</f>
        <v>Service D</v>
      </c>
      <c r="H765" s="21" t="str">
        <f>IFERROR(INDEX(Users!$D$2:$D$310,MATCH(A765,Users!$B$2:$B$310,0)),"")</f>
        <v>Band 3</v>
      </c>
      <c r="I765" s="19" t="b">
        <f t="shared" si="34"/>
        <v>0</v>
      </c>
      <c r="J765" s="33" t="str">
        <f t="shared" si="35"/>
        <v/>
      </c>
    </row>
    <row r="766" spans="1:10">
      <c r="A766" s="19" t="s">
        <v>145</v>
      </c>
      <c r="B766" s="20">
        <v>45931</v>
      </c>
      <c r="C766" s="21">
        <v>175.75</v>
      </c>
      <c r="D766" s="21">
        <v>167</v>
      </c>
      <c r="E766" s="21">
        <v>32.25</v>
      </c>
      <c r="F766" s="27">
        <f t="shared" si="33"/>
        <v>0.9502133712660028</v>
      </c>
      <c r="G766" s="21" t="str">
        <f>IFERROR(INDEX(Users!$A$2:$A$310,MATCH(A766,Users!$B$2:$B$310,0)),"")</f>
        <v>Service D</v>
      </c>
      <c r="H766" s="21" t="str">
        <f>IFERROR(INDEX(Users!$D$2:$D$310,MATCH(A766,Users!$B$2:$B$310,0)),"")</f>
        <v>Band 3</v>
      </c>
      <c r="I766" s="19" t="b">
        <f t="shared" si="34"/>
        <v>0</v>
      </c>
      <c r="J766" s="33" t="str">
        <f t="shared" si="35"/>
        <v/>
      </c>
    </row>
    <row r="767" spans="1:10">
      <c r="A767" s="19" t="s">
        <v>145</v>
      </c>
      <c r="B767" s="20">
        <v>45962</v>
      </c>
      <c r="C767" s="21">
        <v>148</v>
      </c>
      <c r="D767" s="21">
        <v>157.5</v>
      </c>
      <c r="E767" s="21">
        <v>37</v>
      </c>
      <c r="F767" s="27">
        <f t="shared" si="33"/>
        <v>1.0641891891891893</v>
      </c>
      <c r="G767" s="21" t="str">
        <f>IFERROR(INDEX(Users!$A$2:$A$310,MATCH(A767,Users!$B$2:$B$310,0)),"")</f>
        <v>Service D</v>
      </c>
      <c r="H767" s="21" t="str">
        <f>IFERROR(INDEX(Users!$D$2:$D$310,MATCH(A767,Users!$B$2:$B$310,0)),"")</f>
        <v>Band 3</v>
      </c>
      <c r="I767" s="19" t="b">
        <f t="shared" si="34"/>
        <v>0</v>
      </c>
      <c r="J767" s="33" t="str">
        <f t="shared" si="35"/>
        <v/>
      </c>
    </row>
    <row r="768" spans="1:10">
      <c r="A768" s="19" t="s">
        <v>145</v>
      </c>
      <c r="B768" s="20">
        <v>45992</v>
      </c>
      <c r="C768" s="21">
        <v>148</v>
      </c>
      <c r="D768" s="21">
        <v>149.74666666666667</v>
      </c>
      <c r="E768" s="21">
        <v>28.58</v>
      </c>
      <c r="F768" s="27">
        <f t="shared" si="33"/>
        <v>1.0118018018018018</v>
      </c>
      <c r="G768" s="21" t="str">
        <f>IFERROR(INDEX(Users!$A$2:$A$310,MATCH(A768,Users!$B$2:$B$310,0)),"")</f>
        <v>Service D</v>
      </c>
      <c r="H768" s="21" t="str">
        <f>IFERROR(INDEX(Users!$D$2:$D$310,MATCH(A768,Users!$B$2:$B$310,0)),"")</f>
        <v>Band 3</v>
      </c>
      <c r="I768" s="19" t="b">
        <f t="shared" si="34"/>
        <v>0</v>
      </c>
      <c r="J768" s="33" t="str">
        <f t="shared" si="35"/>
        <v/>
      </c>
    </row>
    <row r="769" spans="1:10">
      <c r="A769" s="19" t="s">
        <v>145</v>
      </c>
      <c r="B769" s="20">
        <v>46023</v>
      </c>
      <c r="C769" s="21">
        <v>157.25</v>
      </c>
      <c r="D769" s="21">
        <v>150.16666666666666</v>
      </c>
      <c r="E769" s="21">
        <v>29.5</v>
      </c>
      <c r="F769" s="27">
        <f t="shared" si="33"/>
        <v>0.95495495495495486</v>
      </c>
      <c r="G769" s="21" t="str">
        <f>IFERROR(INDEX(Users!$A$2:$A$310,MATCH(A769,Users!$B$2:$B$310,0)),"")</f>
        <v>Service D</v>
      </c>
      <c r="H769" s="21" t="str">
        <f>IFERROR(INDEX(Users!$D$2:$D$310,MATCH(A769,Users!$B$2:$B$310,0)),"")</f>
        <v>Band 3</v>
      </c>
      <c r="I769" s="19" t="b">
        <f t="shared" si="34"/>
        <v>0</v>
      </c>
      <c r="J769" s="33" t="str">
        <f t="shared" si="35"/>
        <v/>
      </c>
    </row>
    <row r="770" spans="1:10">
      <c r="A770" s="19" t="s">
        <v>146</v>
      </c>
      <c r="B770" s="20">
        <v>45658</v>
      </c>
      <c r="C770" s="21">
        <v>162.80000000000001</v>
      </c>
      <c r="D770" s="21">
        <v>167.39666666666668</v>
      </c>
      <c r="E770" s="21">
        <v>121.98</v>
      </c>
      <c r="F770" s="27">
        <f t="shared" ref="F770:F833" si="36">IFERROR(IF(OR(C770="",D770="",C770=0),"",D770/C770),"")</f>
        <v>1.0282350532350533</v>
      </c>
      <c r="G770" s="21" t="str">
        <f>IFERROR(INDEX(Users!$A$2:$A$310,MATCH(A770,Users!$B$2:$B$310,0)),"")</f>
        <v>Service D</v>
      </c>
      <c r="H770" s="21" t="str">
        <f>IFERROR(INDEX(Users!$D$2:$D$310,MATCH(A770,Users!$B$2:$B$310,0)),"")</f>
        <v>Band 3</v>
      </c>
      <c r="I770" s="19" t="b">
        <f t="shared" ref="I770:I833" si="37">AND(G770="Service A",H770="Band 3")</f>
        <v>0</v>
      </c>
      <c r="J770" s="33" t="str">
        <f t="shared" ref="J770:J833" si="38">IF(AND(B770&gt;=DATE(2025,1,1),B770&lt;DATE(2026,1,1),G770="Service B",OR(H770="Band 3",H770="Band 5"),ISNUMBER(F770)),F770,"")</f>
        <v/>
      </c>
    </row>
    <row r="771" spans="1:10">
      <c r="A771" s="19" t="s">
        <v>146</v>
      </c>
      <c r="B771" s="20">
        <v>45689</v>
      </c>
      <c r="C771" s="21">
        <v>148</v>
      </c>
      <c r="D771" s="21">
        <v>135.50666666666666</v>
      </c>
      <c r="E771" s="21">
        <v>95.09</v>
      </c>
      <c r="F771" s="27">
        <f t="shared" si="36"/>
        <v>0.91558558558558556</v>
      </c>
      <c r="G771" s="21" t="str">
        <f>IFERROR(INDEX(Users!$A$2:$A$310,MATCH(A771,Users!$B$2:$B$310,0)),"")</f>
        <v>Service D</v>
      </c>
      <c r="H771" s="21" t="str">
        <f>IFERROR(INDEX(Users!$D$2:$D$310,MATCH(A771,Users!$B$2:$B$310,0)),"")</f>
        <v>Band 3</v>
      </c>
      <c r="I771" s="19" t="b">
        <f t="shared" si="37"/>
        <v>0</v>
      </c>
      <c r="J771" s="33" t="str">
        <f t="shared" si="38"/>
        <v/>
      </c>
    </row>
    <row r="772" spans="1:10">
      <c r="A772" s="19" t="s">
        <v>146</v>
      </c>
      <c r="B772" s="20">
        <v>45717</v>
      </c>
      <c r="C772" s="21">
        <v>155.4</v>
      </c>
      <c r="D772" s="21">
        <v>124.91666666666666</v>
      </c>
      <c r="E772" s="21">
        <v>90.833333333333329</v>
      </c>
      <c r="F772" s="27">
        <f t="shared" si="36"/>
        <v>0.80383955383955374</v>
      </c>
      <c r="G772" s="21" t="str">
        <f>IFERROR(INDEX(Users!$A$2:$A$310,MATCH(A772,Users!$B$2:$B$310,0)),"")</f>
        <v>Service D</v>
      </c>
      <c r="H772" s="21" t="str">
        <f>IFERROR(INDEX(Users!$D$2:$D$310,MATCH(A772,Users!$B$2:$B$310,0)),"")</f>
        <v>Band 3</v>
      </c>
      <c r="I772" s="19" t="b">
        <f t="shared" si="37"/>
        <v>0</v>
      </c>
      <c r="J772" s="33" t="str">
        <f t="shared" si="38"/>
        <v/>
      </c>
    </row>
    <row r="773" spans="1:10">
      <c r="A773" s="19" t="s">
        <v>146</v>
      </c>
      <c r="B773" s="20">
        <v>45748</v>
      </c>
      <c r="C773" s="21">
        <v>148</v>
      </c>
      <c r="D773" s="21">
        <v>152.82666666666668</v>
      </c>
      <c r="E773" s="21">
        <v>100.41</v>
      </c>
      <c r="F773" s="27">
        <f t="shared" si="36"/>
        <v>1.0326126126126127</v>
      </c>
      <c r="G773" s="21" t="str">
        <f>IFERROR(INDEX(Users!$A$2:$A$310,MATCH(A773,Users!$B$2:$B$310,0)),"")</f>
        <v>Service D</v>
      </c>
      <c r="H773" s="21" t="str">
        <f>IFERROR(INDEX(Users!$D$2:$D$310,MATCH(A773,Users!$B$2:$B$310,0)),"")</f>
        <v>Band 3</v>
      </c>
      <c r="I773" s="19" t="b">
        <f t="shared" si="37"/>
        <v>0</v>
      </c>
      <c r="J773" s="33" t="str">
        <f t="shared" si="38"/>
        <v/>
      </c>
    </row>
    <row r="774" spans="1:10">
      <c r="A774" s="19" t="s">
        <v>146</v>
      </c>
      <c r="B774" s="20">
        <v>45778</v>
      </c>
      <c r="C774" s="21">
        <v>148</v>
      </c>
      <c r="D774" s="21">
        <v>133.34666666666669</v>
      </c>
      <c r="E774" s="21">
        <v>69.346666666666678</v>
      </c>
      <c r="F774" s="27">
        <f t="shared" si="36"/>
        <v>0.90099099099099111</v>
      </c>
      <c r="G774" s="21" t="str">
        <f>IFERROR(INDEX(Users!$A$2:$A$310,MATCH(A774,Users!$B$2:$B$310,0)),"")</f>
        <v>Service D</v>
      </c>
      <c r="H774" s="21" t="str">
        <f>IFERROR(INDEX(Users!$D$2:$D$310,MATCH(A774,Users!$B$2:$B$310,0)),"")</f>
        <v>Band 3</v>
      </c>
      <c r="I774" s="19" t="b">
        <f t="shared" si="37"/>
        <v>0</v>
      </c>
      <c r="J774" s="33" t="str">
        <f t="shared" si="38"/>
        <v/>
      </c>
    </row>
    <row r="775" spans="1:10">
      <c r="A775" s="19" t="s">
        <v>146</v>
      </c>
      <c r="B775" s="20">
        <v>45809</v>
      </c>
      <c r="C775" s="21">
        <v>155.4</v>
      </c>
      <c r="D775" s="21">
        <v>132.40666666666669</v>
      </c>
      <c r="E775" s="21">
        <v>78.490000000000009</v>
      </c>
      <c r="F775" s="27">
        <f t="shared" si="36"/>
        <v>0.85203775203775223</v>
      </c>
      <c r="G775" s="21" t="str">
        <f>IFERROR(INDEX(Users!$A$2:$A$310,MATCH(A775,Users!$B$2:$B$310,0)),"")</f>
        <v>Service D</v>
      </c>
      <c r="H775" s="21" t="str">
        <f>IFERROR(INDEX(Users!$D$2:$D$310,MATCH(A775,Users!$B$2:$B$310,0)),"")</f>
        <v>Band 3</v>
      </c>
      <c r="I775" s="19" t="b">
        <f t="shared" si="37"/>
        <v>0</v>
      </c>
      <c r="J775" s="33" t="str">
        <f t="shared" si="38"/>
        <v/>
      </c>
    </row>
    <row r="776" spans="1:10">
      <c r="A776" s="19" t="s">
        <v>146</v>
      </c>
      <c r="B776" s="20">
        <v>45839</v>
      </c>
      <c r="C776" s="21">
        <v>170.20000000000002</v>
      </c>
      <c r="D776" s="21">
        <v>119.50333333333333</v>
      </c>
      <c r="E776" s="21">
        <v>63.25333333333333</v>
      </c>
      <c r="F776" s="27">
        <f t="shared" si="36"/>
        <v>0.70213474343909121</v>
      </c>
      <c r="G776" s="21" t="str">
        <f>IFERROR(INDEX(Users!$A$2:$A$310,MATCH(A776,Users!$B$2:$B$310,0)),"")</f>
        <v>Service D</v>
      </c>
      <c r="H776" s="21" t="str">
        <f>IFERROR(INDEX(Users!$D$2:$D$310,MATCH(A776,Users!$B$2:$B$310,0)),"")</f>
        <v>Band 3</v>
      </c>
      <c r="I776" s="19" t="b">
        <f t="shared" si="37"/>
        <v>0</v>
      </c>
      <c r="J776" s="33" t="str">
        <f t="shared" si="38"/>
        <v/>
      </c>
    </row>
    <row r="777" spans="1:10">
      <c r="A777" s="19" t="s">
        <v>146</v>
      </c>
      <c r="B777" s="20">
        <v>45870</v>
      </c>
      <c r="C777" s="21">
        <v>148</v>
      </c>
      <c r="D777" s="21">
        <v>90.413333333333327</v>
      </c>
      <c r="E777" s="21">
        <v>65.24666666666667</v>
      </c>
      <c r="F777" s="27">
        <f t="shared" si="36"/>
        <v>0.61090090090090088</v>
      </c>
      <c r="G777" s="21" t="str">
        <f>IFERROR(INDEX(Users!$A$2:$A$310,MATCH(A777,Users!$B$2:$B$310,0)),"")</f>
        <v>Service D</v>
      </c>
      <c r="H777" s="21" t="str">
        <f>IFERROR(INDEX(Users!$D$2:$D$310,MATCH(A777,Users!$B$2:$B$310,0)),"")</f>
        <v>Band 3</v>
      </c>
      <c r="I777" s="19" t="b">
        <f t="shared" si="37"/>
        <v>0</v>
      </c>
      <c r="J777" s="33" t="str">
        <f t="shared" si="38"/>
        <v/>
      </c>
    </row>
    <row r="778" spans="1:10">
      <c r="A778" s="19" t="s">
        <v>146</v>
      </c>
      <c r="B778" s="20">
        <v>45901</v>
      </c>
      <c r="C778" s="21">
        <v>162.80000000000001</v>
      </c>
      <c r="D778" s="21">
        <v>168.16666666666663</v>
      </c>
      <c r="E778" s="21">
        <v>90.25</v>
      </c>
      <c r="F778" s="27">
        <f t="shared" si="36"/>
        <v>1.0329647829647826</v>
      </c>
      <c r="G778" s="21" t="str">
        <f>IFERROR(INDEX(Users!$A$2:$A$310,MATCH(A778,Users!$B$2:$B$310,0)),"")</f>
        <v>Service D</v>
      </c>
      <c r="H778" s="21" t="str">
        <f>IFERROR(INDEX(Users!$D$2:$D$310,MATCH(A778,Users!$B$2:$B$310,0)),"")</f>
        <v>Band 3</v>
      </c>
      <c r="I778" s="19" t="b">
        <f t="shared" si="37"/>
        <v>0</v>
      </c>
      <c r="J778" s="33" t="str">
        <f t="shared" si="38"/>
        <v/>
      </c>
    </row>
    <row r="779" spans="1:10">
      <c r="A779" s="19" t="s">
        <v>146</v>
      </c>
      <c r="B779" s="20">
        <v>45931</v>
      </c>
      <c r="C779" s="21">
        <v>170.20000000000002</v>
      </c>
      <c r="D779" s="21">
        <v>131.08000000000001</v>
      </c>
      <c r="E779" s="21">
        <v>90.08</v>
      </c>
      <c r="F779" s="27">
        <f t="shared" si="36"/>
        <v>0.77015276145710931</v>
      </c>
      <c r="G779" s="21" t="str">
        <f>IFERROR(INDEX(Users!$A$2:$A$310,MATCH(A779,Users!$B$2:$B$310,0)),"")</f>
        <v>Service D</v>
      </c>
      <c r="H779" s="21" t="str">
        <f>IFERROR(INDEX(Users!$D$2:$D$310,MATCH(A779,Users!$B$2:$B$310,0)),"")</f>
        <v>Band 3</v>
      </c>
      <c r="I779" s="19" t="b">
        <f t="shared" si="37"/>
        <v>0</v>
      </c>
      <c r="J779" s="33" t="str">
        <f t="shared" si="38"/>
        <v/>
      </c>
    </row>
    <row r="780" spans="1:10">
      <c r="A780" s="19" t="s">
        <v>146</v>
      </c>
      <c r="B780" s="20">
        <v>45962</v>
      </c>
      <c r="C780" s="21">
        <v>148</v>
      </c>
      <c r="D780" s="21">
        <v>145.41666666666666</v>
      </c>
      <c r="E780" s="21">
        <v>95.25</v>
      </c>
      <c r="F780" s="27">
        <f t="shared" si="36"/>
        <v>0.98254504504504503</v>
      </c>
      <c r="G780" s="21" t="str">
        <f>IFERROR(INDEX(Users!$A$2:$A$310,MATCH(A780,Users!$B$2:$B$310,0)),"")</f>
        <v>Service D</v>
      </c>
      <c r="H780" s="21" t="str">
        <f>IFERROR(INDEX(Users!$D$2:$D$310,MATCH(A780,Users!$B$2:$B$310,0)),"")</f>
        <v>Band 3</v>
      </c>
      <c r="I780" s="19" t="b">
        <f t="shared" si="37"/>
        <v>0</v>
      </c>
      <c r="J780" s="33" t="str">
        <f t="shared" si="38"/>
        <v/>
      </c>
    </row>
    <row r="781" spans="1:10">
      <c r="A781" s="19" t="s">
        <v>146</v>
      </c>
      <c r="B781" s="20">
        <v>45992</v>
      </c>
      <c r="C781" s="21">
        <v>155.4</v>
      </c>
      <c r="D781" s="21">
        <v>82.92</v>
      </c>
      <c r="E781" s="21">
        <v>48.17</v>
      </c>
      <c r="F781" s="27">
        <f t="shared" si="36"/>
        <v>0.53359073359073361</v>
      </c>
      <c r="G781" s="21" t="str">
        <f>IFERROR(INDEX(Users!$A$2:$A$310,MATCH(A781,Users!$B$2:$B$310,0)),"")</f>
        <v>Service D</v>
      </c>
      <c r="H781" s="21" t="str">
        <f>IFERROR(INDEX(Users!$D$2:$D$310,MATCH(A781,Users!$B$2:$B$310,0)),"")</f>
        <v>Band 3</v>
      </c>
      <c r="I781" s="19" t="b">
        <f t="shared" si="37"/>
        <v>0</v>
      </c>
      <c r="J781" s="33" t="str">
        <f t="shared" si="38"/>
        <v/>
      </c>
    </row>
    <row r="782" spans="1:10">
      <c r="A782" s="19" t="s">
        <v>146</v>
      </c>
      <c r="B782" s="20">
        <v>46023</v>
      </c>
      <c r="C782" s="21">
        <v>155.4</v>
      </c>
      <c r="D782" s="21">
        <v>142.82333333333335</v>
      </c>
      <c r="E782" s="21">
        <v>89.490000000000009</v>
      </c>
      <c r="F782" s="27">
        <f t="shared" si="36"/>
        <v>0.91906906906906916</v>
      </c>
      <c r="G782" s="21" t="str">
        <f>IFERROR(INDEX(Users!$A$2:$A$310,MATCH(A782,Users!$B$2:$B$310,0)),"")</f>
        <v>Service D</v>
      </c>
      <c r="H782" s="21" t="str">
        <f>IFERROR(INDEX(Users!$D$2:$D$310,MATCH(A782,Users!$B$2:$B$310,0)),"")</f>
        <v>Band 3</v>
      </c>
      <c r="I782" s="19" t="b">
        <f t="shared" si="37"/>
        <v>0</v>
      </c>
      <c r="J782" s="33" t="str">
        <f t="shared" si="38"/>
        <v/>
      </c>
    </row>
    <row r="783" spans="1:10">
      <c r="A783" s="19" t="s">
        <v>147</v>
      </c>
      <c r="B783" s="20">
        <v>45717</v>
      </c>
      <c r="C783" s="21">
        <v>44.400000000000006</v>
      </c>
      <c r="D783" s="21">
        <v>44.47</v>
      </c>
      <c r="E783" s="21">
        <v>5.7700000000000005</v>
      </c>
      <c r="F783" s="27">
        <f t="shared" si="36"/>
        <v>1.0015765765765765</v>
      </c>
      <c r="G783" s="21" t="str">
        <f>IFERROR(INDEX(Users!$A$2:$A$310,MATCH(A783,Users!$B$2:$B$310,0)),"")</f>
        <v>Service B</v>
      </c>
      <c r="H783" s="21" t="str">
        <f>IFERROR(INDEX(Users!$D$2:$D$310,MATCH(A783,Users!$B$2:$B$310,0)),"")</f>
        <v>Band 5</v>
      </c>
      <c r="I783" s="19" t="b">
        <f t="shared" si="37"/>
        <v>0</v>
      </c>
      <c r="J783" s="33">
        <f t="shared" si="38"/>
        <v>1.0015765765765765</v>
      </c>
    </row>
    <row r="784" spans="1:10">
      <c r="A784" s="19" t="s">
        <v>147</v>
      </c>
      <c r="B784" s="20">
        <v>45748</v>
      </c>
      <c r="C784" s="21">
        <v>148</v>
      </c>
      <c r="D784" s="21">
        <v>141.51</v>
      </c>
      <c r="E784" s="21">
        <v>51.760000000000005</v>
      </c>
      <c r="F784" s="27">
        <f t="shared" si="36"/>
        <v>0.95614864864864857</v>
      </c>
      <c r="G784" s="21" t="str">
        <f>IFERROR(INDEX(Users!$A$2:$A$310,MATCH(A784,Users!$B$2:$B$310,0)),"")</f>
        <v>Service B</v>
      </c>
      <c r="H784" s="21" t="str">
        <f>IFERROR(INDEX(Users!$D$2:$D$310,MATCH(A784,Users!$B$2:$B$310,0)),"")</f>
        <v>Band 5</v>
      </c>
      <c r="I784" s="19" t="b">
        <f t="shared" si="37"/>
        <v>0</v>
      </c>
      <c r="J784" s="33">
        <f t="shared" si="38"/>
        <v>0.95614864864864857</v>
      </c>
    </row>
    <row r="785" spans="1:10">
      <c r="A785" s="19" t="s">
        <v>147</v>
      </c>
      <c r="B785" s="20">
        <v>45778</v>
      </c>
      <c r="C785" s="21">
        <v>148</v>
      </c>
      <c r="D785" s="21">
        <v>146.55000000000004</v>
      </c>
      <c r="E785" s="21">
        <v>48.800000000000018</v>
      </c>
      <c r="F785" s="27">
        <f t="shared" si="36"/>
        <v>0.99020270270270294</v>
      </c>
      <c r="G785" s="21" t="str">
        <f>IFERROR(INDEX(Users!$A$2:$A$310,MATCH(A785,Users!$B$2:$B$310,0)),"")</f>
        <v>Service B</v>
      </c>
      <c r="H785" s="21" t="str">
        <f>IFERROR(INDEX(Users!$D$2:$D$310,MATCH(A785,Users!$B$2:$B$310,0)),"")</f>
        <v>Band 5</v>
      </c>
      <c r="I785" s="19" t="b">
        <f t="shared" si="37"/>
        <v>0</v>
      </c>
      <c r="J785" s="33">
        <f t="shared" si="38"/>
        <v>0.99020270270270294</v>
      </c>
    </row>
    <row r="786" spans="1:10">
      <c r="A786" s="19" t="s">
        <v>147</v>
      </c>
      <c r="B786" s="20">
        <v>45809</v>
      </c>
      <c r="C786" s="21">
        <v>155.4</v>
      </c>
      <c r="D786" s="21">
        <v>151.75000000000006</v>
      </c>
      <c r="E786" s="21">
        <v>54.750000000000064</v>
      </c>
      <c r="F786" s="27">
        <f t="shared" si="36"/>
        <v>0.9765122265122268</v>
      </c>
      <c r="G786" s="21" t="str">
        <f>IFERROR(INDEX(Users!$A$2:$A$310,MATCH(A786,Users!$B$2:$B$310,0)),"")</f>
        <v>Service B</v>
      </c>
      <c r="H786" s="21" t="str">
        <f>IFERROR(INDEX(Users!$D$2:$D$310,MATCH(A786,Users!$B$2:$B$310,0)),"")</f>
        <v>Band 5</v>
      </c>
      <c r="I786" s="19" t="b">
        <f t="shared" si="37"/>
        <v>0</v>
      </c>
      <c r="J786" s="33">
        <f t="shared" si="38"/>
        <v>0.9765122265122268</v>
      </c>
    </row>
    <row r="787" spans="1:10">
      <c r="A787" s="19" t="s">
        <v>147</v>
      </c>
      <c r="B787" s="20">
        <v>45839</v>
      </c>
      <c r="C787" s="21">
        <v>170.20000000000002</v>
      </c>
      <c r="D787" s="21">
        <v>128.32666666666671</v>
      </c>
      <c r="E787" s="21">
        <v>64.410000000000039</v>
      </c>
      <c r="F787" s="27">
        <f t="shared" si="36"/>
        <v>0.75397571484528025</v>
      </c>
      <c r="G787" s="21" t="str">
        <f>IFERROR(INDEX(Users!$A$2:$A$310,MATCH(A787,Users!$B$2:$B$310,0)),"")</f>
        <v>Service B</v>
      </c>
      <c r="H787" s="21" t="str">
        <f>IFERROR(INDEX(Users!$D$2:$D$310,MATCH(A787,Users!$B$2:$B$310,0)),"")</f>
        <v>Band 5</v>
      </c>
      <c r="I787" s="19" t="b">
        <f t="shared" si="37"/>
        <v>0</v>
      </c>
      <c r="J787" s="33">
        <f t="shared" si="38"/>
        <v>0.75397571484528025</v>
      </c>
    </row>
    <row r="788" spans="1:10">
      <c r="A788" s="19" t="s">
        <v>147</v>
      </c>
      <c r="B788" s="20">
        <v>45870</v>
      </c>
      <c r="C788" s="21">
        <v>148</v>
      </c>
      <c r="D788" s="21">
        <v>146.46333333333328</v>
      </c>
      <c r="E788" s="21">
        <v>89.379999999999953</v>
      </c>
      <c r="F788" s="27">
        <f t="shared" si="36"/>
        <v>0.98961711711711675</v>
      </c>
      <c r="G788" s="21" t="str">
        <f>IFERROR(INDEX(Users!$A$2:$A$310,MATCH(A788,Users!$B$2:$B$310,0)),"")</f>
        <v>Service B</v>
      </c>
      <c r="H788" s="21" t="str">
        <f>IFERROR(INDEX(Users!$D$2:$D$310,MATCH(A788,Users!$B$2:$B$310,0)),"")</f>
        <v>Band 5</v>
      </c>
      <c r="I788" s="19" t="b">
        <f t="shared" si="37"/>
        <v>0</v>
      </c>
      <c r="J788" s="33">
        <f t="shared" si="38"/>
        <v>0.98961711711711675</v>
      </c>
    </row>
    <row r="789" spans="1:10">
      <c r="A789" s="19" t="s">
        <v>147</v>
      </c>
      <c r="B789" s="20">
        <v>45901</v>
      </c>
      <c r="C789" s="21">
        <v>162.80000000000001</v>
      </c>
      <c r="D789" s="21">
        <v>129.01000000000005</v>
      </c>
      <c r="E789" s="21">
        <v>83.310000000000031</v>
      </c>
      <c r="F789" s="27">
        <f t="shared" si="36"/>
        <v>0.79244471744471767</v>
      </c>
      <c r="G789" s="21" t="str">
        <f>IFERROR(INDEX(Users!$A$2:$A$310,MATCH(A789,Users!$B$2:$B$310,0)),"")</f>
        <v>Service B</v>
      </c>
      <c r="H789" s="21" t="str">
        <f>IFERROR(INDEX(Users!$D$2:$D$310,MATCH(A789,Users!$B$2:$B$310,0)),"")</f>
        <v>Band 5</v>
      </c>
      <c r="I789" s="19" t="b">
        <f t="shared" si="37"/>
        <v>0</v>
      </c>
      <c r="J789" s="33">
        <f t="shared" si="38"/>
        <v>0.79244471744471767</v>
      </c>
    </row>
    <row r="790" spans="1:10">
      <c r="A790" s="19" t="s">
        <v>147</v>
      </c>
      <c r="B790" s="20">
        <v>45931</v>
      </c>
      <c r="C790" s="21">
        <v>170.20000000000002</v>
      </c>
      <c r="D790" s="21">
        <v>150.79666666666668</v>
      </c>
      <c r="E790" s="21">
        <v>97.58</v>
      </c>
      <c r="F790" s="27">
        <f t="shared" si="36"/>
        <v>0.88599686643164899</v>
      </c>
      <c r="G790" s="21" t="str">
        <f>IFERROR(INDEX(Users!$A$2:$A$310,MATCH(A790,Users!$B$2:$B$310,0)),"")</f>
        <v>Service B</v>
      </c>
      <c r="H790" s="21" t="str">
        <f>IFERROR(INDEX(Users!$D$2:$D$310,MATCH(A790,Users!$B$2:$B$310,0)),"")</f>
        <v>Band 5</v>
      </c>
      <c r="I790" s="19" t="b">
        <f t="shared" si="37"/>
        <v>0</v>
      </c>
      <c r="J790" s="33">
        <f t="shared" si="38"/>
        <v>0.88599686643164899</v>
      </c>
    </row>
    <row r="791" spans="1:10">
      <c r="A791" s="19" t="s">
        <v>147</v>
      </c>
      <c r="B791" s="20">
        <v>45962</v>
      </c>
      <c r="C791" s="21">
        <v>148</v>
      </c>
      <c r="D791" s="21">
        <v>151.32333333333338</v>
      </c>
      <c r="E791" s="21">
        <v>104.94000000000004</v>
      </c>
      <c r="F791" s="27">
        <f t="shared" si="36"/>
        <v>1.0224549549549553</v>
      </c>
      <c r="G791" s="21" t="str">
        <f>IFERROR(INDEX(Users!$A$2:$A$310,MATCH(A791,Users!$B$2:$B$310,0)),"")</f>
        <v>Service B</v>
      </c>
      <c r="H791" s="21" t="str">
        <f>IFERROR(INDEX(Users!$D$2:$D$310,MATCH(A791,Users!$B$2:$B$310,0)),"")</f>
        <v>Band 5</v>
      </c>
      <c r="I791" s="19" t="b">
        <f t="shared" si="37"/>
        <v>0</v>
      </c>
      <c r="J791" s="33">
        <f t="shared" si="38"/>
        <v>1.0224549549549553</v>
      </c>
    </row>
    <row r="792" spans="1:10">
      <c r="A792" s="19" t="s">
        <v>147</v>
      </c>
      <c r="B792" s="20">
        <v>45992</v>
      </c>
      <c r="C792" s="21">
        <v>155.4</v>
      </c>
      <c r="D792" s="21">
        <v>101.1966666666667</v>
      </c>
      <c r="E792" s="21">
        <v>70.53000000000003</v>
      </c>
      <c r="F792" s="27">
        <f t="shared" si="36"/>
        <v>0.6512012012012014</v>
      </c>
      <c r="G792" s="21" t="str">
        <f>IFERROR(INDEX(Users!$A$2:$A$310,MATCH(A792,Users!$B$2:$B$310,0)),"")</f>
        <v>Service B</v>
      </c>
      <c r="H792" s="21" t="str">
        <f>IFERROR(INDEX(Users!$D$2:$D$310,MATCH(A792,Users!$B$2:$B$310,0)),"")</f>
        <v>Band 5</v>
      </c>
      <c r="I792" s="19" t="b">
        <f t="shared" si="37"/>
        <v>0</v>
      </c>
      <c r="J792" s="33">
        <f t="shared" si="38"/>
        <v>0.6512012012012014</v>
      </c>
    </row>
    <row r="793" spans="1:10">
      <c r="A793" s="19" t="s">
        <v>147</v>
      </c>
      <c r="B793" s="20">
        <v>46023</v>
      </c>
      <c r="C793" s="21">
        <v>155.4</v>
      </c>
      <c r="D793" s="21">
        <v>148.74666666666664</v>
      </c>
      <c r="E793" s="21">
        <v>86.929999999999978</v>
      </c>
      <c r="F793" s="27">
        <f t="shared" si="36"/>
        <v>0.95718575718575694</v>
      </c>
      <c r="G793" s="21" t="str">
        <f>IFERROR(INDEX(Users!$A$2:$A$310,MATCH(A793,Users!$B$2:$B$310,0)),"")</f>
        <v>Service B</v>
      </c>
      <c r="H793" s="21" t="str">
        <f>IFERROR(INDEX(Users!$D$2:$D$310,MATCH(A793,Users!$B$2:$B$310,0)),"")</f>
        <v>Band 5</v>
      </c>
      <c r="I793" s="19" t="b">
        <f t="shared" si="37"/>
        <v>0</v>
      </c>
      <c r="J793" s="33" t="str">
        <f t="shared" si="38"/>
        <v/>
      </c>
    </row>
    <row r="794" spans="1:10">
      <c r="A794" s="19" t="s">
        <v>149</v>
      </c>
      <c r="B794" s="20">
        <v>45658</v>
      </c>
      <c r="C794" s="21">
        <v>162.80000000000001</v>
      </c>
      <c r="D794" s="21">
        <v>89.596666666666664</v>
      </c>
      <c r="E794" s="21">
        <v>61.846666666666671</v>
      </c>
      <c r="F794" s="27">
        <f t="shared" si="36"/>
        <v>0.55034807534807528</v>
      </c>
      <c r="G794" s="21" t="str">
        <f>IFERROR(INDEX(Users!$A$2:$A$310,MATCH(A794,Users!$B$2:$B$310,0)),"")</f>
        <v>Service D</v>
      </c>
      <c r="H794" s="21" t="str">
        <f>IFERROR(INDEX(Users!$D$2:$D$310,MATCH(A794,Users!$B$2:$B$310,0)),"")</f>
        <v>Band 3</v>
      </c>
      <c r="I794" s="19" t="b">
        <f t="shared" si="37"/>
        <v>0</v>
      </c>
      <c r="J794" s="33" t="str">
        <f t="shared" si="38"/>
        <v/>
      </c>
    </row>
    <row r="795" spans="1:10">
      <c r="A795" s="19" t="s">
        <v>149</v>
      </c>
      <c r="B795" s="20">
        <v>45689</v>
      </c>
      <c r="C795" s="21">
        <v>148</v>
      </c>
      <c r="D795" s="21">
        <v>148.79666666666665</v>
      </c>
      <c r="E795" s="21">
        <v>91.88</v>
      </c>
      <c r="F795" s="27">
        <f t="shared" si="36"/>
        <v>1.0053828828828828</v>
      </c>
      <c r="G795" s="21" t="str">
        <f>IFERROR(INDEX(Users!$A$2:$A$310,MATCH(A795,Users!$B$2:$B$310,0)),"")</f>
        <v>Service D</v>
      </c>
      <c r="H795" s="21" t="str">
        <f>IFERROR(INDEX(Users!$D$2:$D$310,MATCH(A795,Users!$B$2:$B$310,0)),"")</f>
        <v>Band 3</v>
      </c>
      <c r="I795" s="19" t="b">
        <f t="shared" si="37"/>
        <v>0</v>
      </c>
      <c r="J795" s="33" t="str">
        <f t="shared" si="38"/>
        <v/>
      </c>
    </row>
    <row r="796" spans="1:10">
      <c r="A796" s="19" t="s">
        <v>149</v>
      </c>
      <c r="B796" s="20">
        <v>45717</v>
      </c>
      <c r="C796" s="21">
        <v>155.4</v>
      </c>
      <c r="D796" s="21">
        <v>144.27666666666667</v>
      </c>
      <c r="E796" s="21">
        <v>93.360000000000014</v>
      </c>
      <c r="F796" s="27">
        <f t="shared" si="36"/>
        <v>0.92842127842127842</v>
      </c>
      <c r="G796" s="21" t="str">
        <f>IFERROR(INDEX(Users!$A$2:$A$310,MATCH(A796,Users!$B$2:$B$310,0)),"")</f>
        <v>Service D</v>
      </c>
      <c r="H796" s="21" t="str">
        <f>IFERROR(INDEX(Users!$D$2:$D$310,MATCH(A796,Users!$B$2:$B$310,0)),"")</f>
        <v>Band 3</v>
      </c>
      <c r="I796" s="19" t="b">
        <f t="shared" si="37"/>
        <v>0</v>
      </c>
      <c r="J796" s="33" t="str">
        <f t="shared" si="38"/>
        <v/>
      </c>
    </row>
    <row r="797" spans="1:10">
      <c r="A797" s="19" t="s">
        <v>149</v>
      </c>
      <c r="B797" s="20">
        <v>45748</v>
      </c>
      <c r="C797" s="21">
        <v>148</v>
      </c>
      <c r="D797" s="21">
        <v>109.67999999999999</v>
      </c>
      <c r="E797" s="21">
        <v>78.429999999999993</v>
      </c>
      <c r="F797" s="27">
        <f t="shared" si="36"/>
        <v>0.74108108108108106</v>
      </c>
      <c r="G797" s="21" t="str">
        <f>IFERROR(INDEX(Users!$A$2:$A$310,MATCH(A797,Users!$B$2:$B$310,0)),"")</f>
        <v>Service D</v>
      </c>
      <c r="H797" s="21" t="str">
        <f>IFERROR(INDEX(Users!$D$2:$D$310,MATCH(A797,Users!$B$2:$B$310,0)),"")</f>
        <v>Band 3</v>
      </c>
      <c r="I797" s="19" t="b">
        <f t="shared" si="37"/>
        <v>0</v>
      </c>
      <c r="J797" s="33" t="str">
        <f t="shared" si="38"/>
        <v/>
      </c>
    </row>
    <row r="798" spans="1:10">
      <c r="A798" s="19" t="s">
        <v>149</v>
      </c>
      <c r="B798" s="20">
        <v>45778</v>
      </c>
      <c r="C798" s="21">
        <v>148</v>
      </c>
      <c r="D798" s="21">
        <v>103.49000000000001</v>
      </c>
      <c r="E798" s="21">
        <v>51.49</v>
      </c>
      <c r="F798" s="27">
        <f t="shared" si="36"/>
        <v>0.6992567567567568</v>
      </c>
      <c r="G798" s="21" t="str">
        <f>IFERROR(INDEX(Users!$A$2:$A$310,MATCH(A798,Users!$B$2:$B$310,0)),"")</f>
        <v>Service D</v>
      </c>
      <c r="H798" s="21" t="str">
        <f>IFERROR(INDEX(Users!$D$2:$D$310,MATCH(A798,Users!$B$2:$B$310,0)),"")</f>
        <v>Band 3</v>
      </c>
      <c r="I798" s="19" t="b">
        <f t="shared" si="37"/>
        <v>0</v>
      </c>
      <c r="J798" s="33" t="str">
        <f t="shared" si="38"/>
        <v/>
      </c>
    </row>
    <row r="799" spans="1:10">
      <c r="A799" s="19" t="s">
        <v>149</v>
      </c>
      <c r="B799" s="20">
        <v>45809</v>
      </c>
      <c r="C799" s="21">
        <v>155.4</v>
      </c>
      <c r="D799" s="21">
        <v>131.60666666666668</v>
      </c>
      <c r="E799" s="21">
        <v>87.69</v>
      </c>
      <c r="F799" s="27">
        <f t="shared" si="36"/>
        <v>0.84688974688974694</v>
      </c>
      <c r="G799" s="21" t="str">
        <f>IFERROR(INDEX(Users!$A$2:$A$310,MATCH(A799,Users!$B$2:$B$310,0)),"")</f>
        <v>Service D</v>
      </c>
      <c r="H799" s="21" t="str">
        <f>IFERROR(INDEX(Users!$D$2:$D$310,MATCH(A799,Users!$B$2:$B$310,0)),"")</f>
        <v>Band 3</v>
      </c>
      <c r="I799" s="19" t="b">
        <f t="shared" si="37"/>
        <v>0</v>
      </c>
      <c r="J799" s="33" t="str">
        <f t="shared" si="38"/>
        <v/>
      </c>
    </row>
    <row r="800" spans="1:10">
      <c r="A800" s="19" t="s">
        <v>149</v>
      </c>
      <c r="B800" s="20">
        <v>45839</v>
      </c>
      <c r="C800" s="21">
        <v>170.20000000000002</v>
      </c>
      <c r="D800" s="21">
        <v>135.52333333333334</v>
      </c>
      <c r="E800" s="21">
        <v>102.77333333333334</v>
      </c>
      <c r="F800" s="27">
        <f t="shared" si="36"/>
        <v>0.79625930278104184</v>
      </c>
      <c r="G800" s="21" t="str">
        <f>IFERROR(INDEX(Users!$A$2:$A$310,MATCH(A800,Users!$B$2:$B$310,0)),"")</f>
        <v>Service D</v>
      </c>
      <c r="H800" s="21" t="str">
        <f>IFERROR(INDEX(Users!$D$2:$D$310,MATCH(A800,Users!$B$2:$B$310,0)),"")</f>
        <v>Band 3</v>
      </c>
      <c r="I800" s="19" t="b">
        <f t="shared" si="37"/>
        <v>0</v>
      </c>
      <c r="J800" s="33" t="str">
        <f t="shared" si="38"/>
        <v/>
      </c>
    </row>
    <row r="801" spans="1:10">
      <c r="A801" s="19" t="s">
        <v>149</v>
      </c>
      <c r="B801" s="20">
        <v>45870</v>
      </c>
      <c r="C801" s="21">
        <v>148</v>
      </c>
      <c r="D801" s="21">
        <v>126.20000000000002</v>
      </c>
      <c r="E801" s="21">
        <v>76.366666666666674</v>
      </c>
      <c r="F801" s="27">
        <f t="shared" si="36"/>
        <v>0.85270270270270276</v>
      </c>
      <c r="G801" s="21" t="str">
        <f>IFERROR(INDEX(Users!$A$2:$A$310,MATCH(A801,Users!$B$2:$B$310,0)),"")</f>
        <v>Service D</v>
      </c>
      <c r="H801" s="21" t="str">
        <f>IFERROR(INDEX(Users!$D$2:$D$310,MATCH(A801,Users!$B$2:$B$310,0)),"")</f>
        <v>Band 3</v>
      </c>
      <c r="I801" s="19" t="b">
        <f t="shared" si="37"/>
        <v>0</v>
      </c>
      <c r="J801" s="33" t="str">
        <f t="shared" si="38"/>
        <v/>
      </c>
    </row>
    <row r="802" spans="1:10">
      <c r="A802" s="19" t="s">
        <v>149</v>
      </c>
      <c r="B802" s="20">
        <v>45901</v>
      </c>
      <c r="C802" s="21">
        <v>162.80000000000001</v>
      </c>
      <c r="D802" s="21">
        <v>154.45666666666668</v>
      </c>
      <c r="E802" s="21">
        <v>110.62333333333336</v>
      </c>
      <c r="F802" s="27">
        <f t="shared" si="36"/>
        <v>0.94875102375102371</v>
      </c>
      <c r="G802" s="21" t="str">
        <f>IFERROR(INDEX(Users!$A$2:$A$310,MATCH(A802,Users!$B$2:$B$310,0)),"")</f>
        <v>Service D</v>
      </c>
      <c r="H802" s="21" t="str">
        <f>IFERROR(INDEX(Users!$D$2:$D$310,MATCH(A802,Users!$B$2:$B$310,0)),"")</f>
        <v>Band 3</v>
      </c>
      <c r="I802" s="19" t="b">
        <f t="shared" si="37"/>
        <v>0</v>
      </c>
      <c r="J802" s="33" t="str">
        <f t="shared" si="38"/>
        <v/>
      </c>
    </row>
    <row r="803" spans="1:10">
      <c r="A803" s="19" t="s">
        <v>149</v>
      </c>
      <c r="B803" s="20">
        <v>45931</v>
      </c>
      <c r="C803" s="21">
        <v>170.20000000000002</v>
      </c>
      <c r="D803" s="21">
        <v>156.53666666666669</v>
      </c>
      <c r="E803" s="21">
        <v>89.87</v>
      </c>
      <c r="F803" s="27">
        <f t="shared" si="36"/>
        <v>0.91972189580885233</v>
      </c>
      <c r="G803" s="21" t="str">
        <f>IFERROR(INDEX(Users!$A$2:$A$310,MATCH(A803,Users!$B$2:$B$310,0)),"")</f>
        <v>Service D</v>
      </c>
      <c r="H803" s="21" t="str">
        <f>IFERROR(INDEX(Users!$D$2:$D$310,MATCH(A803,Users!$B$2:$B$310,0)),"")</f>
        <v>Band 3</v>
      </c>
      <c r="I803" s="19" t="b">
        <f t="shared" si="37"/>
        <v>0</v>
      </c>
      <c r="J803" s="33" t="str">
        <f t="shared" si="38"/>
        <v/>
      </c>
    </row>
    <row r="804" spans="1:10">
      <c r="A804" s="19" t="s">
        <v>149</v>
      </c>
      <c r="B804" s="20">
        <v>45962</v>
      </c>
      <c r="C804" s="21">
        <v>148</v>
      </c>
      <c r="D804" s="21">
        <v>102.94</v>
      </c>
      <c r="E804" s="21">
        <v>45.856666666666669</v>
      </c>
      <c r="F804" s="27">
        <f t="shared" si="36"/>
        <v>0.69554054054054049</v>
      </c>
      <c r="G804" s="21" t="str">
        <f>IFERROR(INDEX(Users!$A$2:$A$310,MATCH(A804,Users!$B$2:$B$310,0)),"")</f>
        <v>Service D</v>
      </c>
      <c r="H804" s="21" t="str">
        <f>IFERROR(INDEX(Users!$D$2:$D$310,MATCH(A804,Users!$B$2:$B$310,0)),"")</f>
        <v>Band 3</v>
      </c>
      <c r="I804" s="19" t="b">
        <f t="shared" si="37"/>
        <v>0</v>
      </c>
      <c r="J804" s="33" t="str">
        <f t="shared" si="38"/>
        <v/>
      </c>
    </row>
    <row r="805" spans="1:10">
      <c r="A805" s="19" t="s">
        <v>149</v>
      </c>
      <c r="B805" s="20">
        <v>45992</v>
      </c>
      <c r="C805" s="21">
        <v>155.4</v>
      </c>
      <c r="D805" s="21">
        <v>172.53333333333336</v>
      </c>
      <c r="E805" s="21">
        <v>99.700000000000017</v>
      </c>
      <c r="F805" s="27">
        <f t="shared" si="36"/>
        <v>1.1102531102531104</v>
      </c>
      <c r="G805" s="21" t="str">
        <f>IFERROR(INDEX(Users!$A$2:$A$310,MATCH(A805,Users!$B$2:$B$310,0)),"")</f>
        <v>Service D</v>
      </c>
      <c r="H805" s="21" t="str">
        <f>IFERROR(INDEX(Users!$D$2:$D$310,MATCH(A805,Users!$B$2:$B$310,0)),"")</f>
        <v>Band 3</v>
      </c>
      <c r="I805" s="19" t="b">
        <f t="shared" si="37"/>
        <v>0</v>
      </c>
      <c r="J805" s="33" t="str">
        <f t="shared" si="38"/>
        <v/>
      </c>
    </row>
    <row r="806" spans="1:10">
      <c r="A806" s="19" t="s">
        <v>149</v>
      </c>
      <c r="B806" s="20">
        <v>46023</v>
      </c>
      <c r="C806" s="21">
        <v>155.4</v>
      </c>
      <c r="D806" s="21">
        <v>154.62</v>
      </c>
      <c r="E806" s="21">
        <v>57.120000000000012</v>
      </c>
      <c r="F806" s="27">
        <f t="shared" si="36"/>
        <v>0.99498069498069497</v>
      </c>
      <c r="G806" s="21" t="str">
        <f>IFERROR(INDEX(Users!$A$2:$A$310,MATCH(A806,Users!$B$2:$B$310,0)),"")</f>
        <v>Service D</v>
      </c>
      <c r="H806" s="21" t="str">
        <f>IFERROR(INDEX(Users!$D$2:$D$310,MATCH(A806,Users!$B$2:$B$310,0)),"")</f>
        <v>Band 3</v>
      </c>
      <c r="I806" s="19" t="b">
        <f t="shared" si="37"/>
        <v>0</v>
      </c>
      <c r="J806" s="33" t="str">
        <f t="shared" si="38"/>
        <v/>
      </c>
    </row>
    <row r="807" spans="1:10">
      <c r="A807" s="19" t="s">
        <v>150</v>
      </c>
      <c r="B807" s="20">
        <v>45658</v>
      </c>
      <c r="C807" s="21">
        <v>162.80000000000001</v>
      </c>
      <c r="D807" s="21">
        <v>148.99999999999997</v>
      </c>
      <c r="E807" s="21">
        <v>110</v>
      </c>
      <c r="F807" s="27">
        <f t="shared" si="36"/>
        <v>0.91523341523341495</v>
      </c>
      <c r="G807" s="21" t="str">
        <f>IFERROR(INDEX(Users!$A$2:$A$310,MATCH(A807,Users!$B$2:$B$310,0)),"")</f>
        <v>Service A</v>
      </c>
      <c r="H807" s="21" t="str">
        <f>IFERROR(INDEX(Users!$D$2:$D$310,MATCH(A807,Users!$B$2:$B$310,0)),"")</f>
        <v>Band 3</v>
      </c>
      <c r="I807" s="19" t="b">
        <f t="shared" si="37"/>
        <v>1</v>
      </c>
      <c r="J807" s="33" t="str">
        <f t="shared" si="38"/>
        <v/>
      </c>
    </row>
    <row r="808" spans="1:10">
      <c r="A808" s="19" t="s">
        <v>150</v>
      </c>
      <c r="B808" s="20">
        <v>45689</v>
      </c>
      <c r="C808" s="21">
        <v>148</v>
      </c>
      <c r="D808" s="21">
        <v>143.29999999999998</v>
      </c>
      <c r="E808" s="21">
        <v>81.8</v>
      </c>
      <c r="F808" s="27">
        <f t="shared" si="36"/>
        <v>0.96824324324324318</v>
      </c>
      <c r="G808" s="21" t="str">
        <f>IFERROR(INDEX(Users!$A$2:$A$310,MATCH(A808,Users!$B$2:$B$310,0)),"")</f>
        <v>Service A</v>
      </c>
      <c r="H808" s="21" t="str">
        <f>IFERROR(INDEX(Users!$D$2:$D$310,MATCH(A808,Users!$B$2:$B$310,0)),"")</f>
        <v>Band 3</v>
      </c>
      <c r="I808" s="19" t="b">
        <f t="shared" si="37"/>
        <v>1</v>
      </c>
      <c r="J808" s="33" t="str">
        <f t="shared" si="38"/>
        <v/>
      </c>
    </row>
    <row r="809" spans="1:10">
      <c r="A809" s="19" t="s">
        <v>150</v>
      </c>
      <c r="B809" s="20">
        <v>45717</v>
      </c>
      <c r="C809" s="21">
        <v>155.4</v>
      </c>
      <c r="D809" s="21">
        <v>147.99999999999997</v>
      </c>
      <c r="E809" s="21">
        <v>104.19999999999999</v>
      </c>
      <c r="F809" s="27">
        <f t="shared" si="36"/>
        <v>0.95238095238095222</v>
      </c>
      <c r="G809" s="21" t="str">
        <f>IFERROR(INDEX(Users!$A$2:$A$310,MATCH(A809,Users!$B$2:$B$310,0)),"")</f>
        <v>Service A</v>
      </c>
      <c r="H809" s="21" t="str">
        <f>IFERROR(INDEX(Users!$D$2:$D$310,MATCH(A809,Users!$B$2:$B$310,0)),"")</f>
        <v>Band 3</v>
      </c>
      <c r="I809" s="19" t="b">
        <f t="shared" si="37"/>
        <v>1</v>
      </c>
      <c r="J809" s="33" t="str">
        <f t="shared" si="38"/>
        <v/>
      </c>
    </row>
    <row r="810" spans="1:10">
      <c r="A810" s="19" t="s">
        <v>150</v>
      </c>
      <c r="B810" s="20">
        <v>45748</v>
      </c>
      <c r="C810" s="21">
        <v>148</v>
      </c>
      <c r="D810" s="21">
        <v>138.21666666666664</v>
      </c>
      <c r="E810" s="21">
        <v>74</v>
      </c>
      <c r="F810" s="27">
        <f t="shared" si="36"/>
        <v>0.93389639639639621</v>
      </c>
      <c r="G810" s="21" t="str">
        <f>IFERROR(INDEX(Users!$A$2:$A$310,MATCH(A810,Users!$B$2:$B$310,0)),"")</f>
        <v>Service A</v>
      </c>
      <c r="H810" s="21" t="str">
        <f>IFERROR(INDEX(Users!$D$2:$D$310,MATCH(A810,Users!$B$2:$B$310,0)),"")</f>
        <v>Band 3</v>
      </c>
      <c r="I810" s="19" t="b">
        <f t="shared" si="37"/>
        <v>1</v>
      </c>
      <c r="J810" s="33" t="str">
        <f t="shared" si="38"/>
        <v/>
      </c>
    </row>
    <row r="811" spans="1:10">
      <c r="A811" s="19" t="s">
        <v>150</v>
      </c>
      <c r="B811" s="20">
        <v>45778</v>
      </c>
      <c r="C811" s="21">
        <v>148</v>
      </c>
      <c r="D811" s="21">
        <v>131.79999999999998</v>
      </c>
      <c r="E811" s="21">
        <v>81</v>
      </c>
      <c r="F811" s="27">
        <f t="shared" si="36"/>
        <v>0.89054054054054044</v>
      </c>
      <c r="G811" s="21" t="str">
        <f>IFERROR(INDEX(Users!$A$2:$A$310,MATCH(A811,Users!$B$2:$B$310,0)),"")</f>
        <v>Service A</v>
      </c>
      <c r="H811" s="21" t="str">
        <f>IFERROR(INDEX(Users!$D$2:$D$310,MATCH(A811,Users!$B$2:$B$310,0)),"")</f>
        <v>Band 3</v>
      </c>
      <c r="I811" s="19" t="b">
        <f t="shared" si="37"/>
        <v>1</v>
      </c>
      <c r="J811" s="33" t="str">
        <f t="shared" si="38"/>
        <v/>
      </c>
    </row>
    <row r="812" spans="1:10">
      <c r="A812" s="19" t="s">
        <v>150</v>
      </c>
      <c r="B812" s="20">
        <v>45809</v>
      </c>
      <c r="C812" s="21">
        <v>155.4</v>
      </c>
      <c r="D812" s="21">
        <v>143</v>
      </c>
      <c r="E812" s="21">
        <v>78.599999999999994</v>
      </c>
      <c r="F812" s="27">
        <f t="shared" si="36"/>
        <v>0.92020592020592018</v>
      </c>
      <c r="G812" s="21" t="str">
        <f>IFERROR(INDEX(Users!$A$2:$A$310,MATCH(A812,Users!$B$2:$B$310,0)),"")</f>
        <v>Service A</v>
      </c>
      <c r="H812" s="21" t="str">
        <f>IFERROR(INDEX(Users!$D$2:$D$310,MATCH(A812,Users!$B$2:$B$310,0)),"")</f>
        <v>Band 3</v>
      </c>
      <c r="I812" s="19" t="b">
        <f t="shared" si="37"/>
        <v>1</v>
      </c>
      <c r="J812" s="33" t="str">
        <f t="shared" si="38"/>
        <v/>
      </c>
    </row>
    <row r="813" spans="1:10">
      <c r="A813" s="19" t="s">
        <v>150</v>
      </c>
      <c r="B813" s="20">
        <v>45839</v>
      </c>
      <c r="C813" s="21">
        <v>170.20000000000002</v>
      </c>
      <c r="D813" s="21">
        <v>168.59999999999997</v>
      </c>
      <c r="E813" s="21">
        <v>97.8</v>
      </c>
      <c r="F813" s="27">
        <f t="shared" si="36"/>
        <v>0.99059929494712073</v>
      </c>
      <c r="G813" s="21" t="str">
        <f>IFERROR(INDEX(Users!$A$2:$A$310,MATCH(A813,Users!$B$2:$B$310,0)),"")</f>
        <v>Service A</v>
      </c>
      <c r="H813" s="21" t="str">
        <f>IFERROR(INDEX(Users!$D$2:$D$310,MATCH(A813,Users!$B$2:$B$310,0)),"")</f>
        <v>Band 3</v>
      </c>
      <c r="I813" s="19" t="b">
        <f t="shared" si="37"/>
        <v>1</v>
      </c>
      <c r="J813" s="33" t="str">
        <f t="shared" si="38"/>
        <v/>
      </c>
    </row>
    <row r="814" spans="1:10">
      <c r="A814" s="19" t="s">
        <v>150</v>
      </c>
      <c r="B814" s="20">
        <v>45870</v>
      </c>
      <c r="C814" s="21">
        <v>148</v>
      </c>
      <c r="D814" s="21">
        <v>138.6</v>
      </c>
      <c r="E814" s="21">
        <v>66</v>
      </c>
      <c r="F814" s="27">
        <f t="shared" si="36"/>
        <v>0.93648648648648647</v>
      </c>
      <c r="G814" s="21" t="str">
        <f>IFERROR(INDEX(Users!$A$2:$A$310,MATCH(A814,Users!$B$2:$B$310,0)),"")</f>
        <v>Service A</v>
      </c>
      <c r="H814" s="21" t="str">
        <f>IFERROR(INDEX(Users!$D$2:$D$310,MATCH(A814,Users!$B$2:$B$310,0)),"")</f>
        <v>Band 3</v>
      </c>
      <c r="I814" s="19" t="b">
        <f t="shared" si="37"/>
        <v>1</v>
      </c>
      <c r="J814" s="33" t="str">
        <f t="shared" si="38"/>
        <v/>
      </c>
    </row>
    <row r="815" spans="1:10">
      <c r="A815" s="19" t="s">
        <v>150</v>
      </c>
      <c r="B815" s="20">
        <v>45901</v>
      </c>
      <c r="C815" s="21">
        <v>162.80000000000001</v>
      </c>
      <c r="D815" s="21">
        <v>147</v>
      </c>
      <c r="E815" s="21">
        <v>73</v>
      </c>
      <c r="F815" s="27">
        <f t="shared" si="36"/>
        <v>0.90294840294840284</v>
      </c>
      <c r="G815" s="21" t="str">
        <f>IFERROR(INDEX(Users!$A$2:$A$310,MATCH(A815,Users!$B$2:$B$310,0)),"")</f>
        <v>Service A</v>
      </c>
      <c r="H815" s="21" t="str">
        <f>IFERROR(INDEX(Users!$D$2:$D$310,MATCH(A815,Users!$B$2:$B$310,0)),"")</f>
        <v>Band 3</v>
      </c>
      <c r="I815" s="19" t="b">
        <f t="shared" si="37"/>
        <v>1</v>
      </c>
      <c r="J815" s="33" t="str">
        <f t="shared" si="38"/>
        <v/>
      </c>
    </row>
    <row r="816" spans="1:10">
      <c r="A816" s="19" t="s">
        <v>150</v>
      </c>
      <c r="B816" s="20">
        <v>45931</v>
      </c>
      <c r="C816" s="21">
        <v>170.20000000000002</v>
      </c>
      <c r="D816" s="21">
        <v>154.80000000000001</v>
      </c>
      <c r="E816" s="21">
        <v>70</v>
      </c>
      <c r="F816" s="27">
        <f t="shared" si="36"/>
        <v>0.90951821386603993</v>
      </c>
      <c r="G816" s="21" t="str">
        <f>IFERROR(INDEX(Users!$A$2:$A$310,MATCH(A816,Users!$B$2:$B$310,0)),"")</f>
        <v>Service A</v>
      </c>
      <c r="H816" s="21" t="str">
        <f>IFERROR(INDEX(Users!$D$2:$D$310,MATCH(A816,Users!$B$2:$B$310,0)),"")</f>
        <v>Band 3</v>
      </c>
      <c r="I816" s="19" t="b">
        <f t="shared" si="37"/>
        <v>1</v>
      </c>
      <c r="J816" s="33" t="str">
        <f t="shared" si="38"/>
        <v/>
      </c>
    </row>
    <row r="817" spans="1:10">
      <c r="A817" s="19" t="s">
        <v>150</v>
      </c>
      <c r="B817" s="20">
        <v>45962</v>
      </c>
      <c r="C817" s="21">
        <v>148</v>
      </c>
      <c r="D817" s="21">
        <v>139.40000000000003</v>
      </c>
      <c r="E817" s="21">
        <v>62</v>
      </c>
      <c r="F817" s="27">
        <f t="shared" si="36"/>
        <v>0.94189189189189215</v>
      </c>
      <c r="G817" s="21" t="str">
        <f>IFERROR(INDEX(Users!$A$2:$A$310,MATCH(A817,Users!$B$2:$B$310,0)),"")</f>
        <v>Service A</v>
      </c>
      <c r="H817" s="21" t="str">
        <f>IFERROR(INDEX(Users!$D$2:$D$310,MATCH(A817,Users!$B$2:$B$310,0)),"")</f>
        <v>Band 3</v>
      </c>
      <c r="I817" s="19" t="b">
        <f t="shared" si="37"/>
        <v>1</v>
      </c>
      <c r="J817" s="33" t="str">
        <f t="shared" si="38"/>
        <v/>
      </c>
    </row>
    <row r="818" spans="1:10">
      <c r="A818" s="19" t="s">
        <v>150</v>
      </c>
      <c r="B818" s="20">
        <v>45992</v>
      </c>
      <c r="C818" s="21">
        <v>155.4</v>
      </c>
      <c r="D818" s="21">
        <v>108.99999999999999</v>
      </c>
      <c r="E818" s="21">
        <v>44</v>
      </c>
      <c r="F818" s="27">
        <f t="shared" si="36"/>
        <v>0.70141570141570131</v>
      </c>
      <c r="G818" s="21" t="str">
        <f>IFERROR(INDEX(Users!$A$2:$A$310,MATCH(A818,Users!$B$2:$B$310,0)),"")</f>
        <v>Service A</v>
      </c>
      <c r="H818" s="21" t="str">
        <f>IFERROR(INDEX(Users!$D$2:$D$310,MATCH(A818,Users!$B$2:$B$310,0)),"")</f>
        <v>Band 3</v>
      </c>
      <c r="I818" s="19" t="b">
        <f t="shared" si="37"/>
        <v>1</v>
      </c>
      <c r="J818" s="33" t="str">
        <f t="shared" si="38"/>
        <v/>
      </c>
    </row>
    <row r="819" spans="1:10">
      <c r="A819" s="19" t="s">
        <v>150</v>
      </c>
      <c r="B819" s="20">
        <v>46023</v>
      </c>
      <c r="C819" s="21">
        <v>155.4</v>
      </c>
      <c r="D819" s="21">
        <v>139.60000000000002</v>
      </c>
      <c r="E819" s="21">
        <v>70</v>
      </c>
      <c r="F819" s="27">
        <f t="shared" si="36"/>
        <v>0.89832689832689849</v>
      </c>
      <c r="G819" s="21" t="str">
        <f>IFERROR(INDEX(Users!$A$2:$A$310,MATCH(A819,Users!$B$2:$B$310,0)),"")</f>
        <v>Service A</v>
      </c>
      <c r="H819" s="21" t="str">
        <f>IFERROR(INDEX(Users!$D$2:$D$310,MATCH(A819,Users!$B$2:$B$310,0)),"")</f>
        <v>Band 3</v>
      </c>
      <c r="I819" s="19" t="b">
        <f t="shared" si="37"/>
        <v>1</v>
      </c>
      <c r="J819" s="33" t="str">
        <f t="shared" si="38"/>
        <v/>
      </c>
    </row>
    <row r="820" spans="1:10">
      <c r="A820" s="19" t="s">
        <v>151</v>
      </c>
      <c r="B820" s="20">
        <v>45901</v>
      </c>
      <c r="C820" s="21">
        <v>51.8</v>
      </c>
      <c r="D820" s="21"/>
      <c r="E820" s="21"/>
      <c r="F820" s="27" t="str">
        <f t="shared" si="36"/>
        <v/>
      </c>
      <c r="G820" s="21" t="str">
        <f>IFERROR(INDEX(Users!$A$2:$A$310,MATCH(A820,Users!$B$2:$B$310,0)),"")</f>
        <v>Service B</v>
      </c>
      <c r="H820" s="21" t="str">
        <f>IFERROR(INDEX(Users!$D$2:$D$310,MATCH(A820,Users!$B$2:$B$310,0)),"")</f>
        <v>Band 5</v>
      </c>
      <c r="I820" s="19" t="b">
        <f t="shared" si="37"/>
        <v>0</v>
      </c>
      <c r="J820" s="33" t="str">
        <f t="shared" si="38"/>
        <v/>
      </c>
    </row>
    <row r="821" spans="1:10">
      <c r="A821" s="19" t="s">
        <v>151</v>
      </c>
      <c r="B821" s="20">
        <v>45931</v>
      </c>
      <c r="C821" s="21">
        <v>170.20000000000007</v>
      </c>
      <c r="D821" s="21">
        <v>169.36000000000004</v>
      </c>
      <c r="E821" s="21">
        <v>5.46</v>
      </c>
      <c r="F821" s="27">
        <f t="shared" si="36"/>
        <v>0.99506462984723831</v>
      </c>
      <c r="G821" s="21" t="str">
        <f>IFERROR(INDEX(Users!$A$2:$A$310,MATCH(A821,Users!$B$2:$B$310,0)),"")</f>
        <v>Service B</v>
      </c>
      <c r="H821" s="21" t="str">
        <f>IFERROR(INDEX(Users!$D$2:$D$310,MATCH(A821,Users!$B$2:$B$310,0)),"")</f>
        <v>Band 5</v>
      </c>
      <c r="I821" s="19" t="b">
        <f t="shared" si="37"/>
        <v>0</v>
      </c>
      <c r="J821" s="33">
        <f t="shared" si="38"/>
        <v>0.99506462984723831</v>
      </c>
    </row>
    <row r="822" spans="1:10">
      <c r="A822" s="19" t="s">
        <v>151</v>
      </c>
      <c r="B822" s="20">
        <v>45962</v>
      </c>
      <c r="C822" s="21">
        <v>148.00000000000006</v>
      </c>
      <c r="D822" s="21">
        <v>135.41333333333336</v>
      </c>
      <c r="E822" s="21">
        <v>19.529999999999994</v>
      </c>
      <c r="F822" s="27">
        <f t="shared" si="36"/>
        <v>0.91495495495495471</v>
      </c>
      <c r="G822" s="21" t="str">
        <f>IFERROR(INDEX(Users!$A$2:$A$310,MATCH(A822,Users!$B$2:$B$310,0)),"")</f>
        <v>Service B</v>
      </c>
      <c r="H822" s="21" t="str">
        <f>IFERROR(INDEX(Users!$D$2:$D$310,MATCH(A822,Users!$B$2:$B$310,0)),"")</f>
        <v>Band 5</v>
      </c>
      <c r="I822" s="19" t="b">
        <f t="shared" si="37"/>
        <v>0</v>
      </c>
      <c r="J822" s="33">
        <f t="shared" si="38"/>
        <v>0.91495495495495471</v>
      </c>
    </row>
    <row r="823" spans="1:10">
      <c r="A823" s="19" t="s">
        <v>151</v>
      </c>
      <c r="B823" s="20">
        <v>45992</v>
      </c>
      <c r="C823" s="21">
        <v>155.40000000000006</v>
      </c>
      <c r="D823" s="21">
        <v>111.56333333333336</v>
      </c>
      <c r="E823" s="21">
        <v>24.580000000000034</v>
      </c>
      <c r="F823" s="27">
        <f t="shared" si="36"/>
        <v>0.7179107679107678</v>
      </c>
      <c r="G823" s="21" t="str">
        <f>IFERROR(INDEX(Users!$A$2:$A$310,MATCH(A823,Users!$B$2:$B$310,0)),"")</f>
        <v>Service B</v>
      </c>
      <c r="H823" s="21" t="str">
        <f>IFERROR(INDEX(Users!$D$2:$D$310,MATCH(A823,Users!$B$2:$B$310,0)),"")</f>
        <v>Band 5</v>
      </c>
      <c r="I823" s="19" t="b">
        <f t="shared" si="37"/>
        <v>0</v>
      </c>
      <c r="J823" s="33">
        <f t="shared" si="38"/>
        <v>0.7179107679107678</v>
      </c>
    </row>
    <row r="824" spans="1:10">
      <c r="A824" s="19" t="s">
        <v>151</v>
      </c>
      <c r="B824" s="20">
        <v>46023</v>
      </c>
      <c r="C824" s="21">
        <v>155.40000000000006</v>
      </c>
      <c r="D824" s="21">
        <v>140.96333333333337</v>
      </c>
      <c r="E824" s="21">
        <v>24.380000000000027</v>
      </c>
      <c r="F824" s="27">
        <f t="shared" si="36"/>
        <v>0.90709995709995694</v>
      </c>
      <c r="G824" s="21" t="str">
        <f>IFERROR(INDEX(Users!$A$2:$A$310,MATCH(A824,Users!$B$2:$B$310,0)),"")</f>
        <v>Service B</v>
      </c>
      <c r="H824" s="21" t="str">
        <f>IFERROR(INDEX(Users!$D$2:$D$310,MATCH(A824,Users!$B$2:$B$310,0)),"")</f>
        <v>Band 5</v>
      </c>
      <c r="I824" s="19" t="b">
        <f t="shared" si="37"/>
        <v>0</v>
      </c>
      <c r="J824" s="33" t="str">
        <f t="shared" si="38"/>
        <v/>
      </c>
    </row>
    <row r="825" spans="1:10">
      <c r="A825" s="19" t="s">
        <v>152</v>
      </c>
      <c r="B825" s="20">
        <v>45658</v>
      </c>
      <c r="C825" s="21">
        <v>162.80000000000001</v>
      </c>
      <c r="D825" s="21">
        <v>144.58000000000004</v>
      </c>
      <c r="E825" s="21">
        <v>60.83000000000002</v>
      </c>
      <c r="F825" s="27">
        <f t="shared" si="36"/>
        <v>0.88808353808353824</v>
      </c>
      <c r="G825" s="21" t="str">
        <f>IFERROR(INDEX(Users!$A$2:$A$310,MATCH(A825,Users!$B$2:$B$310,0)),"")</f>
        <v>Service C</v>
      </c>
      <c r="H825" s="21" t="str">
        <f>IFERROR(INDEX(Users!$D$2:$D$310,MATCH(A825,Users!$B$2:$B$310,0)),"")</f>
        <v>Band 3</v>
      </c>
      <c r="I825" s="19" t="b">
        <f t="shared" si="37"/>
        <v>0</v>
      </c>
      <c r="J825" s="33" t="str">
        <f t="shared" si="38"/>
        <v/>
      </c>
    </row>
    <row r="826" spans="1:10">
      <c r="A826" s="19" t="s">
        <v>152</v>
      </c>
      <c r="B826" s="20">
        <v>45689</v>
      </c>
      <c r="C826" s="21">
        <v>148</v>
      </c>
      <c r="D826" s="21">
        <v>150.12333333333333</v>
      </c>
      <c r="E826" s="21">
        <v>50.039999999999992</v>
      </c>
      <c r="F826" s="27">
        <f t="shared" si="36"/>
        <v>1.0143468468468468</v>
      </c>
      <c r="G826" s="21" t="str">
        <f>IFERROR(INDEX(Users!$A$2:$A$310,MATCH(A826,Users!$B$2:$B$310,0)),"")</f>
        <v>Service C</v>
      </c>
      <c r="H826" s="21" t="str">
        <f>IFERROR(INDEX(Users!$D$2:$D$310,MATCH(A826,Users!$B$2:$B$310,0)),"")</f>
        <v>Band 3</v>
      </c>
      <c r="I826" s="19" t="b">
        <f t="shared" si="37"/>
        <v>0</v>
      </c>
      <c r="J826" s="33" t="str">
        <f t="shared" si="38"/>
        <v/>
      </c>
    </row>
    <row r="827" spans="1:10">
      <c r="A827" s="19" t="s">
        <v>152</v>
      </c>
      <c r="B827" s="20">
        <v>45717</v>
      </c>
      <c r="C827" s="21">
        <v>148</v>
      </c>
      <c r="D827" s="21">
        <v>97.353333333333339</v>
      </c>
      <c r="E827" s="21">
        <v>51.27</v>
      </c>
      <c r="F827" s="27">
        <f t="shared" si="36"/>
        <v>0.65779279279279279</v>
      </c>
      <c r="G827" s="21" t="str">
        <f>IFERROR(INDEX(Users!$A$2:$A$310,MATCH(A827,Users!$B$2:$B$310,0)),"")</f>
        <v>Service C</v>
      </c>
      <c r="H827" s="21" t="str">
        <f>IFERROR(INDEX(Users!$D$2:$D$310,MATCH(A827,Users!$B$2:$B$310,0)),"")</f>
        <v>Band 3</v>
      </c>
      <c r="I827" s="19" t="b">
        <f t="shared" si="37"/>
        <v>0</v>
      </c>
      <c r="J827" s="33" t="str">
        <f t="shared" si="38"/>
        <v/>
      </c>
    </row>
    <row r="828" spans="1:10">
      <c r="A828" s="19" t="s">
        <v>154</v>
      </c>
      <c r="B828" s="20">
        <v>45658</v>
      </c>
      <c r="C828" s="21">
        <v>162.80000000000001</v>
      </c>
      <c r="D828" s="21">
        <v>89.88666666666667</v>
      </c>
      <c r="E828" s="21">
        <v>73.87</v>
      </c>
      <c r="F828" s="27">
        <f t="shared" si="36"/>
        <v>0.55212940212940209</v>
      </c>
      <c r="G828" s="21" t="str">
        <f>IFERROR(INDEX(Users!$A$2:$A$310,MATCH(A828,Users!$B$2:$B$310,0)),"")</f>
        <v>Service A</v>
      </c>
      <c r="H828" s="21" t="str">
        <f>IFERROR(INDEX(Users!$D$2:$D$310,MATCH(A828,Users!$B$2:$B$310,0)),"")</f>
        <v>Band 3</v>
      </c>
      <c r="I828" s="19" t="b">
        <f t="shared" si="37"/>
        <v>1</v>
      </c>
      <c r="J828" s="33" t="str">
        <f t="shared" si="38"/>
        <v/>
      </c>
    </row>
    <row r="829" spans="1:10">
      <c r="A829" s="19" t="s">
        <v>154</v>
      </c>
      <c r="B829" s="20">
        <v>45689</v>
      </c>
      <c r="C829" s="21">
        <v>148</v>
      </c>
      <c r="D829" s="21">
        <v>145.89333333333335</v>
      </c>
      <c r="E829" s="21">
        <v>113.41</v>
      </c>
      <c r="F829" s="27">
        <f t="shared" si="36"/>
        <v>0.9857657657657658</v>
      </c>
      <c r="G829" s="21" t="str">
        <f>IFERROR(INDEX(Users!$A$2:$A$310,MATCH(A829,Users!$B$2:$B$310,0)),"")</f>
        <v>Service A</v>
      </c>
      <c r="H829" s="21" t="str">
        <f>IFERROR(INDEX(Users!$D$2:$D$310,MATCH(A829,Users!$B$2:$B$310,0)),"")</f>
        <v>Band 3</v>
      </c>
      <c r="I829" s="19" t="b">
        <f t="shared" si="37"/>
        <v>1</v>
      </c>
      <c r="J829" s="33" t="str">
        <f t="shared" si="38"/>
        <v/>
      </c>
    </row>
    <row r="830" spans="1:10">
      <c r="A830" s="19" t="s">
        <v>154</v>
      </c>
      <c r="B830" s="20">
        <v>45717</v>
      </c>
      <c r="C830" s="21">
        <v>155.4</v>
      </c>
      <c r="D830" s="21">
        <v>150</v>
      </c>
      <c r="E830" s="21">
        <v>122</v>
      </c>
      <c r="F830" s="27">
        <f t="shared" si="36"/>
        <v>0.96525096525096521</v>
      </c>
      <c r="G830" s="21" t="str">
        <f>IFERROR(INDEX(Users!$A$2:$A$310,MATCH(A830,Users!$B$2:$B$310,0)),"")</f>
        <v>Service A</v>
      </c>
      <c r="H830" s="21" t="str">
        <f>IFERROR(INDEX(Users!$D$2:$D$310,MATCH(A830,Users!$B$2:$B$310,0)),"")</f>
        <v>Band 3</v>
      </c>
      <c r="I830" s="19" t="b">
        <f t="shared" si="37"/>
        <v>1</v>
      </c>
      <c r="J830" s="33" t="str">
        <f t="shared" si="38"/>
        <v/>
      </c>
    </row>
    <row r="831" spans="1:10">
      <c r="A831" s="19" t="s">
        <v>154</v>
      </c>
      <c r="B831" s="20">
        <v>45748</v>
      </c>
      <c r="C831" s="21">
        <v>148</v>
      </c>
      <c r="D831" s="21">
        <v>143.01000000000002</v>
      </c>
      <c r="E831" s="21">
        <v>110.01</v>
      </c>
      <c r="F831" s="27">
        <f t="shared" si="36"/>
        <v>0.96628378378378388</v>
      </c>
      <c r="G831" s="21" t="str">
        <f>IFERROR(INDEX(Users!$A$2:$A$310,MATCH(A831,Users!$B$2:$B$310,0)),"")</f>
        <v>Service A</v>
      </c>
      <c r="H831" s="21" t="str">
        <f>IFERROR(INDEX(Users!$D$2:$D$310,MATCH(A831,Users!$B$2:$B$310,0)),"")</f>
        <v>Band 3</v>
      </c>
      <c r="I831" s="19" t="b">
        <f t="shared" si="37"/>
        <v>1</v>
      </c>
      <c r="J831" s="33" t="str">
        <f t="shared" si="38"/>
        <v/>
      </c>
    </row>
    <row r="832" spans="1:10">
      <c r="A832" s="19" t="s">
        <v>154</v>
      </c>
      <c r="B832" s="20">
        <v>45778</v>
      </c>
      <c r="C832" s="21">
        <v>148</v>
      </c>
      <c r="D832" s="21">
        <v>105.01</v>
      </c>
      <c r="E832" s="21">
        <v>84.76</v>
      </c>
      <c r="F832" s="27">
        <f t="shared" si="36"/>
        <v>0.70952702702702708</v>
      </c>
      <c r="G832" s="21" t="str">
        <f>IFERROR(INDEX(Users!$A$2:$A$310,MATCH(A832,Users!$B$2:$B$310,0)),"")</f>
        <v>Service A</v>
      </c>
      <c r="H832" s="21" t="str">
        <f>IFERROR(INDEX(Users!$D$2:$D$310,MATCH(A832,Users!$B$2:$B$310,0)),"")</f>
        <v>Band 3</v>
      </c>
      <c r="I832" s="19" t="b">
        <f t="shared" si="37"/>
        <v>1</v>
      </c>
      <c r="J832" s="33" t="str">
        <f t="shared" si="38"/>
        <v/>
      </c>
    </row>
    <row r="833" spans="1:10">
      <c r="A833" s="19" t="s">
        <v>154</v>
      </c>
      <c r="B833" s="20">
        <v>45809</v>
      </c>
      <c r="C833" s="21">
        <v>155.4</v>
      </c>
      <c r="D833" s="21">
        <v>150.00666666666666</v>
      </c>
      <c r="E833" s="21">
        <v>127.59</v>
      </c>
      <c r="F833" s="27">
        <f t="shared" si="36"/>
        <v>0.96529386529386518</v>
      </c>
      <c r="G833" s="21" t="str">
        <f>IFERROR(INDEX(Users!$A$2:$A$310,MATCH(A833,Users!$B$2:$B$310,0)),"")</f>
        <v>Service A</v>
      </c>
      <c r="H833" s="21" t="str">
        <f>IFERROR(INDEX(Users!$D$2:$D$310,MATCH(A833,Users!$B$2:$B$310,0)),"")</f>
        <v>Band 3</v>
      </c>
      <c r="I833" s="19" t="b">
        <f t="shared" si="37"/>
        <v>1</v>
      </c>
      <c r="J833" s="33" t="str">
        <f t="shared" si="38"/>
        <v/>
      </c>
    </row>
    <row r="834" spans="1:10">
      <c r="A834" s="19" t="s">
        <v>154</v>
      </c>
      <c r="B834" s="20">
        <v>45839</v>
      </c>
      <c r="C834" s="21">
        <v>170.20000000000002</v>
      </c>
      <c r="D834" s="21">
        <v>172.99666666666664</v>
      </c>
      <c r="E834" s="21">
        <v>143.32999999999998</v>
      </c>
      <c r="F834" s="27">
        <f t="shared" ref="F834:F897" si="39">IFERROR(IF(OR(C834="",D834="",C834=0),"",D834/C834),"")</f>
        <v>1.0164316490403444</v>
      </c>
      <c r="G834" s="21" t="str">
        <f>IFERROR(INDEX(Users!$A$2:$A$310,MATCH(A834,Users!$B$2:$B$310,0)),"")</f>
        <v>Service A</v>
      </c>
      <c r="H834" s="21" t="str">
        <f>IFERROR(INDEX(Users!$D$2:$D$310,MATCH(A834,Users!$B$2:$B$310,0)),"")</f>
        <v>Band 3</v>
      </c>
      <c r="I834" s="19" t="b">
        <f t="shared" ref="I834:I897" si="40">AND(G834="Service A",H834="Band 3")</f>
        <v>1</v>
      </c>
      <c r="J834" s="33" t="str">
        <f t="shared" ref="J834:J897" si="41">IF(AND(B834&gt;=DATE(2025,1,1),B834&lt;DATE(2026,1,1),G834="Service B",OR(H834="Band 3",H834="Band 5"),ISNUMBER(F834)),F834,"")</f>
        <v/>
      </c>
    </row>
    <row r="835" spans="1:10">
      <c r="A835" s="19" t="s">
        <v>154</v>
      </c>
      <c r="B835" s="20">
        <v>45870</v>
      </c>
      <c r="C835" s="21">
        <v>148</v>
      </c>
      <c r="D835" s="21">
        <v>134.75333333333333</v>
      </c>
      <c r="E835" s="21">
        <v>112.17</v>
      </c>
      <c r="F835" s="27">
        <f t="shared" si="39"/>
        <v>0.91049549549549547</v>
      </c>
      <c r="G835" s="21" t="str">
        <f>IFERROR(INDEX(Users!$A$2:$A$310,MATCH(A835,Users!$B$2:$B$310,0)),"")</f>
        <v>Service A</v>
      </c>
      <c r="H835" s="21" t="str">
        <f>IFERROR(INDEX(Users!$D$2:$D$310,MATCH(A835,Users!$B$2:$B$310,0)),"")</f>
        <v>Band 3</v>
      </c>
      <c r="I835" s="19" t="b">
        <f t="shared" si="40"/>
        <v>1</v>
      </c>
      <c r="J835" s="33" t="str">
        <f t="shared" si="41"/>
        <v/>
      </c>
    </row>
    <row r="836" spans="1:10">
      <c r="A836" s="19" t="s">
        <v>154</v>
      </c>
      <c r="B836" s="20">
        <v>45901</v>
      </c>
      <c r="C836" s="21">
        <v>162.80000000000001</v>
      </c>
      <c r="D836" s="21">
        <v>74.99666666666667</v>
      </c>
      <c r="E836" s="21">
        <v>63.58</v>
      </c>
      <c r="F836" s="27">
        <f t="shared" si="39"/>
        <v>0.46066748566748567</v>
      </c>
      <c r="G836" s="21" t="str">
        <f>IFERROR(INDEX(Users!$A$2:$A$310,MATCH(A836,Users!$B$2:$B$310,0)),"")</f>
        <v>Service A</v>
      </c>
      <c r="H836" s="21" t="str">
        <f>IFERROR(INDEX(Users!$D$2:$D$310,MATCH(A836,Users!$B$2:$B$310,0)),"")</f>
        <v>Band 3</v>
      </c>
      <c r="I836" s="19" t="b">
        <f t="shared" si="40"/>
        <v>1</v>
      </c>
      <c r="J836" s="33" t="str">
        <f t="shared" si="41"/>
        <v/>
      </c>
    </row>
    <row r="837" spans="1:10">
      <c r="A837" s="19" t="s">
        <v>154</v>
      </c>
      <c r="B837" s="20">
        <v>45931</v>
      </c>
      <c r="C837" s="21">
        <v>170.20000000000002</v>
      </c>
      <c r="D837" s="21">
        <v>172.00666666666666</v>
      </c>
      <c r="E837" s="21">
        <v>139.34</v>
      </c>
      <c r="F837" s="27">
        <f t="shared" si="39"/>
        <v>1.0106149627888756</v>
      </c>
      <c r="G837" s="21" t="str">
        <f>IFERROR(INDEX(Users!$A$2:$A$310,MATCH(A837,Users!$B$2:$B$310,0)),"")</f>
        <v>Service A</v>
      </c>
      <c r="H837" s="21" t="str">
        <f>IFERROR(INDEX(Users!$D$2:$D$310,MATCH(A837,Users!$B$2:$B$310,0)),"")</f>
        <v>Band 3</v>
      </c>
      <c r="I837" s="19" t="b">
        <f t="shared" si="40"/>
        <v>1</v>
      </c>
      <c r="J837" s="33" t="str">
        <f t="shared" si="41"/>
        <v/>
      </c>
    </row>
    <row r="838" spans="1:10">
      <c r="A838" s="19" t="s">
        <v>154</v>
      </c>
      <c r="B838" s="20">
        <v>45962</v>
      </c>
      <c r="C838" s="21">
        <v>148</v>
      </c>
      <c r="D838" s="21">
        <v>149.97999999999999</v>
      </c>
      <c r="E838" s="21">
        <v>126.47999999999999</v>
      </c>
      <c r="F838" s="27">
        <f t="shared" si="39"/>
        <v>1.0133783783783783</v>
      </c>
      <c r="G838" s="21" t="str">
        <f>IFERROR(INDEX(Users!$A$2:$A$310,MATCH(A838,Users!$B$2:$B$310,0)),"")</f>
        <v>Service A</v>
      </c>
      <c r="H838" s="21" t="str">
        <f>IFERROR(INDEX(Users!$D$2:$D$310,MATCH(A838,Users!$B$2:$B$310,0)),"")</f>
        <v>Band 3</v>
      </c>
      <c r="I838" s="19" t="b">
        <f t="shared" si="40"/>
        <v>1</v>
      </c>
      <c r="J838" s="33" t="str">
        <f t="shared" si="41"/>
        <v/>
      </c>
    </row>
    <row r="839" spans="1:10">
      <c r="A839" s="19" t="s">
        <v>154</v>
      </c>
      <c r="B839" s="20">
        <v>45992</v>
      </c>
      <c r="C839" s="21">
        <v>155.4</v>
      </c>
      <c r="D839" s="21">
        <v>127.99333333333333</v>
      </c>
      <c r="E839" s="21">
        <v>103.66</v>
      </c>
      <c r="F839" s="27">
        <f t="shared" si="39"/>
        <v>0.82363792363792354</v>
      </c>
      <c r="G839" s="21" t="str">
        <f>IFERROR(INDEX(Users!$A$2:$A$310,MATCH(A839,Users!$B$2:$B$310,0)),"")</f>
        <v>Service A</v>
      </c>
      <c r="H839" s="21" t="str">
        <f>IFERROR(INDEX(Users!$D$2:$D$310,MATCH(A839,Users!$B$2:$B$310,0)),"")</f>
        <v>Band 3</v>
      </c>
      <c r="I839" s="19" t="b">
        <f t="shared" si="40"/>
        <v>1</v>
      </c>
      <c r="J839" s="33" t="str">
        <f t="shared" si="41"/>
        <v/>
      </c>
    </row>
    <row r="840" spans="1:10">
      <c r="A840" s="19" t="s">
        <v>154</v>
      </c>
      <c r="B840" s="20">
        <v>46023</v>
      </c>
      <c r="C840" s="21">
        <v>155.4</v>
      </c>
      <c r="D840" s="21">
        <v>142.65</v>
      </c>
      <c r="E840" s="21">
        <v>99.25</v>
      </c>
      <c r="F840" s="27">
        <f t="shared" si="39"/>
        <v>0.91795366795366795</v>
      </c>
      <c r="G840" s="21" t="str">
        <f>IFERROR(INDEX(Users!$A$2:$A$310,MATCH(A840,Users!$B$2:$B$310,0)),"")</f>
        <v>Service A</v>
      </c>
      <c r="H840" s="21" t="str">
        <f>IFERROR(INDEX(Users!$D$2:$D$310,MATCH(A840,Users!$B$2:$B$310,0)),"")</f>
        <v>Band 3</v>
      </c>
      <c r="I840" s="19" t="b">
        <f t="shared" si="40"/>
        <v>1</v>
      </c>
      <c r="J840" s="33" t="str">
        <f t="shared" si="41"/>
        <v/>
      </c>
    </row>
    <row r="841" spans="1:10">
      <c r="A841" s="19" t="s">
        <v>155</v>
      </c>
      <c r="B841" s="20">
        <v>45658</v>
      </c>
      <c r="C841" s="21">
        <v>162.80000000000001</v>
      </c>
      <c r="D841" s="21">
        <v>162.57666666666665</v>
      </c>
      <c r="E841" s="21">
        <v>129.91</v>
      </c>
      <c r="F841" s="27">
        <f t="shared" si="39"/>
        <v>0.99862817362817347</v>
      </c>
      <c r="G841" s="21" t="str">
        <f>IFERROR(INDEX(Users!$A$2:$A$310,MATCH(A841,Users!$B$2:$B$310,0)),"")</f>
        <v>Service A</v>
      </c>
      <c r="H841" s="21" t="str">
        <f>IFERROR(INDEX(Users!$D$2:$D$310,MATCH(A841,Users!$B$2:$B$310,0)),"")</f>
        <v>Band 3</v>
      </c>
      <c r="I841" s="19" t="b">
        <f t="shared" si="40"/>
        <v>1</v>
      </c>
      <c r="J841" s="33" t="str">
        <f t="shared" si="41"/>
        <v/>
      </c>
    </row>
    <row r="842" spans="1:10">
      <c r="A842" s="19" t="s">
        <v>155</v>
      </c>
      <c r="B842" s="20">
        <v>45689</v>
      </c>
      <c r="C842" s="21">
        <v>148</v>
      </c>
      <c r="D842" s="21">
        <v>120.85666666666665</v>
      </c>
      <c r="E842" s="21">
        <v>82.289999999999992</v>
      </c>
      <c r="F842" s="27">
        <f t="shared" si="39"/>
        <v>0.816599099099099</v>
      </c>
      <c r="G842" s="21" t="str">
        <f>IFERROR(INDEX(Users!$A$2:$A$310,MATCH(A842,Users!$B$2:$B$310,0)),"")</f>
        <v>Service A</v>
      </c>
      <c r="H842" s="21" t="str">
        <f>IFERROR(INDEX(Users!$D$2:$D$310,MATCH(A842,Users!$B$2:$B$310,0)),"")</f>
        <v>Band 3</v>
      </c>
      <c r="I842" s="19" t="b">
        <f t="shared" si="40"/>
        <v>1</v>
      </c>
      <c r="J842" s="33" t="str">
        <f t="shared" si="41"/>
        <v/>
      </c>
    </row>
    <row r="843" spans="1:10">
      <c r="A843" s="19" t="s">
        <v>155</v>
      </c>
      <c r="B843" s="20">
        <v>45717</v>
      </c>
      <c r="C843" s="21">
        <v>155.4</v>
      </c>
      <c r="D843" s="21">
        <v>146.98333333333332</v>
      </c>
      <c r="E843" s="21">
        <v>111.35</v>
      </c>
      <c r="F843" s="27">
        <f t="shared" si="39"/>
        <v>0.94583869583869573</v>
      </c>
      <c r="G843" s="21" t="str">
        <f>IFERROR(INDEX(Users!$A$2:$A$310,MATCH(A843,Users!$B$2:$B$310,0)),"")</f>
        <v>Service A</v>
      </c>
      <c r="H843" s="21" t="str">
        <f>IFERROR(INDEX(Users!$D$2:$D$310,MATCH(A843,Users!$B$2:$B$310,0)),"")</f>
        <v>Band 3</v>
      </c>
      <c r="I843" s="19" t="b">
        <f t="shared" si="40"/>
        <v>1</v>
      </c>
      <c r="J843" s="33" t="str">
        <f t="shared" si="41"/>
        <v/>
      </c>
    </row>
    <row r="844" spans="1:10">
      <c r="A844" s="19" t="s">
        <v>155</v>
      </c>
      <c r="B844" s="20">
        <v>45748</v>
      </c>
      <c r="C844" s="21">
        <v>148</v>
      </c>
      <c r="D844" s="21">
        <v>103.25</v>
      </c>
      <c r="E844" s="21">
        <v>67.75</v>
      </c>
      <c r="F844" s="27">
        <f t="shared" si="39"/>
        <v>0.69763513513513509</v>
      </c>
      <c r="G844" s="21" t="str">
        <f>IFERROR(INDEX(Users!$A$2:$A$310,MATCH(A844,Users!$B$2:$B$310,0)),"")</f>
        <v>Service A</v>
      </c>
      <c r="H844" s="21" t="str">
        <f>IFERROR(INDEX(Users!$D$2:$D$310,MATCH(A844,Users!$B$2:$B$310,0)),"")</f>
        <v>Band 3</v>
      </c>
      <c r="I844" s="19" t="b">
        <f t="shared" si="40"/>
        <v>1</v>
      </c>
      <c r="J844" s="33" t="str">
        <f t="shared" si="41"/>
        <v/>
      </c>
    </row>
    <row r="845" spans="1:10">
      <c r="A845" s="19" t="s">
        <v>155</v>
      </c>
      <c r="B845" s="20">
        <v>45778</v>
      </c>
      <c r="C845" s="21">
        <v>148</v>
      </c>
      <c r="D845" s="21">
        <v>141.52666666666667</v>
      </c>
      <c r="E845" s="21">
        <v>105.21000000000001</v>
      </c>
      <c r="F845" s="27">
        <f t="shared" si="39"/>
        <v>0.95626126126126132</v>
      </c>
      <c r="G845" s="21" t="str">
        <f>IFERROR(INDEX(Users!$A$2:$A$310,MATCH(A845,Users!$B$2:$B$310,0)),"")</f>
        <v>Service A</v>
      </c>
      <c r="H845" s="21" t="str">
        <f>IFERROR(INDEX(Users!$D$2:$D$310,MATCH(A845,Users!$B$2:$B$310,0)),"")</f>
        <v>Band 3</v>
      </c>
      <c r="I845" s="19" t="b">
        <f t="shared" si="40"/>
        <v>1</v>
      </c>
      <c r="J845" s="33" t="str">
        <f t="shared" si="41"/>
        <v/>
      </c>
    </row>
    <row r="846" spans="1:10">
      <c r="A846" s="19" t="s">
        <v>155</v>
      </c>
      <c r="B846" s="20">
        <v>45809</v>
      </c>
      <c r="C846" s="21">
        <v>155.4</v>
      </c>
      <c r="D846" s="21">
        <v>134.20666666666668</v>
      </c>
      <c r="E846" s="21">
        <v>92.79</v>
      </c>
      <c r="F846" s="27">
        <f t="shared" si="39"/>
        <v>0.86362076362076368</v>
      </c>
      <c r="G846" s="21" t="str">
        <f>IFERROR(INDEX(Users!$A$2:$A$310,MATCH(A846,Users!$B$2:$B$310,0)),"")</f>
        <v>Service A</v>
      </c>
      <c r="H846" s="21" t="str">
        <f>IFERROR(INDEX(Users!$D$2:$D$310,MATCH(A846,Users!$B$2:$B$310,0)),"")</f>
        <v>Band 3</v>
      </c>
      <c r="I846" s="19" t="b">
        <f t="shared" si="40"/>
        <v>1</v>
      </c>
      <c r="J846" s="33" t="str">
        <f t="shared" si="41"/>
        <v/>
      </c>
    </row>
    <row r="847" spans="1:10">
      <c r="A847" s="19" t="s">
        <v>155</v>
      </c>
      <c r="B847" s="20">
        <v>45839</v>
      </c>
      <c r="C847" s="21">
        <v>170.20000000000002</v>
      </c>
      <c r="D847" s="21">
        <v>93.026666666666657</v>
      </c>
      <c r="E847" s="21">
        <v>71.36</v>
      </c>
      <c r="F847" s="27">
        <f t="shared" si="39"/>
        <v>0.54657265961613777</v>
      </c>
      <c r="G847" s="21" t="str">
        <f>IFERROR(INDEX(Users!$A$2:$A$310,MATCH(A847,Users!$B$2:$B$310,0)),"")</f>
        <v>Service A</v>
      </c>
      <c r="H847" s="21" t="str">
        <f>IFERROR(INDEX(Users!$D$2:$D$310,MATCH(A847,Users!$B$2:$B$310,0)),"")</f>
        <v>Band 3</v>
      </c>
      <c r="I847" s="19" t="b">
        <f t="shared" si="40"/>
        <v>1</v>
      </c>
      <c r="J847" s="33" t="str">
        <f t="shared" si="41"/>
        <v/>
      </c>
    </row>
    <row r="848" spans="1:10">
      <c r="A848" s="19" t="s">
        <v>155</v>
      </c>
      <c r="B848" s="20">
        <v>45870</v>
      </c>
      <c r="C848" s="21">
        <v>148</v>
      </c>
      <c r="D848" s="21">
        <v>117.85</v>
      </c>
      <c r="E848" s="21">
        <v>90.8</v>
      </c>
      <c r="F848" s="27">
        <f t="shared" si="39"/>
        <v>0.79628378378378373</v>
      </c>
      <c r="G848" s="21" t="str">
        <f>IFERROR(INDEX(Users!$A$2:$A$310,MATCH(A848,Users!$B$2:$B$310,0)),"")</f>
        <v>Service A</v>
      </c>
      <c r="H848" s="21" t="str">
        <f>IFERROR(INDEX(Users!$D$2:$D$310,MATCH(A848,Users!$B$2:$B$310,0)),"")</f>
        <v>Band 3</v>
      </c>
      <c r="I848" s="19" t="b">
        <f t="shared" si="40"/>
        <v>1</v>
      </c>
      <c r="J848" s="33" t="str">
        <f t="shared" si="41"/>
        <v/>
      </c>
    </row>
    <row r="849" spans="1:10">
      <c r="A849" s="19" t="s">
        <v>155</v>
      </c>
      <c r="B849" s="20">
        <v>45901</v>
      </c>
      <c r="C849" s="21">
        <v>162.80000000000001</v>
      </c>
      <c r="D849" s="21">
        <v>158.53000000000003</v>
      </c>
      <c r="E849" s="21">
        <v>120.63000000000001</v>
      </c>
      <c r="F849" s="27">
        <f t="shared" si="39"/>
        <v>0.97377149877149893</v>
      </c>
      <c r="G849" s="21" t="str">
        <f>IFERROR(INDEX(Users!$A$2:$A$310,MATCH(A849,Users!$B$2:$B$310,0)),"")</f>
        <v>Service A</v>
      </c>
      <c r="H849" s="21" t="str">
        <f>IFERROR(INDEX(Users!$D$2:$D$310,MATCH(A849,Users!$B$2:$B$310,0)),"")</f>
        <v>Band 3</v>
      </c>
      <c r="I849" s="19" t="b">
        <f t="shared" si="40"/>
        <v>1</v>
      </c>
      <c r="J849" s="33" t="str">
        <f t="shared" si="41"/>
        <v/>
      </c>
    </row>
    <row r="850" spans="1:10">
      <c r="A850" s="19" t="s">
        <v>155</v>
      </c>
      <c r="B850" s="20">
        <v>45931</v>
      </c>
      <c r="C850" s="21">
        <v>170.20000000000002</v>
      </c>
      <c r="D850" s="21">
        <v>111.65</v>
      </c>
      <c r="E850" s="21">
        <v>58.5</v>
      </c>
      <c r="F850" s="27">
        <f t="shared" si="39"/>
        <v>0.65599294947121034</v>
      </c>
      <c r="G850" s="21" t="str">
        <f>IFERROR(INDEX(Users!$A$2:$A$310,MATCH(A850,Users!$B$2:$B$310,0)),"")</f>
        <v>Service A</v>
      </c>
      <c r="H850" s="21" t="str">
        <f>IFERROR(INDEX(Users!$D$2:$D$310,MATCH(A850,Users!$B$2:$B$310,0)),"")</f>
        <v>Band 3</v>
      </c>
      <c r="I850" s="19" t="b">
        <f t="shared" si="40"/>
        <v>1</v>
      </c>
      <c r="J850" s="33" t="str">
        <f t="shared" si="41"/>
        <v/>
      </c>
    </row>
    <row r="851" spans="1:10">
      <c r="A851" s="19" t="s">
        <v>155</v>
      </c>
      <c r="B851" s="20">
        <v>45962</v>
      </c>
      <c r="C851" s="21">
        <v>148</v>
      </c>
      <c r="D851" s="21">
        <v>136.77333333333334</v>
      </c>
      <c r="E851" s="21">
        <v>99.69</v>
      </c>
      <c r="F851" s="27">
        <f t="shared" si="39"/>
        <v>0.92414414414414414</v>
      </c>
      <c r="G851" s="21" t="str">
        <f>IFERROR(INDEX(Users!$A$2:$A$310,MATCH(A851,Users!$B$2:$B$310,0)),"")</f>
        <v>Service A</v>
      </c>
      <c r="H851" s="21" t="str">
        <f>IFERROR(INDEX(Users!$D$2:$D$310,MATCH(A851,Users!$B$2:$B$310,0)),"")</f>
        <v>Band 3</v>
      </c>
      <c r="I851" s="19" t="b">
        <f t="shared" si="40"/>
        <v>1</v>
      </c>
      <c r="J851" s="33" t="str">
        <f t="shared" si="41"/>
        <v/>
      </c>
    </row>
    <row r="852" spans="1:10">
      <c r="A852" s="19" t="s">
        <v>155</v>
      </c>
      <c r="B852" s="20">
        <v>45992</v>
      </c>
      <c r="C852" s="21">
        <v>155.4</v>
      </c>
      <c r="D852" s="21">
        <v>77.23333333333332</v>
      </c>
      <c r="E852" s="21">
        <v>56.149999999999991</v>
      </c>
      <c r="F852" s="27">
        <f t="shared" si="39"/>
        <v>0.4969969969969969</v>
      </c>
      <c r="G852" s="21" t="str">
        <f>IFERROR(INDEX(Users!$A$2:$A$310,MATCH(A852,Users!$B$2:$B$310,0)),"")</f>
        <v>Service A</v>
      </c>
      <c r="H852" s="21" t="str">
        <f>IFERROR(INDEX(Users!$D$2:$D$310,MATCH(A852,Users!$B$2:$B$310,0)),"")</f>
        <v>Band 3</v>
      </c>
      <c r="I852" s="19" t="b">
        <f t="shared" si="40"/>
        <v>1</v>
      </c>
      <c r="J852" s="33" t="str">
        <f t="shared" si="41"/>
        <v/>
      </c>
    </row>
    <row r="853" spans="1:10">
      <c r="A853" s="19" t="s">
        <v>155</v>
      </c>
      <c r="B853" s="20">
        <v>46023</v>
      </c>
      <c r="C853" s="21">
        <v>155.4</v>
      </c>
      <c r="D853" s="21">
        <v>130.99</v>
      </c>
      <c r="E853" s="21">
        <v>92.190000000000012</v>
      </c>
      <c r="F853" s="27">
        <f t="shared" si="39"/>
        <v>0.84292149292149299</v>
      </c>
      <c r="G853" s="21" t="str">
        <f>IFERROR(INDEX(Users!$A$2:$A$310,MATCH(A853,Users!$B$2:$B$310,0)),"")</f>
        <v>Service A</v>
      </c>
      <c r="H853" s="21" t="str">
        <f>IFERROR(INDEX(Users!$D$2:$D$310,MATCH(A853,Users!$B$2:$B$310,0)),"")</f>
        <v>Band 3</v>
      </c>
      <c r="I853" s="19" t="b">
        <f t="shared" si="40"/>
        <v>1</v>
      </c>
      <c r="J853" s="33" t="str">
        <f t="shared" si="41"/>
        <v/>
      </c>
    </row>
    <row r="854" spans="1:10">
      <c r="A854" s="19" t="s">
        <v>156</v>
      </c>
      <c r="B854" s="20">
        <v>45658</v>
      </c>
      <c r="C854" s="21">
        <v>162.80000000000001</v>
      </c>
      <c r="D854" s="21">
        <v>159.69666666666666</v>
      </c>
      <c r="E854" s="21">
        <v>97.53</v>
      </c>
      <c r="F854" s="27">
        <f t="shared" si="39"/>
        <v>0.98093775593775578</v>
      </c>
      <c r="G854" s="21" t="str">
        <f>IFERROR(INDEX(Users!$A$2:$A$310,MATCH(A854,Users!$B$2:$B$310,0)),"")</f>
        <v>Service A</v>
      </c>
      <c r="H854" s="21" t="str">
        <f>IFERROR(INDEX(Users!$D$2:$D$310,MATCH(A854,Users!$B$2:$B$310,0)),"")</f>
        <v>Band 3</v>
      </c>
      <c r="I854" s="19" t="b">
        <f t="shared" si="40"/>
        <v>1</v>
      </c>
      <c r="J854" s="33" t="str">
        <f t="shared" si="41"/>
        <v/>
      </c>
    </row>
    <row r="855" spans="1:10">
      <c r="A855" s="19" t="s">
        <v>156</v>
      </c>
      <c r="B855" s="20">
        <v>45689</v>
      </c>
      <c r="C855" s="21">
        <v>148</v>
      </c>
      <c r="D855" s="21">
        <v>125.15</v>
      </c>
      <c r="E855" s="21">
        <v>76.400000000000006</v>
      </c>
      <c r="F855" s="27">
        <f t="shared" si="39"/>
        <v>0.84560810810810816</v>
      </c>
      <c r="G855" s="21" t="str">
        <f>IFERROR(INDEX(Users!$A$2:$A$310,MATCH(A855,Users!$B$2:$B$310,0)),"")</f>
        <v>Service A</v>
      </c>
      <c r="H855" s="21" t="str">
        <f>IFERROR(INDEX(Users!$D$2:$D$310,MATCH(A855,Users!$B$2:$B$310,0)),"")</f>
        <v>Band 3</v>
      </c>
      <c r="I855" s="19" t="b">
        <f t="shared" si="40"/>
        <v>1</v>
      </c>
      <c r="J855" s="33" t="str">
        <f t="shared" si="41"/>
        <v/>
      </c>
    </row>
    <row r="856" spans="1:10">
      <c r="A856" s="19" t="s">
        <v>156</v>
      </c>
      <c r="B856" s="20">
        <v>45717</v>
      </c>
      <c r="C856" s="21">
        <v>155.4</v>
      </c>
      <c r="D856" s="21">
        <v>150.75</v>
      </c>
      <c r="E856" s="21">
        <v>84</v>
      </c>
      <c r="F856" s="27">
        <f t="shared" si="39"/>
        <v>0.97007722007722008</v>
      </c>
      <c r="G856" s="21" t="str">
        <f>IFERROR(INDEX(Users!$A$2:$A$310,MATCH(A856,Users!$B$2:$B$310,0)),"")</f>
        <v>Service A</v>
      </c>
      <c r="H856" s="21" t="str">
        <f>IFERROR(INDEX(Users!$D$2:$D$310,MATCH(A856,Users!$B$2:$B$310,0)),"")</f>
        <v>Band 3</v>
      </c>
      <c r="I856" s="19" t="b">
        <f t="shared" si="40"/>
        <v>1</v>
      </c>
      <c r="J856" s="33" t="str">
        <f t="shared" si="41"/>
        <v/>
      </c>
    </row>
    <row r="857" spans="1:10">
      <c r="A857" s="19" t="s">
        <v>156</v>
      </c>
      <c r="B857" s="20">
        <v>45748</v>
      </c>
      <c r="C857" s="21">
        <v>148</v>
      </c>
      <c r="D857" s="21">
        <v>15</v>
      </c>
      <c r="E857" s="21">
        <v>1</v>
      </c>
      <c r="F857" s="27">
        <f t="shared" si="39"/>
        <v>0.10135135135135136</v>
      </c>
      <c r="G857" s="21" t="str">
        <f>IFERROR(INDEX(Users!$A$2:$A$310,MATCH(A857,Users!$B$2:$B$310,0)),"")</f>
        <v>Service A</v>
      </c>
      <c r="H857" s="21" t="str">
        <f>IFERROR(INDEX(Users!$D$2:$D$310,MATCH(A857,Users!$B$2:$B$310,0)),"")</f>
        <v>Band 3</v>
      </c>
      <c r="I857" s="19" t="b">
        <f t="shared" si="40"/>
        <v>1</v>
      </c>
      <c r="J857" s="33" t="str">
        <f t="shared" si="41"/>
        <v/>
      </c>
    </row>
    <row r="858" spans="1:10">
      <c r="A858" s="19" t="s">
        <v>156</v>
      </c>
      <c r="B858" s="20">
        <v>45778</v>
      </c>
      <c r="C858" s="21">
        <v>148</v>
      </c>
      <c r="D858" s="21">
        <v>119.50666666666667</v>
      </c>
      <c r="E858" s="21">
        <v>86.59</v>
      </c>
      <c r="F858" s="27">
        <f t="shared" si="39"/>
        <v>0.80747747747747756</v>
      </c>
      <c r="G858" s="21" t="str">
        <f>IFERROR(INDEX(Users!$A$2:$A$310,MATCH(A858,Users!$B$2:$B$310,0)),"")</f>
        <v>Service A</v>
      </c>
      <c r="H858" s="21" t="str">
        <f>IFERROR(INDEX(Users!$D$2:$D$310,MATCH(A858,Users!$B$2:$B$310,0)),"")</f>
        <v>Band 3</v>
      </c>
      <c r="I858" s="19" t="b">
        <f t="shared" si="40"/>
        <v>1</v>
      </c>
      <c r="J858" s="33" t="str">
        <f t="shared" si="41"/>
        <v/>
      </c>
    </row>
    <row r="859" spans="1:10">
      <c r="A859" s="19" t="s">
        <v>156</v>
      </c>
      <c r="B859" s="20">
        <v>45809</v>
      </c>
      <c r="C859" s="21">
        <v>155.4</v>
      </c>
      <c r="D859" s="21">
        <v>134.15</v>
      </c>
      <c r="E859" s="21">
        <v>77</v>
      </c>
      <c r="F859" s="27">
        <f t="shared" si="39"/>
        <v>0.86325611325611329</v>
      </c>
      <c r="G859" s="21" t="str">
        <f>IFERROR(INDEX(Users!$A$2:$A$310,MATCH(A859,Users!$B$2:$B$310,0)),"")</f>
        <v>Service A</v>
      </c>
      <c r="H859" s="21" t="str">
        <f>IFERROR(INDEX(Users!$D$2:$D$310,MATCH(A859,Users!$B$2:$B$310,0)),"")</f>
        <v>Band 3</v>
      </c>
      <c r="I859" s="19" t="b">
        <f t="shared" si="40"/>
        <v>1</v>
      </c>
      <c r="J859" s="33" t="str">
        <f t="shared" si="41"/>
        <v/>
      </c>
    </row>
    <row r="860" spans="1:10">
      <c r="A860" s="19" t="s">
        <v>156</v>
      </c>
      <c r="B860" s="20">
        <v>45839</v>
      </c>
      <c r="C860" s="21">
        <v>170.20000000000002</v>
      </c>
      <c r="D860" s="21">
        <v>166.75</v>
      </c>
      <c r="E860" s="21">
        <v>113</v>
      </c>
      <c r="F860" s="27">
        <f t="shared" si="39"/>
        <v>0.9797297297297296</v>
      </c>
      <c r="G860" s="21" t="str">
        <f>IFERROR(INDEX(Users!$A$2:$A$310,MATCH(A860,Users!$B$2:$B$310,0)),"")</f>
        <v>Service A</v>
      </c>
      <c r="H860" s="21" t="str">
        <f>IFERROR(INDEX(Users!$D$2:$D$310,MATCH(A860,Users!$B$2:$B$310,0)),"")</f>
        <v>Band 3</v>
      </c>
      <c r="I860" s="19" t="b">
        <f t="shared" si="40"/>
        <v>1</v>
      </c>
      <c r="J860" s="33" t="str">
        <f t="shared" si="41"/>
        <v/>
      </c>
    </row>
    <row r="861" spans="1:10">
      <c r="A861" s="19" t="s">
        <v>156</v>
      </c>
      <c r="B861" s="20">
        <v>45870</v>
      </c>
      <c r="C861" s="21">
        <v>148</v>
      </c>
      <c r="D861" s="21">
        <v>152.16666666666669</v>
      </c>
      <c r="E861" s="21">
        <v>77.5</v>
      </c>
      <c r="F861" s="27">
        <f t="shared" si="39"/>
        <v>1.0281531531531534</v>
      </c>
      <c r="G861" s="21" t="str">
        <f>IFERROR(INDEX(Users!$A$2:$A$310,MATCH(A861,Users!$B$2:$B$310,0)),"")</f>
        <v>Service A</v>
      </c>
      <c r="H861" s="21" t="str">
        <f>IFERROR(INDEX(Users!$D$2:$D$310,MATCH(A861,Users!$B$2:$B$310,0)),"")</f>
        <v>Band 3</v>
      </c>
      <c r="I861" s="19" t="b">
        <f t="shared" si="40"/>
        <v>1</v>
      </c>
      <c r="J861" s="33" t="str">
        <f t="shared" si="41"/>
        <v/>
      </c>
    </row>
    <row r="862" spans="1:10">
      <c r="A862" s="19" t="s">
        <v>156</v>
      </c>
      <c r="B862" s="20">
        <v>45901</v>
      </c>
      <c r="C862" s="21">
        <v>162.80000000000001</v>
      </c>
      <c r="D862" s="21">
        <v>157.5</v>
      </c>
      <c r="E862" s="21">
        <v>97</v>
      </c>
      <c r="F862" s="27">
        <f t="shared" si="39"/>
        <v>0.96744471744471738</v>
      </c>
      <c r="G862" s="21" t="str">
        <f>IFERROR(INDEX(Users!$A$2:$A$310,MATCH(A862,Users!$B$2:$B$310,0)),"")</f>
        <v>Service A</v>
      </c>
      <c r="H862" s="21" t="str">
        <f>IFERROR(INDEX(Users!$D$2:$D$310,MATCH(A862,Users!$B$2:$B$310,0)),"")</f>
        <v>Band 3</v>
      </c>
      <c r="I862" s="19" t="b">
        <f t="shared" si="40"/>
        <v>1</v>
      </c>
      <c r="J862" s="33" t="str">
        <f t="shared" si="41"/>
        <v/>
      </c>
    </row>
    <row r="863" spans="1:10">
      <c r="A863" s="19" t="s">
        <v>156</v>
      </c>
      <c r="B863" s="20">
        <v>45931</v>
      </c>
      <c r="C863" s="21">
        <v>170.20000000000002</v>
      </c>
      <c r="D863" s="21">
        <v>134.15</v>
      </c>
      <c r="E863" s="21">
        <v>90.25</v>
      </c>
      <c r="F863" s="27">
        <f t="shared" si="39"/>
        <v>0.7881903642773207</v>
      </c>
      <c r="G863" s="21" t="str">
        <f>IFERROR(INDEX(Users!$A$2:$A$310,MATCH(A863,Users!$B$2:$B$310,0)),"")</f>
        <v>Service A</v>
      </c>
      <c r="H863" s="21" t="str">
        <f>IFERROR(INDEX(Users!$D$2:$D$310,MATCH(A863,Users!$B$2:$B$310,0)),"")</f>
        <v>Band 3</v>
      </c>
      <c r="I863" s="19" t="b">
        <f t="shared" si="40"/>
        <v>1</v>
      </c>
      <c r="J863" s="33" t="str">
        <f t="shared" si="41"/>
        <v/>
      </c>
    </row>
    <row r="864" spans="1:10">
      <c r="A864" s="19" t="s">
        <v>156</v>
      </c>
      <c r="B864" s="20">
        <v>45962</v>
      </c>
      <c r="C864" s="21">
        <v>148</v>
      </c>
      <c r="D864" s="21">
        <v>153.67000000000002</v>
      </c>
      <c r="E864" s="21">
        <v>106.17</v>
      </c>
      <c r="F864" s="27">
        <f t="shared" si="39"/>
        <v>1.038310810810811</v>
      </c>
      <c r="G864" s="21" t="str">
        <f>IFERROR(INDEX(Users!$A$2:$A$310,MATCH(A864,Users!$B$2:$B$310,0)),"")</f>
        <v>Service A</v>
      </c>
      <c r="H864" s="21" t="str">
        <f>IFERROR(INDEX(Users!$D$2:$D$310,MATCH(A864,Users!$B$2:$B$310,0)),"")</f>
        <v>Band 3</v>
      </c>
      <c r="I864" s="19" t="b">
        <f t="shared" si="40"/>
        <v>1</v>
      </c>
      <c r="J864" s="33" t="str">
        <f t="shared" si="41"/>
        <v/>
      </c>
    </row>
    <row r="865" spans="1:10">
      <c r="A865" s="19" t="s">
        <v>156</v>
      </c>
      <c r="B865" s="20">
        <v>45992</v>
      </c>
      <c r="C865" s="21">
        <v>155.4</v>
      </c>
      <c r="D865" s="21">
        <v>123.5</v>
      </c>
      <c r="E865" s="21">
        <v>71</v>
      </c>
      <c r="F865" s="27">
        <f t="shared" si="39"/>
        <v>0.79472329472329473</v>
      </c>
      <c r="G865" s="21" t="str">
        <f>IFERROR(INDEX(Users!$A$2:$A$310,MATCH(A865,Users!$B$2:$B$310,0)),"")</f>
        <v>Service A</v>
      </c>
      <c r="H865" s="21" t="str">
        <f>IFERROR(INDEX(Users!$D$2:$D$310,MATCH(A865,Users!$B$2:$B$310,0)),"")</f>
        <v>Band 3</v>
      </c>
      <c r="I865" s="19" t="b">
        <f t="shared" si="40"/>
        <v>1</v>
      </c>
      <c r="J865" s="33" t="str">
        <f t="shared" si="41"/>
        <v/>
      </c>
    </row>
    <row r="866" spans="1:10">
      <c r="A866" s="19" t="s">
        <v>156</v>
      </c>
      <c r="B866" s="20">
        <v>46023</v>
      </c>
      <c r="C866" s="21">
        <v>155.4</v>
      </c>
      <c r="D866" s="21">
        <v>146.5</v>
      </c>
      <c r="E866" s="21">
        <v>94</v>
      </c>
      <c r="F866" s="27">
        <f t="shared" si="39"/>
        <v>0.94272844272844269</v>
      </c>
      <c r="G866" s="21" t="str">
        <f>IFERROR(INDEX(Users!$A$2:$A$310,MATCH(A866,Users!$B$2:$B$310,0)),"")</f>
        <v>Service A</v>
      </c>
      <c r="H866" s="21" t="str">
        <f>IFERROR(INDEX(Users!$D$2:$D$310,MATCH(A866,Users!$B$2:$B$310,0)),"")</f>
        <v>Band 3</v>
      </c>
      <c r="I866" s="19" t="b">
        <f t="shared" si="40"/>
        <v>1</v>
      </c>
      <c r="J866" s="33" t="str">
        <f t="shared" si="41"/>
        <v/>
      </c>
    </row>
    <row r="867" spans="1:10">
      <c r="A867" s="19" t="s">
        <v>157</v>
      </c>
      <c r="B867" s="20">
        <v>45658</v>
      </c>
      <c r="C867" s="21">
        <v>162.80000000000001</v>
      </c>
      <c r="D867" s="21">
        <v>146.7466666666667</v>
      </c>
      <c r="E867" s="21">
        <v>61.58000000000002</v>
      </c>
      <c r="F867" s="27">
        <f t="shared" si="39"/>
        <v>0.90139230139230153</v>
      </c>
      <c r="G867" s="21" t="str">
        <f>IFERROR(INDEX(Users!$A$2:$A$310,MATCH(A867,Users!$B$2:$B$310,0)),"")</f>
        <v>Service A</v>
      </c>
      <c r="H867" s="21" t="str">
        <f>IFERROR(INDEX(Users!$D$2:$D$310,MATCH(A867,Users!$B$2:$B$310,0)),"")</f>
        <v>Band 5</v>
      </c>
      <c r="I867" s="19" t="b">
        <f t="shared" si="40"/>
        <v>0</v>
      </c>
      <c r="J867" s="33" t="str">
        <f t="shared" si="41"/>
        <v/>
      </c>
    </row>
    <row r="868" spans="1:10">
      <c r="A868" s="19" t="s">
        <v>157</v>
      </c>
      <c r="B868" s="20">
        <v>45689</v>
      </c>
      <c r="C868" s="21">
        <v>148</v>
      </c>
      <c r="D868" s="21">
        <v>129.95333333333332</v>
      </c>
      <c r="E868" s="21">
        <v>28.119999999999994</v>
      </c>
      <c r="F868" s="27">
        <f t="shared" si="39"/>
        <v>0.87806306306306292</v>
      </c>
      <c r="G868" s="21" t="str">
        <f>IFERROR(INDEX(Users!$A$2:$A$310,MATCH(A868,Users!$B$2:$B$310,0)),"")</f>
        <v>Service A</v>
      </c>
      <c r="H868" s="21" t="str">
        <f>IFERROR(INDEX(Users!$D$2:$D$310,MATCH(A868,Users!$B$2:$B$310,0)),"")</f>
        <v>Band 5</v>
      </c>
      <c r="I868" s="19" t="b">
        <f t="shared" si="40"/>
        <v>0</v>
      </c>
      <c r="J868" s="33" t="str">
        <f t="shared" si="41"/>
        <v/>
      </c>
    </row>
    <row r="869" spans="1:10">
      <c r="A869" s="19" t="s">
        <v>157</v>
      </c>
      <c r="B869" s="20">
        <v>45717</v>
      </c>
      <c r="C869" s="21">
        <v>155.4</v>
      </c>
      <c r="D869" s="21">
        <v>141.69</v>
      </c>
      <c r="E869" s="21">
        <v>46.19</v>
      </c>
      <c r="F869" s="27">
        <f t="shared" si="39"/>
        <v>0.91177606177606174</v>
      </c>
      <c r="G869" s="21" t="str">
        <f>IFERROR(INDEX(Users!$A$2:$A$310,MATCH(A869,Users!$B$2:$B$310,0)),"")</f>
        <v>Service A</v>
      </c>
      <c r="H869" s="21" t="str">
        <f>IFERROR(INDEX(Users!$D$2:$D$310,MATCH(A869,Users!$B$2:$B$310,0)),"")</f>
        <v>Band 5</v>
      </c>
      <c r="I869" s="19" t="b">
        <f t="shared" si="40"/>
        <v>0</v>
      </c>
      <c r="J869" s="33" t="str">
        <f t="shared" si="41"/>
        <v/>
      </c>
    </row>
    <row r="870" spans="1:10">
      <c r="A870" s="19" t="s">
        <v>157</v>
      </c>
      <c r="B870" s="20">
        <v>45748</v>
      </c>
      <c r="C870" s="21">
        <v>148</v>
      </c>
      <c r="D870" s="21">
        <v>155.17666666666668</v>
      </c>
      <c r="E870" s="21">
        <v>72.260000000000019</v>
      </c>
      <c r="F870" s="27">
        <f t="shared" si="39"/>
        <v>1.048490990990991</v>
      </c>
      <c r="G870" s="21" t="str">
        <f>IFERROR(INDEX(Users!$A$2:$A$310,MATCH(A870,Users!$B$2:$B$310,0)),"")</f>
        <v>Service A</v>
      </c>
      <c r="H870" s="21" t="str">
        <f>IFERROR(INDEX(Users!$D$2:$D$310,MATCH(A870,Users!$B$2:$B$310,0)),"")</f>
        <v>Band 5</v>
      </c>
      <c r="I870" s="19" t="b">
        <f t="shared" si="40"/>
        <v>0</v>
      </c>
      <c r="J870" s="33" t="str">
        <f t="shared" si="41"/>
        <v/>
      </c>
    </row>
    <row r="871" spans="1:10">
      <c r="A871" s="19" t="s">
        <v>157</v>
      </c>
      <c r="B871" s="20">
        <v>45778</v>
      </c>
      <c r="C871" s="21">
        <v>148</v>
      </c>
      <c r="D871" s="21">
        <v>67.423333333333332</v>
      </c>
      <c r="E871" s="21">
        <v>37.14</v>
      </c>
      <c r="F871" s="27">
        <f t="shared" si="39"/>
        <v>0.45556306306306305</v>
      </c>
      <c r="G871" s="21" t="str">
        <f>IFERROR(INDEX(Users!$A$2:$A$310,MATCH(A871,Users!$B$2:$B$310,0)),"")</f>
        <v>Service A</v>
      </c>
      <c r="H871" s="21" t="str">
        <f>IFERROR(INDEX(Users!$D$2:$D$310,MATCH(A871,Users!$B$2:$B$310,0)),"")</f>
        <v>Band 5</v>
      </c>
      <c r="I871" s="19" t="b">
        <f t="shared" si="40"/>
        <v>0</v>
      </c>
      <c r="J871" s="33" t="str">
        <f t="shared" si="41"/>
        <v/>
      </c>
    </row>
    <row r="872" spans="1:10">
      <c r="A872" s="19" t="s">
        <v>157</v>
      </c>
      <c r="B872" s="20">
        <v>45809</v>
      </c>
      <c r="C872" s="21">
        <v>155.4</v>
      </c>
      <c r="D872" s="21">
        <v>101.10999999999999</v>
      </c>
      <c r="E872" s="21">
        <v>51.359999999999985</v>
      </c>
      <c r="F872" s="27">
        <f t="shared" si="39"/>
        <v>0.65064350064350052</v>
      </c>
      <c r="G872" s="21" t="str">
        <f>IFERROR(INDEX(Users!$A$2:$A$310,MATCH(A872,Users!$B$2:$B$310,0)),"")</f>
        <v>Service A</v>
      </c>
      <c r="H872" s="21" t="str">
        <f>IFERROR(INDEX(Users!$D$2:$D$310,MATCH(A872,Users!$B$2:$B$310,0)),"")</f>
        <v>Band 5</v>
      </c>
      <c r="I872" s="19" t="b">
        <f t="shared" si="40"/>
        <v>0</v>
      </c>
      <c r="J872" s="33" t="str">
        <f t="shared" si="41"/>
        <v/>
      </c>
    </row>
    <row r="873" spans="1:10">
      <c r="A873" s="19" t="s">
        <v>157</v>
      </c>
      <c r="B873" s="20">
        <v>45839</v>
      </c>
      <c r="C873" s="21">
        <v>170.20000000000002</v>
      </c>
      <c r="D873" s="21"/>
      <c r="E873" s="21"/>
      <c r="F873" s="27" t="str">
        <f t="shared" si="39"/>
        <v/>
      </c>
      <c r="G873" s="21" t="str">
        <f>IFERROR(INDEX(Users!$A$2:$A$310,MATCH(A873,Users!$B$2:$B$310,0)),"")</f>
        <v>Service A</v>
      </c>
      <c r="H873" s="21" t="str">
        <f>IFERROR(INDEX(Users!$D$2:$D$310,MATCH(A873,Users!$B$2:$B$310,0)),"")</f>
        <v>Band 5</v>
      </c>
      <c r="I873" s="19" t="b">
        <f t="shared" si="40"/>
        <v>0</v>
      </c>
      <c r="J873" s="33" t="str">
        <f t="shared" si="41"/>
        <v/>
      </c>
    </row>
    <row r="874" spans="1:10">
      <c r="A874" s="19" t="s">
        <v>157</v>
      </c>
      <c r="B874" s="20">
        <v>45870</v>
      </c>
      <c r="C874" s="21">
        <v>148</v>
      </c>
      <c r="D874" s="21">
        <v>132.74</v>
      </c>
      <c r="E874" s="21">
        <v>25.99</v>
      </c>
      <c r="F874" s="27">
        <f t="shared" si="39"/>
        <v>0.896891891891892</v>
      </c>
      <c r="G874" s="21" t="str">
        <f>IFERROR(INDEX(Users!$A$2:$A$310,MATCH(A874,Users!$B$2:$B$310,0)),"")</f>
        <v>Service A</v>
      </c>
      <c r="H874" s="21" t="str">
        <f>IFERROR(INDEX(Users!$D$2:$D$310,MATCH(A874,Users!$B$2:$B$310,0)),"")</f>
        <v>Band 5</v>
      </c>
      <c r="I874" s="19" t="b">
        <f t="shared" si="40"/>
        <v>0</v>
      </c>
      <c r="J874" s="33" t="str">
        <f t="shared" si="41"/>
        <v/>
      </c>
    </row>
    <row r="875" spans="1:10">
      <c r="A875" s="19" t="s">
        <v>157</v>
      </c>
      <c r="B875" s="20">
        <v>45901</v>
      </c>
      <c r="C875" s="21">
        <v>162.80000000000001</v>
      </c>
      <c r="D875" s="21">
        <v>162.13999999999999</v>
      </c>
      <c r="E875" s="21">
        <v>42.390000000000015</v>
      </c>
      <c r="F875" s="27">
        <f t="shared" si="39"/>
        <v>0.99594594594594577</v>
      </c>
      <c r="G875" s="21" t="str">
        <f>IFERROR(INDEX(Users!$A$2:$A$310,MATCH(A875,Users!$B$2:$B$310,0)),"")</f>
        <v>Service A</v>
      </c>
      <c r="H875" s="21" t="str">
        <f>IFERROR(INDEX(Users!$D$2:$D$310,MATCH(A875,Users!$B$2:$B$310,0)),"")</f>
        <v>Band 5</v>
      </c>
      <c r="I875" s="19" t="b">
        <f t="shared" si="40"/>
        <v>0</v>
      </c>
      <c r="J875" s="33" t="str">
        <f t="shared" si="41"/>
        <v/>
      </c>
    </row>
    <row r="876" spans="1:10">
      <c r="A876" s="19" t="s">
        <v>157</v>
      </c>
      <c r="B876" s="20">
        <v>45931</v>
      </c>
      <c r="C876" s="21">
        <v>170.20000000000002</v>
      </c>
      <c r="D876" s="21">
        <v>163.04000000000002</v>
      </c>
      <c r="E876" s="21">
        <v>43.04000000000002</v>
      </c>
      <c r="F876" s="27">
        <f t="shared" si="39"/>
        <v>0.95793184488836669</v>
      </c>
      <c r="G876" s="21" t="str">
        <f>IFERROR(INDEX(Users!$A$2:$A$310,MATCH(A876,Users!$B$2:$B$310,0)),"")</f>
        <v>Service A</v>
      </c>
      <c r="H876" s="21" t="str">
        <f>IFERROR(INDEX(Users!$D$2:$D$310,MATCH(A876,Users!$B$2:$B$310,0)),"")</f>
        <v>Band 5</v>
      </c>
      <c r="I876" s="19" t="b">
        <f t="shared" si="40"/>
        <v>0</v>
      </c>
      <c r="J876" s="33" t="str">
        <f t="shared" si="41"/>
        <v/>
      </c>
    </row>
    <row r="877" spans="1:10">
      <c r="A877" s="19" t="s">
        <v>157</v>
      </c>
      <c r="B877" s="20">
        <v>45962</v>
      </c>
      <c r="C877" s="21">
        <v>148</v>
      </c>
      <c r="D877" s="21">
        <v>133.96</v>
      </c>
      <c r="E877" s="21">
        <v>36.96</v>
      </c>
      <c r="F877" s="27">
        <f t="shared" si="39"/>
        <v>0.90513513513513522</v>
      </c>
      <c r="G877" s="21" t="str">
        <f>IFERROR(INDEX(Users!$A$2:$A$310,MATCH(A877,Users!$B$2:$B$310,0)),"")</f>
        <v>Service A</v>
      </c>
      <c r="H877" s="21" t="str">
        <f>IFERROR(INDEX(Users!$D$2:$D$310,MATCH(A877,Users!$B$2:$B$310,0)),"")</f>
        <v>Band 5</v>
      </c>
      <c r="I877" s="19" t="b">
        <f t="shared" si="40"/>
        <v>0</v>
      </c>
      <c r="J877" s="33" t="str">
        <f t="shared" si="41"/>
        <v/>
      </c>
    </row>
    <row r="878" spans="1:10">
      <c r="A878" s="19" t="s">
        <v>157</v>
      </c>
      <c r="B878" s="20">
        <v>45992</v>
      </c>
      <c r="C878" s="21">
        <v>155.4</v>
      </c>
      <c r="D878" s="21">
        <v>111.71333333333334</v>
      </c>
      <c r="E878" s="21">
        <v>32.379999999999988</v>
      </c>
      <c r="F878" s="27">
        <f t="shared" si="39"/>
        <v>0.71887601887601893</v>
      </c>
      <c r="G878" s="21" t="str">
        <f>IFERROR(INDEX(Users!$A$2:$A$310,MATCH(A878,Users!$B$2:$B$310,0)),"")</f>
        <v>Service A</v>
      </c>
      <c r="H878" s="21" t="str">
        <f>IFERROR(INDEX(Users!$D$2:$D$310,MATCH(A878,Users!$B$2:$B$310,0)),"")</f>
        <v>Band 5</v>
      </c>
      <c r="I878" s="19" t="b">
        <f t="shared" si="40"/>
        <v>0</v>
      </c>
      <c r="J878" s="33" t="str">
        <f t="shared" si="41"/>
        <v/>
      </c>
    </row>
    <row r="879" spans="1:10">
      <c r="A879" s="19" t="s">
        <v>157</v>
      </c>
      <c r="B879" s="20">
        <v>46023</v>
      </c>
      <c r="C879" s="21">
        <v>155.4</v>
      </c>
      <c r="D879" s="21">
        <v>145.18333333333334</v>
      </c>
      <c r="E879" s="21">
        <v>32.849999999999994</v>
      </c>
      <c r="F879" s="27">
        <f t="shared" si="39"/>
        <v>0.93425568425568428</v>
      </c>
      <c r="G879" s="21" t="str">
        <f>IFERROR(INDEX(Users!$A$2:$A$310,MATCH(A879,Users!$B$2:$B$310,0)),"")</f>
        <v>Service A</v>
      </c>
      <c r="H879" s="21" t="str">
        <f>IFERROR(INDEX(Users!$D$2:$D$310,MATCH(A879,Users!$B$2:$B$310,0)),"")</f>
        <v>Band 5</v>
      </c>
      <c r="I879" s="19" t="b">
        <f t="shared" si="40"/>
        <v>0</v>
      </c>
      <c r="J879" s="33" t="str">
        <f t="shared" si="41"/>
        <v/>
      </c>
    </row>
    <row r="880" spans="1:10">
      <c r="A880" s="19" t="s">
        <v>158</v>
      </c>
      <c r="B880" s="20">
        <v>45658</v>
      </c>
      <c r="C880" s="21">
        <v>162.80000000000001</v>
      </c>
      <c r="D880" s="21">
        <v>85.866666666666674</v>
      </c>
      <c r="E880" s="21">
        <v>32.200000000000003</v>
      </c>
      <c r="F880" s="27">
        <f t="shared" si="39"/>
        <v>0.52743652743652747</v>
      </c>
      <c r="G880" s="21" t="str">
        <f>IFERROR(INDEX(Users!$A$2:$A$310,MATCH(A880,Users!$B$2:$B$310,0)),"")</f>
        <v>Service A</v>
      </c>
      <c r="H880" s="21" t="str">
        <f>IFERROR(INDEX(Users!$D$2:$D$310,MATCH(A880,Users!$B$2:$B$310,0)),"")</f>
        <v>Band 5</v>
      </c>
      <c r="I880" s="19" t="b">
        <f t="shared" si="40"/>
        <v>0</v>
      </c>
      <c r="J880" s="33" t="str">
        <f t="shared" si="41"/>
        <v/>
      </c>
    </row>
    <row r="881" spans="1:10">
      <c r="A881" s="19" t="s">
        <v>158</v>
      </c>
      <c r="B881" s="20">
        <v>45689</v>
      </c>
      <c r="C881" s="21">
        <v>148</v>
      </c>
      <c r="D881" s="21">
        <v>138.23000000000002</v>
      </c>
      <c r="E881" s="21">
        <v>35.379999999999988</v>
      </c>
      <c r="F881" s="27">
        <f t="shared" si="39"/>
        <v>0.93398648648648663</v>
      </c>
      <c r="G881" s="21" t="str">
        <f>IFERROR(INDEX(Users!$A$2:$A$310,MATCH(A881,Users!$B$2:$B$310,0)),"")</f>
        <v>Service A</v>
      </c>
      <c r="H881" s="21" t="str">
        <f>IFERROR(INDEX(Users!$D$2:$D$310,MATCH(A881,Users!$B$2:$B$310,0)),"")</f>
        <v>Band 5</v>
      </c>
      <c r="I881" s="19" t="b">
        <f t="shared" si="40"/>
        <v>0</v>
      </c>
      <c r="J881" s="33" t="str">
        <f t="shared" si="41"/>
        <v/>
      </c>
    </row>
    <row r="882" spans="1:10">
      <c r="A882" s="19" t="s">
        <v>158</v>
      </c>
      <c r="B882" s="20">
        <v>45717</v>
      </c>
      <c r="C882" s="21">
        <v>155.4</v>
      </c>
      <c r="D882" s="21">
        <v>141.31</v>
      </c>
      <c r="E882" s="21">
        <v>49.760000000000005</v>
      </c>
      <c r="F882" s="27">
        <f t="shared" si="39"/>
        <v>0.90933075933075935</v>
      </c>
      <c r="G882" s="21" t="str">
        <f>IFERROR(INDEX(Users!$A$2:$A$310,MATCH(A882,Users!$B$2:$B$310,0)),"")</f>
        <v>Service A</v>
      </c>
      <c r="H882" s="21" t="str">
        <f>IFERROR(INDEX(Users!$D$2:$D$310,MATCH(A882,Users!$B$2:$B$310,0)),"")</f>
        <v>Band 5</v>
      </c>
      <c r="I882" s="19" t="b">
        <f t="shared" si="40"/>
        <v>0</v>
      </c>
      <c r="J882" s="33" t="str">
        <f t="shared" si="41"/>
        <v/>
      </c>
    </row>
    <row r="883" spans="1:10">
      <c r="A883" s="19" t="s">
        <v>158</v>
      </c>
      <c r="B883" s="20">
        <v>45748</v>
      </c>
      <c r="C883" s="21">
        <v>148</v>
      </c>
      <c r="D883" s="21">
        <v>141.20333333333321</v>
      </c>
      <c r="E883" s="21">
        <v>59.469999999999892</v>
      </c>
      <c r="F883" s="27">
        <f t="shared" si="39"/>
        <v>0.95407657657657574</v>
      </c>
      <c r="G883" s="21" t="str">
        <f>IFERROR(INDEX(Users!$A$2:$A$310,MATCH(A883,Users!$B$2:$B$310,0)),"")</f>
        <v>Service A</v>
      </c>
      <c r="H883" s="21" t="str">
        <f>IFERROR(INDEX(Users!$D$2:$D$310,MATCH(A883,Users!$B$2:$B$310,0)),"")</f>
        <v>Band 5</v>
      </c>
      <c r="I883" s="19" t="b">
        <f t="shared" si="40"/>
        <v>0</v>
      </c>
      <c r="J883" s="33" t="str">
        <f t="shared" si="41"/>
        <v/>
      </c>
    </row>
    <row r="884" spans="1:10">
      <c r="A884" s="19" t="s">
        <v>158</v>
      </c>
      <c r="B884" s="20">
        <v>45778</v>
      </c>
      <c r="C884" s="21">
        <v>148</v>
      </c>
      <c r="D884" s="21">
        <v>107.66333333333333</v>
      </c>
      <c r="E884" s="21">
        <v>56.829999999999984</v>
      </c>
      <c r="F884" s="27">
        <f t="shared" si="39"/>
        <v>0.72745495495495494</v>
      </c>
      <c r="G884" s="21" t="str">
        <f>IFERROR(INDEX(Users!$A$2:$A$310,MATCH(A884,Users!$B$2:$B$310,0)),"")</f>
        <v>Service A</v>
      </c>
      <c r="H884" s="21" t="str">
        <f>IFERROR(INDEX(Users!$D$2:$D$310,MATCH(A884,Users!$B$2:$B$310,0)),"")</f>
        <v>Band 5</v>
      </c>
      <c r="I884" s="19" t="b">
        <f t="shared" si="40"/>
        <v>0</v>
      </c>
      <c r="J884" s="33" t="str">
        <f t="shared" si="41"/>
        <v/>
      </c>
    </row>
    <row r="885" spans="1:10">
      <c r="A885" s="19" t="s">
        <v>158</v>
      </c>
      <c r="B885" s="20">
        <v>45809</v>
      </c>
      <c r="C885" s="21">
        <v>155.4</v>
      </c>
      <c r="D885" s="21">
        <v>97.47</v>
      </c>
      <c r="E885" s="21">
        <v>44.92</v>
      </c>
      <c r="F885" s="27">
        <f t="shared" si="39"/>
        <v>0.62722007722007722</v>
      </c>
      <c r="G885" s="21" t="str">
        <f>IFERROR(INDEX(Users!$A$2:$A$310,MATCH(A885,Users!$B$2:$B$310,0)),"")</f>
        <v>Service A</v>
      </c>
      <c r="H885" s="21" t="str">
        <f>IFERROR(INDEX(Users!$D$2:$D$310,MATCH(A885,Users!$B$2:$B$310,0)),"")</f>
        <v>Band 5</v>
      </c>
      <c r="I885" s="19" t="b">
        <f t="shared" si="40"/>
        <v>0</v>
      </c>
      <c r="J885" s="33" t="str">
        <f t="shared" si="41"/>
        <v/>
      </c>
    </row>
    <row r="886" spans="1:10">
      <c r="A886" s="19" t="s">
        <v>158</v>
      </c>
      <c r="B886" s="20">
        <v>45839</v>
      </c>
      <c r="C886" s="21">
        <v>170.20000000000002</v>
      </c>
      <c r="D886" s="21">
        <v>170.95</v>
      </c>
      <c r="E886" s="21">
        <v>98.699999999999989</v>
      </c>
      <c r="F886" s="27">
        <f t="shared" si="39"/>
        <v>1.0044065804935369</v>
      </c>
      <c r="G886" s="21" t="str">
        <f>IFERROR(INDEX(Users!$A$2:$A$310,MATCH(A886,Users!$B$2:$B$310,0)),"")</f>
        <v>Service A</v>
      </c>
      <c r="H886" s="21" t="str">
        <f>IFERROR(INDEX(Users!$D$2:$D$310,MATCH(A886,Users!$B$2:$B$310,0)),"")</f>
        <v>Band 5</v>
      </c>
      <c r="I886" s="19" t="b">
        <f t="shared" si="40"/>
        <v>0</v>
      </c>
      <c r="J886" s="33" t="str">
        <f t="shared" si="41"/>
        <v/>
      </c>
    </row>
    <row r="887" spans="1:10">
      <c r="A887" s="19" t="s">
        <v>158</v>
      </c>
      <c r="B887" s="20">
        <v>45870</v>
      </c>
      <c r="C887" s="21">
        <v>148</v>
      </c>
      <c r="D887" s="21">
        <v>133.37666666666661</v>
      </c>
      <c r="E887" s="21">
        <v>53.009999999999991</v>
      </c>
      <c r="F887" s="27">
        <f t="shared" si="39"/>
        <v>0.90119369369369329</v>
      </c>
      <c r="G887" s="21" t="str">
        <f>IFERROR(INDEX(Users!$A$2:$A$310,MATCH(A887,Users!$B$2:$B$310,0)),"")</f>
        <v>Service A</v>
      </c>
      <c r="H887" s="21" t="str">
        <f>IFERROR(INDEX(Users!$D$2:$D$310,MATCH(A887,Users!$B$2:$B$310,0)),"")</f>
        <v>Band 5</v>
      </c>
      <c r="I887" s="19" t="b">
        <f t="shared" si="40"/>
        <v>0</v>
      </c>
      <c r="J887" s="33" t="str">
        <f t="shared" si="41"/>
        <v/>
      </c>
    </row>
    <row r="888" spans="1:10">
      <c r="A888" s="19" t="s">
        <v>158</v>
      </c>
      <c r="B888" s="20">
        <v>45901</v>
      </c>
      <c r="C888" s="21">
        <v>162.80000000000001</v>
      </c>
      <c r="D888" s="21">
        <v>148.66666666666663</v>
      </c>
      <c r="E888" s="21">
        <v>69.599999999999966</v>
      </c>
      <c r="F888" s="27">
        <f t="shared" si="39"/>
        <v>0.91318591318591291</v>
      </c>
      <c r="G888" s="21" t="str">
        <f>IFERROR(INDEX(Users!$A$2:$A$310,MATCH(A888,Users!$B$2:$B$310,0)),"")</f>
        <v>Service A</v>
      </c>
      <c r="H888" s="21" t="str">
        <f>IFERROR(INDEX(Users!$D$2:$D$310,MATCH(A888,Users!$B$2:$B$310,0)),"")</f>
        <v>Band 5</v>
      </c>
      <c r="I888" s="19" t="b">
        <f t="shared" si="40"/>
        <v>0</v>
      </c>
      <c r="J888" s="33" t="str">
        <f t="shared" si="41"/>
        <v/>
      </c>
    </row>
    <row r="889" spans="1:10">
      <c r="A889" s="19" t="s">
        <v>158</v>
      </c>
      <c r="B889" s="20">
        <v>45931</v>
      </c>
      <c r="C889" s="21">
        <v>170.20000000000002</v>
      </c>
      <c r="D889" s="21">
        <v>162.73333333333332</v>
      </c>
      <c r="E889" s="21">
        <v>97.299999999999983</v>
      </c>
      <c r="F889" s="27">
        <f t="shared" si="39"/>
        <v>0.95613004308656468</v>
      </c>
      <c r="G889" s="21" t="str">
        <f>IFERROR(INDEX(Users!$A$2:$A$310,MATCH(A889,Users!$B$2:$B$310,0)),"")</f>
        <v>Service A</v>
      </c>
      <c r="H889" s="21" t="str">
        <f>IFERROR(INDEX(Users!$D$2:$D$310,MATCH(A889,Users!$B$2:$B$310,0)),"")</f>
        <v>Band 5</v>
      </c>
      <c r="I889" s="19" t="b">
        <f t="shared" si="40"/>
        <v>0</v>
      </c>
      <c r="J889" s="33" t="str">
        <f t="shared" si="41"/>
        <v/>
      </c>
    </row>
    <row r="890" spans="1:10">
      <c r="A890" s="19" t="s">
        <v>158</v>
      </c>
      <c r="B890" s="20">
        <v>45962</v>
      </c>
      <c r="C890" s="21">
        <v>148</v>
      </c>
      <c r="D890" s="21">
        <v>133.21</v>
      </c>
      <c r="E890" s="21">
        <v>75.709999999999994</v>
      </c>
      <c r="F890" s="27">
        <f t="shared" si="39"/>
        <v>0.90006756756756767</v>
      </c>
      <c r="G890" s="21" t="str">
        <f>IFERROR(INDEX(Users!$A$2:$A$310,MATCH(A890,Users!$B$2:$B$310,0)),"")</f>
        <v>Service A</v>
      </c>
      <c r="H890" s="21" t="str">
        <f>IFERROR(INDEX(Users!$D$2:$D$310,MATCH(A890,Users!$B$2:$B$310,0)),"")</f>
        <v>Band 5</v>
      </c>
      <c r="I890" s="19" t="b">
        <f t="shared" si="40"/>
        <v>0</v>
      </c>
      <c r="J890" s="33" t="str">
        <f t="shared" si="41"/>
        <v/>
      </c>
    </row>
    <row r="891" spans="1:10">
      <c r="A891" s="19" t="s">
        <v>158</v>
      </c>
      <c r="B891" s="20">
        <v>45992</v>
      </c>
      <c r="C891" s="21">
        <v>155.4</v>
      </c>
      <c r="D891" s="21">
        <v>131.1</v>
      </c>
      <c r="E891" s="21">
        <v>70.199999999999989</v>
      </c>
      <c r="F891" s="27">
        <f t="shared" si="39"/>
        <v>0.84362934362934361</v>
      </c>
      <c r="G891" s="21" t="str">
        <f>IFERROR(INDEX(Users!$A$2:$A$310,MATCH(A891,Users!$B$2:$B$310,0)),"")</f>
        <v>Service A</v>
      </c>
      <c r="H891" s="21" t="str">
        <f>IFERROR(INDEX(Users!$D$2:$D$310,MATCH(A891,Users!$B$2:$B$310,0)),"")</f>
        <v>Band 5</v>
      </c>
      <c r="I891" s="19" t="b">
        <f t="shared" si="40"/>
        <v>0</v>
      </c>
      <c r="J891" s="33" t="str">
        <f t="shared" si="41"/>
        <v/>
      </c>
    </row>
    <row r="892" spans="1:10">
      <c r="A892" s="19" t="s">
        <v>158</v>
      </c>
      <c r="B892" s="20">
        <v>46023</v>
      </c>
      <c r="C892" s="21">
        <v>155.4</v>
      </c>
      <c r="D892" s="21">
        <v>154.23666666666665</v>
      </c>
      <c r="E892" s="21">
        <v>93.52</v>
      </c>
      <c r="F892" s="27">
        <f t="shared" si="39"/>
        <v>0.99251394251394243</v>
      </c>
      <c r="G892" s="21" t="str">
        <f>IFERROR(INDEX(Users!$A$2:$A$310,MATCH(A892,Users!$B$2:$B$310,0)),"")</f>
        <v>Service A</v>
      </c>
      <c r="H892" s="21" t="str">
        <f>IFERROR(INDEX(Users!$D$2:$D$310,MATCH(A892,Users!$B$2:$B$310,0)),"")</f>
        <v>Band 5</v>
      </c>
      <c r="I892" s="19" t="b">
        <f t="shared" si="40"/>
        <v>0</v>
      </c>
      <c r="J892" s="33" t="str">
        <f t="shared" si="41"/>
        <v/>
      </c>
    </row>
    <row r="893" spans="1:10">
      <c r="A893" s="19" t="s">
        <v>159</v>
      </c>
      <c r="B893" s="20">
        <v>45689</v>
      </c>
      <c r="C893" s="21">
        <v>37</v>
      </c>
      <c r="D893" s="21">
        <v>41.76</v>
      </c>
      <c r="E893" s="21">
        <v>23.009999999999998</v>
      </c>
      <c r="F893" s="27">
        <f t="shared" si="39"/>
        <v>1.1286486486486487</v>
      </c>
      <c r="G893" s="21" t="str">
        <f>IFERROR(INDEX(Users!$A$2:$A$310,MATCH(A893,Users!$B$2:$B$310,0)),"")</f>
        <v>Service B</v>
      </c>
      <c r="H893" s="21" t="str">
        <f>IFERROR(INDEX(Users!$D$2:$D$310,MATCH(A893,Users!$B$2:$B$310,0)),"")</f>
        <v>Band 5</v>
      </c>
      <c r="I893" s="19" t="b">
        <f t="shared" si="40"/>
        <v>0</v>
      </c>
      <c r="J893" s="33">
        <f t="shared" si="41"/>
        <v>1.1286486486486487</v>
      </c>
    </row>
    <row r="894" spans="1:10">
      <c r="A894" s="19" t="s">
        <v>159</v>
      </c>
      <c r="B894" s="20">
        <v>45717</v>
      </c>
      <c r="C894" s="21">
        <v>155.4</v>
      </c>
      <c r="D894" s="21">
        <v>156.21</v>
      </c>
      <c r="E894" s="21">
        <v>110.21</v>
      </c>
      <c r="F894" s="27">
        <f t="shared" si="39"/>
        <v>1.0052123552123553</v>
      </c>
      <c r="G894" s="21" t="str">
        <f>IFERROR(INDEX(Users!$A$2:$A$310,MATCH(A894,Users!$B$2:$B$310,0)),"")</f>
        <v>Service B</v>
      </c>
      <c r="H894" s="21" t="str">
        <f>IFERROR(INDEX(Users!$D$2:$D$310,MATCH(A894,Users!$B$2:$B$310,0)),"")</f>
        <v>Band 5</v>
      </c>
      <c r="I894" s="19" t="b">
        <f t="shared" si="40"/>
        <v>0</v>
      </c>
      <c r="J894" s="33">
        <f t="shared" si="41"/>
        <v>1.0052123552123553</v>
      </c>
    </row>
    <row r="895" spans="1:10">
      <c r="A895" s="19" t="s">
        <v>159</v>
      </c>
      <c r="B895" s="20">
        <v>45748</v>
      </c>
      <c r="C895" s="21">
        <v>148</v>
      </c>
      <c r="D895" s="21">
        <v>129.41666666666671</v>
      </c>
      <c r="E895" s="21">
        <v>88.500000000000043</v>
      </c>
      <c r="F895" s="27">
        <f t="shared" si="39"/>
        <v>0.87443693693693725</v>
      </c>
      <c r="G895" s="21" t="str">
        <f>IFERROR(INDEX(Users!$A$2:$A$310,MATCH(A895,Users!$B$2:$B$310,0)),"")</f>
        <v>Service B</v>
      </c>
      <c r="H895" s="21" t="str">
        <f>IFERROR(INDEX(Users!$D$2:$D$310,MATCH(A895,Users!$B$2:$B$310,0)),"")</f>
        <v>Band 5</v>
      </c>
      <c r="I895" s="19" t="b">
        <f t="shared" si="40"/>
        <v>0</v>
      </c>
      <c r="J895" s="33">
        <f t="shared" si="41"/>
        <v>0.87443693693693725</v>
      </c>
    </row>
    <row r="896" spans="1:10">
      <c r="A896" s="19" t="s">
        <v>159</v>
      </c>
      <c r="B896" s="20">
        <v>45778</v>
      </c>
      <c r="C896" s="21">
        <v>148</v>
      </c>
      <c r="D896" s="21">
        <v>117.75333333333333</v>
      </c>
      <c r="E896" s="21">
        <v>72.419999999999987</v>
      </c>
      <c r="F896" s="27">
        <f t="shared" si="39"/>
        <v>0.79563063063063066</v>
      </c>
      <c r="G896" s="21" t="str">
        <f>IFERROR(INDEX(Users!$A$2:$A$310,MATCH(A896,Users!$B$2:$B$310,0)),"")</f>
        <v>Service B</v>
      </c>
      <c r="H896" s="21" t="str">
        <f>IFERROR(INDEX(Users!$D$2:$D$310,MATCH(A896,Users!$B$2:$B$310,0)),"")</f>
        <v>Band 5</v>
      </c>
      <c r="I896" s="19" t="b">
        <f t="shared" si="40"/>
        <v>0</v>
      </c>
      <c r="J896" s="33">
        <f t="shared" si="41"/>
        <v>0.79563063063063066</v>
      </c>
    </row>
    <row r="897" spans="1:10">
      <c r="A897" s="19" t="s">
        <v>159</v>
      </c>
      <c r="B897" s="20">
        <v>45809</v>
      </c>
      <c r="C897" s="21">
        <v>155.4</v>
      </c>
      <c r="D897" s="21">
        <v>168.06</v>
      </c>
      <c r="E897" s="21">
        <v>132.81</v>
      </c>
      <c r="F897" s="27">
        <f t="shared" si="39"/>
        <v>1.0814671814671815</v>
      </c>
      <c r="G897" s="21" t="str">
        <f>IFERROR(INDEX(Users!$A$2:$A$310,MATCH(A897,Users!$B$2:$B$310,0)),"")</f>
        <v>Service B</v>
      </c>
      <c r="H897" s="21" t="str">
        <f>IFERROR(INDEX(Users!$D$2:$D$310,MATCH(A897,Users!$B$2:$B$310,0)),"")</f>
        <v>Band 5</v>
      </c>
      <c r="I897" s="19" t="b">
        <f t="shared" si="40"/>
        <v>0</v>
      </c>
      <c r="J897" s="33">
        <f t="shared" si="41"/>
        <v>1.0814671814671815</v>
      </c>
    </row>
    <row r="898" spans="1:10">
      <c r="A898" s="19" t="s">
        <v>159</v>
      </c>
      <c r="B898" s="20">
        <v>45839</v>
      </c>
      <c r="C898" s="21">
        <v>170.20000000000002</v>
      </c>
      <c r="D898" s="21">
        <v>192.54666666666665</v>
      </c>
      <c r="E898" s="21">
        <v>137.52999999999997</v>
      </c>
      <c r="F898" s="27">
        <f t="shared" ref="F898:F961" si="42">IFERROR(IF(OR(C898="",D898="",C898=0),"",D898/C898),"")</f>
        <v>1.1312965139052094</v>
      </c>
      <c r="G898" s="21" t="str">
        <f>IFERROR(INDEX(Users!$A$2:$A$310,MATCH(A898,Users!$B$2:$B$310,0)),"")</f>
        <v>Service B</v>
      </c>
      <c r="H898" s="21" t="str">
        <f>IFERROR(INDEX(Users!$D$2:$D$310,MATCH(A898,Users!$B$2:$B$310,0)),"")</f>
        <v>Band 5</v>
      </c>
      <c r="I898" s="19" t="b">
        <f t="shared" ref="I898:I961" si="43">AND(G898="Service A",H898="Band 3")</f>
        <v>0</v>
      </c>
      <c r="J898" s="33">
        <f t="shared" ref="J898:J961" si="44">IF(AND(B898&gt;=DATE(2025,1,1),B898&lt;DATE(2026,1,1),G898="Service B",OR(H898="Band 3",H898="Band 5"),ISNUMBER(F898)),F898,"")</f>
        <v>1.1312965139052094</v>
      </c>
    </row>
    <row r="899" spans="1:10">
      <c r="A899" s="19" t="s">
        <v>159</v>
      </c>
      <c r="B899" s="20">
        <v>45870</v>
      </c>
      <c r="C899" s="21">
        <v>148</v>
      </c>
      <c r="D899" s="21">
        <v>60.22</v>
      </c>
      <c r="E899" s="21">
        <v>47.47</v>
      </c>
      <c r="F899" s="27">
        <f t="shared" si="42"/>
        <v>0.4068918918918919</v>
      </c>
      <c r="G899" s="21" t="str">
        <f>IFERROR(INDEX(Users!$A$2:$A$310,MATCH(A899,Users!$B$2:$B$310,0)),"")</f>
        <v>Service B</v>
      </c>
      <c r="H899" s="21" t="str">
        <f>IFERROR(INDEX(Users!$D$2:$D$310,MATCH(A899,Users!$B$2:$B$310,0)),"")</f>
        <v>Band 5</v>
      </c>
      <c r="I899" s="19" t="b">
        <f t="shared" si="43"/>
        <v>0</v>
      </c>
      <c r="J899" s="33">
        <f t="shared" si="44"/>
        <v>0.4068918918918919</v>
      </c>
    </row>
    <row r="900" spans="1:10">
      <c r="A900" s="19" t="s">
        <v>159</v>
      </c>
      <c r="B900" s="20">
        <v>45901</v>
      </c>
      <c r="C900" s="21">
        <v>162.80000000000001</v>
      </c>
      <c r="D900" s="21">
        <v>149.01666666666665</v>
      </c>
      <c r="E900" s="21">
        <v>101.10000000000001</v>
      </c>
      <c r="F900" s="27">
        <f t="shared" si="42"/>
        <v>0.91533579033579016</v>
      </c>
      <c r="G900" s="21" t="str">
        <f>IFERROR(INDEX(Users!$A$2:$A$310,MATCH(A900,Users!$B$2:$B$310,0)),"")</f>
        <v>Service B</v>
      </c>
      <c r="H900" s="21" t="str">
        <f>IFERROR(INDEX(Users!$D$2:$D$310,MATCH(A900,Users!$B$2:$B$310,0)),"")</f>
        <v>Band 5</v>
      </c>
      <c r="I900" s="19" t="b">
        <f t="shared" si="43"/>
        <v>0</v>
      </c>
      <c r="J900" s="33">
        <f t="shared" si="44"/>
        <v>0.91533579033579016</v>
      </c>
    </row>
    <row r="901" spans="1:10">
      <c r="A901" s="19" t="s">
        <v>159</v>
      </c>
      <c r="B901" s="20">
        <v>45931</v>
      </c>
      <c r="C901" s="21">
        <v>170.20000000000002</v>
      </c>
      <c r="D901" s="21">
        <v>104.93666666666665</v>
      </c>
      <c r="E901" s="21">
        <v>81.019999999999982</v>
      </c>
      <c r="F901" s="27">
        <f t="shared" si="42"/>
        <v>0.6165491578535055</v>
      </c>
      <c r="G901" s="21" t="str">
        <f>IFERROR(INDEX(Users!$A$2:$A$310,MATCH(A901,Users!$B$2:$B$310,0)),"")</f>
        <v>Service B</v>
      </c>
      <c r="H901" s="21" t="str">
        <f>IFERROR(INDEX(Users!$D$2:$D$310,MATCH(A901,Users!$B$2:$B$310,0)),"")</f>
        <v>Band 5</v>
      </c>
      <c r="I901" s="19" t="b">
        <f t="shared" si="43"/>
        <v>0</v>
      </c>
      <c r="J901" s="33">
        <f t="shared" si="44"/>
        <v>0.6165491578535055</v>
      </c>
    </row>
    <row r="902" spans="1:10">
      <c r="A902" s="19" t="s">
        <v>159</v>
      </c>
      <c r="B902" s="20">
        <v>45962</v>
      </c>
      <c r="C902" s="21">
        <v>148</v>
      </c>
      <c r="D902" s="21">
        <v>161.71999999999994</v>
      </c>
      <c r="E902" s="21">
        <v>104.96999999999994</v>
      </c>
      <c r="F902" s="27">
        <f t="shared" si="42"/>
        <v>1.0927027027027023</v>
      </c>
      <c r="G902" s="21" t="str">
        <f>IFERROR(INDEX(Users!$A$2:$A$310,MATCH(A902,Users!$B$2:$B$310,0)),"")</f>
        <v>Service B</v>
      </c>
      <c r="H902" s="21" t="str">
        <f>IFERROR(INDEX(Users!$D$2:$D$310,MATCH(A902,Users!$B$2:$B$310,0)),"")</f>
        <v>Band 5</v>
      </c>
      <c r="I902" s="19" t="b">
        <f t="shared" si="43"/>
        <v>0</v>
      </c>
      <c r="J902" s="33">
        <f t="shared" si="44"/>
        <v>1.0927027027027023</v>
      </c>
    </row>
    <row r="903" spans="1:10">
      <c r="A903" s="19" t="s">
        <v>159</v>
      </c>
      <c r="B903" s="20">
        <v>45992</v>
      </c>
      <c r="C903" s="21">
        <v>155.4</v>
      </c>
      <c r="D903" s="21">
        <v>160.05666666666662</v>
      </c>
      <c r="E903" s="21">
        <v>86.639999999999944</v>
      </c>
      <c r="F903" s="27">
        <f t="shared" si="42"/>
        <v>1.0299656799656796</v>
      </c>
      <c r="G903" s="21" t="str">
        <f>IFERROR(INDEX(Users!$A$2:$A$310,MATCH(A903,Users!$B$2:$B$310,0)),"")</f>
        <v>Service B</v>
      </c>
      <c r="H903" s="21" t="str">
        <f>IFERROR(INDEX(Users!$D$2:$D$310,MATCH(A903,Users!$B$2:$B$310,0)),"")</f>
        <v>Band 5</v>
      </c>
      <c r="I903" s="19" t="b">
        <f t="shared" si="43"/>
        <v>0</v>
      </c>
      <c r="J903" s="33">
        <f t="shared" si="44"/>
        <v>1.0299656799656796</v>
      </c>
    </row>
    <row r="904" spans="1:10">
      <c r="A904" s="19" t="s">
        <v>159</v>
      </c>
      <c r="B904" s="20">
        <v>46023</v>
      </c>
      <c r="C904" s="21">
        <v>155.4</v>
      </c>
      <c r="D904" s="21">
        <v>139.84999999999994</v>
      </c>
      <c r="E904" s="21">
        <v>79.599999999999937</v>
      </c>
      <c r="F904" s="27">
        <f t="shared" si="42"/>
        <v>0.89993564993564945</v>
      </c>
      <c r="G904" s="21" t="str">
        <f>IFERROR(INDEX(Users!$A$2:$A$310,MATCH(A904,Users!$B$2:$B$310,0)),"")</f>
        <v>Service B</v>
      </c>
      <c r="H904" s="21" t="str">
        <f>IFERROR(INDEX(Users!$D$2:$D$310,MATCH(A904,Users!$B$2:$B$310,0)),"")</f>
        <v>Band 5</v>
      </c>
      <c r="I904" s="19" t="b">
        <f t="shared" si="43"/>
        <v>0</v>
      </c>
      <c r="J904" s="33" t="str">
        <f t="shared" si="44"/>
        <v/>
      </c>
    </row>
    <row r="905" spans="1:10">
      <c r="A905" s="19" t="s">
        <v>160</v>
      </c>
      <c r="B905" s="20">
        <v>45658</v>
      </c>
      <c r="C905" s="21">
        <v>162.80000000000001</v>
      </c>
      <c r="D905" s="21">
        <v>148.8566666666666</v>
      </c>
      <c r="E905" s="21">
        <v>68.189999999999941</v>
      </c>
      <c r="F905" s="27">
        <f t="shared" si="42"/>
        <v>0.91435298935298892</v>
      </c>
      <c r="G905" s="21" t="str">
        <f>IFERROR(INDEX(Users!$A$2:$A$310,MATCH(A905,Users!$B$2:$B$310,0)),"")</f>
        <v>Service A</v>
      </c>
      <c r="H905" s="21" t="str">
        <f>IFERROR(INDEX(Users!$D$2:$D$310,MATCH(A905,Users!$B$2:$B$310,0)),"")</f>
        <v>Band 5</v>
      </c>
      <c r="I905" s="19" t="b">
        <f t="shared" si="43"/>
        <v>0</v>
      </c>
      <c r="J905" s="33" t="str">
        <f t="shared" si="44"/>
        <v/>
      </c>
    </row>
    <row r="906" spans="1:10">
      <c r="A906" s="19" t="s">
        <v>160</v>
      </c>
      <c r="B906" s="20">
        <v>45689</v>
      </c>
      <c r="C906" s="21">
        <v>111</v>
      </c>
      <c r="D906" s="21">
        <v>111.08666666666672</v>
      </c>
      <c r="E906" s="21">
        <v>45.17000000000003</v>
      </c>
      <c r="F906" s="27">
        <f t="shared" si="42"/>
        <v>1.0007807807807811</v>
      </c>
      <c r="G906" s="21" t="str">
        <f>IFERROR(INDEX(Users!$A$2:$A$310,MATCH(A906,Users!$B$2:$B$310,0)),"")</f>
        <v>Service A</v>
      </c>
      <c r="H906" s="21" t="str">
        <f>IFERROR(INDEX(Users!$D$2:$D$310,MATCH(A906,Users!$B$2:$B$310,0)),"")</f>
        <v>Band 5</v>
      </c>
      <c r="I906" s="19" t="b">
        <f t="shared" si="43"/>
        <v>0</v>
      </c>
      <c r="J906" s="33" t="str">
        <f t="shared" si="44"/>
        <v/>
      </c>
    </row>
    <row r="907" spans="1:10">
      <c r="A907" s="19" t="s">
        <v>161</v>
      </c>
      <c r="B907" s="20">
        <v>45658</v>
      </c>
      <c r="C907" s="21">
        <v>162.79999999999998</v>
      </c>
      <c r="D907" s="21">
        <v>157.23666666666665</v>
      </c>
      <c r="E907" s="21">
        <v>102.07</v>
      </c>
      <c r="F907" s="27">
        <f t="shared" si="42"/>
        <v>0.96582719082719082</v>
      </c>
      <c r="G907" s="21" t="str">
        <f>IFERROR(INDEX(Users!$A$2:$A$310,MATCH(A907,Users!$B$2:$B$310,0)),"")</f>
        <v>Service B</v>
      </c>
      <c r="H907" s="21" t="str">
        <f>IFERROR(INDEX(Users!$D$2:$D$310,MATCH(A907,Users!$B$2:$B$310,0)),"")</f>
        <v>Band 3</v>
      </c>
      <c r="I907" s="19" t="b">
        <f t="shared" si="43"/>
        <v>0</v>
      </c>
      <c r="J907" s="33">
        <f t="shared" si="44"/>
        <v>0.96582719082719082</v>
      </c>
    </row>
    <row r="908" spans="1:10">
      <c r="A908" s="19" t="s">
        <v>161</v>
      </c>
      <c r="B908" s="20">
        <v>45689</v>
      </c>
      <c r="C908" s="21">
        <v>148</v>
      </c>
      <c r="D908" s="21">
        <v>119.75999999999999</v>
      </c>
      <c r="E908" s="21">
        <v>96.759999999999991</v>
      </c>
      <c r="F908" s="27">
        <f t="shared" si="42"/>
        <v>0.80918918918918914</v>
      </c>
      <c r="G908" s="21" t="str">
        <f>IFERROR(INDEX(Users!$A$2:$A$310,MATCH(A908,Users!$B$2:$B$310,0)),"")</f>
        <v>Service B</v>
      </c>
      <c r="H908" s="21" t="str">
        <f>IFERROR(INDEX(Users!$D$2:$D$310,MATCH(A908,Users!$B$2:$B$310,0)),"")</f>
        <v>Band 3</v>
      </c>
      <c r="I908" s="19" t="b">
        <f t="shared" si="43"/>
        <v>0</v>
      </c>
      <c r="J908" s="33">
        <f t="shared" si="44"/>
        <v>0.80918918918918914</v>
      </c>
    </row>
    <row r="909" spans="1:10">
      <c r="A909" s="19" t="s">
        <v>161</v>
      </c>
      <c r="B909" s="20">
        <v>45717</v>
      </c>
      <c r="C909" s="21">
        <v>155.4</v>
      </c>
      <c r="D909" s="21">
        <v>165.29333333333332</v>
      </c>
      <c r="E909" s="21">
        <v>111.80999999999999</v>
      </c>
      <c r="F909" s="27">
        <f t="shared" si="42"/>
        <v>1.0636636636636636</v>
      </c>
      <c r="G909" s="21" t="str">
        <f>IFERROR(INDEX(Users!$A$2:$A$310,MATCH(A909,Users!$B$2:$B$310,0)),"")</f>
        <v>Service B</v>
      </c>
      <c r="H909" s="21" t="str">
        <f>IFERROR(INDEX(Users!$D$2:$D$310,MATCH(A909,Users!$B$2:$B$310,0)),"")</f>
        <v>Band 3</v>
      </c>
      <c r="I909" s="19" t="b">
        <f t="shared" si="43"/>
        <v>0</v>
      </c>
      <c r="J909" s="33">
        <f t="shared" si="44"/>
        <v>1.0636636636636636</v>
      </c>
    </row>
    <row r="910" spans="1:10">
      <c r="A910" s="19" t="s">
        <v>161</v>
      </c>
      <c r="B910" s="20">
        <v>45748</v>
      </c>
      <c r="C910" s="21">
        <v>148</v>
      </c>
      <c r="D910" s="21">
        <v>100.24666666666667</v>
      </c>
      <c r="E910" s="21">
        <v>80.83</v>
      </c>
      <c r="F910" s="27">
        <f t="shared" si="42"/>
        <v>0.67734234234234236</v>
      </c>
      <c r="G910" s="21" t="str">
        <f>IFERROR(INDEX(Users!$A$2:$A$310,MATCH(A910,Users!$B$2:$B$310,0)),"")</f>
        <v>Service B</v>
      </c>
      <c r="H910" s="21" t="str">
        <f>IFERROR(INDEX(Users!$D$2:$D$310,MATCH(A910,Users!$B$2:$B$310,0)),"")</f>
        <v>Band 3</v>
      </c>
      <c r="I910" s="19" t="b">
        <f t="shared" si="43"/>
        <v>0</v>
      </c>
      <c r="J910" s="33">
        <f t="shared" si="44"/>
        <v>0.67734234234234236</v>
      </c>
    </row>
    <row r="911" spans="1:10">
      <c r="A911" s="19" t="s">
        <v>161</v>
      </c>
      <c r="B911" s="20">
        <v>45778</v>
      </c>
      <c r="C911" s="21">
        <v>148</v>
      </c>
      <c r="D911" s="21">
        <v>119.58</v>
      </c>
      <c r="E911" s="21">
        <v>88.33</v>
      </c>
      <c r="F911" s="27">
        <f t="shared" si="42"/>
        <v>0.80797297297297299</v>
      </c>
      <c r="G911" s="21" t="str">
        <f>IFERROR(INDEX(Users!$A$2:$A$310,MATCH(A911,Users!$B$2:$B$310,0)),"")</f>
        <v>Service B</v>
      </c>
      <c r="H911" s="21" t="str">
        <f>IFERROR(INDEX(Users!$D$2:$D$310,MATCH(A911,Users!$B$2:$B$310,0)),"")</f>
        <v>Band 3</v>
      </c>
      <c r="I911" s="19" t="b">
        <f t="shared" si="43"/>
        <v>0</v>
      </c>
      <c r="J911" s="33">
        <f t="shared" si="44"/>
        <v>0.80797297297297299</v>
      </c>
    </row>
    <row r="912" spans="1:10">
      <c r="A912" s="19" t="s">
        <v>161</v>
      </c>
      <c r="B912" s="20">
        <v>45809</v>
      </c>
      <c r="C912" s="21">
        <v>155.4</v>
      </c>
      <c r="D912" s="21">
        <v>155.71666666666667</v>
      </c>
      <c r="E912" s="21">
        <v>113.55</v>
      </c>
      <c r="F912" s="27">
        <f t="shared" si="42"/>
        <v>1.0020377520377519</v>
      </c>
      <c r="G912" s="21" t="str">
        <f>IFERROR(INDEX(Users!$A$2:$A$310,MATCH(A912,Users!$B$2:$B$310,0)),"")</f>
        <v>Service B</v>
      </c>
      <c r="H912" s="21" t="str">
        <f>IFERROR(INDEX(Users!$D$2:$D$310,MATCH(A912,Users!$B$2:$B$310,0)),"")</f>
        <v>Band 3</v>
      </c>
      <c r="I912" s="19" t="b">
        <f t="shared" si="43"/>
        <v>0</v>
      </c>
      <c r="J912" s="33">
        <f t="shared" si="44"/>
        <v>1.0020377520377519</v>
      </c>
    </row>
    <row r="913" spans="1:10">
      <c r="A913" s="19" t="s">
        <v>161</v>
      </c>
      <c r="B913" s="20">
        <v>45839</v>
      </c>
      <c r="C913" s="21">
        <v>170.2</v>
      </c>
      <c r="D913" s="21">
        <v>112.79333333333332</v>
      </c>
      <c r="E913" s="21">
        <v>77.959999999999994</v>
      </c>
      <c r="F913" s="27">
        <f t="shared" si="42"/>
        <v>0.66271053662358004</v>
      </c>
      <c r="G913" s="21" t="str">
        <f>IFERROR(INDEX(Users!$A$2:$A$310,MATCH(A913,Users!$B$2:$B$310,0)),"")</f>
        <v>Service B</v>
      </c>
      <c r="H913" s="21" t="str">
        <f>IFERROR(INDEX(Users!$D$2:$D$310,MATCH(A913,Users!$B$2:$B$310,0)),"")</f>
        <v>Band 3</v>
      </c>
      <c r="I913" s="19" t="b">
        <f t="shared" si="43"/>
        <v>0</v>
      </c>
      <c r="J913" s="33">
        <f t="shared" si="44"/>
        <v>0.66271053662358004</v>
      </c>
    </row>
    <row r="914" spans="1:10">
      <c r="A914" s="19" t="s">
        <v>161</v>
      </c>
      <c r="B914" s="20">
        <v>45870</v>
      </c>
      <c r="C914" s="21">
        <v>148</v>
      </c>
      <c r="D914" s="21">
        <v>118.8</v>
      </c>
      <c r="E914" s="21">
        <v>80.8</v>
      </c>
      <c r="F914" s="27">
        <f t="shared" si="42"/>
        <v>0.80270270270270272</v>
      </c>
      <c r="G914" s="21" t="str">
        <f>IFERROR(INDEX(Users!$A$2:$A$310,MATCH(A914,Users!$B$2:$B$310,0)),"")</f>
        <v>Service B</v>
      </c>
      <c r="H914" s="21" t="str">
        <f>IFERROR(INDEX(Users!$D$2:$D$310,MATCH(A914,Users!$B$2:$B$310,0)),"")</f>
        <v>Band 3</v>
      </c>
      <c r="I914" s="19" t="b">
        <f t="shared" si="43"/>
        <v>0</v>
      </c>
      <c r="J914" s="33">
        <f t="shared" si="44"/>
        <v>0.80270270270270272</v>
      </c>
    </row>
    <row r="915" spans="1:10">
      <c r="A915" s="19" t="s">
        <v>161</v>
      </c>
      <c r="B915" s="20">
        <v>45901</v>
      </c>
      <c r="C915" s="21">
        <v>162.80000000000001</v>
      </c>
      <c r="D915" s="21">
        <v>168.71333333333331</v>
      </c>
      <c r="E915" s="21">
        <v>113.97999999999999</v>
      </c>
      <c r="F915" s="27">
        <f t="shared" si="42"/>
        <v>1.0363226863226862</v>
      </c>
      <c r="G915" s="21" t="str">
        <f>IFERROR(INDEX(Users!$A$2:$A$310,MATCH(A915,Users!$B$2:$B$310,0)),"")</f>
        <v>Service B</v>
      </c>
      <c r="H915" s="21" t="str">
        <f>IFERROR(INDEX(Users!$D$2:$D$310,MATCH(A915,Users!$B$2:$B$310,0)),"")</f>
        <v>Band 3</v>
      </c>
      <c r="I915" s="19" t="b">
        <f t="shared" si="43"/>
        <v>0</v>
      </c>
      <c r="J915" s="33">
        <f t="shared" si="44"/>
        <v>1.0363226863226862</v>
      </c>
    </row>
    <row r="916" spans="1:10">
      <c r="A916" s="19" t="s">
        <v>161</v>
      </c>
      <c r="B916" s="20">
        <v>45931</v>
      </c>
      <c r="C916" s="21">
        <v>170.2</v>
      </c>
      <c r="D916" s="21">
        <v>142.56666666666666</v>
      </c>
      <c r="E916" s="21">
        <v>98.2</v>
      </c>
      <c r="F916" s="27">
        <f t="shared" si="42"/>
        <v>0.83764198981590288</v>
      </c>
      <c r="G916" s="21" t="str">
        <f>IFERROR(INDEX(Users!$A$2:$A$310,MATCH(A916,Users!$B$2:$B$310,0)),"")</f>
        <v>Service B</v>
      </c>
      <c r="H916" s="21" t="str">
        <f>IFERROR(INDEX(Users!$D$2:$D$310,MATCH(A916,Users!$B$2:$B$310,0)),"")</f>
        <v>Band 3</v>
      </c>
      <c r="I916" s="19" t="b">
        <f t="shared" si="43"/>
        <v>0</v>
      </c>
      <c r="J916" s="33">
        <f t="shared" si="44"/>
        <v>0.83764198981590288</v>
      </c>
    </row>
    <row r="917" spans="1:10">
      <c r="A917" s="19" t="s">
        <v>161</v>
      </c>
      <c r="B917" s="20">
        <v>45962</v>
      </c>
      <c r="C917" s="21">
        <v>148</v>
      </c>
      <c r="D917" s="21">
        <v>152.22666666666666</v>
      </c>
      <c r="E917" s="21">
        <v>100.56</v>
      </c>
      <c r="F917" s="27">
        <f t="shared" si="42"/>
        <v>1.0285585585585586</v>
      </c>
      <c r="G917" s="21" t="str">
        <f>IFERROR(INDEX(Users!$A$2:$A$310,MATCH(A917,Users!$B$2:$B$310,0)),"")</f>
        <v>Service B</v>
      </c>
      <c r="H917" s="21" t="str">
        <f>IFERROR(INDEX(Users!$D$2:$D$310,MATCH(A917,Users!$B$2:$B$310,0)),"")</f>
        <v>Band 3</v>
      </c>
      <c r="I917" s="19" t="b">
        <f t="shared" si="43"/>
        <v>0</v>
      </c>
      <c r="J917" s="33">
        <f t="shared" si="44"/>
        <v>1.0285585585585586</v>
      </c>
    </row>
    <row r="918" spans="1:10">
      <c r="A918" s="19" t="s">
        <v>161</v>
      </c>
      <c r="B918" s="20">
        <v>45992</v>
      </c>
      <c r="C918" s="21">
        <v>155.4</v>
      </c>
      <c r="D918" s="21">
        <v>106.11999999999999</v>
      </c>
      <c r="E918" s="21">
        <v>62.61999999999999</v>
      </c>
      <c r="F918" s="27">
        <f t="shared" si="42"/>
        <v>0.68288288288288279</v>
      </c>
      <c r="G918" s="21" t="str">
        <f>IFERROR(INDEX(Users!$A$2:$A$310,MATCH(A918,Users!$B$2:$B$310,0)),"")</f>
        <v>Service B</v>
      </c>
      <c r="H918" s="21" t="str">
        <f>IFERROR(INDEX(Users!$D$2:$D$310,MATCH(A918,Users!$B$2:$B$310,0)),"")</f>
        <v>Band 3</v>
      </c>
      <c r="I918" s="19" t="b">
        <f t="shared" si="43"/>
        <v>0</v>
      </c>
      <c r="J918" s="33">
        <f t="shared" si="44"/>
        <v>0.68288288288288279</v>
      </c>
    </row>
    <row r="919" spans="1:10">
      <c r="A919" s="19" t="s">
        <v>161</v>
      </c>
      <c r="B919" s="20">
        <v>46023</v>
      </c>
      <c r="C919" s="21">
        <v>155.39999999999998</v>
      </c>
      <c r="D919" s="21">
        <v>137.10666666666668</v>
      </c>
      <c r="E919" s="21">
        <v>87.69</v>
      </c>
      <c r="F919" s="27">
        <f t="shared" si="42"/>
        <v>0.88228228228228256</v>
      </c>
      <c r="G919" s="21" t="str">
        <f>IFERROR(INDEX(Users!$A$2:$A$310,MATCH(A919,Users!$B$2:$B$310,0)),"")</f>
        <v>Service B</v>
      </c>
      <c r="H919" s="21" t="str">
        <f>IFERROR(INDEX(Users!$D$2:$D$310,MATCH(A919,Users!$B$2:$B$310,0)),"")</f>
        <v>Band 3</v>
      </c>
      <c r="I919" s="19" t="b">
        <f t="shared" si="43"/>
        <v>0</v>
      </c>
      <c r="J919" s="33" t="str">
        <f t="shared" si="44"/>
        <v/>
      </c>
    </row>
    <row r="920" spans="1:10">
      <c r="A920" s="19" t="s">
        <v>163</v>
      </c>
      <c r="B920" s="20">
        <v>45658</v>
      </c>
      <c r="C920" s="21">
        <v>162.80000000000001</v>
      </c>
      <c r="D920" s="21">
        <v>135.35055555555559</v>
      </c>
      <c r="E920" s="21">
        <v>83.100000000000037</v>
      </c>
      <c r="F920" s="27">
        <f t="shared" si="42"/>
        <v>0.83139161889161906</v>
      </c>
      <c r="G920" s="21" t="str">
        <f>IFERROR(INDEX(Users!$A$2:$A$310,MATCH(A920,Users!$B$2:$B$310,0)),"")</f>
        <v>Service C</v>
      </c>
      <c r="H920" s="21" t="str">
        <f>IFERROR(INDEX(Users!$D$2:$D$310,MATCH(A920,Users!$B$2:$B$310,0)),"")</f>
        <v>Band 5</v>
      </c>
      <c r="I920" s="19" t="b">
        <f t="shared" si="43"/>
        <v>0</v>
      </c>
      <c r="J920" s="33" t="str">
        <f t="shared" si="44"/>
        <v/>
      </c>
    </row>
    <row r="921" spans="1:10">
      <c r="A921" s="19" t="s">
        <v>163</v>
      </c>
      <c r="B921" s="20">
        <v>45689</v>
      </c>
      <c r="C921" s="21">
        <v>148</v>
      </c>
      <c r="D921" s="21">
        <v>143.19972222222228</v>
      </c>
      <c r="E921" s="21">
        <v>81.540000000000049</v>
      </c>
      <c r="F921" s="27">
        <f t="shared" si="42"/>
        <v>0.96756569069069109</v>
      </c>
      <c r="G921" s="21" t="str">
        <f>IFERROR(INDEX(Users!$A$2:$A$310,MATCH(A921,Users!$B$2:$B$310,0)),"")</f>
        <v>Service C</v>
      </c>
      <c r="H921" s="21" t="str">
        <f>IFERROR(INDEX(Users!$D$2:$D$310,MATCH(A921,Users!$B$2:$B$310,0)),"")</f>
        <v>Band 5</v>
      </c>
      <c r="I921" s="19" t="b">
        <f t="shared" si="43"/>
        <v>0</v>
      </c>
      <c r="J921" s="33" t="str">
        <f t="shared" si="44"/>
        <v/>
      </c>
    </row>
    <row r="922" spans="1:10">
      <c r="A922" s="19" t="s">
        <v>163</v>
      </c>
      <c r="B922" s="20">
        <v>45717</v>
      </c>
      <c r="C922" s="21">
        <v>155.4</v>
      </c>
      <c r="D922" s="21">
        <v>134.89138888888888</v>
      </c>
      <c r="E922" s="21">
        <v>84.49</v>
      </c>
      <c r="F922" s="27">
        <f t="shared" si="42"/>
        <v>0.86802695552695541</v>
      </c>
      <c r="G922" s="21" t="str">
        <f>IFERROR(INDEX(Users!$A$2:$A$310,MATCH(A922,Users!$B$2:$B$310,0)),"")</f>
        <v>Service C</v>
      </c>
      <c r="H922" s="21" t="str">
        <f>IFERROR(INDEX(Users!$D$2:$D$310,MATCH(A922,Users!$B$2:$B$310,0)),"")</f>
        <v>Band 5</v>
      </c>
      <c r="I922" s="19" t="b">
        <f t="shared" si="43"/>
        <v>0</v>
      </c>
      <c r="J922" s="33" t="str">
        <f t="shared" si="44"/>
        <v/>
      </c>
    </row>
    <row r="923" spans="1:10">
      <c r="A923" s="19" t="s">
        <v>163</v>
      </c>
      <c r="B923" s="20">
        <v>45748</v>
      </c>
      <c r="C923" s="21">
        <v>148</v>
      </c>
      <c r="D923" s="21">
        <v>98.688055555555579</v>
      </c>
      <c r="E923" s="21">
        <v>60.920000000000023</v>
      </c>
      <c r="F923" s="27">
        <f t="shared" si="42"/>
        <v>0.66681118618618629</v>
      </c>
      <c r="G923" s="21" t="str">
        <f>IFERROR(INDEX(Users!$A$2:$A$310,MATCH(A923,Users!$B$2:$B$310,0)),"")</f>
        <v>Service C</v>
      </c>
      <c r="H923" s="21" t="str">
        <f>IFERROR(INDEX(Users!$D$2:$D$310,MATCH(A923,Users!$B$2:$B$310,0)),"")</f>
        <v>Band 5</v>
      </c>
      <c r="I923" s="19" t="b">
        <f t="shared" si="43"/>
        <v>0</v>
      </c>
      <c r="J923" s="33" t="str">
        <f t="shared" si="44"/>
        <v/>
      </c>
    </row>
    <row r="924" spans="1:10">
      <c r="A924" s="19" t="s">
        <v>163</v>
      </c>
      <c r="B924" s="20">
        <v>45778</v>
      </c>
      <c r="C924" s="21">
        <v>148</v>
      </c>
      <c r="D924" s="21">
        <v>131.04000000000002</v>
      </c>
      <c r="E924" s="21">
        <v>45.70000000000001</v>
      </c>
      <c r="F924" s="27">
        <f t="shared" si="42"/>
        <v>0.88540540540540558</v>
      </c>
      <c r="G924" s="21" t="str">
        <f>IFERROR(INDEX(Users!$A$2:$A$310,MATCH(A924,Users!$B$2:$B$310,0)),"")</f>
        <v>Service C</v>
      </c>
      <c r="H924" s="21" t="str">
        <f>IFERROR(INDEX(Users!$D$2:$D$310,MATCH(A924,Users!$B$2:$B$310,0)),"")</f>
        <v>Band 5</v>
      </c>
      <c r="I924" s="19" t="b">
        <f t="shared" si="43"/>
        <v>0</v>
      </c>
      <c r="J924" s="33" t="str">
        <f t="shared" si="44"/>
        <v/>
      </c>
    </row>
    <row r="925" spans="1:10">
      <c r="A925" s="19" t="s">
        <v>163</v>
      </c>
      <c r="B925" s="20">
        <v>45809</v>
      </c>
      <c r="C925" s="21">
        <v>155.4</v>
      </c>
      <c r="D925" s="21">
        <v>155.0916666666667</v>
      </c>
      <c r="E925" s="21">
        <v>59.320000000000029</v>
      </c>
      <c r="F925" s="27">
        <f t="shared" si="42"/>
        <v>0.99801587301587313</v>
      </c>
      <c r="G925" s="21" t="str">
        <f>IFERROR(INDEX(Users!$A$2:$A$310,MATCH(A925,Users!$B$2:$B$310,0)),"")</f>
        <v>Service C</v>
      </c>
      <c r="H925" s="21" t="str">
        <f>IFERROR(INDEX(Users!$D$2:$D$310,MATCH(A925,Users!$B$2:$B$310,0)),"")</f>
        <v>Band 5</v>
      </c>
      <c r="I925" s="19" t="b">
        <f t="shared" si="43"/>
        <v>0</v>
      </c>
      <c r="J925" s="33" t="str">
        <f t="shared" si="44"/>
        <v/>
      </c>
    </row>
    <row r="926" spans="1:10">
      <c r="A926" s="19" t="s">
        <v>163</v>
      </c>
      <c r="B926" s="20">
        <v>45839</v>
      </c>
      <c r="C926" s="21">
        <v>170.20000000000002</v>
      </c>
      <c r="D926" s="21">
        <v>95.293055555555583</v>
      </c>
      <c r="E926" s="21">
        <v>48.160000000000032</v>
      </c>
      <c r="F926" s="27">
        <f t="shared" si="42"/>
        <v>0.55988869304086708</v>
      </c>
      <c r="G926" s="21" t="str">
        <f>IFERROR(INDEX(Users!$A$2:$A$310,MATCH(A926,Users!$B$2:$B$310,0)),"")</f>
        <v>Service C</v>
      </c>
      <c r="H926" s="21" t="str">
        <f>IFERROR(INDEX(Users!$D$2:$D$310,MATCH(A926,Users!$B$2:$B$310,0)),"")</f>
        <v>Band 5</v>
      </c>
      <c r="I926" s="19" t="b">
        <f t="shared" si="43"/>
        <v>0</v>
      </c>
      <c r="J926" s="33" t="str">
        <f t="shared" si="44"/>
        <v/>
      </c>
    </row>
    <row r="927" spans="1:10">
      <c r="A927" s="19" t="s">
        <v>163</v>
      </c>
      <c r="B927" s="20">
        <v>45870</v>
      </c>
      <c r="C927" s="21">
        <v>148</v>
      </c>
      <c r="D927" s="21">
        <v>133.97916666666669</v>
      </c>
      <c r="E927" s="21">
        <v>78.930000000000035</v>
      </c>
      <c r="F927" s="27">
        <f t="shared" si="42"/>
        <v>0.90526463963963977</v>
      </c>
      <c r="G927" s="21" t="str">
        <f>IFERROR(INDEX(Users!$A$2:$A$310,MATCH(A927,Users!$B$2:$B$310,0)),"")</f>
        <v>Service C</v>
      </c>
      <c r="H927" s="21" t="str">
        <f>IFERROR(INDEX(Users!$D$2:$D$310,MATCH(A927,Users!$B$2:$B$310,0)),"")</f>
        <v>Band 5</v>
      </c>
      <c r="I927" s="19" t="b">
        <f t="shared" si="43"/>
        <v>0</v>
      </c>
      <c r="J927" s="33" t="str">
        <f t="shared" si="44"/>
        <v/>
      </c>
    </row>
    <row r="928" spans="1:10">
      <c r="A928" s="19" t="s">
        <v>163</v>
      </c>
      <c r="B928" s="20">
        <v>45901</v>
      </c>
      <c r="C928" s="21">
        <v>162.80000000000001</v>
      </c>
      <c r="D928" s="21">
        <v>175.20694444444445</v>
      </c>
      <c r="E928" s="21">
        <v>73.38000000000001</v>
      </c>
      <c r="F928" s="27">
        <f t="shared" si="42"/>
        <v>1.0762097324597324</v>
      </c>
      <c r="G928" s="21" t="str">
        <f>IFERROR(INDEX(Users!$A$2:$A$310,MATCH(A928,Users!$B$2:$B$310,0)),"")</f>
        <v>Service C</v>
      </c>
      <c r="H928" s="21" t="str">
        <f>IFERROR(INDEX(Users!$D$2:$D$310,MATCH(A928,Users!$B$2:$B$310,0)),"")</f>
        <v>Band 5</v>
      </c>
      <c r="I928" s="19" t="b">
        <f t="shared" si="43"/>
        <v>0</v>
      </c>
      <c r="J928" s="33" t="str">
        <f t="shared" si="44"/>
        <v/>
      </c>
    </row>
    <row r="929" spans="1:10">
      <c r="A929" s="19" t="s">
        <v>163</v>
      </c>
      <c r="B929" s="20">
        <v>45931</v>
      </c>
      <c r="C929" s="21">
        <v>170.20000000000002</v>
      </c>
      <c r="D929" s="21">
        <v>134.51</v>
      </c>
      <c r="E929" s="21">
        <v>84.06</v>
      </c>
      <c r="F929" s="27">
        <f t="shared" si="42"/>
        <v>0.79030552291421841</v>
      </c>
      <c r="G929" s="21" t="str">
        <f>IFERROR(INDEX(Users!$A$2:$A$310,MATCH(A929,Users!$B$2:$B$310,0)),"")</f>
        <v>Service C</v>
      </c>
      <c r="H929" s="21" t="str">
        <f>IFERROR(INDEX(Users!$D$2:$D$310,MATCH(A929,Users!$B$2:$B$310,0)),"")</f>
        <v>Band 5</v>
      </c>
      <c r="I929" s="19" t="b">
        <f t="shared" si="43"/>
        <v>0</v>
      </c>
      <c r="J929" s="33" t="str">
        <f t="shared" si="44"/>
        <v/>
      </c>
    </row>
    <row r="930" spans="1:10">
      <c r="A930" s="19" t="s">
        <v>163</v>
      </c>
      <c r="B930" s="20">
        <v>45962</v>
      </c>
      <c r="C930" s="21">
        <v>148</v>
      </c>
      <c r="D930" s="21">
        <v>148.70333333333335</v>
      </c>
      <c r="E930" s="21">
        <v>95.320000000000022</v>
      </c>
      <c r="F930" s="27">
        <f t="shared" si="42"/>
        <v>1.0047522522522523</v>
      </c>
      <c r="G930" s="21" t="str">
        <f>IFERROR(INDEX(Users!$A$2:$A$310,MATCH(A930,Users!$B$2:$B$310,0)),"")</f>
        <v>Service C</v>
      </c>
      <c r="H930" s="21" t="str">
        <f>IFERROR(INDEX(Users!$D$2:$D$310,MATCH(A930,Users!$B$2:$B$310,0)),"")</f>
        <v>Band 5</v>
      </c>
      <c r="I930" s="19" t="b">
        <f t="shared" si="43"/>
        <v>0</v>
      </c>
      <c r="J930" s="33" t="str">
        <f t="shared" si="44"/>
        <v/>
      </c>
    </row>
    <row r="931" spans="1:10">
      <c r="A931" s="19" t="s">
        <v>163</v>
      </c>
      <c r="B931" s="20">
        <v>45992</v>
      </c>
      <c r="C931" s="21">
        <v>155.4</v>
      </c>
      <c r="D931" s="21">
        <v>121.44333333333333</v>
      </c>
      <c r="E931" s="21">
        <v>69.709999999999994</v>
      </c>
      <c r="F931" s="27">
        <f t="shared" si="42"/>
        <v>0.78148863148863146</v>
      </c>
      <c r="G931" s="21" t="str">
        <f>IFERROR(INDEX(Users!$A$2:$A$310,MATCH(A931,Users!$B$2:$B$310,0)),"")</f>
        <v>Service C</v>
      </c>
      <c r="H931" s="21" t="str">
        <f>IFERROR(INDEX(Users!$D$2:$D$310,MATCH(A931,Users!$B$2:$B$310,0)),"")</f>
        <v>Band 5</v>
      </c>
      <c r="I931" s="19" t="b">
        <f t="shared" si="43"/>
        <v>0</v>
      </c>
      <c r="J931" s="33" t="str">
        <f t="shared" si="44"/>
        <v/>
      </c>
    </row>
    <row r="932" spans="1:10">
      <c r="A932" s="19" t="s">
        <v>163</v>
      </c>
      <c r="B932" s="20">
        <v>46023</v>
      </c>
      <c r="C932" s="21">
        <v>155.4</v>
      </c>
      <c r="D932" s="21">
        <v>148.13</v>
      </c>
      <c r="E932" s="21">
        <v>105.53000000000002</v>
      </c>
      <c r="F932" s="27">
        <f t="shared" si="42"/>
        <v>0.9532175032175032</v>
      </c>
      <c r="G932" s="21" t="str">
        <f>IFERROR(INDEX(Users!$A$2:$A$310,MATCH(A932,Users!$B$2:$B$310,0)),"")</f>
        <v>Service C</v>
      </c>
      <c r="H932" s="21" t="str">
        <f>IFERROR(INDEX(Users!$D$2:$D$310,MATCH(A932,Users!$B$2:$B$310,0)),"")</f>
        <v>Band 5</v>
      </c>
      <c r="I932" s="19" t="b">
        <f t="shared" si="43"/>
        <v>0</v>
      </c>
      <c r="J932" s="33" t="str">
        <f t="shared" si="44"/>
        <v/>
      </c>
    </row>
    <row r="933" spans="1:10">
      <c r="A933" s="19" t="s">
        <v>164</v>
      </c>
      <c r="B933" s="20">
        <v>45658</v>
      </c>
      <c r="C933" s="21">
        <v>162.79999999999998</v>
      </c>
      <c r="D933" s="21">
        <v>66.31</v>
      </c>
      <c r="E933" s="21">
        <v>66.31</v>
      </c>
      <c r="F933" s="27">
        <f t="shared" si="42"/>
        <v>0.40730958230958236</v>
      </c>
      <c r="G933" s="21" t="str">
        <f>IFERROR(INDEX(Users!$A$2:$A$310,MATCH(A933,Users!$B$2:$B$310,0)),"")</f>
        <v>Service B</v>
      </c>
      <c r="H933" s="21" t="str">
        <f>IFERROR(INDEX(Users!$D$2:$D$310,MATCH(A933,Users!$B$2:$B$310,0)),"")</f>
        <v>Band 5</v>
      </c>
      <c r="I933" s="19" t="b">
        <f t="shared" si="43"/>
        <v>0</v>
      </c>
      <c r="J933" s="33">
        <f t="shared" si="44"/>
        <v>0.40730958230958236</v>
      </c>
    </row>
    <row r="934" spans="1:10">
      <c r="A934" s="19" t="s">
        <v>164</v>
      </c>
      <c r="B934" s="20">
        <v>45689</v>
      </c>
      <c r="C934" s="21">
        <v>148</v>
      </c>
      <c r="D934" s="21">
        <v>89.036666666666676</v>
      </c>
      <c r="E934" s="21">
        <v>75.87</v>
      </c>
      <c r="F934" s="27">
        <f t="shared" si="42"/>
        <v>0.60159909909909914</v>
      </c>
      <c r="G934" s="21" t="str">
        <f>IFERROR(INDEX(Users!$A$2:$A$310,MATCH(A934,Users!$B$2:$B$310,0)),"")</f>
        <v>Service B</v>
      </c>
      <c r="H934" s="21" t="str">
        <f>IFERROR(INDEX(Users!$D$2:$D$310,MATCH(A934,Users!$B$2:$B$310,0)),"")</f>
        <v>Band 5</v>
      </c>
      <c r="I934" s="19" t="b">
        <f t="shared" si="43"/>
        <v>0</v>
      </c>
      <c r="J934" s="33">
        <f t="shared" si="44"/>
        <v>0.60159909909909914</v>
      </c>
    </row>
    <row r="935" spans="1:10">
      <c r="A935" s="19" t="s">
        <v>164</v>
      </c>
      <c r="B935" s="20">
        <v>45717</v>
      </c>
      <c r="C935" s="21">
        <v>155.4</v>
      </c>
      <c r="D935" s="21">
        <v>128.52000000000001</v>
      </c>
      <c r="E935" s="21">
        <v>66.52000000000001</v>
      </c>
      <c r="F935" s="27">
        <f t="shared" si="42"/>
        <v>0.82702702702702702</v>
      </c>
      <c r="G935" s="21" t="str">
        <f>IFERROR(INDEX(Users!$A$2:$A$310,MATCH(A935,Users!$B$2:$B$310,0)),"")</f>
        <v>Service B</v>
      </c>
      <c r="H935" s="21" t="str">
        <f>IFERROR(INDEX(Users!$D$2:$D$310,MATCH(A935,Users!$B$2:$B$310,0)),"")</f>
        <v>Band 5</v>
      </c>
      <c r="I935" s="19" t="b">
        <f t="shared" si="43"/>
        <v>0</v>
      </c>
      <c r="J935" s="33">
        <f t="shared" si="44"/>
        <v>0.82702702702702702</v>
      </c>
    </row>
    <row r="936" spans="1:10">
      <c r="A936" s="19" t="s">
        <v>164</v>
      </c>
      <c r="B936" s="20">
        <v>45748</v>
      </c>
      <c r="C936" s="21">
        <v>148</v>
      </c>
      <c r="D936" s="21">
        <v>142.58333333333331</v>
      </c>
      <c r="E936" s="21">
        <v>78</v>
      </c>
      <c r="F936" s="27">
        <f t="shared" si="42"/>
        <v>0.9634009009009008</v>
      </c>
      <c r="G936" s="21" t="str">
        <f>IFERROR(INDEX(Users!$A$2:$A$310,MATCH(A936,Users!$B$2:$B$310,0)),"")</f>
        <v>Service B</v>
      </c>
      <c r="H936" s="21" t="str">
        <f>IFERROR(INDEX(Users!$D$2:$D$310,MATCH(A936,Users!$B$2:$B$310,0)),"")</f>
        <v>Band 5</v>
      </c>
      <c r="I936" s="19" t="b">
        <f t="shared" si="43"/>
        <v>0</v>
      </c>
      <c r="J936" s="33">
        <f t="shared" si="44"/>
        <v>0.9634009009009008</v>
      </c>
    </row>
    <row r="937" spans="1:10">
      <c r="A937" s="19" t="s">
        <v>164</v>
      </c>
      <c r="B937" s="20">
        <v>45778</v>
      </c>
      <c r="C937" s="21">
        <v>148</v>
      </c>
      <c r="D937" s="21">
        <v>119.03333333333333</v>
      </c>
      <c r="E937" s="21">
        <v>71.2</v>
      </c>
      <c r="F937" s="27">
        <f t="shared" si="42"/>
        <v>0.80427927927927922</v>
      </c>
      <c r="G937" s="21" t="str">
        <f>IFERROR(INDEX(Users!$A$2:$A$310,MATCH(A937,Users!$B$2:$B$310,0)),"")</f>
        <v>Service B</v>
      </c>
      <c r="H937" s="21" t="str">
        <f>IFERROR(INDEX(Users!$D$2:$D$310,MATCH(A937,Users!$B$2:$B$310,0)),"")</f>
        <v>Band 5</v>
      </c>
      <c r="I937" s="19" t="b">
        <f t="shared" si="43"/>
        <v>0</v>
      </c>
      <c r="J937" s="33">
        <f t="shared" si="44"/>
        <v>0.80427927927927922</v>
      </c>
    </row>
    <row r="938" spans="1:10">
      <c r="A938" s="19" t="s">
        <v>164</v>
      </c>
      <c r="B938" s="20">
        <v>45809</v>
      </c>
      <c r="C938" s="21">
        <v>155.4</v>
      </c>
      <c r="D938" s="21">
        <v>104.91666666666667</v>
      </c>
      <c r="E938" s="21">
        <v>74.25</v>
      </c>
      <c r="F938" s="27">
        <f t="shared" si="42"/>
        <v>0.67513942513942515</v>
      </c>
      <c r="G938" s="21" t="str">
        <f>IFERROR(INDEX(Users!$A$2:$A$310,MATCH(A938,Users!$B$2:$B$310,0)),"")</f>
        <v>Service B</v>
      </c>
      <c r="H938" s="21" t="str">
        <f>IFERROR(INDEX(Users!$D$2:$D$310,MATCH(A938,Users!$B$2:$B$310,0)),"")</f>
        <v>Band 5</v>
      </c>
      <c r="I938" s="19" t="b">
        <f t="shared" si="43"/>
        <v>0</v>
      </c>
      <c r="J938" s="33">
        <f t="shared" si="44"/>
        <v>0.67513942513942515</v>
      </c>
    </row>
    <row r="939" spans="1:10">
      <c r="A939" s="19" t="s">
        <v>164</v>
      </c>
      <c r="B939" s="20">
        <v>45839</v>
      </c>
      <c r="C939" s="21">
        <v>170.2</v>
      </c>
      <c r="D939" s="21">
        <v>139.27666666666667</v>
      </c>
      <c r="E939" s="21">
        <v>102.61</v>
      </c>
      <c r="F939" s="27">
        <f t="shared" si="42"/>
        <v>0.81831179005092058</v>
      </c>
      <c r="G939" s="21" t="str">
        <f>IFERROR(INDEX(Users!$A$2:$A$310,MATCH(A939,Users!$B$2:$B$310,0)),"")</f>
        <v>Service B</v>
      </c>
      <c r="H939" s="21" t="str">
        <f>IFERROR(INDEX(Users!$D$2:$D$310,MATCH(A939,Users!$B$2:$B$310,0)),"")</f>
        <v>Band 5</v>
      </c>
      <c r="I939" s="19" t="b">
        <f t="shared" si="43"/>
        <v>0</v>
      </c>
      <c r="J939" s="33">
        <f t="shared" si="44"/>
        <v>0.81831179005092058</v>
      </c>
    </row>
    <row r="940" spans="1:10">
      <c r="A940" s="19" t="s">
        <v>164</v>
      </c>
      <c r="B940" s="20">
        <v>45870</v>
      </c>
      <c r="C940" s="21">
        <v>148</v>
      </c>
      <c r="D940" s="21">
        <v>93.983333333333334</v>
      </c>
      <c r="E940" s="21">
        <v>67.400000000000006</v>
      </c>
      <c r="F940" s="27">
        <f t="shared" si="42"/>
        <v>0.63502252252252256</v>
      </c>
      <c r="G940" s="21" t="str">
        <f>IFERROR(INDEX(Users!$A$2:$A$310,MATCH(A940,Users!$B$2:$B$310,0)),"")</f>
        <v>Service B</v>
      </c>
      <c r="H940" s="21" t="str">
        <f>IFERROR(INDEX(Users!$D$2:$D$310,MATCH(A940,Users!$B$2:$B$310,0)),"")</f>
        <v>Band 5</v>
      </c>
      <c r="I940" s="19" t="b">
        <f t="shared" si="43"/>
        <v>0</v>
      </c>
      <c r="J940" s="33">
        <f t="shared" si="44"/>
        <v>0.63502252252252256</v>
      </c>
    </row>
    <row r="941" spans="1:10">
      <c r="A941" s="19" t="s">
        <v>164</v>
      </c>
      <c r="B941" s="20">
        <v>45901</v>
      </c>
      <c r="C941" s="21">
        <v>162.80000000000001</v>
      </c>
      <c r="D941" s="21">
        <v>99.44666666666663</v>
      </c>
      <c r="E941" s="21">
        <v>66.279999999999973</v>
      </c>
      <c r="F941" s="27">
        <f t="shared" si="42"/>
        <v>0.61085176085176063</v>
      </c>
      <c r="G941" s="21" t="str">
        <f>IFERROR(INDEX(Users!$A$2:$A$310,MATCH(A941,Users!$B$2:$B$310,0)),"")</f>
        <v>Service B</v>
      </c>
      <c r="H941" s="21" t="str">
        <f>IFERROR(INDEX(Users!$D$2:$D$310,MATCH(A941,Users!$B$2:$B$310,0)),"")</f>
        <v>Band 5</v>
      </c>
      <c r="I941" s="19" t="b">
        <f t="shared" si="43"/>
        <v>0</v>
      </c>
      <c r="J941" s="33">
        <f t="shared" si="44"/>
        <v>0.61085176085176063</v>
      </c>
    </row>
    <row r="942" spans="1:10">
      <c r="A942" s="19" t="s">
        <v>164</v>
      </c>
      <c r="B942" s="20">
        <v>45931</v>
      </c>
      <c r="C942" s="21">
        <v>170.2</v>
      </c>
      <c r="D942" s="21">
        <v>143.86666666666667</v>
      </c>
      <c r="E942" s="21">
        <v>94.699999999999989</v>
      </c>
      <c r="F942" s="27">
        <f t="shared" si="42"/>
        <v>0.84528006267136713</v>
      </c>
      <c r="G942" s="21" t="str">
        <f>IFERROR(INDEX(Users!$A$2:$A$310,MATCH(A942,Users!$B$2:$B$310,0)),"")</f>
        <v>Service B</v>
      </c>
      <c r="H942" s="21" t="str">
        <f>IFERROR(INDEX(Users!$D$2:$D$310,MATCH(A942,Users!$B$2:$B$310,0)),"")</f>
        <v>Band 5</v>
      </c>
      <c r="I942" s="19" t="b">
        <f t="shared" si="43"/>
        <v>0</v>
      </c>
      <c r="J942" s="33">
        <f t="shared" si="44"/>
        <v>0.84528006267136713</v>
      </c>
    </row>
    <row r="943" spans="1:10">
      <c r="A943" s="19" t="s">
        <v>164</v>
      </c>
      <c r="B943" s="20">
        <v>45962</v>
      </c>
      <c r="C943" s="21">
        <v>148</v>
      </c>
      <c r="D943" s="21">
        <v>109.37333333333333</v>
      </c>
      <c r="E943" s="21">
        <v>64.540000000000006</v>
      </c>
      <c r="F943" s="27">
        <f t="shared" si="42"/>
        <v>0.73900900900900901</v>
      </c>
      <c r="G943" s="21" t="str">
        <f>IFERROR(INDEX(Users!$A$2:$A$310,MATCH(A943,Users!$B$2:$B$310,0)),"")</f>
        <v>Service B</v>
      </c>
      <c r="H943" s="21" t="str">
        <f>IFERROR(INDEX(Users!$D$2:$D$310,MATCH(A943,Users!$B$2:$B$310,0)),"")</f>
        <v>Band 5</v>
      </c>
      <c r="I943" s="19" t="b">
        <f t="shared" si="43"/>
        <v>0</v>
      </c>
      <c r="J943" s="33">
        <f t="shared" si="44"/>
        <v>0.73900900900900901</v>
      </c>
    </row>
    <row r="944" spans="1:10">
      <c r="A944" s="19" t="s">
        <v>164</v>
      </c>
      <c r="B944" s="20">
        <v>45992</v>
      </c>
      <c r="C944" s="21">
        <v>155.4</v>
      </c>
      <c r="D944" s="21">
        <v>100.60333333333332</v>
      </c>
      <c r="E944" s="21">
        <v>63.52</v>
      </c>
      <c r="F944" s="27">
        <f t="shared" si="42"/>
        <v>0.64738309738309729</v>
      </c>
      <c r="G944" s="21" t="str">
        <f>IFERROR(INDEX(Users!$A$2:$A$310,MATCH(A944,Users!$B$2:$B$310,0)),"")</f>
        <v>Service B</v>
      </c>
      <c r="H944" s="21" t="str">
        <f>IFERROR(INDEX(Users!$D$2:$D$310,MATCH(A944,Users!$B$2:$B$310,0)),"")</f>
        <v>Band 5</v>
      </c>
      <c r="I944" s="19" t="b">
        <f t="shared" si="43"/>
        <v>0</v>
      </c>
      <c r="J944" s="33">
        <f t="shared" si="44"/>
        <v>0.64738309738309729</v>
      </c>
    </row>
    <row r="945" spans="1:10">
      <c r="A945" s="19" t="s">
        <v>164</v>
      </c>
      <c r="B945" s="20">
        <v>46023</v>
      </c>
      <c r="C945" s="21">
        <v>155.39999999999998</v>
      </c>
      <c r="D945" s="21">
        <v>128.87333333333333</v>
      </c>
      <c r="E945" s="21">
        <v>77.289999999999992</v>
      </c>
      <c r="F945" s="27">
        <f t="shared" si="42"/>
        <v>0.8293007293007294</v>
      </c>
      <c r="G945" s="21" t="str">
        <f>IFERROR(INDEX(Users!$A$2:$A$310,MATCH(A945,Users!$B$2:$B$310,0)),"")</f>
        <v>Service B</v>
      </c>
      <c r="H945" s="21" t="str">
        <f>IFERROR(INDEX(Users!$D$2:$D$310,MATCH(A945,Users!$B$2:$B$310,0)),"")</f>
        <v>Band 5</v>
      </c>
      <c r="I945" s="19" t="b">
        <f t="shared" si="43"/>
        <v>0</v>
      </c>
      <c r="J945" s="33" t="str">
        <f t="shared" si="44"/>
        <v/>
      </c>
    </row>
    <row r="946" spans="1:10">
      <c r="A946" s="19" t="s">
        <v>166</v>
      </c>
      <c r="B946" s="20">
        <v>45658</v>
      </c>
      <c r="C946" s="21">
        <v>153.03200000000001</v>
      </c>
      <c r="D946" s="21">
        <v>153.20666666666665</v>
      </c>
      <c r="E946" s="21">
        <v>87.589999999999989</v>
      </c>
      <c r="F946" s="27">
        <f t="shared" si="42"/>
        <v>1.0011413734817989</v>
      </c>
      <c r="G946" s="21" t="str">
        <f>IFERROR(INDEX(Users!$A$2:$A$310,MATCH(A946,Users!$B$2:$B$310,0)),"")</f>
        <v>Service A</v>
      </c>
      <c r="H946" s="21" t="str">
        <f>IFERROR(INDEX(Users!$D$2:$D$310,MATCH(A946,Users!$B$2:$B$310,0)),"")</f>
        <v>Band 3</v>
      </c>
      <c r="I946" s="19" t="b">
        <f t="shared" si="43"/>
        <v>1</v>
      </c>
      <c r="J946" s="33" t="str">
        <f t="shared" si="44"/>
        <v/>
      </c>
    </row>
    <row r="947" spans="1:10">
      <c r="A947" s="19" t="s">
        <v>166</v>
      </c>
      <c r="B947" s="20">
        <v>45689</v>
      </c>
      <c r="C947" s="21">
        <v>139.12</v>
      </c>
      <c r="D947" s="21">
        <v>129.77666666666664</v>
      </c>
      <c r="E947" s="21">
        <v>67.809999999999988</v>
      </c>
      <c r="F947" s="27">
        <f t="shared" si="42"/>
        <v>0.93283975464826507</v>
      </c>
      <c r="G947" s="21" t="str">
        <f>IFERROR(INDEX(Users!$A$2:$A$310,MATCH(A947,Users!$B$2:$B$310,0)),"")</f>
        <v>Service A</v>
      </c>
      <c r="H947" s="21" t="str">
        <f>IFERROR(INDEX(Users!$D$2:$D$310,MATCH(A947,Users!$B$2:$B$310,0)),"")</f>
        <v>Band 3</v>
      </c>
      <c r="I947" s="19" t="b">
        <f t="shared" si="43"/>
        <v>1</v>
      </c>
      <c r="J947" s="33" t="str">
        <f t="shared" si="44"/>
        <v/>
      </c>
    </row>
    <row r="948" spans="1:10">
      <c r="A948" s="19" t="s">
        <v>166</v>
      </c>
      <c r="B948" s="20">
        <v>45717</v>
      </c>
      <c r="C948" s="21">
        <v>146.07600000000002</v>
      </c>
      <c r="D948" s="21">
        <v>106.81</v>
      </c>
      <c r="E948" s="21">
        <v>57.91</v>
      </c>
      <c r="F948" s="27">
        <f t="shared" si="42"/>
        <v>0.73119472055642254</v>
      </c>
      <c r="G948" s="21" t="str">
        <f>IFERROR(INDEX(Users!$A$2:$A$310,MATCH(A948,Users!$B$2:$B$310,0)),"")</f>
        <v>Service A</v>
      </c>
      <c r="H948" s="21" t="str">
        <f>IFERROR(INDEX(Users!$D$2:$D$310,MATCH(A948,Users!$B$2:$B$310,0)),"")</f>
        <v>Band 3</v>
      </c>
      <c r="I948" s="19" t="b">
        <f t="shared" si="43"/>
        <v>1</v>
      </c>
      <c r="J948" s="33" t="str">
        <f t="shared" si="44"/>
        <v/>
      </c>
    </row>
    <row r="949" spans="1:10">
      <c r="A949" s="19" t="s">
        <v>166</v>
      </c>
      <c r="B949" s="20">
        <v>45748</v>
      </c>
      <c r="C949" s="21">
        <v>139.12</v>
      </c>
      <c r="D949" s="21">
        <v>118.31666666666666</v>
      </c>
      <c r="E949" s="21">
        <v>78.5</v>
      </c>
      <c r="F949" s="27">
        <f t="shared" si="42"/>
        <v>0.85046482652865629</v>
      </c>
      <c r="G949" s="21" t="str">
        <f>IFERROR(INDEX(Users!$A$2:$A$310,MATCH(A949,Users!$B$2:$B$310,0)),"")</f>
        <v>Service A</v>
      </c>
      <c r="H949" s="21" t="str">
        <f>IFERROR(INDEX(Users!$D$2:$D$310,MATCH(A949,Users!$B$2:$B$310,0)),"")</f>
        <v>Band 3</v>
      </c>
      <c r="I949" s="19" t="b">
        <f t="shared" si="43"/>
        <v>1</v>
      </c>
      <c r="J949" s="33" t="str">
        <f t="shared" si="44"/>
        <v/>
      </c>
    </row>
    <row r="950" spans="1:10">
      <c r="A950" s="19" t="s">
        <v>166</v>
      </c>
      <c r="B950" s="20">
        <v>45778</v>
      </c>
      <c r="C950" s="21">
        <v>139.12</v>
      </c>
      <c r="D950" s="21">
        <v>118.15</v>
      </c>
      <c r="E950" s="21">
        <v>79.900000000000006</v>
      </c>
      <c r="F950" s="27">
        <f t="shared" si="42"/>
        <v>0.84926682001150089</v>
      </c>
      <c r="G950" s="21" t="str">
        <f>IFERROR(INDEX(Users!$A$2:$A$310,MATCH(A950,Users!$B$2:$B$310,0)),"")</f>
        <v>Service A</v>
      </c>
      <c r="H950" s="21" t="str">
        <f>IFERROR(INDEX(Users!$D$2:$D$310,MATCH(A950,Users!$B$2:$B$310,0)),"")</f>
        <v>Band 3</v>
      </c>
      <c r="I950" s="19" t="b">
        <f t="shared" si="43"/>
        <v>1</v>
      </c>
      <c r="J950" s="33" t="str">
        <f t="shared" si="44"/>
        <v/>
      </c>
    </row>
    <row r="951" spans="1:10">
      <c r="A951" s="19" t="s">
        <v>166</v>
      </c>
      <c r="B951" s="20">
        <v>45809</v>
      </c>
      <c r="C951" s="21">
        <v>146.07600000000002</v>
      </c>
      <c r="D951" s="21">
        <v>90.75</v>
      </c>
      <c r="E951" s="21">
        <v>51.000000000000007</v>
      </c>
      <c r="F951" s="27">
        <f t="shared" si="42"/>
        <v>0.62125195103918496</v>
      </c>
      <c r="G951" s="21" t="str">
        <f>IFERROR(INDEX(Users!$A$2:$A$310,MATCH(A951,Users!$B$2:$B$310,0)),"")</f>
        <v>Service A</v>
      </c>
      <c r="H951" s="21" t="str">
        <f>IFERROR(INDEX(Users!$D$2:$D$310,MATCH(A951,Users!$B$2:$B$310,0)),"")</f>
        <v>Band 3</v>
      </c>
      <c r="I951" s="19" t="b">
        <f t="shared" si="43"/>
        <v>1</v>
      </c>
      <c r="J951" s="33" t="str">
        <f t="shared" si="44"/>
        <v/>
      </c>
    </row>
    <row r="952" spans="1:10">
      <c r="A952" s="19" t="s">
        <v>166</v>
      </c>
      <c r="B952" s="20">
        <v>45839</v>
      </c>
      <c r="C952" s="21">
        <v>159.988</v>
      </c>
      <c r="D952" s="21">
        <v>17.829999999999998</v>
      </c>
      <c r="E952" s="21">
        <v>9.33</v>
      </c>
      <c r="F952" s="27">
        <f t="shared" si="42"/>
        <v>0.11144585843938294</v>
      </c>
      <c r="G952" s="21" t="str">
        <f>IFERROR(INDEX(Users!$A$2:$A$310,MATCH(A952,Users!$B$2:$B$310,0)),"")</f>
        <v>Service A</v>
      </c>
      <c r="H952" s="21" t="str">
        <f>IFERROR(INDEX(Users!$D$2:$D$310,MATCH(A952,Users!$B$2:$B$310,0)),"")</f>
        <v>Band 3</v>
      </c>
      <c r="I952" s="19" t="b">
        <f t="shared" si="43"/>
        <v>1</v>
      </c>
      <c r="J952" s="33" t="str">
        <f t="shared" si="44"/>
        <v/>
      </c>
    </row>
    <row r="953" spans="1:10">
      <c r="A953" s="19" t="s">
        <v>166</v>
      </c>
      <c r="B953" s="20">
        <v>45870</v>
      </c>
      <c r="C953" s="21">
        <v>139.12</v>
      </c>
      <c r="D953" s="21"/>
      <c r="E953" s="21"/>
      <c r="F953" s="27" t="str">
        <f t="shared" si="42"/>
        <v/>
      </c>
      <c r="G953" s="21" t="str">
        <f>IFERROR(INDEX(Users!$A$2:$A$310,MATCH(A953,Users!$B$2:$B$310,0)),"")</f>
        <v>Service A</v>
      </c>
      <c r="H953" s="21" t="str">
        <f>IFERROR(INDEX(Users!$D$2:$D$310,MATCH(A953,Users!$B$2:$B$310,0)),"")</f>
        <v>Band 3</v>
      </c>
      <c r="I953" s="19" t="b">
        <f t="shared" si="43"/>
        <v>1</v>
      </c>
      <c r="J953" s="33" t="str">
        <f t="shared" si="44"/>
        <v/>
      </c>
    </row>
    <row r="954" spans="1:10">
      <c r="A954" s="19" t="s">
        <v>166</v>
      </c>
      <c r="B954" s="20">
        <v>45901</v>
      </c>
      <c r="C954" s="21">
        <v>153.03200000000001</v>
      </c>
      <c r="D954" s="21">
        <v>171.05</v>
      </c>
      <c r="E954" s="21">
        <v>116.9</v>
      </c>
      <c r="F954" s="27">
        <f t="shared" si="42"/>
        <v>1.117740080506038</v>
      </c>
      <c r="G954" s="21" t="str">
        <f>IFERROR(INDEX(Users!$A$2:$A$310,MATCH(A954,Users!$B$2:$B$310,0)),"")</f>
        <v>Service A</v>
      </c>
      <c r="H954" s="21" t="str">
        <f>IFERROR(INDEX(Users!$D$2:$D$310,MATCH(A954,Users!$B$2:$B$310,0)),"")</f>
        <v>Band 3</v>
      </c>
      <c r="I954" s="19" t="b">
        <f t="shared" si="43"/>
        <v>1</v>
      </c>
      <c r="J954" s="33" t="str">
        <f t="shared" si="44"/>
        <v/>
      </c>
    </row>
    <row r="955" spans="1:10">
      <c r="A955" s="19" t="s">
        <v>166</v>
      </c>
      <c r="B955" s="20">
        <v>45931</v>
      </c>
      <c r="C955" s="21">
        <v>159.988</v>
      </c>
      <c r="D955" s="21">
        <v>141.55666666666664</v>
      </c>
      <c r="E955" s="21">
        <v>101.63999999999999</v>
      </c>
      <c r="F955" s="27">
        <f t="shared" si="42"/>
        <v>0.88479552633114134</v>
      </c>
      <c r="G955" s="21" t="str">
        <f>IFERROR(INDEX(Users!$A$2:$A$310,MATCH(A955,Users!$B$2:$B$310,0)),"")</f>
        <v>Service A</v>
      </c>
      <c r="H955" s="21" t="str">
        <f>IFERROR(INDEX(Users!$D$2:$D$310,MATCH(A955,Users!$B$2:$B$310,0)),"")</f>
        <v>Band 3</v>
      </c>
      <c r="I955" s="19" t="b">
        <f t="shared" si="43"/>
        <v>1</v>
      </c>
      <c r="J955" s="33" t="str">
        <f t="shared" si="44"/>
        <v/>
      </c>
    </row>
    <row r="956" spans="1:10">
      <c r="A956" s="19" t="s">
        <v>166</v>
      </c>
      <c r="B956" s="20">
        <v>45962</v>
      </c>
      <c r="C956" s="21">
        <v>139.12</v>
      </c>
      <c r="D956" s="21">
        <v>135.06</v>
      </c>
      <c r="E956" s="21">
        <v>101.06</v>
      </c>
      <c r="F956" s="27">
        <f t="shared" si="42"/>
        <v>0.97081656124209315</v>
      </c>
      <c r="G956" s="21" t="str">
        <f>IFERROR(INDEX(Users!$A$2:$A$310,MATCH(A956,Users!$B$2:$B$310,0)),"")</f>
        <v>Service A</v>
      </c>
      <c r="H956" s="21" t="str">
        <f>IFERROR(INDEX(Users!$D$2:$D$310,MATCH(A956,Users!$B$2:$B$310,0)),"")</f>
        <v>Band 3</v>
      </c>
      <c r="I956" s="19" t="b">
        <f t="shared" si="43"/>
        <v>1</v>
      </c>
      <c r="J956" s="33" t="str">
        <f t="shared" si="44"/>
        <v/>
      </c>
    </row>
    <row r="957" spans="1:10">
      <c r="A957" s="19" t="s">
        <v>166</v>
      </c>
      <c r="B957" s="20">
        <v>45992</v>
      </c>
      <c r="C957" s="21">
        <v>146.07600000000002</v>
      </c>
      <c r="D957" s="21">
        <v>102.97</v>
      </c>
      <c r="E957" s="21">
        <v>76.069999999999993</v>
      </c>
      <c r="F957" s="27">
        <f t="shared" si="42"/>
        <v>0.70490703469426863</v>
      </c>
      <c r="G957" s="21" t="str">
        <f>IFERROR(INDEX(Users!$A$2:$A$310,MATCH(A957,Users!$B$2:$B$310,0)),"")</f>
        <v>Service A</v>
      </c>
      <c r="H957" s="21" t="str">
        <f>IFERROR(INDEX(Users!$D$2:$D$310,MATCH(A957,Users!$B$2:$B$310,0)),"")</f>
        <v>Band 3</v>
      </c>
      <c r="I957" s="19" t="b">
        <f t="shared" si="43"/>
        <v>1</v>
      </c>
      <c r="J957" s="33" t="str">
        <f t="shared" si="44"/>
        <v/>
      </c>
    </row>
    <row r="958" spans="1:10">
      <c r="A958" s="19" t="s">
        <v>166</v>
      </c>
      <c r="B958" s="20">
        <v>46023</v>
      </c>
      <c r="C958" s="21">
        <v>146.07600000000002</v>
      </c>
      <c r="D958" s="21">
        <v>140.06</v>
      </c>
      <c r="E958" s="21">
        <v>104.16</v>
      </c>
      <c r="F958" s="27">
        <f t="shared" si="42"/>
        <v>0.95881595881595871</v>
      </c>
      <c r="G958" s="21" t="str">
        <f>IFERROR(INDEX(Users!$A$2:$A$310,MATCH(A958,Users!$B$2:$B$310,0)),"")</f>
        <v>Service A</v>
      </c>
      <c r="H958" s="21" t="str">
        <f>IFERROR(INDEX(Users!$D$2:$D$310,MATCH(A958,Users!$B$2:$B$310,0)),"")</f>
        <v>Band 3</v>
      </c>
      <c r="I958" s="19" t="b">
        <f t="shared" si="43"/>
        <v>1</v>
      </c>
      <c r="J958" s="33" t="str">
        <f t="shared" si="44"/>
        <v/>
      </c>
    </row>
    <row r="959" spans="1:10">
      <c r="A959" s="19" t="s">
        <v>168</v>
      </c>
      <c r="B959" s="20">
        <v>45658</v>
      </c>
      <c r="C959" s="21">
        <v>135</v>
      </c>
      <c r="D959" s="21"/>
      <c r="E959" s="21"/>
      <c r="F959" s="27" t="str">
        <f t="shared" si="42"/>
        <v/>
      </c>
      <c r="G959" s="21" t="str">
        <f>IFERROR(INDEX(Users!$A$2:$A$310,MATCH(A959,Users!$B$2:$B$310,0)),"")</f>
        <v>Service D</v>
      </c>
      <c r="H959" s="21" t="str">
        <f>IFERROR(INDEX(Users!$D$2:$D$310,MATCH(A959,Users!$B$2:$B$310,0)),"")</f>
        <v>Band 3</v>
      </c>
      <c r="I959" s="19" t="b">
        <f t="shared" si="43"/>
        <v>0</v>
      </c>
      <c r="J959" s="33" t="str">
        <f t="shared" si="44"/>
        <v/>
      </c>
    </row>
    <row r="960" spans="1:10">
      <c r="A960" s="19" t="s">
        <v>168</v>
      </c>
      <c r="B960" s="20">
        <v>45689</v>
      </c>
      <c r="C960" s="21">
        <v>120</v>
      </c>
      <c r="D960" s="21">
        <v>60</v>
      </c>
      <c r="E960" s="21"/>
      <c r="F960" s="27">
        <f t="shared" si="42"/>
        <v>0.5</v>
      </c>
      <c r="G960" s="21" t="str">
        <f>IFERROR(INDEX(Users!$A$2:$A$310,MATCH(A960,Users!$B$2:$B$310,0)),"")</f>
        <v>Service D</v>
      </c>
      <c r="H960" s="21" t="str">
        <f>IFERROR(INDEX(Users!$D$2:$D$310,MATCH(A960,Users!$B$2:$B$310,0)),"")</f>
        <v>Band 3</v>
      </c>
      <c r="I960" s="19" t="b">
        <f t="shared" si="43"/>
        <v>0</v>
      </c>
      <c r="J960" s="33" t="str">
        <f t="shared" si="44"/>
        <v/>
      </c>
    </row>
    <row r="961" spans="1:10">
      <c r="A961" s="19" t="s">
        <v>168</v>
      </c>
      <c r="B961" s="20">
        <v>45717</v>
      </c>
      <c r="C961" s="21">
        <v>120</v>
      </c>
      <c r="D961" s="21">
        <v>83.199999999999974</v>
      </c>
      <c r="E961" s="21"/>
      <c r="F961" s="27">
        <f t="shared" si="42"/>
        <v>0.69333333333333313</v>
      </c>
      <c r="G961" s="21" t="str">
        <f>IFERROR(INDEX(Users!$A$2:$A$310,MATCH(A961,Users!$B$2:$B$310,0)),"")</f>
        <v>Service D</v>
      </c>
      <c r="H961" s="21" t="str">
        <f>IFERROR(INDEX(Users!$D$2:$D$310,MATCH(A961,Users!$B$2:$B$310,0)),"")</f>
        <v>Band 3</v>
      </c>
      <c r="I961" s="19" t="b">
        <f t="shared" si="43"/>
        <v>0</v>
      </c>
      <c r="J961" s="33" t="str">
        <f t="shared" si="44"/>
        <v/>
      </c>
    </row>
    <row r="962" spans="1:10">
      <c r="A962" s="19" t="s">
        <v>168</v>
      </c>
      <c r="B962" s="20">
        <v>45748</v>
      </c>
      <c r="C962" s="21">
        <v>127.5</v>
      </c>
      <c r="D962" s="21">
        <v>88.800000000000011</v>
      </c>
      <c r="E962" s="21">
        <v>5.3000000000000007</v>
      </c>
      <c r="F962" s="27">
        <f t="shared" ref="F962:F1025" si="45">IFERROR(IF(OR(C962="",D962="",C962=0),"",D962/C962),"")</f>
        <v>0.69647058823529417</v>
      </c>
      <c r="G962" s="21" t="str">
        <f>IFERROR(INDEX(Users!$A$2:$A$310,MATCH(A962,Users!$B$2:$B$310,0)),"")</f>
        <v>Service D</v>
      </c>
      <c r="H962" s="21" t="str">
        <f>IFERROR(INDEX(Users!$D$2:$D$310,MATCH(A962,Users!$B$2:$B$310,0)),"")</f>
        <v>Band 3</v>
      </c>
      <c r="I962" s="19" t="b">
        <f t="shared" ref="I962:I1025" si="46">AND(G962="Service A",H962="Band 3")</f>
        <v>0</v>
      </c>
      <c r="J962" s="33" t="str">
        <f t="shared" ref="J962:J1025" si="47">IF(AND(B962&gt;=DATE(2025,1,1),B962&lt;DATE(2026,1,1),G962="Service B",OR(H962="Band 3",H962="Band 5"),ISNUMBER(F962)),F962,"")</f>
        <v/>
      </c>
    </row>
    <row r="963" spans="1:10">
      <c r="A963" s="19" t="s">
        <v>168</v>
      </c>
      <c r="B963" s="20">
        <v>45778</v>
      </c>
      <c r="C963" s="21">
        <v>135</v>
      </c>
      <c r="D963" s="21">
        <v>110.00000000000001</v>
      </c>
      <c r="E963" s="21">
        <v>11.9</v>
      </c>
      <c r="F963" s="27">
        <f t="shared" si="45"/>
        <v>0.81481481481481488</v>
      </c>
      <c r="G963" s="21" t="str">
        <f>IFERROR(INDEX(Users!$A$2:$A$310,MATCH(A963,Users!$B$2:$B$310,0)),"")</f>
        <v>Service D</v>
      </c>
      <c r="H963" s="21" t="str">
        <f>IFERROR(INDEX(Users!$D$2:$D$310,MATCH(A963,Users!$B$2:$B$310,0)),"")</f>
        <v>Band 3</v>
      </c>
      <c r="I963" s="19" t="b">
        <f t="shared" si="46"/>
        <v>0</v>
      </c>
      <c r="J963" s="33" t="str">
        <f t="shared" si="47"/>
        <v/>
      </c>
    </row>
    <row r="964" spans="1:10">
      <c r="A964" s="19" t="s">
        <v>168</v>
      </c>
      <c r="B964" s="20">
        <v>45809</v>
      </c>
      <c r="C964" s="21">
        <v>120</v>
      </c>
      <c r="D964" s="21">
        <v>119.99999999999999</v>
      </c>
      <c r="E964" s="21">
        <v>14.5</v>
      </c>
      <c r="F964" s="27">
        <f t="shared" si="45"/>
        <v>0.99999999999999989</v>
      </c>
      <c r="G964" s="21" t="str">
        <f>IFERROR(INDEX(Users!$A$2:$A$310,MATCH(A964,Users!$B$2:$B$310,0)),"")</f>
        <v>Service D</v>
      </c>
      <c r="H964" s="21" t="str">
        <f>IFERROR(INDEX(Users!$D$2:$D$310,MATCH(A964,Users!$B$2:$B$310,0)),"")</f>
        <v>Band 3</v>
      </c>
      <c r="I964" s="19" t="b">
        <f t="shared" si="46"/>
        <v>0</v>
      </c>
      <c r="J964" s="33" t="str">
        <f t="shared" si="47"/>
        <v/>
      </c>
    </row>
    <row r="965" spans="1:10">
      <c r="A965" s="19" t="s">
        <v>168</v>
      </c>
      <c r="B965" s="20">
        <v>45839</v>
      </c>
      <c r="C965" s="21">
        <v>142.5</v>
      </c>
      <c r="D965" s="21">
        <v>90</v>
      </c>
      <c r="E965" s="21">
        <v>22.3</v>
      </c>
      <c r="F965" s="27">
        <f t="shared" si="45"/>
        <v>0.63157894736842102</v>
      </c>
      <c r="G965" s="21" t="str">
        <f>IFERROR(INDEX(Users!$A$2:$A$310,MATCH(A965,Users!$B$2:$B$310,0)),"")</f>
        <v>Service D</v>
      </c>
      <c r="H965" s="21" t="str">
        <f>IFERROR(INDEX(Users!$D$2:$D$310,MATCH(A965,Users!$B$2:$B$310,0)),"")</f>
        <v>Band 3</v>
      </c>
      <c r="I965" s="19" t="b">
        <f t="shared" si="46"/>
        <v>0</v>
      </c>
      <c r="J965" s="33" t="str">
        <f t="shared" si="47"/>
        <v/>
      </c>
    </row>
    <row r="966" spans="1:10">
      <c r="A966" s="19" t="s">
        <v>168</v>
      </c>
      <c r="B966" s="20">
        <v>45870</v>
      </c>
      <c r="C966" s="21">
        <v>127.5</v>
      </c>
      <c r="D966" s="21">
        <v>120</v>
      </c>
      <c r="E966" s="21">
        <v>26.1</v>
      </c>
      <c r="F966" s="27">
        <f t="shared" si="45"/>
        <v>0.94117647058823528</v>
      </c>
      <c r="G966" s="21" t="str">
        <f>IFERROR(INDEX(Users!$A$2:$A$310,MATCH(A966,Users!$B$2:$B$310,0)),"")</f>
        <v>Service D</v>
      </c>
      <c r="H966" s="21" t="str">
        <f>IFERROR(INDEX(Users!$D$2:$D$310,MATCH(A966,Users!$B$2:$B$310,0)),"")</f>
        <v>Band 3</v>
      </c>
      <c r="I966" s="19" t="b">
        <f t="shared" si="46"/>
        <v>0</v>
      </c>
      <c r="J966" s="33" t="str">
        <f t="shared" si="47"/>
        <v/>
      </c>
    </row>
    <row r="967" spans="1:10">
      <c r="A967" s="19" t="s">
        <v>168</v>
      </c>
      <c r="B967" s="20">
        <v>45901</v>
      </c>
      <c r="C967" s="21">
        <v>127.5</v>
      </c>
      <c r="D967" s="21">
        <v>118.9</v>
      </c>
      <c r="E967" s="21">
        <v>16.399999999999999</v>
      </c>
      <c r="F967" s="27">
        <f t="shared" si="45"/>
        <v>0.9325490196078432</v>
      </c>
      <c r="G967" s="21" t="str">
        <f>IFERROR(INDEX(Users!$A$2:$A$310,MATCH(A967,Users!$B$2:$B$310,0)),"")</f>
        <v>Service D</v>
      </c>
      <c r="H967" s="21" t="str">
        <f>IFERROR(INDEX(Users!$D$2:$D$310,MATCH(A967,Users!$B$2:$B$310,0)),"")</f>
        <v>Band 3</v>
      </c>
      <c r="I967" s="19" t="b">
        <f t="shared" si="46"/>
        <v>0</v>
      </c>
      <c r="J967" s="33" t="str">
        <f t="shared" si="47"/>
        <v/>
      </c>
    </row>
    <row r="968" spans="1:10">
      <c r="A968" s="19" t="s">
        <v>168</v>
      </c>
      <c r="B968" s="20">
        <v>45931</v>
      </c>
      <c r="C968" s="21">
        <v>142.5</v>
      </c>
      <c r="D968" s="21">
        <v>124.90000000000002</v>
      </c>
      <c r="E968" s="21">
        <v>8.6999999999999993</v>
      </c>
      <c r="F968" s="27">
        <f t="shared" si="45"/>
        <v>0.87649122807017554</v>
      </c>
      <c r="G968" s="21" t="str">
        <f>IFERROR(INDEX(Users!$A$2:$A$310,MATCH(A968,Users!$B$2:$B$310,0)),"")</f>
        <v>Service D</v>
      </c>
      <c r="H968" s="21" t="str">
        <f>IFERROR(INDEX(Users!$D$2:$D$310,MATCH(A968,Users!$B$2:$B$310,0)),"")</f>
        <v>Band 3</v>
      </c>
      <c r="I968" s="19" t="b">
        <f t="shared" si="46"/>
        <v>0</v>
      </c>
      <c r="J968" s="33" t="str">
        <f t="shared" si="47"/>
        <v/>
      </c>
    </row>
    <row r="969" spans="1:10">
      <c r="A969" s="19" t="s">
        <v>168</v>
      </c>
      <c r="B969" s="20">
        <v>45962</v>
      </c>
      <c r="C969" s="21">
        <v>120</v>
      </c>
      <c r="D969" s="21">
        <v>112.5</v>
      </c>
      <c r="E969" s="21"/>
      <c r="F969" s="27">
        <f t="shared" si="45"/>
        <v>0.9375</v>
      </c>
      <c r="G969" s="21" t="str">
        <f>IFERROR(INDEX(Users!$A$2:$A$310,MATCH(A969,Users!$B$2:$B$310,0)),"")</f>
        <v>Service D</v>
      </c>
      <c r="H969" s="21" t="str">
        <f>IFERROR(INDEX(Users!$D$2:$D$310,MATCH(A969,Users!$B$2:$B$310,0)),"")</f>
        <v>Band 3</v>
      </c>
      <c r="I969" s="19" t="b">
        <f t="shared" si="46"/>
        <v>0</v>
      </c>
      <c r="J969" s="33" t="str">
        <f t="shared" si="47"/>
        <v/>
      </c>
    </row>
    <row r="970" spans="1:10">
      <c r="A970" s="19" t="s">
        <v>168</v>
      </c>
      <c r="B970" s="20">
        <v>45992</v>
      </c>
      <c r="C970" s="21">
        <v>120</v>
      </c>
      <c r="D970" s="21">
        <v>75</v>
      </c>
      <c r="E970" s="21"/>
      <c r="F970" s="27">
        <f t="shared" si="45"/>
        <v>0.625</v>
      </c>
      <c r="G970" s="21" t="str">
        <f>IFERROR(INDEX(Users!$A$2:$A$310,MATCH(A970,Users!$B$2:$B$310,0)),"")</f>
        <v>Service D</v>
      </c>
      <c r="H970" s="21" t="str">
        <f>IFERROR(INDEX(Users!$D$2:$D$310,MATCH(A970,Users!$B$2:$B$310,0)),"")</f>
        <v>Band 3</v>
      </c>
      <c r="I970" s="19" t="b">
        <f t="shared" si="46"/>
        <v>0</v>
      </c>
      <c r="J970" s="33" t="str">
        <f t="shared" si="47"/>
        <v/>
      </c>
    </row>
    <row r="971" spans="1:10">
      <c r="A971" s="19" t="s">
        <v>168</v>
      </c>
      <c r="B971" s="20">
        <v>46023</v>
      </c>
      <c r="C971" s="21">
        <v>127.5</v>
      </c>
      <c r="D971" s="21">
        <v>112.69999999999997</v>
      </c>
      <c r="E971" s="21">
        <v>1.6</v>
      </c>
      <c r="F971" s="27">
        <f t="shared" si="45"/>
        <v>0.88392156862745075</v>
      </c>
      <c r="G971" s="21" t="str">
        <f>IFERROR(INDEX(Users!$A$2:$A$310,MATCH(A971,Users!$B$2:$B$310,0)),"")</f>
        <v>Service D</v>
      </c>
      <c r="H971" s="21" t="str">
        <f>IFERROR(INDEX(Users!$D$2:$D$310,MATCH(A971,Users!$B$2:$B$310,0)),"")</f>
        <v>Band 3</v>
      </c>
      <c r="I971" s="19" t="b">
        <f t="shared" si="46"/>
        <v>0</v>
      </c>
      <c r="J971" s="33" t="str">
        <f t="shared" si="47"/>
        <v/>
      </c>
    </row>
    <row r="972" spans="1:10">
      <c r="A972" s="19" t="s">
        <v>169</v>
      </c>
      <c r="B972" s="20">
        <v>45658</v>
      </c>
      <c r="C972" s="21">
        <v>162.80000000000001</v>
      </c>
      <c r="D972" s="21">
        <v>154.98333333333335</v>
      </c>
      <c r="E972" s="21">
        <v>34.15</v>
      </c>
      <c r="F972" s="27">
        <f t="shared" si="45"/>
        <v>0.95198607698607707</v>
      </c>
      <c r="G972" s="21" t="str">
        <f>IFERROR(INDEX(Users!$A$2:$A$310,MATCH(A972,Users!$B$2:$B$310,0)),"")</f>
        <v>Service A</v>
      </c>
      <c r="H972" s="21" t="str">
        <f>IFERROR(INDEX(Users!$D$2:$D$310,MATCH(A972,Users!$B$2:$B$310,0)),"")</f>
        <v>Band 5</v>
      </c>
      <c r="I972" s="19" t="b">
        <f t="shared" si="46"/>
        <v>0</v>
      </c>
      <c r="J972" s="33" t="str">
        <f t="shared" si="47"/>
        <v/>
      </c>
    </row>
    <row r="973" spans="1:10">
      <c r="A973" s="19" t="s">
        <v>169</v>
      </c>
      <c r="B973" s="20">
        <v>45689</v>
      </c>
      <c r="C973" s="21">
        <v>148</v>
      </c>
      <c r="D973" s="21">
        <v>118.07</v>
      </c>
      <c r="E973" s="21">
        <v>28.82</v>
      </c>
      <c r="F973" s="27">
        <f t="shared" si="45"/>
        <v>0.79777027027027025</v>
      </c>
      <c r="G973" s="21" t="str">
        <f>IFERROR(INDEX(Users!$A$2:$A$310,MATCH(A973,Users!$B$2:$B$310,0)),"")</f>
        <v>Service A</v>
      </c>
      <c r="H973" s="21" t="str">
        <f>IFERROR(INDEX(Users!$D$2:$D$310,MATCH(A973,Users!$B$2:$B$310,0)),"")</f>
        <v>Band 5</v>
      </c>
      <c r="I973" s="19" t="b">
        <f t="shared" si="46"/>
        <v>0</v>
      </c>
      <c r="J973" s="33" t="str">
        <f t="shared" si="47"/>
        <v/>
      </c>
    </row>
    <row r="974" spans="1:10">
      <c r="A974" s="19" t="s">
        <v>169</v>
      </c>
      <c r="B974" s="20">
        <v>45717</v>
      </c>
      <c r="C974" s="21">
        <v>155.4</v>
      </c>
      <c r="D974" s="21">
        <v>121.46333333333334</v>
      </c>
      <c r="E974" s="21">
        <v>39.630000000000003</v>
      </c>
      <c r="F974" s="27">
        <f t="shared" si="45"/>
        <v>0.7816173316173316</v>
      </c>
      <c r="G974" s="21" t="str">
        <f>IFERROR(INDEX(Users!$A$2:$A$310,MATCH(A974,Users!$B$2:$B$310,0)),"")</f>
        <v>Service A</v>
      </c>
      <c r="H974" s="21" t="str">
        <f>IFERROR(INDEX(Users!$D$2:$D$310,MATCH(A974,Users!$B$2:$B$310,0)),"")</f>
        <v>Band 5</v>
      </c>
      <c r="I974" s="19" t="b">
        <f t="shared" si="46"/>
        <v>0</v>
      </c>
      <c r="J974" s="33" t="str">
        <f t="shared" si="47"/>
        <v/>
      </c>
    </row>
    <row r="975" spans="1:10">
      <c r="A975" s="19" t="s">
        <v>169</v>
      </c>
      <c r="B975" s="20">
        <v>45748</v>
      </c>
      <c r="C975" s="21">
        <v>148</v>
      </c>
      <c r="D975" s="21">
        <v>142.74666666666664</v>
      </c>
      <c r="E975" s="21">
        <v>51.83</v>
      </c>
      <c r="F975" s="27">
        <f t="shared" si="45"/>
        <v>0.96450450450450431</v>
      </c>
      <c r="G975" s="21" t="str">
        <f>IFERROR(INDEX(Users!$A$2:$A$310,MATCH(A975,Users!$B$2:$B$310,0)),"")</f>
        <v>Service A</v>
      </c>
      <c r="H975" s="21" t="str">
        <f>IFERROR(INDEX(Users!$D$2:$D$310,MATCH(A975,Users!$B$2:$B$310,0)),"")</f>
        <v>Band 5</v>
      </c>
      <c r="I975" s="19" t="b">
        <f t="shared" si="46"/>
        <v>0</v>
      </c>
      <c r="J975" s="33" t="str">
        <f t="shared" si="47"/>
        <v/>
      </c>
    </row>
    <row r="976" spans="1:10">
      <c r="A976" s="19" t="s">
        <v>169</v>
      </c>
      <c r="B976" s="20">
        <v>45778</v>
      </c>
      <c r="C976" s="21">
        <v>148</v>
      </c>
      <c r="D976" s="21">
        <v>96.539999999999992</v>
      </c>
      <c r="E976" s="21">
        <v>54.039999999999992</v>
      </c>
      <c r="F976" s="27">
        <f t="shared" si="45"/>
        <v>0.65229729729729724</v>
      </c>
      <c r="G976" s="21" t="str">
        <f>IFERROR(INDEX(Users!$A$2:$A$310,MATCH(A976,Users!$B$2:$B$310,0)),"")</f>
        <v>Service A</v>
      </c>
      <c r="H976" s="21" t="str">
        <f>IFERROR(INDEX(Users!$D$2:$D$310,MATCH(A976,Users!$B$2:$B$310,0)),"")</f>
        <v>Band 5</v>
      </c>
      <c r="I976" s="19" t="b">
        <f t="shared" si="46"/>
        <v>0</v>
      </c>
      <c r="J976" s="33" t="str">
        <f t="shared" si="47"/>
        <v/>
      </c>
    </row>
    <row r="977" spans="1:10">
      <c r="A977" s="19" t="s">
        <v>169</v>
      </c>
      <c r="B977" s="20">
        <v>45809</v>
      </c>
      <c r="C977" s="21">
        <v>155.4</v>
      </c>
      <c r="D977" s="21">
        <v>111.16999999999999</v>
      </c>
      <c r="E977" s="21">
        <v>55.669999999999987</v>
      </c>
      <c r="F977" s="27">
        <f t="shared" si="45"/>
        <v>0.71537966537966524</v>
      </c>
      <c r="G977" s="21" t="str">
        <f>IFERROR(INDEX(Users!$A$2:$A$310,MATCH(A977,Users!$B$2:$B$310,0)),"")</f>
        <v>Service A</v>
      </c>
      <c r="H977" s="21" t="str">
        <f>IFERROR(INDEX(Users!$D$2:$D$310,MATCH(A977,Users!$B$2:$B$310,0)),"")</f>
        <v>Band 5</v>
      </c>
      <c r="I977" s="19" t="b">
        <f t="shared" si="46"/>
        <v>0</v>
      </c>
      <c r="J977" s="33" t="str">
        <f t="shared" si="47"/>
        <v/>
      </c>
    </row>
    <row r="978" spans="1:10">
      <c r="A978" s="19" t="s">
        <v>169</v>
      </c>
      <c r="B978" s="20">
        <v>45839</v>
      </c>
      <c r="C978" s="21">
        <v>170.20000000000002</v>
      </c>
      <c r="D978" s="21">
        <v>158.14333333333337</v>
      </c>
      <c r="E978" s="21">
        <v>87.910000000000025</v>
      </c>
      <c r="F978" s="27">
        <f t="shared" si="45"/>
        <v>0.92916177046611848</v>
      </c>
      <c r="G978" s="21" t="str">
        <f>IFERROR(INDEX(Users!$A$2:$A$310,MATCH(A978,Users!$B$2:$B$310,0)),"")</f>
        <v>Service A</v>
      </c>
      <c r="H978" s="21" t="str">
        <f>IFERROR(INDEX(Users!$D$2:$D$310,MATCH(A978,Users!$B$2:$B$310,0)),"")</f>
        <v>Band 5</v>
      </c>
      <c r="I978" s="19" t="b">
        <f t="shared" si="46"/>
        <v>0</v>
      </c>
      <c r="J978" s="33" t="str">
        <f t="shared" si="47"/>
        <v/>
      </c>
    </row>
    <row r="979" spans="1:10">
      <c r="A979" s="19" t="s">
        <v>169</v>
      </c>
      <c r="B979" s="20">
        <v>45870</v>
      </c>
      <c r="C979" s="21">
        <v>148</v>
      </c>
      <c r="D979" s="21">
        <v>145.4366666666667</v>
      </c>
      <c r="E979" s="21">
        <v>84.270000000000024</v>
      </c>
      <c r="F979" s="27">
        <f t="shared" si="45"/>
        <v>0.98268018018018033</v>
      </c>
      <c r="G979" s="21" t="str">
        <f>IFERROR(INDEX(Users!$A$2:$A$310,MATCH(A979,Users!$B$2:$B$310,0)),"")</f>
        <v>Service A</v>
      </c>
      <c r="H979" s="21" t="str">
        <f>IFERROR(INDEX(Users!$D$2:$D$310,MATCH(A979,Users!$B$2:$B$310,0)),"")</f>
        <v>Band 5</v>
      </c>
      <c r="I979" s="19" t="b">
        <f t="shared" si="46"/>
        <v>0</v>
      </c>
      <c r="J979" s="33" t="str">
        <f t="shared" si="47"/>
        <v/>
      </c>
    </row>
    <row r="980" spans="1:10">
      <c r="A980" s="19" t="s">
        <v>169</v>
      </c>
      <c r="B980" s="20">
        <v>45901</v>
      </c>
      <c r="C980" s="21">
        <v>162.80000000000001</v>
      </c>
      <c r="D980" s="21">
        <v>133.74333333333334</v>
      </c>
      <c r="E980" s="21">
        <v>65.760000000000005</v>
      </c>
      <c r="F980" s="27">
        <f t="shared" si="45"/>
        <v>0.82151924651924646</v>
      </c>
      <c r="G980" s="21" t="str">
        <f>IFERROR(INDEX(Users!$A$2:$A$310,MATCH(A980,Users!$B$2:$B$310,0)),"")</f>
        <v>Service A</v>
      </c>
      <c r="H980" s="21" t="str">
        <f>IFERROR(INDEX(Users!$D$2:$D$310,MATCH(A980,Users!$B$2:$B$310,0)),"")</f>
        <v>Band 5</v>
      </c>
      <c r="I980" s="19" t="b">
        <f t="shared" si="46"/>
        <v>0</v>
      </c>
      <c r="J980" s="33" t="str">
        <f t="shared" si="47"/>
        <v/>
      </c>
    </row>
    <row r="981" spans="1:10">
      <c r="A981" s="19" t="s">
        <v>169</v>
      </c>
      <c r="B981" s="20">
        <v>45931</v>
      </c>
      <c r="C981" s="21">
        <v>170.20000000000002</v>
      </c>
      <c r="D981" s="21">
        <v>163.18666666666667</v>
      </c>
      <c r="E981" s="21">
        <v>85.27000000000001</v>
      </c>
      <c r="F981" s="27">
        <f t="shared" si="45"/>
        <v>0.95879357618488048</v>
      </c>
      <c r="G981" s="21" t="str">
        <f>IFERROR(INDEX(Users!$A$2:$A$310,MATCH(A981,Users!$B$2:$B$310,0)),"")</f>
        <v>Service A</v>
      </c>
      <c r="H981" s="21" t="str">
        <f>IFERROR(INDEX(Users!$D$2:$D$310,MATCH(A981,Users!$B$2:$B$310,0)),"")</f>
        <v>Band 5</v>
      </c>
      <c r="I981" s="19" t="b">
        <f t="shared" si="46"/>
        <v>0</v>
      </c>
      <c r="J981" s="33" t="str">
        <f t="shared" si="47"/>
        <v/>
      </c>
    </row>
    <row r="982" spans="1:10">
      <c r="A982" s="19" t="s">
        <v>169</v>
      </c>
      <c r="B982" s="20">
        <v>45962</v>
      </c>
      <c r="C982" s="21">
        <v>148</v>
      </c>
      <c r="D982" s="21">
        <v>126.52333333333331</v>
      </c>
      <c r="E982" s="21">
        <v>59.589999999999996</v>
      </c>
      <c r="F982" s="27">
        <f t="shared" si="45"/>
        <v>0.85488738738738723</v>
      </c>
      <c r="G982" s="21" t="str">
        <f>IFERROR(INDEX(Users!$A$2:$A$310,MATCH(A982,Users!$B$2:$B$310,0)),"")</f>
        <v>Service A</v>
      </c>
      <c r="H982" s="21" t="str">
        <f>IFERROR(INDEX(Users!$D$2:$D$310,MATCH(A982,Users!$B$2:$B$310,0)),"")</f>
        <v>Band 5</v>
      </c>
      <c r="I982" s="19" t="b">
        <f t="shared" si="46"/>
        <v>0</v>
      </c>
      <c r="J982" s="33" t="str">
        <f t="shared" si="47"/>
        <v/>
      </c>
    </row>
    <row r="983" spans="1:10">
      <c r="A983" s="19" t="s">
        <v>169</v>
      </c>
      <c r="B983" s="20">
        <v>45992</v>
      </c>
      <c r="C983" s="21">
        <v>155.4</v>
      </c>
      <c r="D983" s="21">
        <v>155.45666666666668</v>
      </c>
      <c r="E983" s="21">
        <v>51.79</v>
      </c>
      <c r="F983" s="27">
        <f t="shared" si="45"/>
        <v>1.0003646503646504</v>
      </c>
      <c r="G983" s="21" t="str">
        <f>IFERROR(INDEX(Users!$A$2:$A$310,MATCH(A983,Users!$B$2:$B$310,0)),"")</f>
        <v>Service A</v>
      </c>
      <c r="H983" s="21" t="str">
        <f>IFERROR(INDEX(Users!$D$2:$D$310,MATCH(A983,Users!$B$2:$B$310,0)),"")</f>
        <v>Band 5</v>
      </c>
      <c r="I983" s="19" t="b">
        <f t="shared" si="46"/>
        <v>0</v>
      </c>
      <c r="J983" s="33" t="str">
        <f t="shared" si="47"/>
        <v/>
      </c>
    </row>
    <row r="984" spans="1:10">
      <c r="A984" s="19" t="s">
        <v>169</v>
      </c>
      <c r="B984" s="20">
        <v>46023</v>
      </c>
      <c r="C984" s="21">
        <v>155.4</v>
      </c>
      <c r="D984" s="21">
        <v>154.83666666666664</v>
      </c>
      <c r="E984" s="21">
        <v>37.019999999999982</v>
      </c>
      <c r="F984" s="27">
        <f t="shared" si="45"/>
        <v>0.99637494637494617</v>
      </c>
      <c r="G984" s="21" t="str">
        <f>IFERROR(INDEX(Users!$A$2:$A$310,MATCH(A984,Users!$B$2:$B$310,0)),"")</f>
        <v>Service A</v>
      </c>
      <c r="H984" s="21" t="str">
        <f>IFERROR(INDEX(Users!$D$2:$D$310,MATCH(A984,Users!$B$2:$B$310,0)),"")</f>
        <v>Band 5</v>
      </c>
      <c r="I984" s="19" t="b">
        <f t="shared" si="46"/>
        <v>0</v>
      </c>
      <c r="J984" s="33" t="str">
        <f t="shared" si="47"/>
        <v/>
      </c>
    </row>
    <row r="985" spans="1:10">
      <c r="A985" s="19" t="s">
        <v>170</v>
      </c>
      <c r="B985" s="20">
        <v>45658</v>
      </c>
      <c r="C985" s="21">
        <v>162.80000000000001</v>
      </c>
      <c r="D985" s="21">
        <v>114.28666666666668</v>
      </c>
      <c r="E985" s="21">
        <v>59.120000000000005</v>
      </c>
      <c r="F985" s="27">
        <f t="shared" si="45"/>
        <v>0.70200655200655204</v>
      </c>
      <c r="G985" s="21" t="str">
        <f>IFERROR(INDEX(Users!$A$2:$A$310,MATCH(A985,Users!$B$2:$B$310,0)),"")</f>
        <v>Service A</v>
      </c>
      <c r="H985" s="21" t="str">
        <f>IFERROR(INDEX(Users!$D$2:$D$310,MATCH(A985,Users!$B$2:$B$310,0)),"")</f>
        <v>Band 5</v>
      </c>
      <c r="I985" s="19" t="b">
        <f t="shared" si="46"/>
        <v>0</v>
      </c>
      <c r="J985" s="33" t="str">
        <f t="shared" si="47"/>
        <v/>
      </c>
    </row>
    <row r="986" spans="1:10">
      <c r="A986" s="19" t="s">
        <v>170</v>
      </c>
      <c r="B986" s="20">
        <v>45689</v>
      </c>
      <c r="C986" s="21">
        <v>148</v>
      </c>
      <c r="D986" s="21">
        <v>130.55666666666667</v>
      </c>
      <c r="E986" s="21">
        <v>64.89</v>
      </c>
      <c r="F986" s="27">
        <f t="shared" si="45"/>
        <v>0.88213963963963971</v>
      </c>
      <c r="G986" s="21" t="str">
        <f>IFERROR(INDEX(Users!$A$2:$A$310,MATCH(A986,Users!$B$2:$B$310,0)),"")</f>
        <v>Service A</v>
      </c>
      <c r="H986" s="21" t="str">
        <f>IFERROR(INDEX(Users!$D$2:$D$310,MATCH(A986,Users!$B$2:$B$310,0)),"")</f>
        <v>Band 5</v>
      </c>
      <c r="I986" s="19" t="b">
        <f t="shared" si="46"/>
        <v>0</v>
      </c>
      <c r="J986" s="33" t="str">
        <f t="shared" si="47"/>
        <v/>
      </c>
    </row>
    <row r="987" spans="1:10">
      <c r="A987" s="19" t="s">
        <v>170</v>
      </c>
      <c r="B987" s="20">
        <v>45717</v>
      </c>
      <c r="C987" s="21">
        <v>155.4</v>
      </c>
      <c r="D987" s="21">
        <v>118.44999999999999</v>
      </c>
      <c r="E987" s="21">
        <v>93.949999999999989</v>
      </c>
      <c r="F987" s="27">
        <f t="shared" si="45"/>
        <v>0.76222651222651217</v>
      </c>
      <c r="G987" s="21" t="str">
        <f>IFERROR(INDEX(Users!$A$2:$A$310,MATCH(A987,Users!$B$2:$B$310,0)),"")</f>
        <v>Service A</v>
      </c>
      <c r="H987" s="21" t="str">
        <f>IFERROR(INDEX(Users!$D$2:$D$310,MATCH(A987,Users!$B$2:$B$310,0)),"")</f>
        <v>Band 5</v>
      </c>
      <c r="I987" s="19" t="b">
        <f t="shared" si="46"/>
        <v>0</v>
      </c>
      <c r="J987" s="33" t="str">
        <f t="shared" si="47"/>
        <v/>
      </c>
    </row>
    <row r="988" spans="1:10">
      <c r="A988" s="19" t="s">
        <v>170</v>
      </c>
      <c r="B988" s="20">
        <v>45748</v>
      </c>
      <c r="C988" s="21">
        <v>148</v>
      </c>
      <c r="D988" s="21">
        <v>143.98999999999995</v>
      </c>
      <c r="E988" s="21">
        <v>75.989999999999952</v>
      </c>
      <c r="F988" s="27">
        <f t="shared" si="45"/>
        <v>0.97290540540540504</v>
      </c>
      <c r="G988" s="21" t="str">
        <f>IFERROR(INDEX(Users!$A$2:$A$310,MATCH(A988,Users!$B$2:$B$310,0)),"")</f>
        <v>Service A</v>
      </c>
      <c r="H988" s="21" t="str">
        <f>IFERROR(INDEX(Users!$D$2:$D$310,MATCH(A988,Users!$B$2:$B$310,0)),"")</f>
        <v>Band 5</v>
      </c>
      <c r="I988" s="19" t="b">
        <f t="shared" si="46"/>
        <v>0</v>
      </c>
      <c r="J988" s="33" t="str">
        <f t="shared" si="47"/>
        <v/>
      </c>
    </row>
    <row r="989" spans="1:10">
      <c r="A989" s="19" t="s">
        <v>170</v>
      </c>
      <c r="B989" s="20">
        <v>45778</v>
      </c>
      <c r="C989" s="21">
        <v>148</v>
      </c>
      <c r="D989" s="21">
        <v>62.08666666666668</v>
      </c>
      <c r="E989" s="21">
        <v>35.170000000000009</v>
      </c>
      <c r="F989" s="27">
        <f t="shared" si="45"/>
        <v>0.41950450450450461</v>
      </c>
      <c r="G989" s="21" t="str">
        <f>IFERROR(INDEX(Users!$A$2:$A$310,MATCH(A989,Users!$B$2:$B$310,0)),"")</f>
        <v>Service A</v>
      </c>
      <c r="H989" s="21" t="str">
        <f>IFERROR(INDEX(Users!$D$2:$D$310,MATCH(A989,Users!$B$2:$B$310,0)),"")</f>
        <v>Band 5</v>
      </c>
      <c r="I989" s="19" t="b">
        <f t="shared" si="46"/>
        <v>0</v>
      </c>
      <c r="J989" s="33" t="str">
        <f t="shared" si="47"/>
        <v/>
      </c>
    </row>
    <row r="990" spans="1:10">
      <c r="A990" s="19" t="s">
        <v>170</v>
      </c>
      <c r="B990" s="20">
        <v>45809</v>
      </c>
      <c r="C990" s="21">
        <v>155.4</v>
      </c>
      <c r="D990" s="21">
        <v>155.54666666666665</v>
      </c>
      <c r="E990" s="21">
        <v>90.129999999999981</v>
      </c>
      <c r="F990" s="27">
        <f t="shared" si="45"/>
        <v>1.0009438009438008</v>
      </c>
      <c r="G990" s="21" t="str">
        <f>IFERROR(INDEX(Users!$A$2:$A$310,MATCH(A990,Users!$B$2:$B$310,0)),"")</f>
        <v>Service A</v>
      </c>
      <c r="H990" s="21" t="str">
        <f>IFERROR(INDEX(Users!$D$2:$D$310,MATCH(A990,Users!$B$2:$B$310,0)),"")</f>
        <v>Band 5</v>
      </c>
      <c r="I990" s="19" t="b">
        <f t="shared" si="46"/>
        <v>0</v>
      </c>
      <c r="J990" s="33" t="str">
        <f t="shared" si="47"/>
        <v/>
      </c>
    </row>
    <row r="991" spans="1:10">
      <c r="A991" s="19" t="s">
        <v>170</v>
      </c>
      <c r="B991" s="20">
        <v>45839</v>
      </c>
      <c r="C991" s="21">
        <v>170.20000000000002</v>
      </c>
      <c r="D991" s="21">
        <v>163.44</v>
      </c>
      <c r="E991" s="21">
        <v>91.44</v>
      </c>
      <c r="F991" s="27">
        <f t="shared" si="45"/>
        <v>0.96028202115158623</v>
      </c>
      <c r="G991" s="21" t="str">
        <f>IFERROR(INDEX(Users!$A$2:$A$310,MATCH(A991,Users!$B$2:$B$310,0)),"")</f>
        <v>Service A</v>
      </c>
      <c r="H991" s="21" t="str">
        <f>IFERROR(INDEX(Users!$D$2:$D$310,MATCH(A991,Users!$B$2:$B$310,0)),"")</f>
        <v>Band 5</v>
      </c>
      <c r="I991" s="19" t="b">
        <f t="shared" si="46"/>
        <v>0</v>
      </c>
      <c r="J991" s="33" t="str">
        <f t="shared" si="47"/>
        <v/>
      </c>
    </row>
    <row r="992" spans="1:10">
      <c r="A992" s="19" t="s">
        <v>170</v>
      </c>
      <c r="B992" s="20">
        <v>45870</v>
      </c>
      <c r="C992" s="21">
        <v>44.400000000000006</v>
      </c>
      <c r="D992" s="21">
        <v>44.08</v>
      </c>
      <c r="E992" s="21">
        <v>9.58</v>
      </c>
      <c r="F992" s="27">
        <f t="shared" si="45"/>
        <v>0.99279279279279264</v>
      </c>
      <c r="G992" s="21" t="str">
        <f>IFERROR(INDEX(Users!$A$2:$A$310,MATCH(A992,Users!$B$2:$B$310,0)),"")</f>
        <v>Service A</v>
      </c>
      <c r="H992" s="21" t="str">
        <f>IFERROR(INDEX(Users!$D$2:$D$310,MATCH(A992,Users!$B$2:$B$310,0)),"")</f>
        <v>Band 5</v>
      </c>
      <c r="I992" s="19" t="b">
        <f t="shared" si="46"/>
        <v>0</v>
      </c>
      <c r="J992" s="33" t="str">
        <f t="shared" si="47"/>
        <v/>
      </c>
    </row>
    <row r="993" spans="1:10">
      <c r="A993" s="19" t="s">
        <v>171</v>
      </c>
      <c r="B993" s="20">
        <v>45689</v>
      </c>
      <c r="C993" s="21">
        <v>37</v>
      </c>
      <c r="D993" s="21">
        <v>38.193333333333328</v>
      </c>
      <c r="E993" s="21">
        <v>8.41</v>
      </c>
      <c r="F993" s="27">
        <f t="shared" si="45"/>
        <v>1.0322522522522521</v>
      </c>
      <c r="G993" s="21" t="str">
        <f>IFERROR(INDEX(Users!$A$2:$A$310,MATCH(A993,Users!$B$2:$B$310,0)),"")</f>
        <v>Service B</v>
      </c>
      <c r="H993" s="21" t="str">
        <f>IFERROR(INDEX(Users!$D$2:$D$310,MATCH(A993,Users!$B$2:$B$310,0)),"")</f>
        <v>Band 3</v>
      </c>
      <c r="I993" s="19" t="b">
        <f t="shared" si="46"/>
        <v>0</v>
      </c>
      <c r="J993" s="33">
        <f t="shared" si="47"/>
        <v>1.0322522522522521</v>
      </c>
    </row>
    <row r="994" spans="1:10">
      <c r="A994" s="19" t="s">
        <v>171</v>
      </c>
      <c r="B994" s="20">
        <v>45717</v>
      </c>
      <c r="C994" s="21">
        <v>157.25</v>
      </c>
      <c r="D994" s="21">
        <v>162.61333333333334</v>
      </c>
      <c r="E994" s="21">
        <v>42.98</v>
      </c>
      <c r="F994" s="27">
        <f t="shared" si="45"/>
        <v>1.0341070482246955</v>
      </c>
      <c r="G994" s="21" t="str">
        <f>IFERROR(INDEX(Users!$A$2:$A$310,MATCH(A994,Users!$B$2:$B$310,0)),"")</f>
        <v>Service B</v>
      </c>
      <c r="H994" s="21" t="str">
        <f>IFERROR(INDEX(Users!$D$2:$D$310,MATCH(A994,Users!$B$2:$B$310,0)),"")</f>
        <v>Band 3</v>
      </c>
      <c r="I994" s="19" t="b">
        <f t="shared" si="46"/>
        <v>0</v>
      </c>
      <c r="J994" s="33">
        <f t="shared" si="47"/>
        <v>1.0341070482246955</v>
      </c>
    </row>
    <row r="995" spans="1:10">
      <c r="A995" s="19" t="s">
        <v>171</v>
      </c>
      <c r="B995" s="20">
        <v>45748</v>
      </c>
      <c r="C995" s="21">
        <v>157.25</v>
      </c>
      <c r="D995" s="21">
        <v>145.80333333333334</v>
      </c>
      <c r="E995" s="21">
        <v>64.819999999999993</v>
      </c>
      <c r="F995" s="27">
        <f t="shared" si="45"/>
        <v>0.92720720720720728</v>
      </c>
      <c r="G995" s="21" t="str">
        <f>IFERROR(INDEX(Users!$A$2:$A$310,MATCH(A995,Users!$B$2:$B$310,0)),"")</f>
        <v>Service B</v>
      </c>
      <c r="H995" s="21" t="str">
        <f>IFERROR(INDEX(Users!$D$2:$D$310,MATCH(A995,Users!$B$2:$B$310,0)),"")</f>
        <v>Band 3</v>
      </c>
      <c r="I995" s="19" t="b">
        <f t="shared" si="46"/>
        <v>0</v>
      </c>
      <c r="J995" s="33">
        <f t="shared" si="47"/>
        <v>0.92720720720720728</v>
      </c>
    </row>
    <row r="996" spans="1:10">
      <c r="A996" s="19" t="s">
        <v>171</v>
      </c>
      <c r="B996" s="20">
        <v>45778</v>
      </c>
      <c r="C996" s="21">
        <v>138.75</v>
      </c>
      <c r="D996" s="21">
        <v>143.21333333333331</v>
      </c>
      <c r="E996" s="21">
        <v>85.38</v>
      </c>
      <c r="F996" s="27">
        <f t="shared" si="45"/>
        <v>1.032168168168168</v>
      </c>
      <c r="G996" s="21" t="str">
        <f>IFERROR(INDEX(Users!$A$2:$A$310,MATCH(A996,Users!$B$2:$B$310,0)),"")</f>
        <v>Service B</v>
      </c>
      <c r="H996" s="21" t="str">
        <f>IFERROR(INDEX(Users!$D$2:$D$310,MATCH(A996,Users!$B$2:$B$310,0)),"")</f>
        <v>Band 3</v>
      </c>
      <c r="I996" s="19" t="b">
        <f t="shared" si="46"/>
        <v>0</v>
      </c>
      <c r="J996" s="33">
        <f t="shared" si="47"/>
        <v>1.032168168168168</v>
      </c>
    </row>
    <row r="997" spans="1:10">
      <c r="A997" s="19" t="s">
        <v>171</v>
      </c>
      <c r="B997" s="20">
        <v>45809</v>
      </c>
      <c r="C997" s="21">
        <v>157.25</v>
      </c>
      <c r="D997" s="21">
        <v>159.52333333333331</v>
      </c>
      <c r="E997" s="21">
        <v>82.24</v>
      </c>
      <c r="F997" s="27">
        <f t="shared" si="45"/>
        <v>1.0144568097509272</v>
      </c>
      <c r="G997" s="21" t="str">
        <f>IFERROR(INDEX(Users!$A$2:$A$310,MATCH(A997,Users!$B$2:$B$310,0)),"")</f>
        <v>Service B</v>
      </c>
      <c r="H997" s="21" t="str">
        <f>IFERROR(INDEX(Users!$D$2:$D$310,MATCH(A997,Users!$B$2:$B$310,0)),"")</f>
        <v>Band 3</v>
      </c>
      <c r="I997" s="19" t="b">
        <f t="shared" si="46"/>
        <v>0</v>
      </c>
      <c r="J997" s="33">
        <f t="shared" si="47"/>
        <v>1.0144568097509272</v>
      </c>
    </row>
    <row r="998" spans="1:10">
      <c r="A998" s="19" t="s">
        <v>171</v>
      </c>
      <c r="B998" s="20">
        <v>45839</v>
      </c>
      <c r="C998" s="21">
        <v>175.75</v>
      </c>
      <c r="D998" s="21">
        <v>108.95666666666668</v>
      </c>
      <c r="E998" s="21">
        <v>68.390000000000015</v>
      </c>
      <c r="F998" s="27">
        <f t="shared" si="45"/>
        <v>0.6199525841631105</v>
      </c>
      <c r="G998" s="21" t="str">
        <f>IFERROR(INDEX(Users!$A$2:$A$310,MATCH(A998,Users!$B$2:$B$310,0)),"")</f>
        <v>Service B</v>
      </c>
      <c r="H998" s="21" t="str">
        <f>IFERROR(INDEX(Users!$D$2:$D$310,MATCH(A998,Users!$B$2:$B$310,0)),"")</f>
        <v>Band 3</v>
      </c>
      <c r="I998" s="19" t="b">
        <f t="shared" si="46"/>
        <v>0</v>
      </c>
      <c r="J998" s="33">
        <f t="shared" si="47"/>
        <v>0.6199525841631105</v>
      </c>
    </row>
    <row r="999" spans="1:10">
      <c r="A999" s="19" t="s">
        <v>171</v>
      </c>
      <c r="B999" s="20">
        <v>45870</v>
      </c>
      <c r="C999" s="21">
        <v>138.75</v>
      </c>
      <c r="D999" s="21">
        <v>122.63666666666666</v>
      </c>
      <c r="E999" s="21">
        <v>81.269999999999982</v>
      </c>
      <c r="F999" s="27">
        <f t="shared" si="45"/>
        <v>0.88386786786786775</v>
      </c>
      <c r="G999" s="21" t="str">
        <f>IFERROR(INDEX(Users!$A$2:$A$310,MATCH(A999,Users!$B$2:$B$310,0)),"")</f>
        <v>Service B</v>
      </c>
      <c r="H999" s="21" t="str">
        <f>IFERROR(INDEX(Users!$D$2:$D$310,MATCH(A999,Users!$B$2:$B$310,0)),"")</f>
        <v>Band 3</v>
      </c>
      <c r="I999" s="19" t="b">
        <f t="shared" si="46"/>
        <v>0</v>
      </c>
      <c r="J999" s="33">
        <f t="shared" si="47"/>
        <v>0.88386786786786775</v>
      </c>
    </row>
    <row r="1000" spans="1:10">
      <c r="A1000" s="19" t="s">
        <v>171</v>
      </c>
      <c r="B1000" s="20">
        <v>45901</v>
      </c>
      <c r="C1000" s="21">
        <v>166.5</v>
      </c>
      <c r="D1000" s="21">
        <v>138.70333333333335</v>
      </c>
      <c r="E1000" s="21">
        <v>89.82</v>
      </c>
      <c r="F1000" s="27">
        <f t="shared" si="45"/>
        <v>0.83305305305305311</v>
      </c>
      <c r="G1000" s="21" t="str">
        <f>IFERROR(INDEX(Users!$A$2:$A$310,MATCH(A1000,Users!$B$2:$B$310,0)),"")</f>
        <v>Service B</v>
      </c>
      <c r="H1000" s="21" t="str">
        <f>IFERROR(INDEX(Users!$D$2:$D$310,MATCH(A1000,Users!$B$2:$B$310,0)),"")</f>
        <v>Band 3</v>
      </c>
      <c r="I1000" s="19" t="b">
        <f t="shared" si="46"/>
        <v>0</v>
      </c>
      <c r="J1000" s="33">
        <f t="shared" si="47"/>
        <v>0.83305305305305311</v>
      </c>
    </row>
    <row r="1001" spans="1:10">
      <c r="A1001" s="19" t="s">
        <v>171</v>
      </c>
      <c r="B1001" s="20">
        <v>45931</v>
      </c>
      <c r="C1001" s="21">
        <v>166.5</v>
      </c>
      <c r="D1001" s="21">
        <v>95.13000000000001</v>
      </c>
      <c r="E1001" s="21">
        <v>62.180000000000007</v>
      </c>
      <c r="F1001" s="27">
        <f t="shared" si="45"/>
        <v>0.5713513513513514</v>
      </c>
      <c r="G1001" s="21" t="str">
        <f>IFERROR(INDEX(Users!$A$2:$A$310,MATCH(A1001,Users!$B$2:$B$310,0)),"")</f>
        <v>Service B</v>
      </c>
      <c r="H1001" s="21" t="str">
        <f>IFERROR(INDEX(Users!$D$2:$D$310,MATCH(A1001,Users!$B$2:$B$310,0)),"")</f>
        <v>Band 3</v>
      </c>
      <c r="I1001" s="19" t="b">
        <f t="shared" si="46"/>
        <v>0</v>
      </c>
      <c r="J1001" s="33">
        <f t="shared" si="47"/>
        <v>0.5713513513513514</v>
      </c>
    </row>
    <row r="1002" spans="1:10">
      <c r="A1002" s="19" t="s">
        <v>171</v>
      </c>
      <c r="B1002" s="20">
        <v>45962</v>
      </c>
      <c r="C1002" s="21">
        <v>148</v>
      </c>
      <c r="D1002" s="21">
        <v>157.22999999999999</v>
      </c>
      <c r="E1002" s="21">
        <v>94.18</v>
      </c>
      <c r="F1002" s="27">
        <f t="shared" si="45"/>
        <v>1.0623648648648647</v>
      </c>
      <c r="G1002" s="21" t="str">
        <f>IFERROR(INDEX(Users!$A$2:$A$310,MATCH(A1002,Users!$B$2:$B$310,0)),"")</f>
        <v>Service B</v>
      </c>
      <c r="H1002" s="21" t="str">
        <f>IFERROR(INDEX(Users!$D$2:$D$310,MATCH(A1002,Users!$B$2:$B$310,0)),"")</f>
        <v>Band 3</v>
      </c>
      <c r="I1002" s="19" t="b">
        <f t="shared" si="46"/>
        <v>0</v>
      </c>
      <c r="J1002" s="33">
        <f t="shared" si="47"/>
        <v>1.0623648648648647</v>
      </c>
    </row>
    <row r="1003" spans="1:10">
      <c r="A1003" s="19" t="s">
        <v>171</v>
      </c>
      <c r="B1003" s="20">
        <v>45992</v>
      </c>
      <c r="C1003" s="21">
        <v>166.5</v>
      </c>
      <c r="D1003" s="21">
        <v>153.35000000000002</v>
      </c>
      <c r="E1003" s="21">
        <v>102.15000000000003</v>
      </c>
      <c r="F1003" s="27">
        <f t="shared" si="45"/>
        <v>0.92102102102102112</v>
      </c>
      <c r="G1003" s="21" t="str">
        <f>IFERROR(INDEX(Users!$A$2:$A$310,MATCH(A1003,Users!$B$2:$B$310,0)),"")</f>
        <v>Service B</v>
      </c>
      <c r="H1003" s="21" t="str">
        <f>IFERROR(INDEX(Users!$D$2:$D$310,MATCH(A1003,Users!$B$2:$B$310,0)),"")</f>
        <v>Band 3</v>
      </c>
      <c r="I1003" s="19" t="b">
        <f t="shared" si="46"/>
        <v>0</v>
      </c>
      <c r="J1003" s="33">
        <f t="shared" si="47"/>
        <v>0.92102102102102112</v>
      </c>
    </row>
    <row r="1004" spans="1:10">
      <c r="A1004" s="19" t="s">
        <v>171</v>
      </c>
      <c r="B1004" s="20">
        <v>46023</v>
      </c>
      <c r="C1004" s="21">
        <v>148</v>
      </c>
      <c r="D1004" s="21">
        <v>55.42</v>
      </c>
      <c r="E1004" s="21">
        <v>30.170000000000005</v>
      </c>
      <c r="F1004" s="27">
        <f t="shared" si="45"/>
        <v>0.37445945945945946</v>
      </c>
      <c r="G1004" s="21" t="str">
        <f>IFERROR(INDEX(Users!$A$2:$A$310,MATCH(A1004,Users!$B$2:$B$310,0)),"")</f>
        <v>Service B</v>
      </c>
      <c r="H1004" s="21" t="str">
        <f>IFERROR(INDEX(Users!$D$2:$D$310,MATCH(A1004,Users!$B$2:$B$310,0)),"")</f>
        <v>Band 3</v>
      </c>
      <c r="I1004" s="19" t="b">
        <f t="shared" si="46"/>
        <v>0</v>
      </c>
      <c r="J1004" s="33" t="str">
        <f t="shared" si="47"/>
        <v/>
      </c>
    </row>
    <row r="1005" spans="1:10">
      <c r="A1005" s="19" t="s">
        <v>172</v>
      </c>
      <c r="B1005" s="20">
        <v>45658</v>
      </c>
      <c r="C1005" s="21">
        <v>157.25</v>
      </c>
      <c r="D1005" s="21">
        <v>156.45999999999995</v>
      </c>
      <c r="E1005" s="21">
        <v>50.676666666666669</v>
      </c>
      <c r="F1005" s="27">
        <f t="shared" si="45"/>
        <v>0.99497615262321115</v>
      </c>
      <c r="G1005" s="21" t="str">
        <f>IFERROR(INDEX(Users!$A$2:$A$310,MATCH(A1005,Users!$B$2:$B$310,0)),"")</f>
        <v>Service D</v>
      </c>
      <c r="H1005" s="21" t="str">
        <f>IFERROR(INDEX(Users!$D$2:$D$310,MATCH(A1005,Users!$B$2:$B$310,0)),"")</f>
        <v>Band 3</v>
      </c>
      <c r="I1005" s="19" t="b">
        <f t="shared" si="46"/>
        <v>0</v>
      </c>
      <c r="J1005" s="33" t="str">
        <f t="shared" si="47"/>
        <v/>
      </c>
    </row>
    <row r="1006" spans="1:10">
      <c r="A1006" s="19" t="s">
        <v>172</v>
      </c>
      <c r="B1006" s="20">
        <v>45689</v>
      </c>
      <c r="C1006" s="21">
        <v>111</v>
      </c>
      <c r="D1006" s="21">
        <v>74.376666666666694</v>
      </c>
      <c r="E1006" s="21">
        <v>27.759999999999998</v>
      </c>
      <c r="F1006" s="27">
        <f t="shared" si="45"/>
        <v>0.67006006006006025</v>
      </c>
      <c r="G1006" s="21" t="str">
        <f>IFERROR(INDEX(Users!$A$2:$A$310,MATCH(A1006,Users!$B$2:$B$310,0)),"")</f>
        <v>Service D</v>
      </c>
      <c r="H1006" s="21" t="str">
        <f>IFERROR(INDEX(Users!$D$2:$D$310,MATCH(A1006,Users!$B$2:$B$310,0)),"")</f>
        <v>Band 3</v>
      </c>
      <c r="I1006" s="19" t="b">
        <f t="shared" si="46"/>
        <v>0</v>
      </c>
      <c r="J1006" s="33" t="str">
        <f t="shared" si="47"/>
        <v/>
      </c>
    </row>
    <row r="1007" spans="1:10">
      <c r="A1007" s="19" t="s">
        <v>173</v>
      </c>
      <c r="B1007" s="20">
        <v>45778</v>
      </c>
      <c r="C1007" s="21">
        <v>29.6</v>
      </c>
      <c r="D1007" s="21">
        <v>29.449999999999996</v>
      </c>
      <c r="E1007" s="21"/>
      <c r="F1007" s="27">
        <f t="shared" si="45"/>
        <v>0.99493243243243223</v>
      </c>
      <c r="G1007" s="21" t="str">
        <f>IFERROR(INDEX(Users!$A$2:$A$310,MATCH(A1007,Users!$B$2:$B$310,0)),"")</f>
        <v>Service C</v>
      </c>
      <c r="H1007" s="21" t="str">
        <f>IFERROR(INDEX(Users!$D$2:$D$310,MATCH(A1007,Users!$B$2:$B$310,0)),"")</f>
        <v>Band 3</v>
      </c>
      <c r="I1007" s="19" t="b">
        <f t="shared" si="46"/>
        <v>0</v>
      </c>
      <c r="J1007" s="33" t="str">
        <f t="shared" si="47"/>
        <v/>
      </c>
    </row>
    <row r="1008" spans="1:10">
      <c r="A1008" s="19" t="s">
        <v>173</v>
      </c>
      <c r="B1008" s="20">
        <v>45809</v>
      </c>
      <c r="C1008" s="21">
        <v>155.4</v>
      </c>
      <c r="D1008" s="21">
        <v>121.76666666666671</v>
      </c>
      <c r="E1008" s="21"/>
      <c r="F1008" s="27">
        <f t="shared" si="45"/>
        <v>0.78356928356928379</v>
      </c>
      <c r="G1008" s="21" t="str">
        <f>IFERROR(INDEX(Users!$A$2:$A$310,MATCH(A1008,Users!$B$2:$B$310,0)),"")</f>
        <v>Service C</v>
      </c>
      <c r="H1008" s="21" t="str">
        <f>IFERROR(INDEX(Users!$D$2:$D$310,MATCH(A1008,Users!$B$2:$B$310,0)),"")</f>
        <v>Band 3</v>
      </c>
      <c r="I1008" s="19" t="b">
        <f t="shared" si="46"/>
        <v>0</v>
      </c>
      <c r="J1008" s="33" t="str">
        <f t="shared" si="47"/>
        <v/>
      </c>
    </row>
    <row r="1009" spans="1:10">
      <c r="A1009" s="19" t="s">
        <v>173</v>
      </c>
      <c r="B1009" s="20">
        <v>45839</v>
      </c>
      <c r="C1009" s="21">
        <v>170.20000000000002</v>
      </c>
      <c r="D1009" s="21">
        <v>145.72333333333336</v>
      </c>
      <c r="E1009" s="21">
        <v>19.440000000000001</v>
      </c>
      <c r="F1009" s="27">
        <f t="shared" si="45"/>
        <v>0.85618879749314536</v>
      </c>
      <c r="G1009" s="21" t="str">
        <f>IFERROR(INDEX(Users!$A$2:$A$310,MATCH(A1009,Users!$B$2:$B$310,0)),"")</f>
        <v>Service C</v>
      </c>
      <c r="H1009" s="21" t="str">
        <f>IFERROR(INDEX(Users!$D$2:$D$310,MATCH(A1009,Users!$B$2:$B$310,0)),"")</f>
        <v>Band 3</v>
      </c>
      <c r="I1009" s="19" t="b">
        <f t="shared" si="46"/>
        <v>0</v>
      </c>
      <c r="J1009" s="33" t="str">
        <f t="shared" si="47"/>
        <v/>
      </c>
    </row>
    <row r="1010" spans="1:10">
      <c r="A1010" s="19" t="s">
        <v>173</v>
      </c>
      <c r="B1010" s="20">
        <v>45870</v>
      </c>
      <c r="C1010" s="21">
        <v>148</v>
      </c>
      <c r="D1010" s="21">
        <v>113.0233333333333</v>
      </c>
      <c r="E1010" s="21">
        <v>48.939999999999969</v>
      </c>
      <c r="F1010" s="27">
        <f t="shared" si="45"/>
        <v>0.76367117117117089</v>
      </c>
      <c r="G1010" s="21" t="str">
        <f>IFERROR(INDEX(Users!$A$2:$A$310,MATCH(A1010,Users!$B$2:$B$310,0)),"")</f>
        <v>Service C</v>
      </c>
      <c r="H1010" s="21" t="str">
        <f>IFERROR(INDEX(Users!$D$2:$D$310,MATCH(A1010,Users!$B$2:$B$310,0)),"")</f>
        <v>Band 3</v>
      </c>
      <c r="I1010" s="19" t="b">
        <f t="shared" si="46"/>
        <v>0</v>
      </c>
      <c r="J1010" s="33" t="str">
        <f t="shared" si="47"/>
        <v/>
      </c>
    </row>
    <row r="1011" spans="1:10">
      <c r="A1011" s="19" t="s">
        <v>173</v>
      </c>
      <c r="B1011" s="20">
        <v>45901</v>
      </c>
      <c r="C1011" s="21">
        <v>162.80000000000001</v>
      </c>
      <c r="D1011" s="21">
        <v>115.73333333333333</v>
      </c>
      <c r="E1011" s="21">
        <v>34.249999999999993</v>
      </c>
      <c r="F1011" s="27">
        <f t="shared" si="45"/>
        <v>0.71089271089271089</v>
      </c>
      <c r="G1011" s="21" t="str">
        <f>IFERROR(INDEX(Users!$A$2:$A$310,MATCH(A1011,Users!$B$2:$B$310,0)),"")</f>
        <v>Service C</v>
      </c>
      <c r="H1011" s="21" t="str">
        <f>IFERROR(INDEX(Users!$D$2:$D$310,MATCH(A1011,Users!$B$2:$B$310,0)),"")</f>
        <v>Band 3</v>
      </c>
      <c r="I1011" s="19" t="b">
        <f t="shared" si="46"/>
        <v>0</v>
      </c>
      <c r="J1011" s="33" t="str">
        <f t="shared" si="47"/>
        <v/>
      </c>
    </row>
    <row r="1012" spans="1:10">
      <c r="A1012" s="19" t="s">
        <v>173</v>
      </c>
      <c r="B1012" s="20">
        <v>45931</v>
      </c>
      <c r="C1012" s="21">
        <v>170.20000000000002</v>
      </c>
      <c r="D1012" s="21">
        <v>155.85999999999996</v>
      </c>
      <c r="E1012" s="21">
        <v>75.809999999999988</v>
      </c>
      <c r="F1012" s="27">
        <f t="shared" si="45"/>
        <v>0.91574618096357197</v>
      </c>
      <c r="G1012" s="21" t="str">
        <f>IFERROR(INDEX(Users!$A$2:$A$310,MATCH(A1012,Users!$B$2:$B$310,0)),"")</f>
        <v>Service C</v>
      </c>
      <c r="H1012" s="21" t="str">
        <f>IFERROR(INDEX(Users!$D$2:$D$310,MATCH(A1012,Users!$B$2:$B$310,0)),"")</f>
        <v>Band 3</v>
      </c>
      <c r="I1012" s="19" t="b">
        <f t="shared" si="46"/>
        <v>0</v>
      </c>
      <c r="J1012" s="33" t="str">
        <f t="shared" si="47"/>
        <v/>
      </c>
    </row>
    <row r="1013" spans="1:10">
      <c r="A1013" s="19" t="s">
        <v>173</v>
      </c>
      <c r="B1013" s="20">
        <v>45962</v>
      </c>
      <c r="C1013" s="21">
        <v>148</v>
      </c>
      <c r="D1013" s="21">
        <v>154.58333333333331</v>
      </c>
      <c r="E1013" s="21">
        <v>35.5</v>
      </c>
      <c r="F1013" s="27">
        <f t="shared" si="45"/>
        <v>1.0444819819819819</v>
      </c>
      <c r="G1013" s="21" t="str">
        <f>IFERROR(INDEX(Users!$A$2:$A$310,MATCH(A1013,Users!$B$2:$B$310,0)),"")</f>
        <v>Service C</v>
      </c>
      <c r="H1013" s="21" t="str">
        <f>IFERROR(INDEX(Users!$D$2:$D$310,MATCH(A1013,Users!$B$2:$B$310,0)),"")</f>
        <v>Band 3</v>
      </c>
      <c r="I1013" s="19" t="b">
        <f t="shared" si="46"/>
        <v>0</v>
      </c>
      <c r="J1013" s="33" t="str">
        <f t="shared" si="47"/>
        <v/>
      </c>
    </row>
    <row r="1014" spans="1:10">
      <c r="A1014" s="19" t="s">
        <v>173</v>
      </c>
      <c r="B1014" s="20">
        <v>45992</v>
      </c>
      <c r="C1014" s="21">
        <v>155.4</v>
      </c>
      <c r="D1014" s="21">
        <v>81.166666666666657</v>
      </c>
      <c r="E1014" s="21">
        <v>15.299999999999999</v>
      </c>
      <c r="F1014" s="27">
        <f t="shared" si="45"/>
        <v>0.5223080223080222</v>
      </c>
      <c r="G1014" s="21" t="str">
        <f>IFERROR(INDEX(Users!$A$2:$A$310,MATCH(A1014,Users!$B$2:$B$310,0)),"")</f>
        <v>Service C</v>
      </c>
      <c r="H1014" s="21" t="str">
        <f>IFERROR(INDEX(Users!$D$2:$D$310,MATCH(A1014,Users!$B$2:$B$310,0)),"")</f>
        <v>Band 3</v>
      </c>
      <c r="I1014" s="19" t="b">
        <f t="shared" si="46"/>
        <v>0</v>
      </c>
      <c r="J1014" s="33" t="str">
        <f t="shared" si="47"/>
        <v/>
      </c>
    </row>
    <row r="1015" spans="1:10">
      <c r="A1015" s="19" t="s">
        <v>173</v>
      </c>
      <c r="B1015" s="20">
        <v>46023</v>
      </c>
      <c r="C1015" s="21">
        <v>155.4</v>
      </c>
      <c r="D1015" s="21">
        <v>140.19666666666666</v>
      </c>
      <c r="E1015" s="21">
        <v>57.02999999999998</v>
      </c>
      <c r="F1015" s="27">
        <f t="shared" si="45"/>
        <v>0.90216645216645208</v>
      </c>
      <c r="G1015" s="21" t="str">
        <f>IFERROR(INDEX(Users!$A$2:$A$310,MATCH(A1015,Users!$B$2:$B$310,0)),"")</f>
        <v>Service C</v>
      </c>
      <c r="H1015" s="21" t="str">
        <f>IFERROR(INDEX(Users!$D$2:$D$310,MATCH(A1015,Users!$B$2:$B$310,0)),"")</f>
        <v>Band 3</v>
      </c>
      <c r="I1015" s="19" t="b">
        <f t="shared" si="46"/>
        <v>0</v>
      </c>
      <c r="J1015" s="33" t="str">
        <f t="shared" si="47"/>
        <v/>
      </c>
    </row>
    <row r="1016" spans="1:10">
      <c r="A1016" s="19" t="s">
        <v>176</v>
      </c>
      <c r="B1016" s="20">
        <v>45778</v>
      </c>
      <c r="C1016" s="21">
        <v>51.800000000000004</v>
      </c>
      <c r="D1016" s="21">
        <v>66.666666666666657</v>
      </c>
      <c r="E1016" s="21"/>
      <c r="F1016" s="27">
        <f t="shared" si="45"/>
        <v>1.2870012870012868</v>
      </c>
      <c r="G1016" s="21" t="str">
        <f>IFERROR(INDEX(Users!$A$2:$A$310,MATCH(A1016,Users!$B$2:$B$310,0)),"")</f>
        <v>Service C</v>
      </c>
      <c r="H1016" s="21" t="str">
        <f>IFERROR(INDEX(Users!$D$2:$D$310,MATCH(A1016,Users!$B$2:$B$310,0)),"")</f>
        <v>Band 3</v>
      </c>
      <c r="I1016" s="19" t="b">
        <f t="shared" si="46"/>
        <v>0</v>
      </c>
      <c r="J1016" s="33" t="str">
        <f t="shared" si="47"/>
        <v/>
      </c>
    </row>
    <row r="1017" spans="1:10">
      <c r="A1017" s="19" t="s">
        <v>176</v>
      </c>
      <c r="B1017" s="20">
        <v>45809</v>
      </c>
      <c r="C1017" s="21">
        <v>155.4</v>
      </c>
      <c r="D1017" s="21">
        <v>127.66666666666666</v>
      </c>
      <c r="E1017" s="21"/>
      <c r="F1017" s="27">
        <f t="shared" si="45"/>
        <v>0.8215358215358215</v>
      </c>
      <c r="G1017" s="21" t="str">
        <f>IFERROR(INDEX(Users!$A$2:$A$310,MATCH(A1017,Users!$B$2:$B$310,0)),"")</f>
        <v>Service C</v>
      </c>
      <c r="H1017" s="21" t="str">
        <f>IFERROR(INDEX(Users!$D$2:$D$310,MATCH(A1017,Users!$B$2:$B$310,0)),"")</f>
        <v>Band 3</v>
      </c>
      <c r="I1017" s="19" t="b">
        <f t="shared" si="46"/>
        <v>0</v>
      </c>
      <c r="J1017" s="33" t="str">
        <f t="shared" si="47"/>
        <v/>
      </c>
    </row>
    <row r="1018" spans="1:10">
      <c r="A1018" s="19" t="s">
        <v>176</v>
      </c>
      <c r="B1018" s="20">
        <v>45839</v>
      </c>
      <c r="C1018" s="21">
        <v>170.20000000000002</v>
      </c>
      <c r="D1018" s="21">
        <v>158.24</v>
      </c>
      <c r="E1018" s="21">
        <v>20.490000000000002</v>
      </c>
      <c r="F1018" s="27">
        <f t="shared" si="45"/>
        <v>0.92972972972972967</v>
      </c>
      <c r="G1018" s="21" t="str">
        <f>IFERROR(INDEX(Users!$A$2:$A$310,MATCH(A1018,Users!$B$2:$B$310,0)),"")</f>
        <v>Service C</v>
      </c>
      <c r="H1018" s="21" t="str">
        <f>IFERROR(INDEX(Users!$D$2:$D$310,MATCH(A1018,Users!$B$2:$B$310,0)),"")</f>
        <v>Band 3</v>
      </c>
      <c r="I1018" s="19" t="b">
        <f t="shared" si="46"/>
        <v>0</v>
      </c>
      <c r="J1018" s="33" t="str">
        <f t="shared" si="47"/>
        <v/>
      </c>
    </row>
    <row r="1019" spans="1:10">
      <c r="A1019" s="19" t="s">
        <v>176</v>
      </c>
      <c r="B1019" s="20">
        <v>45870</v>
      </c>
      <c r="C1019" s="21">
        <v>148</v>
      </c>
      <c r="D1019" s="21">
        <v>146.24</v>
      </c>
      <c r="E1019" s="21">
        <v>50.739999999999995</v>
      </c>
      <c r="F1019" s="27">
        <f t="shared" si="45"/>
        <v>0.98810810810810812</v>
      </c>
      <c r="G1019" s="21" t="str">
        <f>IFERROR(INDEX(Users!$A$2:$A$310,MATCH(A1019,Users!$B$2:$B$310,0)),"")</f>
        <v>Service C</v>
      </c>
      <c r="H1019" s="21" t="str">
        <f>IFERROR(INDEX(Users!$D$2:$D$310,MATCH(A1019,Users!$B$2:$B$310,0)),"")</f>
        <v>Band 3</v>
      </c>
      <c r="I1019" s="19" t="b">
        <f t="shared" si="46"/>
        <v>0</v>
      </c>
      <c r="J1019" s="33" t="str">
        <f t="shared" si="47"/>
        <v/>
      </c>
    </row>
    <row r="1020" spans="1:10">
      <c r="A1020" s="19" t="s">
        <v>176</v>
      </c>
      <c r="B1020" s="20">
        <v>45901</v>
      </c>
      <c r="C1020" s="21">
        <v>162.80000000000001</v>
      </c>
      <c r="D1020" s="21">
        <v>164.45666666666671</v>
      </c>
      <c r="E1020" s="21">
        <v>41.540000000000006</v>
      </c>
      <c r="F1020" s="27">
        <f t="shared" si="45"/>
        <v>1.0101760851760853</v>
      </c>
      <c r="G1020" s="21" t="str">
        <f>IFERROR(INDEX(Users!$A$2:$A$310,MATCH(A1020,Users!$B$2:$B$310,0)),"")</f>
        <v>Service C</v>
      </c>
      <c r="H1020" s="21" t="str">
        <f>IFERROR(INDEX(Users!$D$2:$D$310,MATCH(A1020,Users!$B$2:$B$310,0)),"")</f>
        <v>Band 3</v>
      </c>
      <c r="I1020" s="19" t="b">
        <f t="shared" si="46"/>
        <v>0</v>
      </c>
      <c r="J1020" s="33" t="str">
        <f t="shared" si="47"/>
        <v/>
      </c>
    </row>
    <row r="1021" spans="1:10">
      <c r="A1021" s="19" t="s">
        <v>176</v>
      </c>
      <c r="B1021" s="20">
        <v>45931</v>
      </c>
      <c r="C1021" s="21">
        <v>170.20000000000002</v>
      </c>
      <c r="D1021" s="21">
        <v>130.24666666666667</v>
      </c>
      <c r="E1021" s="21">
        <v>53.080000000000005</v>
      </c>
      <c r="F1021" s="27">
        <f t="shared" si="45"/>
        <v>0.76525656090873473</v>
      </c>
      <c r="G1021" s="21" t="str">
        <f>IFERROR(INDEX(Users!$A$2:$A$310,MATCH(A1021,Users!$B$2:$B$310,0)),"")</f>
        <v>Service C</v>
      </c>
      <c r="H1021" s="21" t="str">
        <f>IFERROR(INDEX(Users!$D$2:$D$310,MATCH(A1021,Users!$B$2:$B$310,0)),"")</f>
        <v>Band 3</v>
      </c>
      <c r="I1021" s="19" t="b">
        <f t="shared" si="46"/>
        <v>0</v>
      </c>
      <c r="J1021" s="33" t="str">
        <f t="shared" si="47"/>
        <v/>
      </c>
    </row>
    <row r="1022" spans="1:10">
      <c r="A1022" s="19" t="s">
        <v>176</v>
      </c>
      <c r="B1022" s="20">
        <v>45962</v>
      </c>
      <c r="C1022" s="21">
        <v>148</v>
      </c>
      <c r="D1022" s="21">
        <v>148.90000000000003</v>
      </c>
      <c r="E1022" s="21">
        <v>45.15</v>
      </c>
      <c r="F1022" s="27">
        <f t="shared" si="45"/>
        <v>1.0060810810810814</v>
      </c>
      <c r="G1022" s="21" t="str">
        <f>IFERROR(INDEX(Users!$A$2:$A$310,MATCH(A1022,Users!$B$2:$B$310,0)),"")</f>
        <v>Service C</v>
      </c>
      <c r="H1022" s="21" t="str">
        <f>IFERROR(INDEX(Users!$D$2:$D$310,MATCH(A1022,Users!$B$2:$B$310,0)),"")</f>
        <v>Band 3</v>
      </c>
      <c r="I1022" s="19" t="b">
        <f t="shared" si="46"/>
        <v>0</v>
      </c>
      <c r="J1022" s="33" t="str">
        <f t="shared" si="47"/>
        <v/>
      </c>
    </row>
    <row r="1023" spans="1:10">
      <c r="A1023" s="19" t="s">
        <v>176</v>
      </c>
      <c r="B1023" s="20">
        <v>45992</v>
      </c>
      <c r="C1023" s="21">
        <v>155.4</v>
      </c>
      <c r="D1023" s="21">
        <v>136.31333333333333</v>
      </c>
      <c r="E1023" s="21">
        <v>30.729999999999997</v>
      </c>
      <c r="F1023" s="27">
        <f t="shared" si="45"/>
        <v>0.87717717717717714</v>
      </c>
      <c r="G1023" s="21" t="str">
        <f>IFERROR(INDEX(Users!$A$2:$A$310,MATCH(A1023,Users!$B$2:$B$310,0)),"")</f>
        <v>Service C</v>
      </c>
      <c r="H1023" s="21" t="str">
        <f>IFERROR(INDEX(Users!$D$2:$D$310,MATCH(A1023,Users!$B$2:$B$310,0)),"")</f>
        <v>Band 3</v>
      </c>
      <c r="I1023" s="19" t="b">
        <f t="shared" si="46"/>
        <v>0</v>
      </c>
      <c r="J1023" s="33" t="str">
        <f t="shared" si="47"/>
        <v/>
      </c>
    </row>
    <row r="1024" spans="1:10">
      <c r="A1024" s="19" t="s">
        <v>176</v>
      </c>
      <c r="B1024" s="20">
        <v>46023</v>
      </c>
      <c r="C1024" s="21">
        <v>155.4</v>
      </c>
      <c r="D1024" s="21">
        <v>150.22000000000003</v>
      </c>
      <c r="E1024" s="21">
        <v>52.72000000000002</v>
      </c>
      <c r="F1024" s="27">
        <f t="shared" si="45"/>
        <v>0.96666666666666679</v>
      </c>
      <c r="G1024" s="21" t="str">
        <f>IFERROR(INDEX(Users!$A$2:$A$310,MATCH(A1024,Users!$B$2:$B$310,0)),"")</f>
        <v>Service C</v>
      </c>
      <c r="H1024" s="21" t="str">
        <f>IFERROR(INDEX(Users!$D$2:$D$310,MATCH(A1024,Users!$B$2:$B$310,0)),"")</f>
        <v>Band 3</v>
      </c>
      <c r="I1024" s="19" t="b">
        <f t="shared" si="46"/>
        <v>0</v>
      </c>
      <c r="J1024" s="33" t="str">
        <f t="shared" si="47"/>
        <v/>
      </c>
    </row>
    <row r="1025" spans="1:10">
      <c r="A1025" s="19" t="s">
        <v>178</v>
      </c>
      <c r="B1025" s="20">
        <v>45658</v>
      </c>
      <c r="C1025" s="21">
        <v>125.80000000000001</v>
      </c>
      <c r="D1025" s="21">
        <v>106.75</v>
      </c>
      <c r="E1025" s="21">
        <v>61.25</v>
      </c>
      <c r="F1025" s="27">
        <f t="shared" si="45"/>
        <v>0.84856915739268668</v>
      </c>
      <c r="G1025" s="21" t="str">
        <f>IFERROR(INDEX(Users!$A$2:$A$310,MATCH(A1025,Users!$B$2:$B$310,0)),"")</f>
        <v>Service A</v>
      </c>
      <c r="H1025" s="21" t="str">
        <f>IFERROR(INDEX(Users!$D$2:$D$310,MATCH(A1025,Users!$B$2:$B$310,0)),"")</f>
        <v>Band 3</v>
      </c>
      <c r="I1025" s="19" t="b">
        <f t="shared" si="46"/>
        <v>1</v>
      </c>
      <c r="J1025" s="33" t="str">
        <f t="shared" si="47"/>
        <v/>
      </c>
    </row>
    <row r="1026" spans="1:10">
      <c r="A1026" s="19" t="s">
        <v>178</v>
      </c>
      <c r="B1026" s="20">
        <v>45689</v>
      </c>
      <c r="C1026" s="21">
        <v>118.4</v>
      </c>
      <c r="D1026" s="21"/>
      <c r="E1026" s="21"/>
      <c r="F1026" s="27" t="str">
        <f t="shared" ref="F1026:F1089" si="48">IFERROR(IF(OR(C1026="",D1026="",C1026=0),"",D1026/C1026),"")</f>
        <v/>
      </c>
      <c r="G1026" s="21" t="str">
        <f>IFERROR(INDEX(Users!$A$2:$A$310,MATCH(A1026,Users!$B$2:$B$310,0)),"")</f>
        <v>Service A</v>
      </c>
      <c r="H1026" s="21" t="str">
        <f>IFERROR(INDEX(Users!$D$2:$D$310,MATCH(A1026,Users!$B$2:$B$310,0)),"")</f>
        <v>Band 3</v>
      </c>
      <c r="I1026" s="19" t="b">
        <f t="shared" ref="I1026:I1089" si="49">AND(G1026="Service A",H1026="Band 3")</f>
        <v>1</v>
      </c>
      <c r="J1026" s="33" t="str">
        <f t="shared" ref="J1026:J1089" si="50">IF(AND(B1026&gt;=DATE(2025,1,1),B1026&lt;DATE(2026,1,1),G1026="Service B",OR(H1026="Band 3",H1026="Band 5"),ISNUMBER(F1026)),F1026,"")</f>
        <v/>
      </c>
    </row>
    <row r="1027" spans="1:10">
      <c r="A1027" s="19" t="s">
        <v>178</v>
      </c>
      <c r="B1027" s="20">
        <v>45717</v>
      </c>
      <c r="C1027" s="21">
        <v>118.4</v>
      </c>
      <c r="D1027" s="21"/>
      <c r="E1027" s="21"/>
      <c r="F1027" s="27" t="str">
        <f t="shared" si="48"/>
        <v/>
      </c>
      <c r="G1027" s="21" t="str">
        <f>IFERROR(INDEX(Users!$A$2:$A$310,MATCH(A1027,Users!$B$2:$B$310,0)),"")</f>
        <v>Service A</v>
      </c>
      <c r="H1027" s="21" t="str">
        <f>IFERROR(INDEX(Users!$D$2:$D$310,MATCH(A1027,Users!$B$2:$B$310,0)),"")</f>
        <v>Band 3</v>
      </c>
      <c r="I1027" s="19" t="b">
        <f t="shared" si="49"/>
        <v>1</v>
      </c>
      <c r="J1027" s="33" t="str">
        <f t="shared" si="50"/>
        <v/>
      </c>
    </row>
    <row r="1028" spans="1:10">
      <c r="A1028" s="19" t="s">
        <v>179</v>
      </c>
      <c r="B1028" s="20">
        <v>45809</v>
      </c>
      <c r="C1028" s="21">
        <v>157.25</v>
      </c>
      <c r="D1028" s="21">
        <v>155.58333333333334</v>
      </c>
      <c r="E1028" s="21">
        <v>0.75</v>
      </c>
      <c r="F1028" s="27">
        <f t="shared" si="48"/>
        <v>0.9894011658717542</v>
      </c>
      <c r="G1028" s="21" t="str">
        <f>IFERROR(INDEX(Users!$A$2:$A$310,MATCH(A1028,Users!$B$2:$B$310,0)),"")</f>
        <v>Service C</v>
      </c>
      <c r="H1028" s="21" t="str">
        <f>IFERROR(INDEX(Users!$D$2:$D$310,MATCH(A1028,Users!$B$2:$B$310,0)),"")</f>
        <v>Band 3</v>
      </c>
      <c r="I1028" s="19" t="b">
        <f t="shared" si="49"/>
        <v>0</v>
      </c>
      <c r="J1028" s="33" t="str">
        <f t="shared" si="50"/>
        <v/>
      </c>
    </row>
    <row r="1029" spans="1:10">
      <c r="A1029" s="19" t="s">
        <v>179</v>
      </c>
      <c r="B1029" s="20">
        <v>45839</v>
      </c>
      <c r="C1029" s="21">
        <v>166.5</v>
      </c>
      <c r="D1029" s="21">
        <v>150.16666666666666</v>
      </c>
      <c r="E1029" s="21">
        <v>5</v>
      </c>
      <c r="F1029" s="27">
        <f t="shared" si="48"/>
        <v>0.90190190190190189</v>
      </c>
      <c r="G1029" s="21" t="str">
        <f>IFERROR(INDEX(Users!$A$2:$A$310,MATCH(A1029,Users!$B$2:$B$310,0)),"")</f>
        <v>Service C</v>
      </c>
      <c r="H1029" s="21" t="str">
        <f>IFERROR(INDEX(Users!$D$2:$D$310,MATCH(A1029,Users!$B$2:$B$310,0)),"")</f>
        <v>Band 3</v>
      </c>
      <c r="I1029" s="19" t="b">
        <f t="shared" si="49"/>
        <v>0</v>
      </c>
      <c r="J1029" s="33" t="str">
        <f t="shared" si="50"/>
        <v/>
      </c>
    </row>
    <row r="1030" spans="1:10">
      <c r="A1030" s="19" t="s">
        <v>179</v>
      </c>
      <c r="B1030" s="20">
        <v>45870</v>
      </c>
      <c r="C1030" s="21">
        <v>148</v>
      </c>
      <c r="D1030" s="21">
        <v>65.430000000000007</v>
      </c>
      <c r="E1030" s="21">
        <v>6.68</v>
      </c>
      <c r="F1030" s="27">
        <f t="shared" si="48"/>
        <v>0.44209459459459466</v>
      </c>
      <c r="G1030" s="21" t="str">
        <f>IFERROR(INDEX(Users!$A$2:$A$310,MATCH(A1030,Users!$B$2:$B$310,0)),"")</f>
        <v>Service C</v>
      </c>
      <c r="H1030" s="21" t="str">
        <f>IFERROR(INDEX(Users!$D$2:$D$310,MATCH(A1030,Users!$B$2:$B$310,0)),"")</f>
        <v>Band 3</v>
      </c>
      <c r="I1030" s="19" t="b">
        <f t="shared" si="49"/>
        <v>0</v>
      </c>
      <c r="J1030" s="33" t="str">
        <f t="shared" si="50"/>
        <v/>
      </c>
    </row>
    <row r="1031" spans="1:10">
      <c r="A1031" s="19" t="s">
        <v>179</v>
      </c>
      <c r="B1031" s="20">
        <v>45901</v>
      </c>
      <c r="C1031" s="21">
        <v>166.5</v>
      </c>
      <c r="D1031" s="21">
        <v>168.01333333333338</v>
      </c>
      <c r="E1031" s="21">
        <v>21.180000000000035</v>
      </c>
      <c r="F1031" s="27">
        <f t="shared" si="48"/>
        <v>1.0090890890890893</v>
      </c>
      <c r="G1031" s="21" t="str">
        <f>IFERROR(INDEX(Users!$A$2:$A$310,MATCH(A1031,Users!$B$2:$B$310,0)),"")</f>
        <v>Service C</v>
      </c>
      <c r="H1031" s="21" t="str">
        <f>IFERROR(INDEX(Users!$D$2:$D$310,MATCH(A1031,Users!$B$2:$B$310,0)),"")</f>
        <v>Band 3</v>
      </c>
      <c r="I1031" s="19" t="b">
        <f t="shared" si="49"/>
        <v>0</v>
      </c>
      <c r="J1031" s="33" t="str">
        <f t="shared" si="50"/>
        <v/>
      </c>
    </row>
    <row r="1032" spans="1:10">
      <c r="A1032" s="19" t="s">
        <v>179</v>
      </c>
      <c r="B1032" s="20">
        <v>45931</v>
      </c>
      <c r="C1032" s="21">
        <v>166.5</v>
      </c>
      <c r="D1032" s="21">
        <v>122.97333333333334</v>
      </c>
      <c r="E1032" s="21">
        <v>20.890000000000015</v>
      </c>
      <c r="F1032" s="27">
        <f t="shared" si="48"/>
        <v>0.73857857857857867</v>
      </c>
      <c r="G1032" s="21" t="str">
        <f>IFERROR(INDEX(Users!$A$2:$A$310,MATCH(A1032,Users!$B$2:$B$310,0)),"")</f>
        <v>Service C</v>
      </c>
      <c r="H1032" s="21" t="str">
        <f>IFERROR(INDEX(Users!$D$2:$D$310,MATCH(A1032,Users!$B$2:$B$310,0)),"")</f>
        <v>Band 3</v>
      </c>
      <c r="I1032" s="19" t="b">
        <f t="shared" si="49"/>
        <v>0</v>
      </c>
      <c r="J1032" s="33" t="str">
        <f t="shared" si="50"/>
        <v/>
      </c>
    </row>
    <row r="1033" spans="1:10">
      <c r="A1033" s="19" t="s">
        <v>179</v>
      </c>
      <c r="B1033" s="20">
        <v>45962</v>
      </c>
      <c r="C1033" s="21">
        <v>148</v>
      </c>
      <c r="D1033" s="21">
        <v>150.66666666666666</v>
      </c>
      <c r="E1033" s="21">
        <v>12.75</v>
      </c>
      <c r="F1033" s="27">
        <f t="shared" si="48"/>
        <v>1.0180180180180181</v>
      </c>
      <c r="G1033" s="21" t="str">
        <f>IFERROR(INDEX(Users!$A$2:$A$310,MATCH(A1033,Users!$B$2:$B$310,0)),"")</f>
        <v>Service C</v>
      </c>
      <c r="H1033" s="21" t="str">
        <f>IFERROR(INDEX(Users!$D$2:$D$310,MATCH(A1033,Users!$B$2:$B$310,0)),"")</f>
        <v>Band 3</v>
      </c>
      <c r="I1033" s="19" t="b">
        <f t="shared" si="49"/>
        <v>0</v>
      </c>
      <c r="J1033" s="33" t="str">
        <f t="shared" si="50"/>
        <v/>
      </c>
    </row>
    <row r="1034" spans="1:10">
      <c r="A1034" s="19" t="s">
        <v>179</v>
      </c>
      <c r="B1034" s="20">
        <v>45992</v>
      </c>
      <c r="C1034" s="21">
        <v>166.5</v>
      </c>
      <c r="D1034" s="21">
        <v>160.08000000000001</v>
      </c>
      <c r="E1034" s="21">
        <v>14.58</v>
      </c>
      <c r="F1034" s="27">
        <f t="shared" si="48"/>
        <v>0.9614414414414415</v>
      </c>
      <c r="G1034" s="21" t="str">
        <f>IFERROR(INDEX(Users!$A$2:$A$310,MATCH(A1034,Users!$B$2:$B$310,0)),"")</f>
        <v>Service C</v>
      </c>
      <c r="H1034" s="21" t="str">
        <f>IFERROR(INDEX(Users!$D$2:$D$310,MATCH(A1034,Users!$B$2:$B$310,0)),"")</f>
        <v>Band 3</v>
      </c>
      <c r="I1034" s="19" t="b">
        <f t="shared" si="49"/>
        <v>0</v>
      </c>
      <c r="J1034" s="33" t="str">
        <f t="shared" si="50"/>
        <v/>
      </c>
    </row>
    <row r="1035" spans="1:10">
      <c r="A1035" s="19" t="s">
        <v>179</v>
      </c>
      <c r="B1035" s="20">
        <v>46023</v>
      </c>
      <c r="C1035" s="21">
        <v>157.25</v>
      </c>
      <c r="D1035" s="21">
        <v>153.15</v>
      </c>
      <c r="E1035" s="21">
        <v>24.650000000000013</v>
      </c>
      <c r="F1035" s="27">
        <f t="shared" si="48"/>
        <v>0.97392686804451511</v>
      </c>
      <c r="G1035" s="21" t="str">
        <f>IFERROR(INDEX(Users!$A$2:$A$310,MATCH(A1035,Users!$B$2:$B$310,0)),"")</f>
        <v>Service C</v>
      </c>
      <c r="H1035" s="21" t="str">
        <f>IFERROR(INDEX(Users!$D$2:$D$310,MATCH(A1035,Users!$B$2:$B$310,0)),"")</f>
        <v>Band 3</v>
      </c>
      <c r="I1035" s="19" t="b">
        <f t="shared" si="49"/>
        <v>0</v>
      </c>
      <c r="J1035" s="33" t="str">
        <f t="shared" si="50"/>
        <v/>
      </c>
    </row>
    <row r="1036" spans="1:10">
      <c r="A1036" s="19" t="s">
        <v>181</v>
      </c>
      <c r="B1036" s="20">
        <v>45658</v>
      </c>
      <c r="C1036" s="21">
        <v>162.80000000000001</v>
      </c>
      <c r="D1036" s="21">
        <v>162.23333333333335</v>
      </c>
      <c r="E1036" s="21">
        <v>80.950000000000017</v>
      </c>
      <c r="F1036" s="27">
        <f t="shared" si="48"/>
        <v>0.9965192465192465</v>
      </c>
      <c r="G1036" s="21" t="str">
        <f>IFERROR(INDEX(Users!$A$2:$A$310,MATCH(A1036,Users!$B$2:$B$310,0)),"")</f>
        <v>Service A</v>
      </c>
      <c r="H1036" s="21" t="str">
        <f>IFERROR(INDEX(Users!$D$2:$D$310,MATCH(A1036,Users!$B$2:$B$310,0)),"")</f>
        <v>Band 5</v>
      </c>
      <c r="I1036" s="19" t="b">
        <f t="shared" si="49"/>
        <v>0</v>
      </c>
      <c r="J1036" s="33" t="str">
        <f t="shared" si="50"/>
        <v/>
      </c>
    </row>
    <row r="1037" spans="1:10">
      <c r="A1037" s="19" t="s">
        <v>181</v>
      </c>
      <c r="B1037" s="20">
        <v>45689</v>
      </c>
      <c r="C1037" s="21">
        <v>148</v>
      </c>
      <c r="D1037" s="21">
        <v>151.04999999999993</v>
      </c>
      <c r="E1037" s="21">
        <v>67.999999999999986</v>
      </c>
      <c r="F1037" s="27">
        <f t="shared" si="48"/>
        <v>1.0206081081081075</v>
      </c>
      <c r="G1037" s="21" t="str">
        <f>IFERROR(INDEX(Users!$A$2:$A$310,MATCH(A1037,Users!$B$2:$B$310,0)),"")</f>
        <v>Service A</v>
      </c>
      <c r="H1037" s="21" t="str">
        <f>IFERROR(INDEX(Users!$D$2:$D$310,MATCH(A1037,Users!$B$2:$B$310,0)),"")</f>
        <v>Band 5</v>
      </c>
      <c r="I1037" s="19" t="b">
        <f t="shared" si="49"/>
        <v>0</v>
      </c>
      <c r="J1037" s="33" t="str">
        <f t="shared" si="50"/>
        <v/>
      </c>
    </row>
    <row r="1038" spans="1:10">
      <c r="A1038" s="19" t="s">
        <v>181</v>
      </c>
      <c r="B1038" s="20">
        <v>45717</v>
      </c>
      <c r="C1038" s="21">
        <v>155.4</v>
      </c>
      <c r="D1038" s="21">
        <v>157.03333333333336</v>
      </c>
      <c r="E1038" s="21">
        <v>89.850000000000023</v>
      </c>
      <c r="F1038" s="27">
        <f t="shared" si="48"/>
        <v>1.0105105105105106</v>
      </c>
      <c r="G1038" s="21" t="str">
        <f>IFERROR(INDEX(Users!$A$2:$A$310,MATCH(A1038,Users!$B$2:$B$310,0)),"")</f>
        <v>Service A</v>
      </c>
      <c r="H1038" s="21" t="str">
        <f>IFERROR(INDEX(Users!$D$2:$D$310,MATCH(A1038,Users!$B$2:$B$310,0)),"")</f>
        <v>Band 5</v>
      </c>
      <c r="I1038" s="19" t="b">
        <f t="shared" si="49"/>
        <v>0</v>
      </c>
      <c r="J1038" s="33" t="str">
        <f t="shared" si="50"/>
        <v/>
      </c>
    </row>
    <row r="1039" spans="1:10">
      <c r="A1039" s="19" t="s">
        <v>181</v>
      </c>
      <c r="B1039" s="20">
        <v>45748</v>
      </c>
      <c r="C1039" s="21">
        <v>148</v>
      </c>
      <c r="D1039" s="21">
        <v>92.163333333333327</v>
      </c>
      <c r="E1039" s="21">
        <v>45.18</v>
      </c>
      <c r="F1039" s="27">
        <f t="shared" si="48"/>
        <v>0.62272522522522522</v>
      </c>
      <c r="G1039" s="21" t="str">
        <f>IFERROR(INDEX(Users!$A$2:$A$310,MATCH(A1039,Users!$B$2:$B$310,0)),"")</f>
        <v>Service A</v>
      </c>
      <c r="H1039" s="21" t="str">
        <f>IFERROR(INDEX(Users!$D$2:$D$310,MATCH(A1039,Users!$B$2:$B$310,0)),"")</f>
        <v>Band 5</v>
      </c>
      <c r="I1039" s="19" t="b">
        <f t="shared" si="49"/>
        <v>0</v>
      </c>
      <c r="J1039" s="33" t="str">
        <f t="shared" si="50"/>
        <v/>
      </c>
    </row>
    <row r="1040" spans="1:10">
      <c r="A1040" s="19" t="s">
        <v>181</v>
      </c>
      <c r="B1040" s="20">
        <v>45778</v>
      </c>
      <c r="C1040" s="21">
        <v>148</v>
      </c>
      <c r="D1040" s="21">
        <v>127.58333333333334</v>
      </c>
      <c r="E1040" s="21">
        <v>72.000000000000014</v>
      </c>
      <c r="F1040" s="27">
        <f t="shared" si="48"/>
        <v>0.8620495495495496</v>
      </c>
      <c r="G1040" s="21" t="str">
        <f>IFERROR(INDEX(Users!$A$2:$A$310,MATCH(A1040,Users!$B$2:$B$310,0)),"")</f>
        <v>Service A</v>
      </c>
      <c r="H1040" s="21" t="str">
        <f>IFERROR(INDEX(Users!$D$2:$D$310,MATCH(A1040,Users!$B$2:$B$310,0)),"")</f>
        <v>Band 5</v>
      </c>
      <c r="I1040" s="19" t="b">
        <f t="shared" si="49"/>
        <v>0</v>
      </c>
      <c r="J1040" s="33" t="str">
        <f t="shared" si="50"/>
        <v/>
      </c>
    </row>
    <row r="1041" spans="1:10">
      <c r="A1041" s="19" t="s">
        <v>181</v>
      </c>
      <c r="B1041" s="20">
        <v>45809</v>
      </c>
      <c r="C1041" s="21">
        <v>155.4</v>
      </c>
      <c r="D1041" s="21">
        <v>156.80944444444441</v>
      </c>
      <c r="E1041" s="21">
        <v>82.339999999999989</v>
      </c>
      <c r="F1041" s="27">
        <f t="shared" si="48"/>
        <v>1.0090697840697838</v>
      </c>
      <c r="G1041" s="21" t="str">
        <f>IFERROR(INDEX(Users!$A$2:$A$310,MATCH(A1041,Users!$B$2:$B$310,0)),"")</f>
        <v>Service A</v>
      </c>
      <c r="H1041" s="21" t="str">
        <f>IFERROR(INDEX(Users!$D$2:$D$310,MATCH(A1041,Users!$B$2:$B$310,0)),"")</f>
        <v>Band 5</v>
      </c>
      <c r="I1041" s="19" t="b">
        <f t="shared" si="49"/>
        <v>0</v>
      </c>
      <c r="J1041" s="33" t="str">
        <f t="shared" si="50"/>
        <v/>
      </c>
    </row>
    <row r="1042" spans="1:10">
      <c r="A1042" s="19" t="s">
        <v>181</v>
      </c>
      <c r="B1042" s="20">
        <v>45839</v>
      </c>
      <c r="C1042" s="21">
        <v>170.20000000000002</v>
      </c>
      <c r="D1042" s="21">
        <v>131.4266666666667</v>
      </c>
      <c r="E1042" s="21">
        <v>62.960000000000058</v>
      </c>
      <c r="F1042" s="27">
        <f t="shared" si="48"/>
        <v>0.77218958088523326</v>
      </c>
      <c r="G1042" s="21" t="str">
        <f>IFERROR(INDEX(Users!$A$2:$A$310,MATCH(A1042,Users!$B$2:$B$310,0)),"")</f>
        <v>Service A</v>
      </c>
      <c r="H1042" s="21" t="str">
        <f>IFERROR(INDEX(Users!$D$2:$D$310,MATCH(A1042,Users!$B$2:$B$310,0)),"")</f>
        <v>Band 5</v>
      </c>
      <c r="I1042" s="19" t="b">
        <f t="shared" si="49"/>
        <v>0</v>
      </c>
      <c r="J1042" s="33" t="str">
        <f t="shared" si="50"/>
        <v/>
      </c>
    </row>
    <row r="1043" spans="1:10">
      <c r="A1043" s="19" t="s">
        <v>181</v>
      </c>
      <c r="B1043" s="20">
        <v>45870</v>
      </c>
      <c r="C1043" s="21">
        <v>148</v>
      </c>
      <c r="D1043" s="21">
        <v>79.539999999999978</v>
      </c>
      <c r="E1043" s="21">
        <v>36.989999999999988</v>
      </c>
      <c r="F1043" s="27">
        <f t="shared" si="48"/>
        <v>0.53743243243243233</v>
      </c>
      <c r="G1043" s="21" t="str">
        <f>IFERROR(INDEX(Users!$A$2:$A$310,MATCH(A1043,Users!$B$2:$B$310,0)),"")</f>
        <v>Service A</v>
      </c>
      <c r="H1043" s="21" t="str">
        <f>IFERROR(INDEX(Users!$D$2:$D$310,MATCH(A1043,Users!$B$2:$B$310,0)),"")</f>
        <v>Band 5</v>
      </c>
      <c r="I1043" s="19" t="b">
        <f t="shared" si="49"/>
        <v>0</v>
      </c>
      <c r="J1043" s="33" t="str">
        <f t="shared" si="50"/>
        <v/>
      </c>
    </row>
    <row r="1044" spans="1:10">
      <c r="A1044" s="19" t="s">
        <v>181</v>
      </c>
      <c r="B1044" s="20">
        <v>45901</v>
      </c>
      <c r="C1044" s="21">
        <v>162.80000000000001</v>
      </c>
      <c r="D1044" s="21">
        <v>163.98</v>
      </c>
      <c r="E1044" s="21">
        <v>102.77999999999999</v>
      </c>
      <c r="F1044" s="27">
        <f t="shared" si="48"/>
        <v>1.0072481572481571</v>
      </c>
      <c r="G1044" s="21" t="str">
        <f>IFERROR(INDEX(Users!$A$2:$A$310,MATCH(A1044,Users!$B$2:$B$310,0)),"")</f>
        <v>Service A</v>
      </c>
      <c r="H1044" s="21" t="str">
        <f>IFERROR(INDEX(Users!$D$2:$D$310,MATCH(A1044,Users!$B$2:$B$310,0)),"")</f>
        <v>Band 5</v>
      </c>
      <c r="I1044" s="19" t="b">
        <f t="shared" si="49"/>
        <v>0</v>
      </c>
      <c r="J1044" s="33" t="str">
        <f t="shared" si="50"/>
        <v/>
      </c>
    </row>
    <row r="1045" spans="1:10">
      <c r="A1045" s="19" t="s">
        <v>181</v>
      </c>
      <c r="B1045" s="20">
        <v>45931</v>
      </c>
      <c r="C1045" s="21">
        <v>170.20000000000002</v>
      </c>
      <c r="D1045" s="21">
        <v>106.58333333333331</v>
      </c>
      <c r="E1045" s="21">
        <v>41.9</v>
      </c>
      <c r="F1045" s="27">
        <f t="shared" si="48"/>
        <v>0.62622405013709348</v>
      </c>
      <c r="G1045" s="21" t="str">
        <f>IFERROR(INDEX(Users!$A$2:$A$310,MATCH(A1045,Users!$B$2:$B$310,0)),"")</f>
        <v>Service A</v>
      </c>
      <c r="H1045" s="21" t="str">
        <f>IFERROR(INDEX(Users!$D$2:$D$310,MATCH(A1045,Users!$B$2:$B$310,0)),"")</f>
        <v>Band 5</v>
      </c>
      <c r="I1045" s="19" t="b">
        <f t="shared" si="49"/>
        <v>0</v>
      </c>
      <c r="J1045" s="33" t="str">
        <f t="shared" si="50"/>
        <v/>
      </c>
    </row>
    <row r="1046" spans="1:10">
      <c r="A1046" s="19" t="s">
        <v>181</v>
      </c>
      <c r="B1046" s="20">
        <v>45962</v>
      </c>
      <c r="C1046" s="21">
        <v>148</v>
      </c>
      <c r="D1046" s="21">
        <v>137.98333333333335</v>
      </c>
      <c r="E1046" s="21">
        <v>34.549999999999997</v>
      </c>
      <c r="F1046" s="27">
        <f t="shared" si="48"/>
        <v>0.93231981981981993</v>
      </c>
      <c r="G1046" s="21" t="str">
        <f>IFERROR(INDEX(Users!$A$2:$A$310,MATCH(A1046,Users!$B$2:$B$310,0)),"")</f>
        <v>Service A</v>
      </c>
      <c r="H1046" s="21" t="str">
        <f>IFERROR(INDEX(Users!$D$2:$D$310,MATCH(A1046,Users!$B$2:$B$310,0)),"")</f>
        <v>Band 5</v>
      </c>
      <c r="I1046" s="19" t="b">
        <f t="shared" si="49"/>
        <v>0</v>
      </c>
      <c r="J1046" s="33" t="str">
        <f t="shared" si="50"/>
        <v/>
      </c>
    </row>
    <row r="1047" spans="1:10">
      <c r="A1047" s="19" t="s">
        <v>181</v>
      </c>
      <c r="B1047" s="20">
        <v>45992</v>
      </c>
      <c r="C1047" s="21">
        <v>155.4</v>
      </c>
      <c r="D1047" s="21">
        <v>130.59666666666669</v>
      </c>
      <c r="E1047" s="21">
        <v>54.530000000000008</v>
      </c>
      <c r="F1047" s="27">
        <f t="shared" si="48"/>
        <v>0.84039039039039054</v>
      </c>
      <c r="G1047" s="21" t="str">
        <f>IFERROR(INDEX(Users!$A$2:$A$310,MATCH(A1047,Users!$B$2:$B$310,0)),"")</f>
        <v>Service A</v>
      </c>
      <c r="H1047" s="21" t="str">
        <f>IFERROR(INDEX(Users!$D$2:$D$310,MATCH(A1047,Users!$B$2:$B$310,0)),"")</f>
        <v>Band 5</v>
      </c>
      <c r="I1047" s="19" t="b">
        <f t="shared" si="49"/>
        <v>0</v>
      </c>
      <c r="J1047" s="33" t="str">
        <f t="shared" si="50"/>
        <v/>
      </c>
    </row>
    <row r="1048" spans="1:10">
      <c r="A1048" s="19" t="s">
        <v>181</v>
      </c>
      <c r="B1048" s="20">
        <v>46023</v>
      </c>
      <c r="C1048" s="21">
        <v>155.4</v>
      </c>
      <c r="D1048" s="21">
        <v>150.92333333333335</v>
      </c>
      <c r="E1048" s="21">
        <v>59.34</v>
      </c>
      <c r="F1048" s="27">
        <f t="shared" si="48"/>
        <v>0.97119262119262129</v>
      </c>
      <c r="G1048" s="21" t="str">
        <f>IFERROR(INDEX(Users!$A$2:$A$310,MATCH(A1048,Users!$B$2:$B$310,0)),"")</f>
        <v>Service A</v>
      </c>
      <c r="H1048" s="21" t="str">
        <f>IFERROR(INDEX(Users!$D$2:$D$310,MATCH(A1048,Users!$B$2:$B$310,0)),"")</f>
        <v>Band 5</v>
      </c>
      <c r="I1048" s="19" t="b">
        <f t="shared" si="49"/>
        <v>0</v>
      </c>
      <c r="J1048" s="33" t="str">
        <f t="shared" si="50"/>
        <v/>
      </c>
    </row>
    <row r="1049" spans="1:10">
      <c r="A1049" s="19" t="s">
        <v>182</v>
      </c>
      <c r="B1049" s="20">
        <v>45658</v>
      </c>
      <c r="C1049" s="21">
        <v>166.5</v>
      </c>
      <c r="D1049" s="21">
        <v>125</v>
      </c>
      <c r="E1049" s="21">
        <v>76.5</v>
      </c>
      <c r="F1049" s="27">
        <f t="shared" si="48"/>
        <v>0.75075075075075071</v>
      </c>
      <c r="G1049" s="21" t="str">
        <f>IFERROR(INDEX(Users!$A$2:$A$310,MATCH(A1049,Users!$B$2:$B$310,0)),"")</f>
        <v>Service A</v>
      </c>
      <c r="H1049" s="21" t="str">
        <f>IFERROR(INDEX(Users!$D$2:$D$310,MATCH(A1049,Users!$B$2:$B$310,0)),"")</f>
        <v>Band 3</v>
      </c>
      <c r="I1049" s="19" t="b">
        <f t="shared" si="49"/>
        <v>1</v>
      </c>
      <c r="J1049" s="33" t="str">
        <f t="shared" si="50"/>
        <v/>
      </c>
    </row>
    <row r="1050" spans="1:10">
      <c r="A1050" s="19" t="s">
        <v>182</v>
      </c>
      <c r="B1050" s="20">
        <v>45689</v>
      </c>
      <c r="C1050" s="21">
        <v>148</v>
      </c>
      <c r="D1050" s="21">
        <v>63.5</v>
      </c>
      <c r="E1050" s="21">
        <v>41</v>
      </c>
      <c r="F1050" s="27">
        <f t="shared" si="48"/>
        <v>0.42905405405405406</v>
      </c>
      <c r="G1050" s="21" t="str">
        <f>IFERROR(INDEX(Users!$A$2:$A$310,MATCH(A1050,Users!$B$2:$B$310,0)),"")</f>
        <v>Service A</v>
      </c>
      <c r="H1050" s="21" t="str">
        <f>IFERROR(INDEX(Users!$D$2:$D$310,MATCH(A1050,Users!$B$2:$B$310,0)),"")</f>
        <v>Band 3</v>
      </c>
      <c r="I1050" s="19" t="b">
        <f t="shared" si="49"/>
        <v>1</v>
      </c>
      <c r="J1050" s="33" t="str">
        <f t="shared" si="50"/>
        <v/>
      </c>
    </row>
    <row r="1051" spans="1:10">
      <c r="A1051" s="19" t="s">
        <v>182</v>
      </c>
      <c r="B1051" s="20">
        <v>45717</v>
      </c>
      <c r="C1051" s="21">
        <v>157.25</v>
      </c>
      <c r="D1051" s="21">
        <v>90</v>
      </c>
      <c r="E1051" s="21">
        <v>40.5</v>
      </c>
      <c r="F1051" s="27">
        <f t="shared" si="48"/>
        <v>0.57233704292527821</v>
      </c>
      <c r="G1051" s="21" t="str">
        <f>IFERROR(INDEX(Users!$A$2:$A$310,MATCH(A1051,Users!$B$2:$B$310,0)),"")</f>
        <v>Service A</v>
      </c>
      <c r="H1051" s="21" t="str">
        <f>IFERROR(INDEX(Users!$D$2:$D$310,MATCH(A1051,Users!$B$2:$B$310,0)),"")</f>
        <v>Band 3</v>
      </c>
      <c r="I1051" s="19" t="b">
        <f t="shared" si="49"/>
        <v>1</v>
      </c>
      <c r="J1051" s="33" t="str">
        <f t="shared" si="50"/>
        <v/>
      </c>
    </row>
    <row r="1052" spans="1:10">
      <c r="A1052" s="19" t="s">
        <v>182</v>
      </c>
      <c r="B1052" s="20">
        <v>45748</v>
      </c>
      <c r="C1052" s="21">
        <v>138.75</v>
      </c>
      <c r="D1052" s="21">
        <v>93.990000000000009</v>
      </c>
      <c r="E1052" s="21">
        <v>43.99</v>
      </c>
      <c r="F1052" s="27">
        <f t="shared" si="48"/>
        <v>0.6774054054054055</v>
      </c>
      <c r="G1052" s="21" t="str">
        <f>IFERROR(INDEX(Users!$A$2:$A$310,MATCH(A1052,Users!$B$2:$B$310,0)),"")</f>
        <v>Service A</v>
      </c>
      <c r="H1052" s="21" t="str">
        <f>IFERROR(INDEX(Users!$D$2:$D$310,MATCH(A1052,Users!$B$2:$B$310,0)),"")</f>
        <v>Band 3</v>
      </c>
      <c r="I1052" s="19" t="b">
        <f t="shared" si="49"/>
        <v>1</v>
      </c>
      <c r="J1052" s="33" t="str">
        <f t="shared" si="50"/>
        <v/>
      </c>
    </row>
    <row r="1053" spans="1:10">
      <c r="A1053" s="19" t="s">
        <v>182</v>
      </c>
      <c r="B1053" s="20">
        <v>45778</v>
      </c>
      <c r="C1053" s="21">
        <v>83.25</v>
      </c>
      <c r="D1053" s="21">
        <v>69.5</v>
      </c>
      <c r="E1053" s="21">
        <v>41.5</v>
      </c>
      <c r="F1053" s="27">
        <f t="shared" si="48"/>
        <v>0.83483483483483478</v>
      </c>
      <c r="G1053" s="21" t="str">
        <f>IFERROR(INDEX(Users!$A$2:$A$310,MATCH(A1053,Users!$B$2:$B$310,0)),"")</f>
        <v>Service A</v>
      </c>
      <c r="H1053" s="21" t="str">
        <f>IFERROR(INDEX(Users!$D$2:$D$310,MATCH(A1053,Users!$B$2:$B$310,0)),"")</f>
        <v>Band 3</v>
      </c>
      <c r="I1053" s="19" t="b">
        <f t="shared" si="49"/>
        <v>1</v>
      </c>
      <c r="J1053" s="33" t="str">
        <f t="shared" si="50"/>
        <v/>
      </c>
    </row>
    <row r="1054" spans="1:10">
      <c r="A1054" s="19" t="s">
        <v>183</v>
      </c>
      <c r="B1054" s="20">
        <v>45658</v>
      </c>
      <c r="C1054" s="21">
        <v>162.79999999999998</v>
      </c>
      <c r="D1054" s="21">
        <v>141.86750000000001</v>
      </c>
      <c r="E1054" s="21">
        <v>85.46</v>
      </c>
      <c r="F1054" s="27">
        <f t="shared" si="48"/>
        <v>0.87142199017199029</v>
      </c>
      <c r="G1054" s="21" t="str">
        <f>IFERROR(INDEX(Users!$A$2:$A$310,MATCH(A1054,Users!$B$2:$B$310,0)),"")</f>
        <v>Service B</v>
      </c>
      <c r="H1054" s="21" t="str">
        <f>IFERROR(INDEX(Users!$D$2:$D$310,MATCH(A1054,Users!$B$2:$B$310,0)),"")</f>
        <v>Band 5</v>
      </c>
      <c r="I1054" s="19" t="b">
        <f t="shared" si="49"/>
        <v>0</v>
      </c>
      <c r="J1054" s="33">
        <f t="shared" si="50"/>
        <v>0.87142199017199029</v>
      </c>
    </row>
    <row r="1055" spans="1:10">
      <c r="A1055" s="19" t="s">
        <v>183</v>
      </c>
      <c r="B1055" s="20">
        <v>45689</v>
      </c>
      <c r="C1055" s="21">
        <v>148</v>
      </c>
      <c r="D1055" s="21">
        <v>107.05194444444444</v>
      </c>
      <c r="E1055" s="21">
        <v>69.42</v>
      </c>
      <c r="F1055" s="27">
        <f t="shared" si="48"/>
        <v>0.72332394894894891</v>
      </c>
      <c r="G1055" s="21" t="str">
        <f>IFERROR(INDEX(Users!$A$2:$A$310,MATCH(A1055,Users!$B$2:$B$310,0)),"")</f>
        <v>Service B</v>
      </c>
      <c r="H1055" s="21" t="str">
        <f>IFERROR(INDEX(Users!$D$2:$D$310,MATCH(A1055,Users!$B$2:$B$310,0)),"")</f>
        <v>Band 5</v>
      </c>
      <c r="I1055" s="19" t="b">
        <f t="shared" si="49"/>
        <v>0</v>
      </c>
      <c r="J1055" s="33">
        <f t="shared" si="50"/>
        <v>0.72332394894894891</v>
      </c>
    </row>
    <row r="1056" spans="1:10">
      <c r="A1056" s="19" t="s">
        <v>183</v>
      </c>
      <c r="B1056" s="20">
        <v>45717</v>
      </c>
      <c r="C1056" s="21">
        <v>155.4</v>
      </c>
      <c r="D1056" s="21">
        <v>136.24944444444444</v>
      </c>
      <c r="E1056" s="21">
        <v>62.459999999999994</v>
      </c>
      <c r="F1056" s="27">
        <f t="shared" si="48"/>
        <v>0.87676605176605171</v>
      </c>
      <c r="G1056" s="21" t="str">
        <f>IFERROR(INDEX(Users!$A$2:$A$310,MATCH(A1056,Users!$B$2:$B$310,0)),"")</f>
        <v>Service B</v>
      </c>
      <c r="H1056" s="21" t="str">
        <f>IFERROR(INDEX(Users!$D$2:$D$310,MATCH(A1056,Users!$B$2:$B$310,0)),"")</f>
        <v>Band 5</v>
      </c>
      <c r="I1056" s="19" t="b">
        <f t="shared" si="49"/>
        <v>0</v>
      </c>
      <c r="J1056" s="33">
        <f t="shared" si="50"/>
        <v>0.87676605176605171</v>
      </c>
    </row>
    <row r="1057" spans="1:10">
      <c r="A1057" s="19" t="s">
        <v>183</v>
      </c>
      <c r="B1057" s="20">
        <v>45748</v>
      </c>
      <c r="C1057" s="21">
        <v>148</v>
      </c>
      <c r="D1057" s="21">
        <v>115.55472222222224</v>
      </c>
      <c r="E1057" s="21">
        <v>69.97</v>
      </c>
      <c r="F1057" s="27">
        <f t="shared" si="48"/>
        <v>0.78077515015015031</v>
      </c>
      <c r="G1057" s="21" t="str">
        <f>IFERROR(INDEX(Users!$A$2:$A$310,MATCH(A1057,Users!$B$2:$B$310,0)),"")</f>
        <v>Service B</v>
      </c>
      <c r="H1057" s="21" t="str">
        <f>IFERROR(INDEX(Users!$D$2:$D$310,MATCH(A1057,Users!$B$2:$B$310,0)),"")</f>
        <v>Band 5</v>
      </c>
      <c r="I1057" s="19" t="b">
        <f t="shared" si="49"/>
        <v>0</v>
      </c>
      <c r="J1057" s="33">
        <f t="shared" si="50"/>
        <v>0.78077515015015031</v>
      </c>
    </row>
    <row r="1058" spans="1:10">
      <c r="A1058" s="19" t="s">
        <v>183</v>
      </c>
      <c r="B1058" s="20">
        <v>45778</v>
      </c>
      <c r="C1058" s="21">
        <v>148</v>
      </c>
      <c r="D1058" s="21">
        <v>106.63888888888891</v>
      </c>
      <c r="E1058" s="21">
        <v>63.890000000000015</v>
      </c>
      <c r="F1058" s="27">
        <f t="shared" si="48"/>
        <v>0.72053303303303318</v>
      </c>
      <c r="G1058" s="21" t="str">
        <f>IFERROR(INDEX(Users!$A$2:$A$310,MATCH(A1058,Users!$B$2:$B$310,0)),"")</f>
        <v>Service B</v>
      </c>
      <c r="H1058" s="21" t="str">
        <f>IFERROR(INDEX(Users!$D$2:$D$310,MATCH(A1058,Users!$B$2:$B$310,0)),"")</f>
        <v>Band 5</v>
      </c>
      <c r="I1058" s="19" t="b">
        <f t="shared" si="49"/>
        <v>0</v>
      </c>
      <c r="J1058" s="33">
        <f t="shared" si="50"/>
        <v>0.72053303303303318</v>
      </c>
    </row>
    <row r="1059" spans="1:10">
      <c r="A1059" s="19" t="s">
        <v>183</v>
      </c>
      <c r="B1059" s="20">
        <v>45809</v>
      </c>
      <c r="C1059" s="21">
        <v>155.4</v>
      </c>
      <c r="D1059" s="21">
        <v>102.45583333333335</v>
      </c>
      <c r="E1059" s="21">
        <v>70.430000000000007</v>
      </c>
      <c r="F1059" s="27">
        <f t="shared" si="48"/>
        <v>0.65930394680394688</v>
      </c>
      <c r="G1059" s="21" t="str">
        <f>IFERROR(INDEX(Users!$A$2:$A$310,MATCH(A1059,Users!$B$2:$B$310,0)),"")</f>
        <v>Service B</v>
      </c>
      <c r="H1059" s="21" t="str">
        <f>IFERROR(INDEX(Users!$D$2:$D$310,MATCH(A1059,Users!$B$2:$B$310,0)),"")</f>
        <v>Band 5</v>
      </c>
      <c r="I1059" s="19" t="b">
        <f t="shared" si="49"/>
        <v>0</v>
      </c>
      <c r="J1059" s="33">
        <f t="shared" si="50"/>
        <v>0.65930394680394688</v>
      </c>
    </row>
    <row r="1060" spans="1:10">
      <c r="A1060" s="19" t="s">
        <v>183</v>
      </c>
      <c r="B1060" s="20">
        <v>45839</v>
      </c>
      <c r="C1060" s="21">
        <v>170.2</v>
      </c>
      <c r="D1060" s="21">
        <v>127.30583333333334</v>
      </c>
      <c r="E1060" s="21">
        <v>91.47</v>
      </c>
      <c r="F1060" s="27">
        <f t="shared" si="48"/>
        <v>0.74797786917352138</v>
      </c>
      <c r="G1060" s="21" t="str">
        <f>IFERROR(INDEX(Users!$A$2:$A$310,MATCH(A1060,Users!$B$2:$B$310,0)),"")</f>
        <v>Service B</v>
      </c>
      <c r="H1060" s="21" t="str">
        <f>IFERROR(INDEX(Users!$D$2:$D$310,MATCH(A1060,Users!$B$2:$B$310,0)),"")</f>
        <v>Band 5</v>
      </c>
      <c r="I1060" s="19" t="b">
        <f t="shared" si="49"/>
        <v>0</v>
      </c>
      <c r="J1060" s="33">
        <f t="shared" si="50"/>
        <v>0.74797786917352138</v>
      </c>
    </row>
    <row r="1061" spans="1:10">
      <c r="A1061" s="19" t="s">
        <v>183</v>
      </c>
      <c r="B1061" s="20">
        <v>45870</v>
      </c>
      <c r="C1061" s="21">
        <v>148</v>
      </c>
      <c r="D1061" s="21">
        <v>114.06027777777777</v>
      </c>
      <c r="E1061" s="21">
        <v>73.95</v>
      </c>
      <c r="F1061" s="27">
        <f t="shared" si="48"/>
        <v>0.77067755255255255</v>
      </c>
      <c r="G1061" s="21" t="str">
        <f>IFERROR(INDEX(Users!$A$2:$A$310,MATCH(A1061,Users!$B$2:$B$310,0)),"")</f>
        <v>Service B</v>
      </c>
      <c r="H1061" s="21" t="str">
        <f>IFERROR(INDEX(Users!$D$2:$D$310,MATCH(A1061,Users!$B$2:$B$310,0)),"")</f>
        <v>Band 5</v>
      </c>
      <c r="I1061" s="19" t="b">
        <f t="shared" si="49"/>
        <v>0</v>
      </c>
      <c r="J1061" s="33">
        <f t="shared" si="50"/>
        <v>0.77067755255255255</v>
      </c>
    </row>
    <row r="1062" spans="1:10">
      <c r="A1062" s="19" t="s">
        <v>183</v>
      </c>
      <c r="B1062" s="20">
        <v>45901</v>
      </c>
      <c r="C1062" s="21">
        <v>162.80000000000001</v>
      </c>
      <c r="D1062" s="21">
        <v>77.827499999999986</v>
      </c>
      <c r="E1062" s="21">
        <v>57.909999999999989</v>
      </c>
      <c r="F1062" s="27">
        <f t="shared" si="48"/>
        <v>0.47805589680589666</v>
      </c>
      <c r="G1062" s="21" t="str">
        <f>IFERROR(INDEX(Users!$A$2:$A$310,MATCH(A1062,Users!$B$2:$B$310,0)),"")</f>
        <v>Service B</v>
      </c>
      <c r="H1062" s="21" t="str">
        <f>IFERROR(INDEX(Users!$D$2:$D$310,MATCH(A1062,Users!$B$2:$B$310,0)),"")</f>
        <v>Band 5</v>
      </c>
      <c r="I1062" s="19" t="b">
        <f t="shared" si="49"/>
        <v>0</v>
      </c>
      <c r="J1062" s="33">
        <f t="shared" si="50"/>
        <v>0.47805589680589666</v>
      </c>
    </row>
    <row r="1063" spans="1:10">
      <c r="A1063" s="19" t="s">
        <v>183</v>
      </c>
      <c r="B1063" s="20">
        <v>45931</v>
      </c>
      <c r="C1063" s="21">
        <v>170.2</v>
      </c>
      <c r="D1063" s="21">
        <v>125.17722222222223</v>
      </c>
      <c r="E1063" s="21">
        <v>77.48</v>
      </c>
      <c r="F1063" s="27">
        <f t="shared" si="48"/>
        <v>0.73547134090612354</v>
      </c>
      <c r="G1063" s="21" t="str">
        <f>IFERROR(INDEX(Users!$A$2:$A$310,MATCH(A1063,Users!$B$2:$B$310,0)),"")</f>
        <v>Service B</v>
      </c>
      <c r="H1063" s="21" t="str">
        <f>IFERROR(INDEX(Users!$D$2:$D$310,MATCH(A1063,Users!$B$2:$B$310,0)),"")</f>
        <v>Band 5</v>
      </c>
      <c r="I1063" s="19" t="b">
        <f t="shared" si="49"/>
        <v>0</v>
      </c>
      <c r="J1063" s="33">
        <f t="shared" si="50"/>
        <v>0.73547134090612354</v>
      </c>
    </row>
    <row r="1064" spans="1:10">
      <c r="A1064" s="19" t="s">
        <v>183</v>
      </c>
      <c r="B1064" s="20">
        <v>45962</v>
      </c>
      <c r="C1064" s="21">
        <v>148</v>
      </c>
      <c r="D1064" s="21">
        <v>122.73750000000001</v>
      </c>
      <c r="E1064" s="21">
        <v>72.63</v>
      </c>
      <c r="F1064" s="27">
        <f t="shared" si="48"/>
        <v>0.82930743243243255</v>
      </c>
      <c r="G1064" s="21" t="str">
        <f>IFERROR(INDEX(Users!$A$2:$A$310,MATCH(A1064,Users!$B$2:$B$310,0)),"")</f>
        <v>Service B</v>
      </c>
      <c r="H1064" s="21" t="str">
        <f>IFERROR(INDEX(Users!$D$2:$D$310,MATCH(A1064,Users!$B$2:$B$310,0)),"")</f>
        <v>Band 5</v>
      </c>
      <c r="I1064" s="19" t="b">
        <f t="shared" si="49"/>
        <v>0</v>
      </c>
      <c r="J1064" s="33">
        <f t="shared" si="50"/>
        <v>0.82930743243243255</v>
      </c>
    </row>
    <row r="1065" spans="1:10">
      <c r="A1065" s="19" t="s">
        <v>183</v>
      </c>
      <c r="B1065" s="20">
        <v>45992</v>
      </c>
      <c r="C1065" s="21">
        <v>155.4</v>
      </c>
      <c r="D1065" s="21">
        <v>96.582222222222214</v>
      </c>
      <c r="E1065" s="21">
        <v>56.02</v>
      </c>
      <c r="F1065" s="27">
        <f t="shared" si="48"/>
        <v>0.62150722150722137</v>
      </c>
      <c r="G1065" s="21" t="str">
        <f>IFERROR(INDEX(Users!$A$2:$A$310,MATCH(A1065,Users!$B$2:$B$310,0)),"")</f>
        <v>Service B</v>
      </c>
      <c r="H1065" s="21" t="str">
        <f>IFERROR(INDEX(Users!$D$2:$D$310,MATCH(A1065,Users!$B$2:$B$310,0)),"")</f>
        <v>Band 5</v>
      </c>
      <c r="I1065" s="19" t="b">
        <f t="shared" si="49"/>
        <v>0</v>
      </c>
      <c r="J1065" s="33">
        <f t="shared" si="50"/>
        <v>0.62150722150722137</v>
      </c>
    </row>
    <row r="1066" spans="1:10">
      <c r="A1066" s="19" t="s">
        <v>183</v>
      </c>
      <c r="B1066" s="20">
        <v>46023</v>
      </c>
      <c r="C1066" s="21">
        <v>155.39999999999998</v>
      </c>
      <c r="D1066" s="21">
        <v>132.45222222222222</v>
      </c>
      <c r="E1066" s="21">
        <v>67.539999999999992</v>
      </c>
      <c r="F1066" s="27">
        <f t="shared" si="48"/>
        <v>0.85233090233090247</v>
      </c>
      <c r="G1066" s="21" t="str">
        <f>IFERROR(INDEX(Users!$A$2:$A$310,MATCH(A1066,Users!$B$2:$B$310,0)),"")</f>
        <v>Service B</v>
      </c>
      <c r="H1066" s="21" t="str">
        <f>IFERROR(INDEX(Users!$D$2:$D$310,MATCH(A1066,Users!$B$2:$B$310,0)),"")</f>
        <v>Band 5</v>
      </c>
      <c r="I1066" s="19" t="b">
        <f t="shared" si="49"/>
        <v>0</v>
      </c>
      <c r="J1066" s="33" t="str">
        <f t="shared" si="50"/>
        <v/>
      </c>
    </row>
    <row r="1067" spans="1:10">
      <c r="A1067" s="19" t="s">
        <v>184</v>
      </c>
      <c r="B1067" s="20">
        <v>45658</v>
      </c>
      <c r="C1067" s="21">
        <v>133.20000000000002</v>
      </c>
      <c r="D1067" s="21">
        <v>31.27</v>
      </c>
      <c r="E1067" s="21">
        <v>31.27</v>
      </c>
      <c r="F1067" s="27">
        <f t="shared" si="48"/>
        <v>0.23475975975975974</v>
      </c>
      <c r="G1067" s="21" t="str">
        <f>IFERROR(INDEX(Users!$A$2:$A$310,MATCH(A1067,Users!$B$2:$B$310,0)),"")</f>
        <v>Service B</v>
      </c>
      <c r="H1067" s="21" t="str">
        <f>IFERROR(INDEX(Users!$D$2:$D$310,MATCH(A1067,Users!$B$2:$B$310,0)),"")</f>
        <v>Band 3</v>
      </c>
      <c r="I1067" s="19" t="b">
        <f t="shared" si="49"/>
        <v>0</v>
      </c>
      <c r="J1067" s="33">
        <f t="shared" si="50"/>
        <v>0.23475975975975974</v>
      </c>
    </row>
    <row r="1068" spans="1:10">
      <c r="A1068" s="19" t="s">
        <v>186</v>
      </c>
      <c r="B1068" s="20">
        <v>45901</v>
      </c>
      <c r="C1068" s="21">
        <v>51.8</v>
      </c>
      <c r="D1068" s="21"/>
      <c r="E1068" s="21"/>
      <c r="F1068" s="27" t="str">
        <f t="shared" si="48"/>
        <v/>
      </c>
      <c r="G1068" s="21" t="str">
        <f>IFERROR(INDEX(Users!$A$2:$A$310,MATCH(A1068,Users!$B$2:$B$310,0)),"")</f>
        <v>Service B</v>
      </c>
      <c r="H1068" s="21" t="str">
        <f>IFERROR(INDEX(Users!$D$2:$D$310,MATCH(A1068,Users!$B$2:$B$310,0)),"")</f>
        <v>Band 5</v>
      </c>
      <c r="I1068" s="19" t="b">
        <f t="shared" si="49"/>
        <v>0</v>
      </c>
      <c r="J1068" s="33" t="str">
        <f t="shared" si="50"/>
        <v/>
      </c>
    </row>
    <row r="1069" spans="1:10">
      <c r="A1069" s="19" t="s">
        <v>186</v>
      </c>
      <c r="B1069" s="20">
        <v>45931</v>
      </c>
      <c r="C1069" s="21">
        <v>170.20000000000007</v>
      </c>
      <c r="D1069" s="21">
        <v>139.51666666666671</v>
      </c>
      <c r="E1069" s="21">
        <v>25.55</v>
      </c>
      <c r="F1069" s="27">
        <f t="shared" si="48"/>
        <v>0.81972189580885224</v>
      </c>
      <c r="G1069" s="21" t="str">
        <f>IFERROR(INDEX(Users!$A$2:$A$310,MATCH(A1069,Users!$B$2:$B$310,0)),"")</f>
        <v>Service B</v>
      </c>
      <c r="H1069" s="21" t="str">
        <f>IFERROR(INDEX(Users!$D$2:$D$310,MATCH(A1069,Users!$B$2:$B$310,0)),"")</f>
        <v>Band 5</v>
      </c>
      <c r="I1069" s="19" t="b">
        <f t="shared" si="49"/>
        <v>0</v>
      </c>
      <c r="J1069" s="33">
        <f t="shared" si="50"/>
        <v>0.81972189580885224</v>
      </c>
    </row>
    <row r="1070" spans="1:10">
      <c r="A1070" s="19" t="s">
        <v>186</v>
      </c>
      <c r="B1070" s="20">
        <v>45962</v>
      </c>
      <c r="C1070" s="21">
        <v>148.00000000000006</v>
      </c>
      <c r="D1070" s="21">
        <v>156.64999999999998</v>
      </c>
      <c r="E1070" s="21">
        <v>34.299999999999997</v>
      </c>
      <c r="F1070" s="27">
        <f t="shared" si="48"/>
        <v>1.0584459459459454</v>
      </c>
      <c r="G1070" s="21" t="str">
        <f>IFERROR(INDEX(Users!$A$2:$A$310,MATCH(A1070,Users!$B$2:$B$310,0)),"")</f>
        <v>Service B</v>
      </c>
      <c r="H1070" s="21" t="str">
        <f>IFERROR(INDEX(Users!$D$2:$D$310,MATCH(A1070,Users!$B$2:$B$310,0)),"")</f>
        <v>Band 5</v>
      </c>
      <c r="I1070" s="19" t="b">
        <f t="shared" si="49"/>
        <v>0</v>
      </c>
      <c r="J1070" s="33">
        <f t="shared" si="50"/>
        <v>1.0584459459459454</v>
      </c>
    </row>
    <row r="1071" spans="1:10">
      <c r="A1071" s="19" t="s">
        <v>186</v>
      </c>
      <c r="B1071" s="20">
        <v>45992</v>
      </c>
      <c r="C1071" s="21">
        <v>155.40000000000006</v>
      </c>
      <c r="D1071" s="21">
        <v>138.49666666666667</v>
      </c>
      <c r="E1071" s="21">
        <v>66.08</v>
      </c>
      <c r="F1071" s="27">
        <f t="shared" si="48"/>
        <v>0.89122694122694091</v>
      </c>
      <c r="G1071" s="21" t="str">
        <f>IFERROR(INDEX(Users!$A$2:$A$310,MATCH(A1071,Users!$B$2:$B$310,0)),"")</f>
        <v>Service B</v>
      </c>
      <c r="H1071" s="21" t="str">
        <f>IFERROR(INDEX(Users!$D$2:$D$310,MATCH(A1071,Users!$B$2:$B$310,0)),"")</f>
        <v>Band 5</v>
      </c>
      <c r="I1071" s="19" t="b">
        <f t="shared" si="49"/>
        <v>0</v>
      </c>
      <c r="J1071" s="33">
        <f t="shared" si="50"/>
        <v>0.89122694122694091</v>
      </c>
    </row>
    <row r="1072" spans="1:10">
      <c r="A1072" s="19" t="s">
        <v>186</v>
      </c>
      <c r="B1072" s="20">
        <v>46023</v>
      </c>
      <c r="C1072" s="21">
        <v>155.40000000000006</v>
      </c>
      <c r="D1072" s="21">
        <v>164.73333333333321</v>
      </c>
      <c r="E1072" s="21">
        <v>79.199999999999903</v>
      </c>
      <c r="F1072" s="27">
        <f t="shared" si="48"/>
        <v>1.0600600600600587</v>
      </c>
      <c r="G1072" s="21" t="str">
        <f>IFERROR(INDEX(Users!$A$2:$A$310,MATCH(A1072,Users!$B$2:$B$310,0)),"")</f>
        <v>Service B</v>
      </c>
      <c r="H1072" s="21" t="str">
        <f>IFERROR(INDEX(Users!$D$2:$D$310,MATCH(A1072,Users!$B$2:$B$310,0)),"")</f>
        <v>Band 5</v>
      </c>
      <c r="I1072" s="19" t="b">
        <f t="shared" si="49"/>
        <v>0</v>
      </c>
      <c r="J1072" s="33" t="str">
        <f t="shared" si="50"/>
        <v/>
      </c>
    </row>
    <row r="1073" spans="1:10">
      <c r="A1073" s="19" t="s">
        <v>187</v>
      </c>
      <c r="B1073" s="20">
        <v>45658</v>
      </c>
      <c r="C1073" s="21">
        <v>162.80000000000001</v>
      </c>
      <c r="D1073" s="21">
        <v>104.99333333333334</v>
      </c>
      <c r="E1073" s="21">
        <v>77.010000000000005</v>
      </c>
      <c r="F1073" s="27">
        <f t="shared" si="48"/>
        <v>0.64492219492219494</v>
      </c>
      <c r="G1073" s="21" t="str">
        <f>IFERROR(INDEX(Users!$A$2:$A$310,MATCH(A1073,Users!$B$2:$B$310,0)),"")</f>
        <v>Service A</v>
      </c>
      <c r="H1073" s="21" t="str">
        <f>IFERROR(INDEX(Users!$D$2:$D$310,MATCH(A1073,Users!$B$2:$B$310,0)),"")</f>
        <v>Band 3</v>
      </c>
      <c r="I1073" s="19" t="b">
        <f t="shared" si="49"/>
        <v>1</v>
      </c>
      <c r="J1073" s="33" t="str">
        <f t="shared" si="50"/>
        <v/>
      </c>
    </row>
    <row r="1074" spans="1:10">
      <c r="A1074" s="19" t="s">
        <v>187</v>
      </c>
      <c r="B1074" s="20">
        <v>45689</v>
      </c>
      <c r="C1074" s="21">
        <v>148</v>
      </c>
      <c r="D1074" s="21">
        <v>119.09</v>
      </c>
      <c r="E1074" s="21">
        <v>91.84</v>
      </c>
      <c r="F1074" s="27">
        <f t="shared" si="48"/>
        <v>0.80466216216216213</v>
      </c>
      <c r="G1074" s="21" t="str">
        <f>IFERROR(INDEX(Users!$A$2:$A$310,MATCH(A1074,Users!$B$2:$B$310,0)),"")</f>
        <v>Service A</v>
      </c>
      <c r="H1074" s="21" t="str">
        <f>IFERROR(INDEX(Users!$D$2:$D$310,MATCH(A1074,Users!$B$2:$B$310,0)),"")</f>
        <v>Band 3</v>
      </c>
      <c r="I1074" s="19" t="b">
        <f t="shared" si="49"/>
        <v>1</v>
      </c>
      <c r="J1074" s="33" t="str">
        <f t="shared" si="50"/>
        <v/>
      </c>
    </row>
    <row r="1075" spans="1:10">
      <c r="A1075" s="19" t="s">
        <v>187</v>
      </c>
      <c r="B1075" s="20">
        <v>45717</v>
      </c>
      <c r="C1075" s="21">
        <v>155.4</v>
      </c>
      <c r="D1075" s="21">
        <v>143.74</v>
      </c>
      <c r="E1075" s="21">
        <v>111.99</v>
      </c>
      <c r="F1075" s="27">
        <f t="shared" si="48"/>
        <v>0.92496782496782504</v>
      </c>
      <c r="G1075" s="21" t="str">
        <f>IFERROR(INDEX(Users!$A$2:$A$310,MATCH(A1075,Users!$B$2:$B$310,0)),"")</f>
        <v>Service A</v>
      </c>
      <c r="H1075" s="21" t="str">
        <f>IFERROR(INDEX(Users!$D$2:$D$310,MATCH(A1075,Users!$B$2:$B$310,0)),"")</f>
        <v>Band 3</v>
      </c>
      <c r="I1075" s="19" t="b">
        <f t="shared" si="49"/>
        <v>1</v>
      </c>
      <c r="J1075" s="33" t="str">
        <f t="shared" si="50"/>
        <v/>
      </c>
    </row>
    <row r="1076" spans="1:10">
      <c r="A1076" s="19" t="s">
        <v>187</v>
      </c>
      <c r="B1076" s="20">
        <v>45748</v>
      </c>
      <c r="C1076" s="21">
        <v>148</v>
      </c>
      <c r="D1076" s="21">
        <v>140.16666666666666</v>
      </c>
      <c r="E1076" s="21">
        <v>95.25</v>
      </c>
      <c r="F1076" s="27">
        <f t="shared" si="48"/>
        <v>0.947072072072072</v>
      </c>
      <c r="G1076" s="21" t="str">
        <f>IFERROR(INDEX(Users!$A$2:$A$310,MATCH(A1076,Users!$B$2:$B$310,0)),"")</f>
        <v>Service A</v>
      </c>
      <c r="H1076" s="21" t="str">
        <f>IFERROR(INDEX(Users!$D$2:$D$310,MATCH(A1076,Users!$B$2:$B$310,0)),"")</f>
        <v>Band 3</v>
      </c>
      <c r="I1076" s="19" t="b">
        <f t="shared" si="49"/>
        <v>1</v>
      </c>
      <c r="J1076" s="33" t="str">
        <f t="shared" si="50"/>
        <v/>
      </c>
    </row>
    <row r="1077" spans="1:10">
      <c r="A1077" s="19" t="s">
        <v>187</v>
      </c>
      <c r="B1077" s="20">
        <v>45778</v>
      </c>
      <c r="C1077" s="21">
        <v>148</v>
      </c>
      <c r="D1077" s="21">
        <v>88.5</v>
      </c>
      <c r="E1077" s="21">
        <v>58</v>
      </c>
      <c r="F1077" s="27">
        <f t="shared" si="48"/>
        <v>0.59797297297297303</v>
      </c>
      <c r="G1077" s="21" t="str">
        <f>IFERROR(INDEX(Users!$A$2:$A$310,MATCH(A1077,Users!$B$2:$B$310,0)),"")</f>
        <v>Service A</v>
      </c>
      <c r="H1077" s="21" t="str">
        <f>IFERROR(INDEX(Users!$D$2:$D$310,MATCH(A1077,Users!$B$2:$B$310,0)),"")</f>
        <v>Band 3</v>
      </c>
      <c r="I1077" s="19" t="b">
        <f t="shared" si="49"/>
        <v>1</v>
      </c>
      <c r="J1077" s="33" t="str">
        <f t="shared" si="50"/>
        <v/>
      </c>
    </row>
    <row r="1078" spans="1:10">
      <c r="A1078" s="19" t="s">
        <v>187</v>
      </c>
      <c r="B1078" s="20">
        <v>45809</v>
      </c>
      <c r="C1078" s="21">
        <v>155.4</v>
      </c>
      <c r="D1078" s="21">
        <v>111.51666666666668</v>
      </c>
      <c r="E1078" s="21">
        <v>57.350000000000009</v>
      </c>
      <c r="F1078" s="27">
        <f t="shared" si="48"/>
        <v>0.71761046761046765</v>
      </c>
      <c r="G1078" s="21" t="str">
        <f>IFERROR(INDEX(Users!$A$2:$A$310,MATCH(A1078,Users!$B$2:$B$310,0)),"")</f>
        <v>Service A</v>
      </c>
      <c r="H1078" s="21" t="str">
        <f>IFERROR(INDEX(Users!$D$2:$D$310,MATCH(A1078,Users!$B$2:$B$310,0)),"")</f>
        <v>Band 3</v>
      </c>
      <c r="I1078" s="19" t="b">
        <f t="shared" si="49"/>
        <v>1</v>
      </c>
      <c r="J1078" s="33" t="str">
        <f t="shared" si="50"/>
        <v/>
      </c>
    </row>
    <row r="1079" spans="1:10">
      <c r="A1079" s="19" t="s">
        <v>187</v>
      </c>
      <c r="B1079" s="20">
        <v>45839</v>
      </c>
      <c r="C1079" s="21">
        <v>170.20000000000002</v>
      </c>
      <c r="D1079" s="21">
        <v>165.74333333333331</v>
      </c>
      <c r="E1079" s="21">
        <v>51.41</v>
      </c>
      <c r="F1079" s="27">
        <f t="shared" si="48"/>
        <v>0.97381511946729316</v>
      </c>
      <c r="G1079" s="21" t="str">
        <f>IFERROR(INDEX(Users!$A$2:$A$310,MATCH(A1079,Users!$B$2:$B$310,0)),"")</f>
        <v>Service A</v>
      </c>
      <c r="H1079" s="21" t="str">
        <f>IFERROR(INDEX(Users!$D$2:$D$310,MATCH(A1079,Users!$B$2:$B$310,0)),"")</f>
        <v>Band 3</v>
      </c>
      <c r="I1079" s="19" t="b">
        <f t="shared" si="49"/>
        <v>1</v>
      </c>
      <c r="J1079" s="33" t="str">
        <f t="shared" si="50"/>
        <v/>
      </c>
    </row>
    <row r="1080" spans="1:10">
      <c r="A1080" s="19" t="s">
        <v>187</v>
      </c>
      <c r="B1080" s="20">
        <v>45870</v>
      </c>
      <c r="C1080" s="21">
        <v>148</v>
      </c>
      <c r="D1080" s="21">
        <v>136.66333333333333</v>
      </c>
      <c r="E1080" s="21">
        <v>97.33</v>
      </c>
      <c r="F1080" s="27">
        <f t="shared" si="48"/>
        <v>0.92340090090090088</v>
      </c>
      <c r="G1080" s="21" t="str">
        <f>IFERROR(INDEX(Users!$A$2:$A$310,MATCH(A1080,Users!$B$2:$B$310,0)),"")</f>
        <v>Service A</v>
      </c>
      <c r="H1080" s="21" t="str">
        <f>IFERROR(INDEX(Users!$D$2:$D$310,MATCH(A1080,Users!$B$2:$B$310,0)),"")</f>
        <v>Band 3</v>
      </c>
      <c r="I1080" s="19" t="b">
        <f t="shared" si="49"/>
        <v>1</v>
      </c>
      <c r="J1080" s="33" t="str">
        <f t="shared" si="50"/>
        <v/>
      </c>
    </row>
    <row r="1081" spans="1:10">
      <c r="A1081" s="19" t="s">
        <v>187</v>
      </c>
      <c r="B1081" s="20">
        <v>45901</v>
      </c>
      <c r="C1081" s="21">
        <v>162.80000000000001</v>
      </c>
      <c r="D1081" s="21">
        <v>72.08</v>
      </c>
      <c r="E1081" s="21">
        <v>41.58</v>
      </c>
      <c r="F1081" s="27">
        <f t="shared" si="48"/>
        <v>0.44275184275184271</v>
      </c>
      <c r="G1081" s="21" t="str">
        <f>IFERROR(INDEX(Users!$A$2:$A$310,MATCH(A1081,Users!$B$2:$B$310,0)),"")</f>
        <v>Service A</v>
      </c>
      <c r="H1081" s="21" t="str">
        <f>IFERROR(INDEX(Users!$D$2:$D$310,MATCH(A1081,Users!$B$2:$B$310,0)),"")</f>
        <v>Band 3</v>
      </c>
      <c r="I1081" s="19" t="b">
        <f t="shared" si="49"/>
        <v>1</v>
      </c>
      <c r="J1081" s="33" t="str">
        <f t="shared" si="50"/>
        <v/>
      </c>
    </row>
    <row r="1082" spans="1:10">
      <c r="A1082" s="19" t="s">
        <v>187</v>
      </c>
      <c r="B1082" s="20">
        <v>45931</v>
      </c>
      <c r="C1082" s="21">
        <v>170.20000000000002</v>
      </c>
      <c r="D1082" s="21">
        <v>136.66</v>
      </c>
      <c r="E1082" s="21">
        <v>95.16</v>
      </c>
      <c r="F1082" s="27">
        <f t="shared" si="48"/>
        <v>0.80293772032902455</v>
      </c>
      <c r="G1082" s="21" t="str">
        <f>IFERROR(INDEX(Users!$A$2:$A$310,MATCH(A1082,Users!$B$2:$B$310,0)),"")</f>
        <v>Service A</v>
      </c>
      <c r="H1082" s="21" t="str">
        <f>IFERROR(INDEX(Users!$D$2:$D$310,MATCH(A1082,Users!$B$2:$B$310,0)),"")</f>
        <v>Band 3</v>
      </c>
      <c r="I1082" s="19" t="b">
        <f t="shared" si="49"/>
        <v>1</v>
      </c>
      <c r="J1082" s="33" t="str">
        <f t="shared" si="50"/>
        <v/>
      </c>
    </row>
    <row r="1083" spans="1:10">
      <c r="A1083" s="19" t="s">
        <v>187</v>
      </c>
      <c r="B1083" s="20">
        <v>45962</v>
      </c>
      <c r="C1083" s="21">
        <v>148</v>
      </c>
      <c r="D1083" s="21">
        <v>120.49</v>
      </c>
      <c r="E1083" s="21">
        <v>93.74</v>
      </c>
      <c r="F1083" s="27">
        <f t="shared" si="48"/>
        <v>0.81412162162162161</v>
      </c>
      <c r="G1083" s="21" t="str">
        <f>IFERROR(INDEX(Users!$A$2:$A$310,MATCH(A1083,Users!$B$2:$B$310,0)),"")</f>
        <v>Service A</v>
      </c>
      <c r="H1083" s="21" t="str">
        <f>IFERROR(INDEX(Users!$D$2:$D$310,MATCH(A1083,Users!$B$2:$B$310,0)),"")</f>
        <v>Band 3</v>
      </c>
      <c r="I1083" s="19" t="b">
        <f t="shared" si="49"/>
        <v>1</v>
      </c>
      <c r="J1083" s="33" t="str">
        <f t="shared" si="50"/>
        <v/>
      </c>
    </row>
    <row r="1084" spans="1:10">
      <c r="A1084" s="19" t="s">
        <v>187</v>
      </c>
      <c r="B1084" s="20">
        <v>45992</v>
      </c>
      <c r="C1084" s="21">
        <v>155.4</v>
      </c>
      <c r="D1084" s="21">
        <v>118.41000000000001</v>
      </c>
      <c r="E1084" s="21">
        <v>88.160000000000011</v>
      </c>
      <c r="F1084" s="27">
        <f t="shared" si="48"/>
        <v>0.76196911196911199</v>
      </c>
      <c r="G1084" s="21" t="str">
        <f>IFERROR(INDEX(Users!$A$2:$A$310,MATCH(A1084,Users!$B$2:$B$310,0)),"")</f>
        <v>Service A</v>
      </c>
      <c r="H1084" s="21" t="str">
        <f>IFERROR(INDEX(Users!$D$2:$D$310,MATCH(A1084,Users!$B$2:$B$310,0)),"")</f>
        <v>Band 3</v>
      </c>
      <c r="I1084" s="19" t="b">
        <f t="shared" si="49"/>
        <v>1</v>
      </c>
      <c r="J1084" s="33" t="str">
        <f t="shared" si="50"/>
        <v/>
      </c>
    </row>
    <row r="1085" spans="1:10">
      <c r="A1085" s="19" t="s">
        <v>187</v>
      </c>
      <c r="B1085" s="20">
        <v>46023</v>
      </c>
      <c r="C1085" s="21">
        <v>155.4</v>
      </c>
      <c r="D1085" s="21">
        <v>139.88666666666666</v>
      </c>
      <c r="E1085" s="21">
        <v>90.969999999999985</v>
      </c>
      <c r="F1085" s="27">
        <f t="shared" si="48"/>
        <v>0.90017160017160003</v>
      </c>
      <c r="G1085" s="21" t="str">
        <f>IFERROR(INDEX(Users!$A$2:$A$310,MATCH(A1085,Users!$B$2:$B$310,0)),"")</f>
        <v>Service A</v>
      </c>
      <c r="H1085" s="21" t="str">
        <f>IFERROR(INDEX(Users!$D$2:$D$310,MATCH(A1085,Users!$B$2:$B$310,0)),"")</f>
        <v>Band 3</v>
      </c>
      <c r="I1085" s="19" t="b">
        <f t="shared" si="49"/>
        <v>1</v>
      </c>
      <c r="J1085" s="33" t="str">
        <f t="shared" si="50"/>
        <v/>
      </c>
    </row>
    <row r="1086" spans="1:10">
      <c r="A1086" s="19" t="s">
        <v>188</v>
      </c>
      <c r="B1086" s="20">
        <v>45658</v>
      </c>
      <c r="C1086" s="21">
        <v>162.80000000000001</v>
      </c>
      <c r="D1086" s="21">
        <v>141.24333333333334</v>
      </c>
      <c r="E1086" s="21">
        <v>74.66</v>
      </c>
      <c r="F1086" s="27">
        <f t="shared" si="48"/>
        <v>0.86758804258804256</v>
      </c>
      <c r="G1086" s="21" t="str">
        <f>IFERROR(INDEX(Users!$A$2:$A$310,MATCH(A1086,Users!$B$2:$B$310,0)),"")</f>
        <v>Service A</v>
      </c>
      <c r="H1086" s="21" t="str">
        <f>IFERROR(INDEX(Users!$D$2:$D$310,MATCH(A1086,Users!$B$2:$B$310,0)),"")</f>
        <v>Band 3</v>
      </c>
      <c r="I1086" s="19" t="b">
        <f t="shared" si="49"/>
        <v>1</v>
      </c>
      <c r="J1086" s="33" t="str">
        <f t="shared" si="50"/>
        <v/>
      </c>
    </row>
    <row r="1087" spans="1:10">
      <c r="A1087" s="19" t="s">
        <v>188</v>
      </c>
      <c r="B1087" s="20">
        <v>45689</v>
      </c>
      <c r="C1087" s="21">
        <v>148</v>
      </c>
      <c r="D1087" s="21">
        <v>128.47666666666669</v>
      </c>
      <c r="E1087" s="21">
        <v>82.16</v>
      </c>
      <c r="F1087" s="27">
        <f t="shared" si="48"/>
        <v>0.86808558558558568</v>
      </c>
      <c r="G1087" s="21" t="str">
        <f>IFERROR(INDEX(Users!$A$2:$A$310,MATCH(A1087,Users!$B$2:$B$310,0)),"")</f>
        <v>Service A</v>
      </c>
      <c r="H1087" s="21" t="str">
        <f>IFERROR(INDEX(Users!$D$2:$D$310,MATCH(A1087,Users!$B$2:$B$310,0)),"")</f>
        <v>Band 3</v>
      </c>
      <c r="I1087" s="19" t="b">
        <f t="shared" si="49"/>
        <v>1</v>
      </c>
      <c r="J1087" s="33" t="str">
        <f t="shared" si="50"/>
        <v/>
      </c>
    </row>
    <row r="1088" spans="1:10">
      <c r="A1088" s="19" t="s">
        <v>188</v>
      </c>
      <c r="B1088" s="20">
        <v>45717</v>
      </c>
      <c r="C1088" s="21">
        <v>155.4</v>
      </c>
      <c r="D1088" s="21">
        <v>116.65333333333334</v>
      </c>
      <c r="E1088" s="21">
        <v>55.42</v>
      </c>
      <c r="F1088" s="27">
        <f t="shared" si="48"/>
        <v>0.75066495066495065</v>
      </c>
      <c r="G1088" s="21" t="str">
        <f>IFERROR(INDEX(Users!$A$2:$A$310,MATCH(A1088,Users!$B$2:$B$310,0)),"")</f>
        <v>Service A</v>
      </c>
      <c r="H1088" s="21" t="str">
        <f>IFERROR(INDEX(Users!$D$2:$D$310,MATCH(A1088,Users!$B$2:$B$310,0)),"")</f>
        <v>Band 3</v>
      </c>
      <c r="I1088" s="19" t="b">
        <f t="shared" si="49"/>
        <v>1</v>
      </c>
      <c r="J1088" s="33" t="str">
        <f t="shared" si="50"/>
        <v/>
      </c>
    </row>
    <row r="1089" spans="1:10">
      <c r="A1089" s="19" t="s">
        <v>188</v>
      </c>
      <c r="B1089" s="20">
        <v>45748</v>
      </c>
      <c r="C1089" s="21">
        <v>148</v>
      </c>
      <c r="D1089" s="21">
        <v>137.57999999999998</v>
      </c>
      <c r="E1089" s="21">
        <v>104.78</v>
      </c>
      <c r="F1089" s="27">
        <f t="shared" si="48"/>
        <v>0.92959459459459448</v>
      </c>
      <c r="G1089" s="21" t="str">
        <f>IFERROR(INDEX(Users!$A$2:$A$310,MATCH(A1089,Users!$B$2:$B$310,0)),"")</f>
        <v>Service A</v>
      </c>
      <c r="H1089" s="21" t="str">
        <f>IFERROR(INDEX(Users!$D$2:$D$310,MATCH(A1089,Users!$B$2:$B$310,0)),"")</f>
        <v>Band 3</v>
      </c>
      <c r="I1089" s="19" t="b">
        <f t="shared" si="49"/>
        <v>1</v>
      </c>
      <c r="J1089" s="33" t="str">
        <f t="shared" si="50"/>
        <v/>
      </c>
    </row>
    <row r="1090" spans="1:10">
      <c r="A1090" s="19" t="s">
        <v>188</v>
      </c>
      <c r="B1090" s="20">
        <v>45778</v>
      </c>
      <c r="C1090" s="21">
        <v>148</v>
      </c>
      <c r="D1090" s="21">
        <v>90.076666666666654</v>
      </c>
      <c r="E1090" s="21">
        <v>60.91</v>
      </c>
      <c r="F1090" s="27">
        <f t="shared" ref="F1090:F1153" si="51">IFERROR(IF(OR(C1090="",D1090="",C1090=0),"",D1090/C1090),"")</f>
        <v>0.60862612612612599</v>
      </c>
      <c r="G1090" s="21" t="str">
        <f>IFERROR(INDEX(Users!$A$2:$A$310,MATCH(A1090,Users!$B$2:$B$310,0)),"")</f>
        <v>Service A</v>
      </c>
      <c r="H1090" s="21" t="str">
        <f>IFERROR(INDEX(Users!$D$2:$D$310,MATCH(A1090,Users!$B$2:$B$310,0)),"")</f>
        <v>Band 3</v>
      </c>
      <c r="I1090" s="19" t="b">
        <f t="shared" ref="I1090:I1153" si="52">AND(G1090="Service A",H1090="Band 3")</f>
        <v>1</v>
      </c>
      <c r="J1090" s="33" t="str">
        <f t="shared" ref="J1090:J1153" si="53">IF(AND(B1090&gt;=DATE(2025,1,1),B1090&lt;DATE(2026,1,1),G1090="Service B",OR(H1090="Band 3",H1090="Band 5"),ISNUMBER(F1090)),F1090,"")</f>
        <v/>
      </c>
    </row>
    <row r="1091" spans="1:10">
      <c r="A1091" s="19" t="s">
        <v>188</v>
      </c>
      <c r="B1091" s="20">
        <v>45809</v>
      </c>
      <c r="C1091" s="21">
        <v>155.4</v>
      </c>
      <c r="D1091" s="21">
        <v>137.74666666666667</v>
      </c>
      <c r="E1091" s="21">
        <v>92.08</v>
      </c>
      <c r="F1091" s="27">
        <f t="shared" si="51"/>
        <v>0.88640068640068637</v>
      </c>
      <c r="G1091" s="21" t="str">
        <f>IFERROR(INDEX(Users!$A$2:$A$310,MATCH(A1091,Users!$B$2:$B$310,0)),"")</f>
        <v>Service A</v>
      </c>
      <c r="H1091" s="21" t="str">
        <f>IFERROR(INDEX(Users!$D$2:$D$310,MATCH(A1091,Users!$B$2:$B$310,0)),"")</f>
        <v>Band 3</v>
      </c>
      <c r="I1091" s="19" t="b">
        <f t="shared" si="52"/>
        <v>1</v>
      </c>
      <c r="J1091" s="33" t="str">
        <f t="shared" si="53"/>
        <v/>
      </c>
    </row>
    <row r="1092" spans="1:10">
      <c r="A1092" s="19" t="s">
        <v>188</v>
      </c>
      <c r="B1092" s="20">
        <v>45839</v>
      </c>
      <c r="C1092" s="21">
        <v>170.20000000000002</v>
      </c>
      <c r="D1092" s="21">
        <v>124.74333333333333</v>
      </c>
      <c r="E1092" s="21">
        <v>76.41</v>
      </c>
      <c r="F1092" s="27">
        <f t="shared" si="51"/>
        <v>0.73292205248726972</v>
      </c>
      <c r="G1092" s="21" t="str">
        <f>IFERROR(INDEX(Users!$A$2:$A$310,MATCH(A1092,Users!$B$2:$B$310,0)),"")</f>
        <v>Service A</v>
      </c>
      <c r="H1092" s="21" t="str">
        <f>IFERROR(INDEX(Users!$D$2:$D$310,MATCH(A1092,Users!$B$2:$B$310,0)),"")</f>
        <v>Band 3</v>
      </c>
      <c r="I1092" s="19" t="b">
        <f t="shared" si="52"/>
        <v>1</v>
      </c>
      <c r="J1092" s="33" t="str">
        <f t="shared" si="53"/>
        <v/>
      </c>
    </row>
    <row r="1093" spans="1:10">
      <c r="A1093" s="19" t="s">
        <v>188</v>
      </c>
      <c r="B1093" s="20">
        <v>45870</v>
      </c>
      <c r="C1093" s="21">
        <v>148</v>
      </c>
      <c r="D1093" s="21">
        <v>132.14999999999998</v>
      </c>
      <c r="E1093" s="21">
        <v>100.14999999999999</v>
      </c>
      <c r="F1093" s="27">
        <f t="shared" si="51"/>
        <v>0.89290540540540531</v>
      </c>
      <c r="G1093" s="21" t="str">
        <f>IFERROR(INDEX(Users!$A$2:$A$310,MATCH(A1093,Users!$B$2:$B$310,0)),"")</f>
        <v>Service A</v>
      </c>
      <c r="H1093" s="21" t="str">
        <f>IFERROR(INDEX(Users!$D$2:$D$310,MATCH(A1093,Users!$B$2:$B$310,0)),"")</f>
        <v>Band 3</v>
      </c>
      <c r="I1093" s="19" t="b">
        <f t="shared" si="52"/>
        <v>1</v>
      </c>
      <c r="J1093" s="33" t="str">
        <f t="shared" si="53"/>
        <v/>
      </c>
    </row>
    <row r="1094" spans="1:10">
      <c r="A1094" s="19" t="s">
        <v>188</v>
      </c>
      <c r="B1094" s="20">
        <v>45901</v>
      </c>
      <c r="C1094" s="21">
        <v>162.80000000000001</v>
      </c>
      <c r="D1094" s="21">
        <v>94.65666666666668</v>
      </c>
      <c r="E1094" s="21">
        <v>70.990000000000009</v>
      </c>
      <c r="F1094" s="27">
        <f t="shared" si="51"/>
        <v>0.58142915642915649</v>
      </c>
      <c r="G1094" s="21" t="str">
        <f>IFERROR(INDEX(Users!$A$2:$A$310,MATCH(A1094,Users!$B$2:$B$310,0)),"")</f>
        <v>Service A</v>
      </c>
      <c r="H1094" s="21" t="str">
        <f>IFERROR(INDEX(Users!$D$2:$D$310,MATCH(A1094,Users!$B$2:$B$310,0)),"")</f>
        <v>Band 3</v>
      </c>
      <c r="I1094" s="19" t="b">
        <f t="shared" si="52"/>
        <v>1</v>
      </c>
      <c r="J1094" s="33" t="str">
        <f t="shared" si="53"/>
        <v/>
      </c>
    </row>
    <row r="1095" spans="1:10">
      <c r="A1095" s="19" t="s">
        <v>188</v>
      </c>
      <c r="B1095" s="20">
        <v>45931</v>
      </c>
      <c r="C1095" s="21">
        <v>170.20000000000002</v>
      </c>
      <c r="D1095" s="21">
        <v>149.83666666666667</v>
      </c>
      <c r="E1095" s="21">
        <v>103.67</v>
      </c>
      <c r="F1095" s="27">
        <f t="shared" si="51"/>
        <v>0.88035644339992158</v>
      </c>
      <c r="G1095" s="21" t="str">
        <f>IFERROR(INDEX(Users!$A$2:$A$310,MATCH(A1095,Users!$B$2:$B$310,0)),"")</f>
        <v>Service A</v>
      </c>
      <c r="H1095" s="21" t="str">
        <f>IFERROR(INDEX(Users!$D$2:$D$310,MATCH(A1095,Users!$B$2:$B$310,0)),"")</f>
        <v>Band 3</v>
      </c>
      <c r="I1095" s="19" t="b">
        <f t="shared" si="52"/>
        <v>1</v>
      </c>
      <c r="J1095" s="33" t="str">
        <f t="shared" si="53"/>
        <v/>
      </c>
    </row>
    <row r="1096" spans="1:10">
      <c r="A1096" s="19" t="s">
        <v>188</v>
      </c>
      <c r="B1096" s="20">
        <v>45962</v>
      </c>
      <c r="C1096" s="21">
        <v>148</v>
      </c>
      <c r="D1096" s="21">
        <v>136.75</v>
      </c>
      <c r="E1096" s="21">
        <v>99.5</v>
      </c>
      <c r="F1096" s="27">
        <f t="shared" si="51"/>
        <v>0.92398648648648651</v>
      </c>
      <c r="G1096" s="21" t="str">
        <f>IFERROR(INDEX(Users!$A$2:$A$310,MATCH(A1096,Users!$B$2:$B$310,0)),"")</f>
        <v>Service A</v>
      </c>
      <c r="H1096" s="21" t="str">
        <f>IFERROR(INDEX(Users!$D$2:$D$310,MATCH(A1096,Users!$B$2:$B$310,0)),"")</f>
        <v>Band 3</v>
      </c>
      <c r="I1096" s="19" t="b">
        <f t="shared" si="52"/>
        <v>1</v>
      </c>
      <c r="J1096" s="33" t="str">
        <f t="shared" si="53"/>
        <v/>
      </c>
    </row>
    <row r="1097" spans="1:10">
      <c r="A1097" s="19" t="s">
        <v>188</v>
      </c>
      <c r="B1097" s="20">
        <v>45992</v>
      </c>
      <c r="C1097" s="21">
        <v>155.4</v>
      </c>
      <c r="D1097" s="21">
        <v>143.80000000000001</v>
      </c>
      <c r="E1097" s="21">
        <v>111.5</v>
      </c>
      <c r="F1097" s="27">
        <f t="shared" si="51"/>
        <v>0.92535392535392536</v>
      </c>
      <c r="G1097" s="21" t="str">
        <f>IFERROR(INDEX(Users!$A$2:$A$310,MATCH(A1097,Users!$B$2:$B$310,0)),"")</f>
        <v>Service A</v>
      </c>
      <c r="H1097" s="21" t="str">
        <f>IFERROR(INDEX(Users!$D$2:$D$310,MATCH(A1097,Users!$B$2:$B$310,0)),"")</f>
        <v>Band 3</v>
      </c>
      <c r="I1097" s="19" t="b">
        <f t="shared" si="52"/>
        <v>1</v>
      </c>
      <c r="J1097" s="33" t="str">
        <f t="shared" si="53"/>
        <v/>
      </c>
    </row>
    <row r="1098" spans="1:10">
      <c r="A1098" s="19" t="s">
        <v>188</v>
      </c>
      <c r="B1098" s="20">
        <v>46023</v>
      </c>
      <c r="C1098" s="21">
        <v>118.4</v>
      </c>
      <c r="D1098" s="21">
        <v>103.32</v>
      </c>
      <c r="E1098" s="21">
        <v>62.67</v>
      </c>
      <c r="F1098" s="27">
        <f t="shared" si="51"/>
        <v>0.87263513513513502</v>
      </c>
      <c r="G1098" s="21" t="str">
        <f>IFERROR(INDEX(Users!$A$2:$A$310,MATCH(A1098,Users!$B$2:$B$310,0)),"")</f>
        <v>Service A</v>
      </c>
      <c r="H1098" s="21" t="str">
        <f>IFERROR(INDEX(Users!$D$2:$D$310,MATCH(A1098,Users!$B$2:$B$310,0)),"")</f>
        <v>Band 3</v>
      </c>
      <c r="I1098" s="19" t="b">
        <f t="shared" si="52"/>
        <v>1</v>
      </c>
      <c r="J1098" s="33" t="str">
        <f t="shared" si="53"/>
        <v/>
      </c>
    </row>
    <row r="1099" spans="1:10">
      <c r="A1099" s="19" t="s">
        <v>190</v>
      </c>
      <c r="B1099" s="20">
        <v>45658</v>
      </c>
      <c r="C1099" s="21">
        <v>162.80000000000001</v>
      </c>
      <c r="D1099" s="21">
        <v>169</v>
      </c>
      <c r="E1099" s="21">
        <v>116.25</v>
      </c>
      <c r="F1099" s="27">
        <f t="shared" si="51"/>
        <v>1.038083538083538</v>
      </c>
      <c r="G1099" s="21" t="str">
        <f>IFERROR(INDEX(Users!$A$2:$A$310,MATCH(A1099,Users!$B$2:$B$310,0)),"")</f>
        <v>Service A</v>
      </c>
      <c r="H1099" s="21" t="str">
        <f>IFERROR(INDEX(Users!$D$2:$D$310,MATCH(A1099,Users!$B$2:$B$310,0)),"")</f>
        <v>Band 3</v>
      </c>
      <c r="I1099" s="19" t="b">
        <f t="shared" si="52"/>
        <v>1</v>
      </c>
      <c r="J1099" s="33" t="str">
        <f t="shared" si="53"/>
        <v/>
      </c>
    </row>
    <row r="1100" spans="1:10">
      <c r="A1100" s="19" t="s">
        <v>190</v>
      </c>
      <c r="B1100" s="20">
        <v>45689</v>
      </c>
      <c r="C1100" s="21">
        <v>148</v>
      </c>
      <c r="D1100" s="21">
        <v>108.75</v>
      </c>
      <c r="E1100" s="21">
        <v>75</v>
      </c>
      <c r="F1100" s="27">
        <f t="shared" si="51"/>
        <v>0.73479729729729726</v>
      </c>
      <c r="G1100" s="21" t="str">
        <f>IFERROR(INDEX(Users!$A$2:$A$310,MATCH(A1100,Users!$B$2:$B$310,0)),"")</f>
        <v>Service A</v>
      </c>
      <c r="H1100" s="21" t="str">
        <f>IFERROR(INDEX(Users!$D$2:$D$310,MATCH(A1100,Users!$B$2:$B$310,0)),"")</f>
        <v>Band 3</v>
      </c>
      <c r="I1100" s="19" t="b">
        <f t="shared" si="52"/>
        <v>1</v>
      </c>
      <c r="J1100" s="33" t="str">
        <f t="shared" si="53"/>
        <v/>
      </c>
    </row>
    <row r="1101" spans="1:10">
      <c r="A1101" s="19" t="s">
        <v>190</v>
      </c>
      <c r="B1101" s="20">
        <v>45717</v>
      </c>
      <c r="C1101" s="21">
        <v>155.4</v>
      </c>
      <c r="D1101" s="21">
        <v>127.75</v>
      </c>
      <c r="E1101" s="21">
        <v>90</v>
      </c>
      <c r="F1101" s="27">
        <f t="shared" si="51"/>
        <v>0.822072072072072</v>
      </c>
      <c r="G1101" s="21" t="str">
        <f>IFERROR(INDEX(Users!$A$2:$A$310,MATCH(A1101,Users!$B$2:$B$310,0)),"")</f>
        <v>Service A</v>
      </c>
      <c r="H1101" s="21" t="str">
        <f>IFERROR(INDEX(Users!$D$2:$D$310,MATCH(A1101,Users!$B$2:$B$310,0)),"")</f>
        <v>Band 3</v>
      </c>
      <c r="I1101" s="19" t="b">
        <f t="shared" si="52"/>
        <v>1</v>
      </c>
      <c r="J1101" s="33" t="str">
        <f t="shared" si="53"/>
        <v/>
      </c>
    </row>
    <row r="1102" spans="1:10">
      <c r="A1102" s="19" t="s">
        <v>190</v>
      </c>
      <c r="B1102" s="20">
        <v>45748</v>
      </c>
      <c r="C1102" s="21">
        <v>148</v>
      </c>
      <c r="D1102" s="21">
        <v>146.5</v>
      </c>
      <c r="E1102" s="21">
        <v>114.75</v>
      </c>
      <c r="F1102" s="27">
        <f t="shared" si="51"/>
        <v>0.98986486486486491</v>
      </c>
      <c r="G1102" s="21" t="str">
        <f>IFERROR(INDEX(Users!$A$2:$A$310,MATCH(A1102,Users!$B$2:$B$310,0)),"")</f>
        <v>Service A</v>
      </c>
      <c r="H1102" s="21" t="str">
        <f>IFERROR(INDEX(Users!$D$2:$D$310,MATCH(A1102,Users!$B$2:$B$310,0)),"")</f>
        <v>Band 3</v>
      </c>
      <c r="I1102" s="19" t="b">
        <f t="shared" si="52"/>
        <v>1</v>
      </c>
      <c r="J1102" s="33" t="str">
        <f t="shared" si="53"/>
        <v/>
      </c>
    </row>
    <row r="1103" spans="1:10">
      <c r="A1103" s="19" t="s">
        <v>190</v>
      </c>
      <c r="B1103" s="20">
        <v>45778</v>
      </c>
      <c r="C1103" s="21">
        <v>148</v>
      </c>
      <c r="D1103" s="21">
        <v>122</v>
      </c>
      <c r="E1103" s="21">
        <v>90</v>
      </c>
      <c r="F1103" s="27">
        <f t="shared" si="51"/>
        <v>0.82432432432432434</v>
      </c>
      <c r="G1103" s="21" t="str">
        <f>IFERROR(INDEX(Users!$A$2:$A$310,MATCH(A1103,Users!$B$2:$B$310,0)),"")</f>
        <v>Service A</v>
      </c>
      <c r="H1103" s="21" t="str">
        <f>IFERROR(INDEX(Users!$D$2:$D$310,MATCH(A1103,Users!$B$2:$B$310,0)),"")</f>
        <v>Band 3</v>
      </c>
      <c r="I1103" s="19" t="b">
        <f t="shared" si="52"/>
        <v>1</v>
      </c>
      <c r="J1103" s="33" t="str">
        <f t="shared" si="53"/>
        <v/>
      </c>
    </row>
    <row r="1104" spans="1:10">
      <c r="A1104" s="19" t="s">
        <v>190</v>
      </c>
      <c r="B1104" s="20">
        <v>45809</v>
      </c>
      <c r="C1104" s="21">
        <v>155.4</v>
      </c>
      <c r="D1104" s="21">
        <v>142.25</v>
      </c>
      <c r="E1104" s="21">
        <v>108</v>
      </c>
      <c r="F1104" s="27">
        <f t="shared" si="51"/>
        <v>0.91537966537966531</v>
      </c>
      <c r="G1104" s="21" t="str">
        <f>IFERROR(INDEX(Users!$A$2:$A$310,MATCH(A1104,Users!$B$2:$B$310,0)),"")</f>
        <v>Service A</v>
      </c>
      <c r="H1104" s="21" t="str">
        <f>IFERROR(INDEX(Users!$D$2:$D$310,MATCH(A1104,Users!$B$2:$B$310,0)),"")</f>
        <v>Band 3</v>
      </c>
      <c r="I1104" s="19" t="b">
        <f t="shared" si="52"/>
        <v>1</v>
      </c>
      <c r="J1104" s="33" t="str">
        <f t="shared" si="53"/>
        <v/>
      </c>
    </row>
    <row r="1105" spans="1:10">
      <c r="A1105" s="19" t="s">
        <v>190</v>
      </c>
      <c r="B1105" s="20">
        <v>45839</v>
      </c>
      <c r="C1105" s="21">
        <v>170.20000000000002</v>
      </c>
      <c r="D1105" s="21">
        <v>139</v>
      </c>
      <c r="E1105" s="21">
        <v>101.75</v>
      </c>
      <c r="F1105" s="27">
        <f t="shared" si="51"/>
        <v>0.81668625146886009</v>
      </c>
      <c r="G1105" s="21" t="str">
        <f>IFERROR(INDEX(Users!$A$2:$A$310,MATCH(A1105,Users!$B$2:$B$310,0)),"")</f>
        <v>Service A</v>
      </c>
      <c r="H1105" s="21" t="str">
        <f>IFERROR(INDEX(Users!$D$2:$D$310,MATCH(A1105,Users!$B$2:$B$310,0)),"")</f>
        <v>Band 3</v>
      </c>
      <c r="I1105" s="19" t="b">
        <f t="shared" si="52"/>
        <v>1</v>
      </c>
      <c r="J1105" s="33" t="str">
        <f t="shared" si="53"/>
        <v/>
      </c>
    </row>
    <row r="1106" spans="1:10">
      <c r="A1106" s="19" t="s">
        <v>190</v>
      </c>
      <c r="B1106" s="20">
        <v>45870</v>
      </c>
      <c r="C1106" s="21">
        <v>148</v>
      </c>
      <c r="D1106" s="21">
        <v>145.75</v>
      </c>
      <c r="E1106" s="21">
        <v>110.75</v>
      </c>
      <c r="F1106" s="27">
        <f t="shared" si="51"/>
        <v>0.98479729729729726</v>
      </c>
      <c r="G1106" s="21" t="str">
        <f>IFERROR(INDEX(Users!$A$2:$A$310,MATCH(A1106,Users!$B$2:$B$310,0)),"")</f>
        <v>Service A</v>
      </c>
      <c r="H1106" s="21" t="str">
        <f>IFERROR(INDEX(Users!$D$2:$D$310,MATCH(A1106,Users!$B$2:$B$310,0)),"")</f>
        <v>Band 3</v>
      </c>
      <c r="I1106" s="19" t="b">
        <f t="shared" si="52"/>
        <v>1</v>
      </c>
      <c r="J1106" s="33" t="str">
        <f t="shared" si="53"/>
        <v/>
      </c>
    </row>
    <row r="1107" spans="1:10">
      <c r="A1107" s="19" t="s">
        <v>190</v>
      </c>
      <c r="B1107" s="20">
        <v>45901</v>
      </c>
      <c r="C1107" s="21">
        <v>162.80000000000001</v>
      </c>
      <c r="D1107" s="21">
        <v>155.07999999999998</v>
      </c>
      <c r="E1107" s="21">
        <v>117.83</v>
      </c>
      <c r="F1107" s="27">
        <f t="shared" si="51"/>
        <v>0.95257985257985245</v>
      </c>
      <c r="G1107" s="21" t="str">
        <f>IFERROR(INDEX(Users!$A$2:$A$310,MATCH(A1107,Users!$B$2:$B$310,0)),"")</f>
        <v>Service A</v>
      </c>
      <c r="H1107" s="21" t="str">
        <f>IFERROR(INDEX(Users!$D$2:$D$310,MATCH(A1107,Users!$B$2:$B$310,0)),"")</f>
        <v>Band 3</v>
      </c>
      <c r="I1107" s="19" t="b">
        <f t="shared" si="52"/>
        <v>1</v>
      </c>
      <c r="J1107" s="33" t="str">
        <f t="shared" si="53"/>
        <v/>
      </c>
    </row>
    <row r="1108" spans="1:10">
      <c r="A1108" s="19" t="s">
        <v>190</v>
      </c>
      <c r="B1108" s="20">
        <v>45931</v>
      </c>
      <c r="C1108" s="21">
        <v>170.20000000000002</v>
      </c>
      <c r="D1108" s="21">
        <v>146.5</v>
      </c>
      <c r="E1108" s="21">
        <v>102.25</v>
      </c>
      <c r="F1108" s="27">
        <f t="shared" si="51"/>
        <v>0.86075205640423025</v>
      </c>
      <c r="G1108" s="21" t="str">
        <f>IFERROR(INDEX(Users!$A$2:$A$310,MATCH(A1108,Users!$B$2:$B$310,0)),"")</f>
        <v>Service A</v>
      </c>
      <c r="H1108" s="21" t="str">
        <f>IFERROR(INDEX(Users!$D$2:$D$310,MATCH(A1108,Users!$B$2:$B$310,0)),"")</f>
        <v>Band 3</v>
      </c>
      <c r="I1108" s="19" t="b">
        <f t="shared" si="52"/>
        <v>1</v>
      </c>
      <c r="J1108" s="33" t="str">
        <f t="shared" si="53"/>
        <v/>
      </c>
    </row>
    <row r="1109" spans="1:10">
      <c r="A1109" s="19" t="s">
        <v>190</v>
      </c>
      <c r="B1109" s="20">
        <v>45962</v>
      </c>
      <c r="C1109" s="21">
        <v>148</v>
      </c>
      <c r="D1109" s="21">
        <v>107</v>
      </c>
      <c r="E1109" s="21">
        <v>79.25</v>
      </c>
      <c r="F1109" s="27">
        <f t="shared" si="51"/>
        <v>0.72297297297297303</v>
      </c>
      <c r="G1109" s="21" t="str">
        <f>IFERROR(INDEX(Users!$A$2:$A$310,MATCH(A1109,Users!$B$2:$B$310,0)),"")</f>
        <v>Service A</v>
      </c>
      <c r="H1109" s="21" t="str">
        <f>IFERROR(INDEX(Users!$D$2:$D$310,MATCH(A1109,Users!$B$2:$B$310,0)),"")</f>
        <v>Band 3</v>
      </c>
      <c r="I1109" s="19" t="b">
        <f t="shared" si="52"/>
        <v>1</v>
      </c>
      <c r="J1109" s="33" t="str">
        <f t="shared" si="53"/>
        <v/>
      </c>
    </row>
    <row r="1110" spans="1:10">
      <c r="A1110" s="19" t="s">
        <v>190</v>
      </c>
      <c r="B1110" s="20">
        <v>45992</v>
      </c>
      <c r="C1110" s="21">
        <v>155.4</v>
      </c>
      <c r="D1110" s="21">
        <v>137</v>
      </c>
      <c r="E1110" s="21">
        <v>89.75</v>
      </c>
      <c r="F1110" s="27">
        <f t="shared" si="51"/>
        <v>0.88159588159588154</v>
      </c>
      <c r="G1110" s="21" t="str">
        <f>IFERROR(INDEX(Users!$A$2:$A$310,MATCH(A1110,Users!$B$2:$B$310,0)),"")</f>
        <v>Service A</v>
      </c>
      <c r="H1110" s="21" t="str">
        <f>IFERROR(INDEX(Users!$D$2:$D$310,MATCH(A1110,Users!$B$2:$B$310,0)),"")</f>
        <v>Band 3</v>
      </c>
      <c r="I1110" s="19" t="b">
        <f t="shared" si="52"/>
        <v>1</v>
      </c>
      <c r="J1110" s="33" t="str">
        <f t="shared" si="53"/>
        <v/>
      </c>
    </row>
    <row r="1111" spans="1:10">
      <c r="A1111" s="19" t="s">
        <v>190</v>
      </c>
      <c r="B1111" s="20">
        <v>46023</v>
      </c>
      <c r="C1111" s="21">
        <v>155.4</v>
      </c>
      <c r="D1111" s="21">
        <v>130.42000000000002</v>
      </c>
      <c r="E1111" s="21">
        <v>84.67</v>
      </c>
      <c r="F1111" s="27">
        <f t="shared" si="51"/>
        <v>0.83925353925353929</v>
      </c>
      <c r="G1111" s="21" t="str">
        <f>IFERROR(INDEX(Users!$A$2:$A$310,MATCH(A1111,Users!$B$2:$B$310,0)),"")</f>
        <v>Service A</v>
      </c>
      <c r="H1111" s="21" t="str">
        <f>IFERROR(INDEX(Users!$D$2:$D$310,MATCH(A1111,Users!$B$2:$B$310,0)),"")</f>
        <v>Band 3</v>
      </c>
      <c r="I1111" s="19" t="b">
        <f t="shared" si="52"/>
        <v>1</v>
      </c>
      <c r="J1111" s="33" t="str">
        <f t="shared" si="53"/>
        <v/>
      </c>
    </row>
    <row r="1112" spans="1:10">
      <c r="A1112" s="19" t="s">
        <v>192</v>
      </c>
      <c r="B1112" s="20">
        <v>45689</v>
      </c>
      <c r="C1112" s="21">
        <v>37</v>
      </c>
      <c r="D1112" s="21"/>
      <c r="E1112" s="21"/>
      <c r="F1112" s="27" t="str">
        <f t="shared" si="51"/>
        <v/>
      </c>
      <c r="G1112" s="21" t="str">
        <f>IFERROR(INDEX(Users!$A$2:$A$310,MATCH(A1112,Users!$B$2:$B$310,0)),"")</f>
        <v>Service B</v>
      </c>
      <c r="H1112" s="21" t="str">
        <f>IFERROR(INDEX(Users!$D$2:$D$310,MATCH(A1112,Users!$B$2:$B$310,0)),"")</f>
        <v>Band 3</v>
      </c>
      <c r="I1112" s="19" t="b">
        <f t="shared" si="52"/>
        <v>0</v>
      </c>
      <c r="J1112" s="33" t="str">
        <f t="shared" si="53"/>
        <v/>
      </c>
    </row>
    <row r="1113" spans="1:10">
      <c r="A1113" s="19" t="s">
        <v>192</v>
      </c>
      <c r="B1113" s="20">
        <v>45717</v>
      </c>
      <c r="C1113" s="21">
        <v>155.4</v>
      </c>
      <c r="D1113" s="21">
        <v>15.406666666666666</v>
      </c>
      <c r="E1113" s="21">
        <v>0.34</v>
      </c>
      <c r="F1113" s="27">
        <f t="shared" si="51"/>
        <v>9.9141999141999129E-2</v>
      </c>
      <c r="G1113" s="21" t="str">
        <f>IFERROR(INDEX(Users!$A$2:$A$310,MATCH(A1113,Users!$B$2:$B$310,0)),"")</f>
        <v>Service B</v>
      </c>
      <c r="H1113" s="21" t="str">
        <f>IFERROR(INDEX(Users!$D$2:$D$310,MATCH(A1113,Users!$B$2:$B$310,0)),"")</f>
        <v>Band 3</v>
      </c>
      <c r="I1113" s="19" t="b">
        <f t="shared" si="52"/>
        <v>0</v>
      </c>
      <c r="J1113" s="33">
        <f t="shared" si="53"/>
        <v>9.9141999141999129E-2</v>
      </c>
    </row>
    <row r="1114" spans="1:10">
      <c r="A1114" s="19" t="s">
        <v>192</v>
      </c>
      <c r="B1114" s="20">
        <v>45748</v>
      </c>
      <c r="C1114" s="21">
        <v>148</v>
      </c>
      <c r="D1114" s="21">
        <v>68.41</v>
      </c>
      <c r="E1114" s="21">
        <v>13.91</v>
      </c>
      <c r="F1114" s="27">
        <f t="shared" si="51"/>
        <v>0.4622297297297297</v>
      </c>
      <c r="G1114" s="21" t="str">
        <f>IFERROR(INDEX(Users!$A$2:$A$310,MATCH(A1114,Users!$B$2:$B$310,0)),"")</f>
        <v>Service B</v>
      </c>
      <c r="H1114" s="21" t="str">
        <f>IFERROR(INDEX(Users!$D$2:$D$310,MATCH(A1114,Users!$B$2:$B$310,0)),"")</f>
        <v>Band 3</v>
      </c>
      <c r="I1114" s="19" t="b">
        <f t="shared" si="52"/>
        <v>0</v>
      </c>
      <c r="J1114" s="33">
        <f t="shared" si="53"/>
        <v>0.4622297297297297</v>
      </c>
    </row>
    <row r="1115" spans="1:10">
      <c r="A1115" s="19" t="s">
        <v>192</v>
      </c>
      <c r="B1115" s="20">
        <v>45778</v>
      </c>
      <c r="C1115" s="21">
        <v>148</v>
      </c>
      <c r="D1115" s="21">
        <v>35.340000000000003</v>
      </c>
      <c r="E1115" s="21">
        <v>11.84</v>
      </c>
      <c r="F1115" s="27">
        <f t="shared" si="51"/>
        <v>0.23878378378378382</v>
      </c>
      <c r="G1115" s="21" t="str">
        <f>IFERROR(INDEX(Users!$A$2:$A$310,MATCH(A1115,Users!$B$2:$B$310,0)),"")</f>
        <v>Service B</v>
      </c>
      <c r="H1115" s="21" t="str">
        <f>IFERROR(INDEX(Users!$D$2:$D$310,MATCH(A1115,Users!$B$2:$B$310,0)),"")</f>
        <v>Band 3</v>
      </c>
      <c r="I1115" s="19" t="b">
        <f t="shared" si="52"/>
        <v>0</v>
      </c>
      <c r="J1115" s="33">
        <f t="shared" si="53"/>
        <v>0.23878378378378382</v>
      </c>
    </row>
    <row r="1116" spans="1:10">
      <c r="A1116" s="19" t="s">
        <v>192</v>
      </c>
      <c r="B1116" s="20">
        <v>45809</v>
      </c>
      <c r="C1116" s="21">
        <v>155.4</v>
      </c>
      <c r="D1116" s="21">
        <v>72.33</v>
      </c>
      <c r="E1116" s="21">
        <v>24.83</v>
      </c>
      <c r="F1116" s="27">
        <f t="shared" si="51"/>
        <v>0.46544401544401542</v>
      </c>
      <c r="G1116" s="21" t="str">
        <f>IFERROR(INDEX(Users!$A$2:$A$310,MATCH(A1116,Users!$B$2:$B$310,0)),"")</f>
        <v>Service B</v>
      </c>
      <c r="H1116" s="21" t="str">
        <f>IFERROR(INDEX(Users!$D$2:$D$310,MATCH(A1116,Users!$B$2:$B$310,0)),"")</f>
        <v>Band 3</v>
      </c>
      <c r="I1116" s="19" t="b">
        <f t="shared" si="52"/>
        <v>0</v>
      </c>
      <c r="J1116" s="33">
        <f t="shared" si="53"/>
        <v>0.46544401544401542</v>
      </c>
    </row>
    <row r="1117" spans="1:10">
      <c r="A1117" s="19" t="s">
        <v>192</v>
      </c>
      <c r="B1117" s="20">
        <v>45839</v>
      </c>
      <c r="C1117" s="21">
        <v>170.20000000000002</v>
      </c>
      <c r="D1117" s="21">
        <v>54.43</v>
      </c>
      <c r="E1117" s="21">
        <v>26.43</v>
      </c>
      <c r="F1117" s="27">
        <f t="shared" si="51"/>
        <v>0.31980023501762628</v>
      </c>
      <c r="G1117" s="21" t="str">
        <f>IFERROR(INDEX(Users!$A$2:$A$310,MATCH(A1117,Users!$B$2:$B$310,0)),"")</f>
        <v>Service B</v>
      </c>
      <c r="H1117" s="21" t="str">
        <f>IFERROR(INDEX(Users!$D$2:$D$310,MATCH(A1117,Users!$B$2:$B$310,0)),"")</f>
        <v>Band 3</v>
      </c>
      <c r="I1117" s="19" t="b">
        <f t="shared" si="52"/>
        <v>0</v>
      </c>
      <c r="J1117" s="33">
        <f t="shared" si="53"/>
        <v>0.31980023501762628</v>
      </c>
    </row>
    <row r="1118" spans="1:10">
      <c r="A1118" s="19" t="s">
        <v>192</v>
      </c>
      <c r="B1118" s="20">
        <v>45870</v>
      </c>
      <c r="C1118" s="21">
        <v>148</v>
      </c>
      <c r="D1118" s="21">
        <v>1.9699999999999998</v>
      </c>
      <c r="E1118" s="21">
        <v>0.96999999999999986</v>
      </c>
      <c r="F1118" s="27">
        <f t="shared" si="51"/>
        <v>1.3310810810810808E-2</v>
      </c>
      <c r="G1118" s="21" t="str">
        <f>IFERROR(INDEX(Users!$A$2:$A$310,MATCH(A1118,Users!$B$2:$B$310,0)),"")</f>
        <v>Service B</v>
      </c>
      <c r="H1118" s="21" t="str">
        <f>IFERROR(INDEX(Users!$D$2:$D$310,MATCH(A1118,Users!$B$2:$B$310,0)),"")</f>
        <v>Band 3</v>
      </c>
      <c r="I1118" s="19" t="b">
        <f t="shared" si="52"/>
        <v>0</v>
      </c>
      <c r="J1118" s="33">
        <f t="shared" si="53"/>
        <v>1.3310810810810808E-2</v>
      </c>
    </row>
    <row r="1119" spans="1:10">
      <c r="A1119" s="19" t="s">
        <v>192</v>
      </c>
      <c r="B1119" s="20">
        <v>45901</v>
      </c>
      <c r="C1119" s="21">
        <v>162.80000000000001</v>
      </c>
      <c r="D1119" s="21">
        <v>73.506666666666661</v>
      </c>
      <c r="E1119" s="21">
        <v>39.340000000000003</v>
      </c>
      <c r="F1119" s="27">
        <f t="shared" si="51"/>
        <v>0.45151515151515142</v>
      </c>
      <c r="G1119" s="21" t="str">
        <f>IFERROR(INDEX(Users!$A$2:$A$310,MATCH(A1119,Users!$B$2:$B$310,0)),"")</f>
        <v>Service B</v>
      </c>
      <c r="H1119" s="21" t="str">
        <f>IFERROR(INDEX(Users!$D$2:$D$310,MATCH(A1119,Users!$B$2:$B$310,0)),"")</f>
        <v>Band 3</v>
      </c>
      <c r="I1119" s="19" t="b">
        <f t="shared" si="52"/>
        <v>0</v>
      </c>
      <c r="J1119" s="33">
        <f t="shared" si="53"/>
        <v>0.45151515151515142</v>
      </c>
    </row>
    <row r="1120" spans="1:10">
      <c r="A1120" s="19" t="s">
        <v>192</v>
      </c>
      <c r="B1120" s="20">
        <v>45931</v>
      </c>
      <c r="C1120" s="21">
        <v>170.20000000000002</v>
      </c>
      <c r="D1120" s="21">
        <v>51</v>
      </c>
      <c r="E1120" s="21">
        <v>34</v>
      </c>
      <c r="F1120" s="27">
        <f t="shared" si="51"/>
        <v>0.29964747356051702</v>
      </c>
      <c r="G1120" s="21" t="str">
        <f>IFERROR(INDEX(Users!$A$2:$A$310,MATCH(A1120,Users!$B$2:$B$310,0)),"")</f>
        <v>Service B</v>
      </c>
      <c r="H1120" s="21" t="str">
        <f>IFERROR(INDEX(Users!$D$2:$D$310,MATCH(A1120,Users!$B$2:$B$310,0)),"")</f>
        <v>Band 3</v>
      </c>
      <c r="I1120" s="19" t="b">
        <f t="shared" si="52"/>
        <v>0</v>
      </c>
      <c r="J1120" s="33">
        <f t="shared" si="53"/>
        <v>0.29964747356051702</v>
      </c>
    </row>
    <row r="1121" spans="1:10">
      <c r="A1121" s="19" t="s">
        <v>192</v>
      </c>
      <c r="B1121" s="20">
        <v>45962</v>
      </c>
      <c r="C1121" s="21">
        <v>148</v>
      </c>
      <c r="D1121" s="21">
        <v>53.589999999999996</v>
      </c>
      <c r="E1121" s="21">
        <v>23.589999999999996</v>
      </c>
      <c r="F1121" s="27">
        <f t="shared" si="51"/>
        <v>0.36209459459459459</v>
      </c>
      <c r="G1121" s="21" t="str">
        <f>IFERROR(INDEX(Users!$A$2:$A$310,MATCH(A1121,Users!$B$2:$B$310,0)),"")</f>
        <v>Service B</v>
      </c>
      <c r="H1121" s="21" t="str">
        <f>IFERROR(INDEX(Users!$D$2:$D$310,MATCH(A1121,Users!$B$2:$B$310,0)),"")</f>
        <v>Band 3</v>
      </c>
      <c r="I1121" s="19" t="b">
        <f t="shared" si="52"/>
        <v>0</v>
      </c>
      <c r="J1121" s="33">
        <f t="shared" si="53"/>
        <v>0.36209459459459459</v>
      </c>
    </row>
    <row r="1122" spans="1:10">
      <c r="A1122" s="19" t="s">
        <v>192</v>
      </c>
      <c r="B1122" s="20">
        <v>45992</v>
      </c>
      <c r="C1122" s="21">
        <v>155.4</v>
      </c>
      <c r="D1122" s="21">
        <v>24.870000000000005</v>
      </c>
      <c r="E1122" s="21">
        <v>24.870000000000005</v>
      </c>
      <c r="F1122" s="27">
        <f t="shared" si="51"/>
        <v>0.16003861003861006</v>
      </c>
      <c r="G1122" s="21" t="str">
        <f>IFERROR(INDEX(Users!$A$2:$A$310,MATCH(A1122,Users!$B$2:$B$310,0)),"")</f>
        <v>Service B</v>
      </c>
      <c r="H1122" s="21" t="str">
        <f>IFERROR(INDEX(Users!$D$2:$D$310,MATCH(A1122,Users!$B$2:$B$310,0)),"")</f>
        <v>Band 3</v>
      </c>
      <c r="I1122" s="19" t="b">
        <f t="shared" si="52"/>
        <v>0</v>
      </c>
      <c r="J1122" s="33">
        <f t="shared" si="53"/>
        <v>0.16003861003861006</v>
      </c>
    </row>
    <row r="1123" spans="1:10">
      <c r="A1123" s="19" t="s">
        <v>192</v>
      </c>
      <c r="B1123" s="20">
        <v>46023</v>
      </c>
      <c r="C1123" s="21">
        <v>155.4</v>
      </c>
      <c r="D1123" s="21">
        <v>14.37</v>
      </c>
      <c r="E1123" s="21">
        <v>12.87</v>
      </c>
      <c r="F1123" s="27">
        <f t="shared" si="51"/>
        <v>9.2471042471042458E-2</v>
      </c>
      <c r="G1123" s="21" t="str">
        <f>IFERROR(INDEX(Users!$A$2:$A$310,MATCH(A1123,Users!$B$2:$B$310,0)),"")</f>
        <v>Service B</v>
      </c>
      <c r="H1123" s="21" t="str">
        <f>IFERROR(INDEX(Users!$D$2:$D$310,MATCH(A1123,Users!$B$2:$B$310,0)),"")</f>
        <v>Band 3</v>
      </c>
      <c r="I1123" s="19" t="b">
        <f t="shared" si="52"/>
        <v>0</v>
      </c>
      <c r="J1123" s="33" t="str">
        <f t="shared" si="53"/>
        <v/>
      </c>
    </row>
    <row r="1124" spans="1:10">
      <c r="A1124" s="19" t="s">
        <v>193</v>
      </c>
      <c r="B1124" s="20">
        <v>45658</v>
      </c>
      <c r="C1124" s="21"/>
      <c r="D1124" s="21"/>
      <c r="E1124" s="21"/>
      <c r="F1124" s="27" t="str">
        <f t="shared" si="51"/>
        <v/>
      </c>
      <c r="G1124" s="21" t="str">
        <f>IFERROR(INDEX(Users!$A$2:$A$310,MATCH(A1124,Users!$B$2:$B$310,0)),"")</f>
        <v>Service B</v>
      </c>
      <c r="H1124" s="21" t="str">
        <f>IFERROR(INDEX(Users!$D$2:$D$310,MATCH(A1124,Users!$B$2:$B$310,0)),"")</f>
        <v>Band 3</v>
      </c>
      <c r="I1124" s="19" t="b">
        <f t="shared" si="52"/>
        <v>0</v>
      </c>
      <c r="J1124" s="33" t="str">
        <f t="shared" si="53"/>
        <v/>
      </c>
    </row>
    <row r="1125" spans="1:10">
      <c r="A1125" s="19" t="s">
        <v>194</v>
      </c>
      <c r="B1125" s="20">
        <v>45658</v>
      </c>
      <c r="C1125" s="21">
        <v>112.20000000000002</v>
      </c>
      <c r="D1125" s="21">
        <v>100.58666666666666</v>
      </c>
      <c r="E1125" s="21">
        <v>47.67</v>
      </c>
      <c r="F1125" s="27">
        <f t="shared" si="51"/>
        <v>0.89649435531788457</v>
      </c>
      <c r="G1125" s="21" t="str">
        <f>IFERROR(INDEX(Users!$A$2:$A$310,MATCH(A1125,Users!$B$2:$B$310,0)),"")</f>
        <v>Service A</v>
      </c>
      <c r="H1125" s="21" t="str">
        <f>IFERROR(INDEX(Users!$D$2:$D$310,MATCH(A1125,Users!$B$2:$B$310,0)),"")</f>
        <v>Band 3</v>
      </c>
      <c r="I1125" s="19" t="b">
        <f t="shared" si="52"/>
        <v>1</v>
      </c>
      <c r="J1125" s="33" t="str">
        <f t="shared" si="53"/>
        <v/>
      </c>
    </row>
    <row r="1126" spans="1:10">
      <c r="A1126" s="19" t="s">
        <v>194</v>
      </c>
      <c r="B1126" s="20">
        <v>45689</v>
      </c>
      <c r="C1126" s="21">
        <v>102.00000000000001</v>
      </c>
      <c r="D1126" s="21">
        <v>105.82</v>
      </c>
      <c r="E1126" s="21">
        <v>67.569999999999993</v>
      </c>
      <c r="F1126" s="27">
        <f t="shared" si="51"/>
        <v>1.0374509803921566</v>
      </c>
      <c r="G1126" s="21" t="str">
        <f>IFERROR(INDEX(Users!$A$2:$A$310,MATCH(A1126,Users!$B$2:$B$310,0)),"")</f>
        <v>Service A</v>
      </c>
      <c r="H1126" s="21" t="str">
        <f>IFERROR(INDEX(Users!$D$2:$D$310,MATCH(A1126,Users!$B$2:$B$310,0)),"")</f>
        <v>Band 3</v>
      </c>
      <c r="I1126" s="19" t="b">
        <f t="shared" si="52"/>
        <v>1</v>
      </c>
      <c r="J1126" s="33" t="str">
        <f t="shared" si="53"/>
        <v/>
      </c>
    </row>
    <row r="1127" spans="1:10">
      <c r="A1127" s="19" t="s">
        <v>194</v>
      </c>
      <c r="B1127" s="20">
        <v>45717</v>
      </c>
      <c r="C1127" s="21">
        <v>107.10000000000001</v>
      </c>
      <c r="D1127" s="21">
        <v>120.59333333333335</v>
      </c>
      <c r="E1127" s="21">
        <v>68.760000000000005</v>
      </c>
      <c r="F1127" s="27">
        <f t="shared" si="51"/>
        <v>1.1259881730469967</v>
      </c>
      <c r="G1127" s="21" t="str">
        <f>IFERROR(INDEX(Users!$A$2:$A$310,MATCH(A1127,Users!$B$2:$B$310,0)),"")</f>
        <v>Service A</v>
      </c>
      <c r="H1127" s="21" t="str">
        <f>IFERROR(INDEX(Users!$D$2:$D$310,MATCH(A1127,Users!$B$2:$B$310,0)),"")</f>
        <v>Band 3</v>
      </c>
      <c r="I1127" s="19" t="b">
        <f t="shared" si="52"/>
        <v>1</v>
      </c>
      <c r="J1127" s="33" t="str">
        <f t="shared" si="53"/>
        <v/>
      </c>
    </row>
    <row r="1128" spans="1:10">
      <c r="A1128" s="19" t="s">
        <v>194</v>
      </c>
      <c r="B1128" s="20">
        <v>45748</v>
      </c>
      <c r="C1128" s="21">
        <v>102.00000000000001</v>
      </c>
      <c r="D1128" s="21">
        <v>90.076666666666654</v>
      </c>
      <c r="E1128" s="21">
        <v>32.409999999999997</v>
      </c>
      <c r="F1128" s="27">
        <f t="shared" si="51"/>
        <v>0.88310457516339846</v>
      </c>
      <c r="G1128" s="21" t="str">
        <f>IFERROR(INDEX(Users!$A$2:$A$310,MATCH(A1128,Users!$B$2:$B$310,0)),"")</f>
        <v>Service A</v>
      </c>
      <c r="H1128" s="21" t="str">
        <f>IFERROR(INDEX(Users!$D$2:$D$310,MATCH(A1128,Users!$B$2:$B$310,0)),"")</f>
        <v>Band 3</v>
      </c>
      <c r="I1128" s="19" t="b">
        <f t="shared" si="52"/>
        <v>1</v>
      </c>
      <c r="J1128" s="33" t="str">
        <f t="shared" si="53"/>
        <v/>
      </c>
    </row>
    <row r="1129" spans="1:10">
      <c r="A1129" s="19" t="s">
        <v>194</v>
      </c>
      <c r="B1129" s="20">
        <v>45778</v>
      </c>
      <c r="C1129" s="21">
        <v>102.00000000000001</v>
      </c>
      <c r="D1129" s="21">
        <v>20.5</v>
      </c>
      <c r="E1129" s="21">
        <v>13.75</v>
      </c>
      <c r="F1129" s="27">
        <f t="shared" si="51"/>
        <v>0.20098039215686272</v>
      </c>
      <c r="G1129" s="21" t="str">
        <f>IFERROR(INDEX(Users!$A$2:$A$310,MATCH(A1129,Users!$B$2:$B$310,0)),"")</f>
        <v>Service A</v>
      </c>
      <c r="H1129" s="21" t="str">
        <f>IFERROR(INDEX(Users!$D$2:$D$310,MATCH(A1129,Users!$B$2:$B$310,0)),"")</f>
        <v>Band 3</v>
      </c>
      <c r="I1129" s="19" t="b">
        <f t="shared" si="52"/>
        <v>1</v>
      </c>
      <c r="J1129" s="33" t="str">
        <f t="shared" si="53"/>
        <v/>
      </c>
    </row>
    <row r="1130" spans="1:10">
      <c r="A1130" s="19" t="s">
        <v>194</v>
      </c>
      <c r="B1130" s="20">
        <v>45809</v>
      </c>
      <c r="C1130" s="21">
        <v>107.10000000000001</v>
      </c>
      <c r="D1130" s="21">
        <v>106.34</v>
      </c>
      <c r="E1130" s="21">
        <v>83.09</v>
      </c>
      <c r="F1130" s="27">
        <f t="shared" si="51"/>
        <v>0.99290382819794576</v>
      </c>
      <c r="G1130" s="21" t="str">
        <f>IFERROR(INDEX(Users!$A$2:$A$310,MATCH(A1130,Users!$B$2:$B$310,0)),"")</f>
        <v>Service A</v>
      </c>
      <c r="H1130" s="21" t="str">
        <f>IFERROR(INDEX(Users!$D$2:$D$310,MATCH(A1130,Users!$B$2:$B$310,0)),"")</f>
        <v>Band 3</v>
      </c>
      <c r="I1130" s="19" t="b">
        <f t="shared" si="52"/>
        <v>1</v>
      </c>
      <c r="J1130" s="33" t="str">
        <f t="shared" si="53"/>
        <v/>
      </c>
    </row>
    <row r="1131" spans="1:10">
      <c r="A1131" s="19" t="s">
        <v>194</v>
      </c>
      <c r="B1131" s="20">
        <v>45839</v>
      </c>
      <c r="C1131" s="21">
        <v>117.30000000000001</v>
      </c>
      <c r="D1131" s="21">
        <v>111.34666666666666</v>
      </c>
      <c r="E1131" s="21">
        <v>77.430000000000007</v>
      </c>
      <c r="F1131" s="27">
        <f t="shared" si="51"/>
        <v>0.9492469451548734</v>
      </c>
      <c r="G1131" s="21" t="str">
        <f>IFERROR(INDEX(Users!$A$2:$A$310,MATCH(A1131,Users!$B$2:$B$310,0)),"")</f>
        <v>Service A</v>
      </c>
      <c r="H1131" s="21" t="str">
        <f>IFERROR(INDEX(Users!$D$2:$D$310,MATCH(A1131,Users!$B$2:$B$310,0)),"")</f>
        <v>Band 3</v>
      </c>
      <c r="I1131" s="19" t="b">
        <f t="shared" si="52"/>
        <v>1</v>
      </c>
      <c r="J1131" s="33" t="str">
        <f t="shared" si="53"/>
        <v/>
      </c>
    </row>
    <row r="1132" spans="1:10">
      <c r="A1132" s="19" t="s">
        <v>194</v>
      </c>
      <c r="B1132" s="20">
        <v>45870</v>
      </c>
      <c r="C1132" s="21">
        <v>102.00000000000001</v>
      </c>
      <c r="D1132" s="21">
        <v>75.596666666666678</v>
      </c>
      <c r="E1132" s="21">
        <v>54.180000000000007</v>
      </c>
      <c r="F1132" s="27">
        <f t="shared" si="51"/>
        <v>0.74114379084967319</v>
      </c>
      <c r="G1132" s="21" t="str">
        <f>IFERROR(INDEX(Users!$A$2:$A$310,MATCH(A1132,Users!$B$2:$B$310,0)),"")</f>
        <v>Service A</v>
      </c>
      <c r="H1132" s="21" t="str">
        <f>IFERROR(INDEX(Users!$D$2:$D$310,MATCH(A1132,Users!$B$2:$B$310,0)),"")</f>
        <v>Band 3</v>
      </c>
      <c r="I1132" s="19" t="b">
        <f t="shared" si="52"/>
        <v>1</v>
      </c>
      <c r="J1132" s="33" t="str">
        <f t="shared" si="53"/>
        <v/>
      </c>
    </row>
    <row r="1133" spans="1:10">
      <c r="A1133" s="19" t="s">
        <v>194</v>
      </c>
      <c r="B1133" s="20">
        <v>45901</v>
      </c>
      <c r="C1133" s="21">
        <v>112.20000000000002</v>
      </c>
      <c r="D1133" s="21">
        <v>113.51666666666668</v>
      </c>
      <c r="E1133" s="21">
        <v>80.850000000000009</v>
      </c>
      <c r="F1133" s="27">
        <f t="shared" si="51"/>
        <v>1.0117349970291147</v>
      </c>
      <c r="G1133" s="21" t="str">
        <f>IFERROR(INDEX(Users!$A$2:$A$310,MATCH(A1133,Users!$B$2:$B$310,0)),"")</f>
        <v>Service A</v>
      </c>
      <c r="H1133" s="21" t="str">
        <f>IFERROR(INDEX(Users!$D$2:$D$310,MATCH(A1133,Users!$B$2:$B$310,0)),"")</f>
        <v>Band 3</v>
      </c>
      <c r="I1133" s="19" t="b">
        <f t="shared" si="52"/>
        <v>1</v>
      </c>
      <c r="J1133" s="33" t="str">
        <f t="shared" si="53"/>
        <v/>
      </c>
    </row>
    <row r="1134" spans="1:10">
      <c r="A1134" s="19" t="s">
        <v>194</v>
      </c>
      <c r="B1134" s="20">
        <v>45931</v>
      </c>
      <c r="C1134" s="21">
        <v>117.30000000000001</v>
      </c>
      <c r="D1134" s="21">
        <v>90.153333333333336</v>
      </c>
      <c r="E1134" s="21">
        <v>53.819999999999993</v>
      </c>
      <c r="F1134" s="27">
        <f t="shared" si="51"/>
        <v>0.76857061665245807</v>
      </c>
      <c r="G1134" s="21" t="str">
        <f>IFERROR(INDEX(Users!$A$2:$A$310,MATCH(A1134,Users!$B$2:$B$310,0)),"")</f>
        <v>Service A</v>
      </c>
      <c r="H1134" s="21" t="str">
        <f>IFERROR(INDEX(Users!$D$2:$D$310,MATCH(A1134,Users!$B$2:$B$310,0)),"")</f>
        <v>Band 3</v>
      </c>
      <c r="I1134" s="19" t="b">
        <f t="shared" si="52"/>
        <v>1</v>
      </c>
      <c r="J1134" s="33" t="str">
        <f t="shared" si="53"/>
        <v/>
      </c>
    </row>
    <row r="1135" spans="1:10">
      <c r="A1135" s="19" t="s">
        <v>194</v>
      </c>
      <c r="B1135" s="20">
        <v>45962</v>
      </c>
      <c r="C1135" s="21">
        <v>102.00000000000001</v>
      </c>
      <c r="D1135" s="21">
        <v>92.113333333333344</v>
      </c>
      <c r="E1135" s="21">
        <v>65.03</v>
      </c>
      <c r="F1135" s="27">
        <f t="shared" si="51"/>
        <v>0.90307189542483657</v>
      </c>
      <c r="G1135" s="21" t="str">
        <f>IFERROR(INDEX(Users!$A$2:$A$310,MATCH(A1135,Users!$B$2:$B$310,0)),"")</f>
        <v>Service A</v>
      </c>
      <c r="H1135" s="21" t="str">
        <f>IFERROR(INDEX(Users!$D$2:$D$310,MATCH(A1135,Users!$B$2:$B$310,0)),"")</f>
        <v>Band 3</v>
      </c>
      <c r="I1135" s="19" t="b">
        <f t="shared" si="52"/>
        <v>1</v>
      </c>
      <c r="J1135" s="33" t="str">
        <f t="shared" si="53"/>
        <v/>
      </c>
    </row>
    <row r="1136" spans="1:10">
      <c r="A1136" s="19" t="s">
        <v>194</v>
      </c>
      <c r="B1136" s="20">
        <v>45992</v>
      </c>
      <c r="C1136" s="21">
        <v>107.10000000000001</v>
      </c>
      <c r="D1136" s="21">
        <v>97.32</v>
      </c>
      <c r="E1136" s="21">
        <v>67.819999999999993</v>
      </c>
      <c r="F1136" s="27">
        <f t="shared" si="51"/>
        <v>0.90868347338935562</v>
      </c>
      <c r="G1136" s="21" t="str">
        <f>IFERROR(INDEX(Users!$A$2:$A$310,MATCH(A1136,Users!$B$2:$B$310,0)),"")</f>
        <v>Service A</v>
      </c>
      <c r="H1136" s="21" t="str">
        <f>IFERROR(INDEX(Users!$D$2:$D$310,MATCH(A1136,Users!$B$2:$B$310,0)),"")</f>
        <v>Band 3</v>
      </c>
      <c r="I1136" s="19" t="b">
        <f t="shared" si="52"/>
        <v>1</v>
      </c>
      <c r="J1136" s="33" t="str">
        <f t="shared" si="53"/>
        <v/>
      </c>
    </row>
    <row r="1137" spans="1:10">
      <c r="A1137" s="19" t="s">
        <v>194</v>
      </c>
      <c r="B1137" s="20">
        <v>46023</v>
      </c>
      <c r="C1137" s="21">
        <v>107.10000000000001</v>
      </c>
      <c r="D1137" s="21">
        <v>81.673333333333346</v>
      </c>
      <c r="E1137" s="21">
        <v>60.59</v>
      </c>
      <c r="F1137" s="27">
        <f t="shared" si="51"/>
        <v>0.76258948023653916</v>
      </c>
      <c r="G1137" s="21" t="str">
        <f>IFERROR(INDEX(Users!$A$2:$A$310,MATCH(A1137,Users!$B$2:$B$310,0)),"")</f>
        <v>Service A</v>
      </c>
      <c r="H1137" s="21" t="str">
        <f>IFERROR(INDEX(Users!$D$2:$D$310,MATCH(A1137,Users!$B$2:$B$310,0)),"")</f>
        <v>Band 3</v>
      </c>
      <c r="I1137" s="19" t="b">
        <f t="shared" si="52"/>
        <v>1</v>
      </c>
      <c r="J1137" s="33" t="str">
        <f t="shared" si="53"/>
        <v/>
      </c>
    </row>
    <row r="1138" spans="1:10">
      <c r="A1138" s="19" t="s">
        <v>195</v>
      </c>
      <c r="B1138" s="20">
        <v>45658</v>
      </c>
      <c r="C1138" s="21">
        <v>162.80000000000001</v>
      </c>
      <c r="D1138" s="21">
        <v>159.64555555555555</v>
      </c>
      <c r="E1138" s="21">
        <v>136.12</v>
      </c>
      <c r="F1138" s="27">
        <f t="shared" si="51"/>
        <v>0.98062380562380547</v>
      </c>
      <c r="G1138" s="21" t="str">
        <f>IFERROR(INDEX(Users!$A$2:$A$310,MATCH(A1138,Users!$B$2:$B$310,0)),"")</f>
        <v>Service A</v>
      </c>
      <c r="H1138" s="21" t="str">
        <f>IFERROR(INDEX(Users!$D$2:$D$310,MATCH(A1138,Users!$B$2:$B$310,0)),"")</f>
        <v>Band 3</v>
      </c>
      <c r="I1138" s="19" t="b">
        <f t="shared" si="52"/>
        <v>1</v>
      </c>
      <c r="J1138" s="33" t="str">
        <f t="shared" si="53"/>
        <v/>
      </c>
    </row>
    <row r="1139" spans="1:10">
      <c r="A1139" s="19" t="s">
        <v>195</v>
      </c>
      <c r="B1139" s="20">
        <v>45689</v>
      </c>
      <c r="C1139" s="21">
        <v>148</v>
      </c>
      <c r="D1139" s="21">
        <v>135.28500000000003</v>
      </c>
      <c r="E1139" s="21">
        <v>119.14000000000001</v>
      </c>
      <c r="F1139" s="27">
        <f t="shared" si="51"/>
        <v>0.91408783783783798</v>
      </c>
      <c r="G1139" s="21" t="str">
        <f>IFERROR(INDEX(Users!$A$2:$A$310,MATCH(A1139,Users!$B$2:$B$310,0)),"")</f>
        <v>Service A</v>
      </c>
      <c r="H1139" s="21" t="str">
        <f>IFERROR(INDEX(Users!$D$2:$D$310,MATCH(A1139,Users!$B$2:$B$310,0)),"")</f>
        <v>Band 3</v>
      </c>
      <c r="I1139" s="19" t="b">
        <f t="shared" si="52"/>
        <v>1</v>
      </c>
      <c r="J1139" s="33" t="str">
        <f t="shared" si="53"/>
        <v/>
      </c>
    </row>
    <row r="1140" spans="1:10">
      <c r="A1140" s="19" t="s">
        <v>195</v>
      </c>
      <c r="B1140" s="20">
        <v>45717</v>
      </c>
      <c r="C1140" s="21">
        <v>155.4</v>
      </c>
      <c r="D1140" s="21">
        <v>103.51916666666666</v>
      </c>
      <c r="E1140" s="21">
        <v>92.32</v>
      </c>
      <c r="F1140" s="27">
        <f t="shared" si="51"/>
        <v>0.66614650364650363</v>
      </c>
      <c r="G1140" s="21" t="str">
        <f>IFERROR(INDEX(Users!$A$2:$A$310,MATCH(A1140,Users!$B$2:$B$310,0)),"")</f>
        <v>Service A</v>
      </c>
      <c r="H1140" s="21" t="str">
        <f>IFERROR(INDEX(Users!$D$2:$D$310,MATCH(A1140,Users!$B$2:$B$310,0)),"")</f>
        <v>Band 3</v>
      </c>
      <c r="I1140" s="19" t="b">
        <f t="shared" si="52"/>
        <v>1</v>
      </c>
      <c r="J1140" s="33" t="str">
        <f t="shared" si="53"/>
        <v/>
      </c>
    </row>
    <row r="1141" spans="1:10">
      <c r="A1141" s="19" t="s">
        <v>195</v>
      </c>
      <c r="B1141" s="20">
        <v>45748</v>
      </c>
      <c r="C1141" s="21">
        <v>148</v>
      </c>
      <c r="D1141" s="21">
        <v>102.36333333333333</v>
      </c>
      <c r="E1141" s="21">
        <v>76.42</v>
      </c>
      <c r="F1141" s="27">
        <f t="shared" si="51"/>
        <v>0.6916441441441441</v>
      </c>
      <c r="G1141" s="21" t="str">
        <f>IFERROR(INDEX(Users!$A$2:$A$310,MATCH(A1141,Users!$B$2:$B$310,0)),"")</f>
        <v>Service A</v>
      </c>
      <c r="H1141" s="21" t="str">
        <f>IFERROR(INDEX(Users!$D$2:$D$310,MATCH(A1141,Users!$B$2:$B$310,0)),"")</f>
        <v>Band 3</v>
      </c>
      <c r="I1141" s="19" t="b">
        <f t="shared" si="52"/>
        <v>1</v>
      </c>
      <c r="J1141" s="33" t="str">
        <f t="shared" si="53"/>
        <v/>
      </c>
    </row>
    <row r="1142" spans="1:10">
      <c r="A1142" s="19" t="s">
        <v>195</v>
      </c>
      <c r="B1142" s="20">
        <v>45778</v>
      </c>
      <c r="C1142" s="21">
        <v>148</v>
      </c>
      <c r="D1142" s="21">
        <v>117.14027777777778</v>
      </c>
      <c r="E1142" s="21">
        <v>100.85000000000001</v>
      </c>
      <c r="F1142" s="27">
        <f t="shared" si="51"/>
        <v>0.79148836336336337</v>
      </c>
      <c r="G1142" s="21" t="str">
        <f>IFERROR(INDEX(Users!$A$2:$A$310,MATCH(A1142,Users!$B$2:$B$310,0)),"")</f>
        <v>Service A</v>
      </c>
      <c r="H1142" s="21" t="str">
        <f>IFERROR(INDEX(Users!$D$2:$D$310,MATCH(A1142,Users!$B$2:$B$310,0)),"")</f>
        <v>Band 3</v>
      </c>
      <c r="I1142" s="19" t="b">
        <f t="shared" si="52"/>
        <v>1</v>
      </c>
      <c r="J1142" s="33" t="str">
        <f t="shared" si="53"/>
        <v/>
      </c>
    </row>
    <row r="1143" spans="1:10">
      <c r="A1143" s="19" t="s">
        <v>195</v>
      </c>
      <c r="B1143" s="20">
        <v>45809</v>
      </c>
      <c r="C1143" s="21">
        <v>155.4</v>
      </c>
      <c r="D1143" s="21">
        <v>67.546111111111102</v>
      </c>
      <c r="E1143" s="21">
        <v>52.269999999999996</v>
      </c>
      <c r="F1143" s="27">
        <f t="shared" si="51"/>
        <v>0.43465965965965958</v>
      </c>
      <c r="G1143" s="21" t="str">
        <f>IFERROR(INDEX(Users!$A$2:$A$310,MATCH(A1143,Users!$B$2:$B$310,0)),"")</f>
        <v>Service A</v>
      </c>
      <c r="H1143" s="21" t="str">
        <f>IFERROR(INDEX(Users!$D$2:$D$310,MATCH(A1143,Users!$B$2:$B$310,0)),"")</f>
        <v>Band 3</v>
      </c>
      <c r="I1143" s="19" t="b">
        <f t="shared" si="52"/>
        <v>1</v>
      </c>
      <c r="J1143" s="33" t="str">
        <f t="shared" si="53"/>
        <v/>
      </c>
    </row>
    <row r="1144" spans="1:10">
      <c r="A1144" s="19" t="s">
        <v>195</v>
      </c>
      <c r="B1144" s="20">
        <v>45839</v>
      </c>
      <c r="C1144" s="21">
        <v>170.20000000000002</v>
      </c>
      <c r="D1144" s="21">
        <v>135.82944444444442</v>
      </c>
      <c r="E1144" s="21">
        <v>109.22999999999999</v>
      </c>
      <c r="F1144" s="27">
        <f t="shared" si="51"/>
        <v>0.79805784044914452</v>
      </c>
      <c r="G1144" s="21" t="str">
        <f>IFERROR(INDEX(Users!$A$2:$A$310,MATCH(A1144,Users!$B$2:$B$310,0)),"")</f>
        <v>Service A</v>
      </c>
      <c r="H1144" s="21" t="str">
        <f>IFERROR(INDEX(Users!$D$2:$D$310,MATCH(A1144,Users!$B$2:$B$310,0)),"")</f>
        <v>Band 3</v>
      </c>
      <c r="I1144" s="19" t="b">
        <f t="shared" si="52"/>
        <v>1</v>
      </c>
      <c r="J1144" s="33" t="str">
        <f t="shared" si="53"/>
        <v/>
      </c>
    </row>
    <row r="1145" spans="1:10">
      <c r="A1145" s="19" t="s">
        <v>195</v>
      </c>
      <c r="B1145" s="20">
        <v>45870</v>
      </c>
      <c r="C1145" s="21">
        <v>148</v>
      </c>
      <c r="D1145" s="21">
        <v>94.325277777777785</v>
      </c>
      <c r="E1145" s="21">
        <v>78.02000000000001</v>
      </c>
      <c r="F1145" s="27">
        <f t="shared" si="51"/>
        <v>0.63733295795795797</v>
      </c>
      <c r="G1145" s="21" t="str">
        <f>IFERROR(INDEX(Users!$A$2:$A$310,MATCH(A1145,Users!$B$2:$B$310,0)),"")</f>
        <v>Service A</v>
      </c>
      <c r="H1145" s="21" t="str">
        <f>IFERROR(INDEX(Users!$D$2:$D$310,MATCH(A1145,Users!$B$2:$B$310,0)),"")</f>
        <v>Band 3</v>
      </c>
      <c r="I1145" s="19" t="b">
        <f t="shared" si="52"/>
        <v>1</v>
      </c>
      <c r="J1145" s="33" t="str">
        <f t="shared" si="53"/>
        <v/>
      </c>
    </row>
    <row r="1146" spans="1:10">
      <c r="A1146" s="19" t="s">
        <v>195</v>
      </c>
      <c r="B1146" s="20">
        <v>45901</v>
      </c>
      <c r="C1146" s="21">
        <v>162.80000000000001</v>
      </c>
      <c r="D1146" s="21">
        <v>147.10916666666665</v>
      </c>
      <c r="E1146" s="21">
        <v>132.38999999999999</v>
      </c>
      <c r="F1146" s="27">
        <f t="shared" si="51"/>
        <v>0.90361895986895968</v>
      </c>
      <c r="G1146" s="21" t="str">
        <f>IFERROR(INDEX(Users!$A$2:$A$310,MATCH(A1146,Users!$B$2:$B$310,0)),"")</f>
        <v>Service A</v>
      </c>
      <c r="H1146" s="21" t="str">
        <f>IFERROR(INDEX(Users!$D$2:$D$310,MATCH(A1146,Users!$B$2:$B$310,0)),"")</f>
        <v>Band 3</v>
      </c>
      <c r="I1146" s="19" t="b">
        <f t="shared" si="52"/>
        <v>1</v>
      </c>
      <c r="J1146" s="33" t="str">
        <f t="shared" si="53"/>
        <v/>
      </c>
    </row>
    <row r="1147" spans="1:10">
      <c r="A1147" s="19" t="s">
        <v>195</v>
      </c>
      <c r="B1147" s="20">
        <v>45931</v>
      </c>
      <c r="C1147" s="21">
        <v>170.20000000000002</v>
      </c>
      <c r="D1147" s="21">
        <v>89.334444444444458</v>
      </c>
      <c r="E1147" s="21">
        <v>73.010000000000019</v>
      </c>
      <c r="F1147" s="27">
        <f t="shared" si="51"/>
        <v>0.52487922705314016</v>
      </c>
      <c r="G1147" s="21" t="str">
        <f>IFERROR(INDEX(Users!$A$2:$A$310,MATCH(A1147,Users!$B$2:$B$310,0)),"")</f>
        <v>Service A</v>
      </c>
      <c r="H1147" s="21" t="str">
        <f>IFERROR(INDEX(Users!$D$2:$D$310,MATCH(A1147,Users!$B$2:$B$310,0)),"")</f>
        <v>Band 3</v>
      </c>
      <c r="I1147" s="19" t="b">
        <f t="shared" si="52"/>
        <v>1</v>
      </c>
      <c r="J1147" s="33" t="str">
        <f t="shared" si="53"/>
        <v/>
      </c>
    </row>
    <row r="1148" spans="1:10">
      <c r="A1148" s="19" t="s">
        <v>195</v>
      </c>
      <c r="B1148" s="20">
        <v>45962</v>
      </c>
      <c r="C1148" s="21">
        <v>148</v>
      </c>
      <c r="D1148" s="21">
        <v>90.361944444444447</v>
      </c>
      <c r="E1148" s="21">
        <v>84.63</v>
      </c>
      <c r="F1148" s="27">
        <f t="shared" si="51"/>
        <v>0.61055367867867871</v>
      </c>
      <c r="G1148" s="21" t="str">
        <f>IFERROR(INDEX(Users!$A$2:$A$310,MATCH(A1148,Users!$B$2:$B$310,0)),"")</f>
        <v>Service A</v>
      </c>
      <c r="H1148" s="21" t="str">
        <f>IFERROR(INDEX(Users!$D$2:$D$310,MATCH(A1148,Users!$B$2:$B$310,0)),"")</f>
        <v>Band 3</v>
      </c>
      <c r="I1148" s="19" t="b">
        <f t="shared" si="52"/>
        <v>1</v>
      </c>
      <c r="J1148" s="33" t="str">
        <f t="shared" si="53"/>
        <v/>
      </c>
    </row>
    <row r="1149" spans="1:10">
      <c r="A1149" s="19" t="s">
        <v>195</v>
      </c>
      <c r="B1149" s="20">
        <v>45992</v>
      </c>
      <c r="C1149" s="21">
        <v>155.4</v>
      </c>
      <c r="D1149" s="21"/>
      <c r="E1149" s="21"/>
      <c r="F1149" s="27" t="str">
        <f t="shared" si="51"/>
        <v/>
      </c>
      <c r="G1149" s="21" t="str">
        <f>IFERROR(INDEX(Users!$A$2:$A$310,MATCH(A1149,Users!$B$2:$B$310,0)),"")</f>
        <v>Service A</v>
      </c>
      <c r="H1149" s="21" t="str">
        <f>IFERROR(INDEX(Users!$D$2:$D$310,MATCH(A1149,Users!$B$2:$B$310,0)),"")</f>
        <v>Band 3</v>
      </c>
      <c r="I1149" s="19" t="b">
        <f t="shared" si="52"/>
        <v>1</v>
      </c>
      <c r="J1149" s="33" t="str">
        <f t="shared" si="53"/>
        <v/>
      </c>
    </row>
    <row r="1150" spans="1:10">
      <c r="A1150" s="19" t="s">
        <v>195</v>
      </c>
      <c r="B1150" s="20">
        <v>46023</v>
      </c>
      <c r="C1150" s="21">
        <v>155.4</v>
      </c>
      <c r="D1150" s="21">
        <v>24.933333333333334</v>
      </c>
      <c r="E1150" s="21"/>
      <c r="F1150" s="27">
        <f t="shared" si="51"/>
        <v>0.16044616044616045</v>
      </c>
      <c r="G1150" s="21" t="str">
        <f>IFERROR(INDEX(Users!$A$2:$A$310,MATCH(A1150,Users!$B$2:$B$310,0)),"")</f>
        <v>Service A</v>
      </c>
      <c r="H1150" s="21" t="str">
        <f>IFERROR(INDEX(Users!$D$2:$D$310,MATCH(A1150,Users!$B$2:$B$310,0)),"")</f>
        <v>Band 3</v>
      </c>
      <c r="I1150" s="19" t="b">
        <f t="shared" si="52"/>
        <v>1</v>
      </c>
      <c r="J1150" s="33" t="str">
        <f t="shared" si="53"/>
        <v/>
      </c>
    </row>
    <row r="1151" spans="1:10">
      <c r="A1151" s="19" t="s">
        <v>196</v>
      </c>
      <c r="B1151" s="20">
        <v>45689</v>
      </c>
      <c r="C1151" s="21">
        <v>37</v>
      </c>
      <c r="D1151" s="21">
        <v>37.333333333333329</v>
      </c>
      <c r="E1151" s="21">
        <v>3</v>
      </c>
      <c r="F1151" s="27">
        <f t="shared" si="51"/>
        <v>1.0090090090090089</v>
      </c>
      <c r="G1151" s="21" t="str">
        <f>IFERROR(INDEX(Users!$A$2:$A$310,MATCH(A1151,Users!$B$2:$B$310,0)),"")</f>
        <v>Service A</v>
      </c>
      <c r="H1151" s="21" t="str">
        <f>IFERROR(INDEX(Users!$D$2:$D$310,MATCH(A1151,Users!$B$2:$B$310,0)),"")</f>
        <v>Band 3</v>
      </c>
      <c r="I1151" s="19" t="b">
        <f t="shared" si="52"/>
        <v>1</v>
      </c>
      <c r="J1151" s="33" t="str">
        <f t="shared" si="53"/>
        <v/>
      </c>
    </row>
    <row r="1152" spans="1:10">
      <c r="A1152" s="19" t="s">
        <v>196</v>
      </c>
      <c r="B1152" s="20">
        <v>45717</v>
      </c>
      <c r="C1152" s="21">
        <v>155.4</v>
      </c>
      <c r="D1152" s="21">
        <v>142.98333333333338</v>
      </c>
      <c r="E1152" s="21"/>
      <c r="F1152" s="27">
        <f t="shared" si="51"/>
        <v>0.9200986700986703</v>
      </c>
      <c r="G1152" s="21" t="str">
        <f>IFERROR(INDEX(Users!$A$2:$A$310,MATCH(A1152,Users!$B$2:$B$310,0)),"")</f>
        <v>Service A</v>
      </c>
      <c r="H1152" s="21" t="str">
        <f>IFERROR(INDEX(Users!$D$2:$D$310,MATCH(A1152,Users!$B$2:$B$310,0)),"")</f>
        <v>Band 3</v>
      </c>
      <c r="I1152" s="19" t="b">
        <f t="shared" si="52"/>
        <v>1</v>
      </c>
      <c r="J1152" s="33" t="str">
        <f t="shared" si="53"/>
        <v/>
      </c>
    </row>
    <row r="1153" spans="1:10">
      <c r="A1153" s="19" t="s">
        <v>196</v>
      </c>
      <c r="B1153" s="20">
        <v>45748</v>
      </c>
      <c r="C1153" s="21">
        <v>148</v>
      </c>
      <c r="D1153" s="21">
        <v>153.19000000000008</v>
      </c>
      <c r="E1153" s="21">
        <v>14.84</v>
      </c>
      <c r="F1153" s="27">
        <f t="shared" si="51"/>
        <v>1.0350675675675682</v>
      </c>
      <c r="G1153" s="21" t="str">
        <f>IFERROR(INDEX(Users!$A$2:$A$310,MATCH(A1153,Users!$B$2:$B$310,0)),"")</f>
        <v>Service A</v>
      </c>
      <c r="H1153" s="21" t="str">
        <f>IFERROR(INDEX(Users!$D$2:$D$310,MATCH(A1153,Users!$B$2:$B$310,0)),"")</f>
        <v>Band 3</v>
      </c>
      <c r="I1153" s="19" t="b">
        <f t="shared" si="52"/>
        <v>1</v>
      </c>
      <c r="J1153" s="33" t="str">
        <f t="shared" si="53"/>
        <v/>
      </c>
    </row>
    <row r="1154" spans="1:10">
      <c r="A1154" s="19" t="s">
        <v>196</v>
      </c>
      <c r="B1154" s="20">
        <v>45778</v>
      </c>
      <c r="C1154" s="21">
        <v>148</v>
      </c>
      <c r="D1154" s="21">
        <v>142.20333333333335</v>
      </c>
      <c r="E1154" s="21">
        <v>62.42</v>
      </c>
      <c r="F1154" s="27">
        <f t="shared" ref="F1154:F1217" si="54">IFERROR(IF(OR(C1154="",D1154="",C1154=0),"",D1154/C1154),"")</f>
        <v>0.96083333333333343</v>
      </c>
      <c r="G1154" s="21" t="str">
        <f>IFERROR(INDEX(Users!$A$2:$A$310,MATCH(A1154,Users!$B$2:$B$310,0)),"")</f>
        <v>Service A</v>
      </c>
      <c r="H1154" s="21" t="str">
        <f>IFERROR(INDEX(Users!$D$2:$D$310,MATCH(A1154,Users!$B$2:$B$310,0)),"")</f>
        <v>Band 3</v>
      </c>
      <c r="I1154" s="19" t="b">
        <f t="shared" ref="I1154:I1217" si="55">AND(G1154="Service A",H1154="Band 3")</f>
        <v>1</v>
      </c>
      <c r="J1154" s="33" t="str">
        <f t="shared" ref="J1154:J1217" si="56">IF(AND(B1154&gt;=DATE(2025,1,1),B1154&lt;DATE(2026,1,1),G1154="Service B",OR(H1154="Band 3",H1154="Band 5"),ISNUMBER(F1154)),F1154,"")</f>
        <v/>
      </c>
    </row>
    <row r="1155" spans="1:10">
      <c r="A1155" s="19" t="s">
        <v>196</v>
      </c>
      <c r="B1155" s="20">
        <v>45809</v>
      </c>
      <c r="C1155" s="21">
        <v>155.4</v>
      </c>
      <c r="D1155" s="21">
        <v>105.75</v>
      </c>
      <c r="E1155" s="21">
        <v>68.25</v>
      </c>
      <c r="F1155" s="27">
        <f t="shared" si="54"/>
        <v>0.68050193050193053</v>
      </c>
      <c r="G1155" s="21" t="str">
        <f>IFERROR(INDEX(Users!$A$2:$A$310,MATCH(A1155,Users!$B$2:$B$310,0)),"")</f>
        <v>Service A</v>
      </c>
      <c r="H1155" s="21" t="str">
        <f>IFERROR(INDEX(Users!$D$2:$D$310,MATCH(A1155,Users!$B$2:$B$310,0)),"")</f>
        <v>Band 3</v>
      </c>
      <c r="I1155" s="19" t="b">
        <f t="shared" si="55"/>
        <v>1</v>
      </c>
      <c r="J1155" s="33" t="str">
        <f t="shared" si="56"/>
        <v/>
      </c>
    </row>
    <row r="1156" spans="1:10">
      <c r="A1156" s="19" t="s">
        <v>196</v>
      </c>
      <c r="B1156" s="20">
        <v>45839</v>
      </c>
      <c r="C1156" s="21">
        <v>170.20000000000002</v>
      </c>
      <c r="D1156" s="21">
        <v>152.9</v>
      </c>
      <c r="E1156" s="21">
        <v>102.25</v>
      </c>
      <c r="F1156" s="27">
        <f t="shared" si="54"/>
        <v>0.89835487661574609</v>
      </c>
      <c r="G1156" s="21" t="str">
        <f>IFERROR(INDEX(Users!$A$2:$A$310,MATCH(A1156,Users!$B$2:$B$310,0)),"")</f>
        <v>Service A</v>
      </c>
      <c r="H1156" s="21" t="str">
        <f>IFERROR(INDEX(Users!$D$2:$D$310,MATCH(A1156,Users!$B$2:$B$310,0)),"")</f>
        <v>Band 3</v>
      </c>
      <c r="I1156" s="19" t="b">
        <f t="shared" si="55"/>
        <v>1</v>
      </c>
      <c r="J1156" s="33" t="str">
        <f t="shared" si="56"/>
        <v/>
      </c>
    </row>
    <row r="1157" spans="1:10">
      <c r="A1157" s="19" t="s">
        <v>196</v>
      </c>
      <c r="B1157" s="20">
        <v>45870</v>
      </c>
      <c r="C1157" s="21">
        <v>148</v>
      </c>
      <c r="D1157" s="21">
        <v>141.30000000000001</v>
      </c>
      <c r="E1157" s="21">
        <v>103.75</v>
      </c>
      <c r="F1157" s="27">
        <f t="shared" si="54"/>
        <v>0.9547297297297298</v>
      </c>
      <c r="G1157" s="21" t="str">
        <f>IFERROR(INDEX(Users!$A$2:$A$310,MATCH(A1157,Users!$B$2:$B$310,0)),"")</f>
        <v>Service A</v>
      </c>
      <c r="H1157" s="21" t="str">
        <f>IFERROR(INDEX(Users!$D$2:$D$310,MATCH(A1157,Users!$B$2:$B$310,0)),"")</f>
        <v>Band 3</v>
      </c>
      <c r="I1157" s="19" t="b">
        <f t="shared" si="55"/>
        <v>1</v>
      </c>
      <c r="J1157" s="33" t="str">
        <f t="shared" si="56"/>
        <v/>
      </c>
    </row>
    <row r="1158" spans="1:10">
      <c r="A1158" s="19" t="s">
        <v>196</v>
      </c>
      <c r="B1158" s="20">
        <v>45901</v>
      </c>
      <c r="C1158" s="21">
        <v>162.80000000000001</v>
      </c>
      <c r="D1158" s="21">
        <v>161.65</v>
      </c>
      <c r="E1158" s="21">
        <v>104</v>
      </c>
      <c r="F1158" s="27">
        <f t="shared" si="54"/>
        <v>0.99293611793611791</v>
      </c>
      <c r="G1158" s="21" t="str">
        <f>IFERROR(INDEX(Users!$A$2:$A$310,MATCH(A1158,Users!$B$2:$B$310,0)),"")</f>
        <v>Service A</v>
      </c>
      <c r="H1158" s="21" t="str">
        <f>IFERROR(INDEX(Users!$D$2:$D$310,MATCH(A1158,Users!$B$2:$B$310,0)),"")</f>
        <v>Band 3</v>
      </c>
      <c r="I1158" s="19" t="b">
        <f t="shared" si="55"/>
        <v>1</v>
      </c>
      <c r="J1158" s="33" t="str">
        <f t="shared" si="56"/>
        <v/>
      </c>
    </row>
    <row r="1159" spans="1:10">
      <c r="A1159" s="19" t="s">
        <v>196</v>
      </c>
      <c r="B1159" s="20">
        <v>45931</v>
      </c>
      <c r="C1159" s="21">
        <v>170.20000000000002</v>
      </c>
      <c r="D1159" s="21">
        <v>164.25</v>
      </c>
      <c r="E1159" s="21">
        <v>116</v>
      </c>
      <c r="F1159" s="27">
        <f t="shared" si="54"/>
        <v>0.96504112808460629</v>
      </c>
      <c r="G1159" s="21" t="str">
        <f>IFERROR(INDEX(Users!$A$2:$A$310,MATCH(A1159,Users!$B$2:$B$310,0)),"")</f>
        <v>Service A</v>
      </c>
      <c r="H1159" s="21" t="str">
        <f>IFERROR(INDEX(Users!$D$2:$D$310,MATCH(A1159,Users!$B$2:$B$310,0)),"")</f>
        <v>Band 3</v>
      </c>
      <c r="I1159" s="19" t="b">
        <f t="shared" si="55"/>
        <v>1</v>
      </c>
      <c r="J1159" s="33" t="str">
        <f t="shared" si="56"/>
        <v/>
      </c>
    </row>
    <row r="1160" spans="1:10">
      <c r="A1160" s="19" t="s">
        <v>196</v>
      </c>
      <c r="B1160" s="20">
        <v>45962</v>
      </c>
      <c r="C1160" s="21">
        <v>148</v>
      </c>
      <c r="D1160" s="21">
        <v>146.75</v>
      </c>
      <c r="E1160" s="21">
        <v>92.5</v>
      </c>
      <c r="F1160" s="27">
        <f t="shared" si="54"/>
        <v>0.99155405405405406</v>
      </c>
      <c r="G1160" s="21" t="str">
        <f>IFERROR(INDEX(Users!$A$2:$A$310,MATCH(A1160,Users!$B$2:$B$310,0)),"")</f>
        <v>Service A</v>
      </c>
      <c r="H1160" s="21" t="str">
        <f>IFERROR(INDEX(Users!$D$2:$D$310,MATCH(A1160,Users!$B$2:$B$310,0)),"")</f>
        <v>Band 3</v>
      </c>
      <c r="I1160" s="19" t="b">
        <f t="shared" si="55"/>
        <v>1</v>
      </c>
      <c r="J1160" s="33" t="str">
        <f t="shared" si="56"/>
        <v/>
      </c>
    </row>
    <row r="1161" spans="1:10">
      <c r="A1161" s="19" t="s">
        <v>196</v>
      </c>
      <c r="B1161" s="20">
        <v>45992</v>
      </c>
      <c r="C1161" s="21">
        <v>155.4</v>
      </c>
      <c r="D1161" s="21">
        <v>120</v>
      </c>
      <c r="E1161" s="21">
        <v>87.75</v>
      </c>
      <c r="F1161" s="27">
        <f t="shared" si="54"/>
        <v>0.77220077220077221</v>
      </c>
      <c r="G1161" s="21" t="str">
        <f>IFERROR(INDEX(Users!$A$2:$A$310,MATCH(A1161,Users!$B$2:$B$310,0)),"")</f>
        <v>Service A</v>
      </c>
      <c r="H1161" s="21" t="str">
        <f>IFERROR(INDEX(Users!$D$2:$D$310,MATCH(A1161,Users!$B$2:$B$310,0)),"")</f>
        <v>Band 3</v>
      </c>
      <c r="I1161" s="19" t="b">
        <f t="shared" si="55"/>
        <v>1</v>
      </c>
      <c r="J1161" s="33" t="str">
        <f t="shared" si="56"/>
        <v/>
      </c>
    </row>
    <row r="1162" spans="1:10">
      <c r="A1162" s="19" t="s">
        <v>196</v>
      </c>
      <c r="B1162" s="20">
        <v>46023</v>
      </c>
      <c r="C1162" s="21">
        <v>155.4</v>
      </c>
      <c r="D1162" s="21">
        <v>153.65</v>
      </c>
      <c r="E1162" s="21">
        <v>109.25</v>
      </c>
      <c r="F1162" s="27">
        <f t="shared" si="54"/>
        <v>0.98873873873873874</v>
      </c>
      <c r="G1162" s="21" t="str">
        <f>IFERROR(INDEX(Users!$A$2:$A$310,MATCH(A1162,Users!$B$2:$B$310,0)),"")</f>
        <v>Service A</v>
      </c>
      <c r="H1162" s="21" t="str">
        <f>IFERROR(INDEX(Users!$D$2:$D$310,MATCH(A1162,Users!$B$2:$B$310,0)),"")</f>
        <v>Band 3</v>
      </c>
      <c r="I1162" s="19" t="b">
        <f t="shared" si="55"/>
        <v>1</v>
      </c>
      <c r="J1162" s="33" t="str">
        <f t="shared" si="56"/>
        <v/>
      </c>
    </row>
    <row r="1163" spans="1:10">
      <c r="A1163" s="19" t="s">
        <v>197</v>
      </c>
      <c r="B1163" s="20">
        <v>45658</v>
      </c>
      <c r="C1163" s="21">
        <v>162.80000000000001</v>
      </c>
      <c r="D1163" s="21">
        <v>148.33666666666667</v>
      </c>
      <c r="E1163" s="21">
        <v>119.42</v>
      </c>
      <c r="F1163" s="27">
        <f t="shared" si="54"/>
        <v>0.91115888615888618</v>
      </c>
      <c r="G1163" s="21" t="str">
        <f>IFERROR(INDEX(Users!$A$2:$A$310,MATCH(A1163,Users!$B$2:$B$310,0)),"")</f>
        <v>Service A</v>
      </c>
      <c r="H1163" s="21" t="str">
        <f>IFERROR(INDEX(Users!$D$2:$D$310,MATCH(A1163,Users!$B$2:$B$310,0)),"")</f>
        <v>Band 3</v>
      </c>
      <c r="I1163" s="19" t="b">
        <f t="shared" si="55"/>
        <v>1</v>
      </c>
      <c r="J1163" s="33" t="str">
        <f t="shared" si="56"/>
        <v/>
      </c>
    </row>
    <row r="1164" spans="1:10">
      <c r="A1164" s="19" t="s">
        <v>197</v>
      </c>
      <c r="B1164" s="20">
        <v>45689</v>
      </c>
      <c r="C1164" s="21">
        <v>148</v>
      </c>
      <c r="D1164" s="21">
        <v>144.09</v>
      </c>
      <c r="E1164" s="21">
        <v>102.84</v>
      </c>
      <c r="F1164" s="27">
        <f t="shared" si="54"/>
        <v>0.9735810810810811</v>
      </c>
      <c r="G1164" s="21" t="str">
        <f>IFERROR(INDEX(Users!$A$2:$A$310,MATCH(A1164,Users!$B$2:$B$310,0)),"")</f>
        <v>Service A</v>
      </c>
      <c r="H1164" s="21" t="str">
        <f>IFERROR(INDEX(Users!$D$2:$D$310,MATCH(A1164,Users!$B$2:$B$310,0)),"")</f>
        <v>Band 3</v>
      </c>
      <c r="I1164" s="19" t="b">
        <f t="shared" si="55"/>
        <v>1</v>
      </c>
      <c r="J1164" s="33" t="str">
        <f t="shared" si="56"/>
        <v/>
      </c>
    </row>
    <row r="1165" spans="1:10">
      <c r="A1165" s="19" t="s">
        <v>197</v>
      </c>
      <c r="B1165" s="20">
        <v>45717</v>
      </c>
      <c r="C1165" s="21">
        <v>155.4</v>
      </c>
      <c r="D1165" s="21">
        <v>152.73333333333332</v>
      </c>
      <c r="E1165" s="21">
        <v>125.89999999999999</v>
      </c>
      <c r="F1165" s="27">
        <f t="shared" si="54"/>
        <v>0.98283998283998275</v>
      </c>
      <c r="G1165" s="21" t="str">
        <f>IFERROR(INDEX(Users!$A$2:$A$310,MATCH(A1165,Users!$B$2:$B$310,0)),"")</f>
        <v>Service A</v>
      </c>
      <c r="H1165" s="21" t="str">
        <f>IFERROR(INDEX(Users!$D$2:$D$310,MATCH(A1165,Users!$B$2:$B$310,0)),"")</f>
        <v>Band 3</v>
      </c>
      <c r="I1165" s="19" t="b">
        <f t="shared" si="55"/>
        <v>1</v>
      </c>
      <c r="J1165" s="33" t="str">
        <f t="shared" si="56"/>
        <v/>
      </c>
    </row>
    <row r="1166" spans="1:10">
      <c r="A1166" s="19" t="s">
        <v>197</v>
      </c>
      <c r="B1166" s="20">
        <v>45748</v>
      </c>
      <c r="C1166" s="21">
        <v>148</v>
      </c>
      <c r="D1166" s="21">
        <v>125.09</v>
      </c>
      <c r="E1166" s="21">
        <v>102.09</v>
      </c>
      <c r="F1166" s="27">
        <f t="shared" si="54"/>
        <v>0.8452027027027027</v>
      </c>
      <c r="G1166" s="21" t="str">
        <f>IFERROR(INDEX(Users!$A$2:$A$310,MATCH(A1166,Users!$B$2:$B$310,0)),"")</f>
        <v>Service A</v>
      </c>
      <c r="H1166" s="21" t="str">
        <f>IFERROR(INDEX(Users!$D$2:$D$310,MATCH(A1166,Users!$B$2:$B$310,0)),"")</f>
        <v>Band 3</v>
      </c>
      <c r="I1166" s="19" t="b">
        <f t="shared" si="55"/>
        <v>1</v>
      </c>
      <c r="J1166" s="33" t="str">
        <f t="shared" si="56"/>
        <v/>
      </c>
    </row>
    <row r="1167" spans="1:10">
      <c r="A1167" s="19" t="s">
        <v>197</v>
      </c>
      <c r="B1167" s="20">
        <v>45778</v>
      </c>
      <c r="C1167" s="21">
        <v>148</v>
      </c>
      <c r="D1167" s="21">
        <v>137.82666666666665</v>
      </c>
      <c r="E1167" s="21">
        <v>101.91</v>
      </c>
      <c r="F1167" s="27">
        <f t="shared" si="54"/>
        <v>0.93126126126126119</v>
      </c>
      <c r="G1167" s="21" t="str">
        <f>IFERROR(INDEX(Users!$A$2:$A$310,MATCH(A1167,Users!$B$2:$B$310,0)),"")</f>
        <v>Service A</v>
      </c>
      <c r="H1167" s="21" t="str">
        <f>IFERROR(INDEX(Users!$D$2:$D$310,MATCH(A1167,Users!$B$2:$B$310,0)),"")</f>
        <v>Band 3</v>
      </c>
      <c r="I1167" s="19" t="b">
        <f t="shared" si="55"/>
        <v>1</v>
      </c>
      <c r="J1167" s="33" t="str">
        <f t="shared" si="56"/>
        <v/>
      </c>
    </row>
    <row r="1168" spans="1:10">
      <c r="A1168" s="19" t="s">
        <v>197</v>
      </c>
      <c r="B1168" s="20">
        <v>45809</v>
      </c>
      <c r="C1168" s="21">
        <v>155.4</v>
      </c>
      <c r="D1168" s="21">
        <v>143.82</v>
      </c>
      <c r="E1168" s="21">
        <v>114.42</v>
      </c>
      <c r="F1168" s="27">
        <f t="shared" si="54"/>
        <v>0.92548262548262539</v>
      </c>
      <c r="G1168" s="21" t="str">
        <f>IFERROR(INDEX(Users!$A$2:$A$310,MATCH(A1168,Users!$B$2:$B$310,0)),"")</f>
        <v>Service A</v>
      </c>
      <c r="H1168" s="21" t="str">
        <f>IFERROR(INDEX(Users!$D$2:$D$310,MATCH(A1168,Users!$B$2:$B$310,0)),"")</f>
        <v>Band 3</v>
      </c>
      <c r="I1168" s="19" t="b">
        <f t="shared" si="55"/>
        <v>1</v>
      </c>
      <c r="J1168" s="33" t="str">
        <f t="shared" si="56"/>
        <v/>
      </c>
    </row>
    <row r="1169" spans="1:10">
      <c r="A1169" s="19" t="s">
        <v>197</v>
      </c>
      <c r="B1169" s="20">
        <v>45839</v>
      </c>
      <c r="C1169" s="21">
        <v>170.20000000000002</v>
      </c>
      <c r="D1169" s="21">
        <v>139.66666666666666</v>
      </c>
      <c r="E1169" s="21">
        <v>108</v>
      </c>
      <c r="F1169" s="27">
        <f t="shared" si="54"/>
        <v>0.82060321190755958</v>
      </c>
      <c r="G1169" s="21" t="str">
        <f>IFERROR(INDEX(Users!$A$2:$A$310,MATCH(A1169,Users!$B$2:$B$310,0)),"")</f>
        <v>Service A</v>
      </c>
      <c r="H1169" s="21" t="str">
        <f>IFERROR(INDEX(Users!$D$2:$D$310,MATCH(A1169,Users!$B$2:$B$310,0)),"")</f>
        <v>Band 3</v>
      </c>
      <c r="I1169" s="19" t="b">
        <f t="shared" si="55"/>
        <v>1</v>
      </c>
      <c r="J1169" s="33" t="str">
        <f t="shared" si="56"/>
        <v/>
      </c>
    </row>
    <row r="1170" spans="1:10">
      <c r="A1170" s="19" t="s">
        <v>197</v>
      </c>
      <c r="B1170" s="20">
        <v>45870</v>
      </c>
      <c r="C1170" s="21">
        <v>148</v>
      </c>
      <c r="D1170" s="21">
        <v>59.786666666666669</v>
      </c>
      <c r="E1170" s="21">
        <v>45.17</v>
      </c>
      <c r="F1170" s="27">
        <f t="shared" si="54"/>
        <v>0.403963963963964</v>
      </c>
      <c r="G1170" s="21" t="str">
        <f>IFERROR(INDEX(Users!$A$2:$A$310,MATCH(A1170,Users!$B$2:$B$310,0)),"")</f>
        <v>Service A</v>
      </c>
      <c r="H1170" s="21" t="str">
        <f>IFERROR(INDEX(Users!$D$2:$D$310,MATCH(A1170,Users!$B$2:$B$310,0)),"")</f>
        <v>Band 3</v>
      </c>
      <c r="I1170" s="19" t="b">
        <f t="shared" si="55"/>
        <v>1</v>
      </c>
      <c r="J1170" s="33" t="str">
        <f t="shared" si="56"/>
        <v/>
      </c>
    </row>
    <row r="1171" spans="1:10">
      <c r="A1171" s="19" t="s">
        <v>197</v>
      </c>
      <c r="B1171" s="20">
        <v>45901</v>
      </c>
      <c r="C1171" s="21">
        <v>162.80000000000001</v>
      </c>
      <c r="D1171" s="21">
        <v>162.00666666666666</v>
      </c>
      <c r="E1171" s="21">
        <v>123.84</v>
      </c>
      <c r="F1171" s="27">
        <f t="shared" si="54"/>
        <v>0.995126945126945</v>
      </c>
      <c r="G1171" s="21" t="str">
        <f>IFERROR(INDEX(Users!$A$2:$A$310,MATCH(A1171,Users!$B$2:$B$310,0)),"")</f>
        <v>Service A</v>
      </c>
      <c r="H1171" s="21" t="str">
        <f>IFERROR(INDEX(Users!$D$2:$D$310,MATCH(A1171,Users!$B$2:$B$310,0)),"")</f>
        <v>Band 3</v>
      </c>
      <c r="I1171" s="19" t="b">
        <f t="shared" si="55"/>
        <v>1</v>
      </c>
      <c r="J1171" s="33" t="str">
        <f t="shared" si="56"/>
        <v/>
      </c>
    </row>
    <row r="1172" spans="1:10">
      <c r="A1172" s="19" t="s">
        <v>197</v>
      </c>
      <c r="B1172" s="20">
        <v>45931</v>
      </c>
      <c r="C1172" s="21">
        <v>170.20000000000002</v>
      </c>
      <c r="D1172" s="21">
        <v>161.75</v>
      </c>
      <c r="E1172" s="21">
        <v>118</v>
      </c>
      <c r="F1172" s="27">
        <f t="shared" si="54"/>
        <v>0.95035252643948287</v>
      </c>
      <c r="G1172" s="21" t="str">
        <f>IFERROR(INDEX(Users!$A$2:$A$310,MATCH(A1172,Users!$B$2:$B$310,0)),"")</f>
        <v>Service A</v>
      </c>
      <c r="H1172" s="21" t="str">
        <f>IFERROR(INDEX(Users!$D$2:$D$310,MATCH(A1172,Users!$B$2:$B$310,0)),"")</f>
        <v>Band 3</v>
      </c>
      <c r="I1172" s="19" t="b">
        <f t="shared" si="55"/>
        <v>1</v>
      </c>
      <c r="J1172" s="33" t="str">
        <f t="shared" si="56"/>
        <v/>
      </c>
    </row>
    <row r="1173" spans="1:10">
      <c r="A1173" s="19" t="s">
        <v>197</v>
      </c>
      <c r="B1173" s="20">
        <v>45962</v>
      </c>
      <c r="C1173" s="21">
        <v>148</v>
      </c>
      <c r="D1173" s="21">
        <v>143.94666666666666</v>
      </c>
      <c r="E1173" s="21">
        <v>108.83</v>
      </c>
      <c r="F1173" s="27">
        <f t="shared" si="54"/>
        <v>0.97261261261261256</v>
      </c>
      <c r="G1173" s="21" t="str">
        <f>IFERROR(INDEX(Users!$A$2:$A$310,MATCH(A1173,Users!$B$2:$B$310,0)),"")</f>
        <v>Service A</v>
      </c>
      <c r="H1173" s="21" t="str">
        <f>IFERROR(INDEX(Users!$D$2:$D$310,MATCH(A1173,Users!$B$2:$B$310,0)),"")</f>
        <v>Band 3</v>
      </c>
      <c r="I1173" s="19" t="b">
        <f t="shared" si="55"/>
        <v>1</v>
      </c>
      <c r="J1173" s="33" t="str">
        <f t="shared" si="56"/>
        <v/>
      </c>
    </row>
    <row r="1174" spans="1:10">
      <c r="A1174" s="19" t="s">
        <v>197</v>
      </c>
      <c r="B1174" s="20">
        <v>45992</v>
      </c>
      <c r="C1174" s="21">
        <v>155.4</v>
      </c>
      <c r="D1174" s="21">
        <v>99.363333333333344</v>
      </c>
      <c r="E1174" s="21">
        <v>68.83</v>
      </c>
      <c r="F1174" s="27">
        <f t="shared" si="54"/>
        <v>0.63940368940368941</v>
      </c>
      <c r="G1174" s="21" t="str">
        <f>IFERROR(INDEX(Users!$A$2:$A$310,MATCH(A1174,Users!$B$2:$B$310,0)),"")</f>
        <v>Service A</v>
      </c>
      <c r="H1174" s="21" t="str">
        <f>IFERROR(INDEX(Users!$D$2:$D$310,MATCH(A1174,Users!$B$2:$B$310,0)),"")</f>
        <v>Band 3</v>
      </c>
      <c r="I1174" s="19" t="b">
        <f t="shared" si="55"/>
        <v>1</v>
      </c>
      <c r="J1174" s="33" t="str">
        <f t="shared" si="56"/>
        <v/>
      </c>
    </row>
    <row r="1175" spans="1:10">
      <c r="A1175" s="19" t="s">
        <v>197</v>
      </c>
      <c r="B1175" s="20">
        <v>46023</v>
      </c>
      <c r="C1175" s="21">
        <v>155.4</v>
      </c>
      <c r="D1175" s="21">
        <v>139.32666666666665</v>
      </c>
      <c r="E1175" s="21">
        <v>105.16</v>
      </c>
      <c r="F1175" s="27">
        <f t="shared" si="54"/>
        <v>0.89656799656799646</v>
      </c>
      <c r="G1175" s="21" t="str">
        <f>IFERROR(INDEX(Users!$A$2:$A$310,MATCH(A1175,Users!$B$2:$B$310,0)),"")</f>
        <v>Service A</v>
      </c>
      <c r="H1175" s="21" t="str">
        <f>IFERROR(INDEX(Users!$D$2:$D$310,MATCH(A1175,Users!$B$2:$B$310,0)),"")</f>
        <v>Band 3</v>
      </c>
      <c r="I1175" s="19" t="b">
        <f t="shared" si="55"/>
        <v>1</v>
      </c>
      <c r="J1175" s="33" t="str">
        <f t="shared" si="56"/>
        <v/>
      </c>
    </row>
    <row r="1176" spans="1:10">
      <c r="A1176" s="19" t="s">
        <v>198</v>
      </c>
      <c r="B1176" s="20">
        <v>45658</v>
      </c>
      <c r="C1176" s="21">
        <v>162.80000000000001</v>
      </c>
      <c r="D1176" s="21">
        <v>110.59666666666666</v>
      </c>
      <c r="E1176" s="21">
        <v>78.08</v>
      </c>
      <c r="F1176" s="27">
        <f t="shared" si="54"/>
        <v>0.67934070434070426</v>
      </c>
      <c r="G1176" s="21" t="str">
        <f>IFERROR(INDEX(Users!$A$2:$A$310,MATCH(A1176,Users!$B$2:$B$310,0)),"")</f>
        <v>Service A</v>
      </c>
      <c r="H1176" s="21" t="str">
        <f>IFERROR(INDEX(Users!$D$2:$D$310,MATCH(A1176,Users!$B$2:$B$310,0)),"")</f>
        <v>Band 3</v>
      </c>
      <c r="I1176" s="19" t="b">
        <f t="shared" si="55"/>
        <v>1</v>
      </c>
      <c r="J1176" s="33" t="str">
        <f t="shared" si="56"/>
        <v/>
      </c>
    </row>
    <row r="1177" spans="1:10">
      <c r="A1177" s="19" t="s">
        <v>198</v>
      </c>
      <c r="B1177" s="20">
        <v>45689</v>
      </c>
      <c r="C1177" s="21">
        <v>148</v>
      </c>
      <c r="D1177" s="21">
        <v>135.65</v>
      </c>
      <c r="E1177" s="21">
        <v>104.44999999999999</v>
      </c>
      <c r="F1177" s="27">
        <f t="shared" si="54"/>
        <v>0.9165540540540541</v>
      </c>
      <c r="G1177" s="21" t="str">
        <f>IFERROR(INDEX(Users!$A$2:$A$310,MATCH(A1177,Users!$B$2:$B$310,0)),"")</f>
        <v>Service A</v>
      </c>
      <c r="H1177" s="21" t="str">
        <f>IFERROR(INDEX(Users!$D$2:$D$310,MATCH(A1177,Users!$B$2:$B$310,0)),"")</f>
        <v>Band 3</v>
      </c>
      <c r="I1177" s="19" t="b">
        <f t="shared" si="55"/>
        <v>1</v>
      </c>
      <c r="J1177" s="33" t="str">
        <f t="shared" si="56"/>
        <v/>
      </c>
    </row>
    <row r="1178" spans="1:10">
      <c r="A1178" s="19" t="s">
        <v>198</v>
      </c>
      <c r="B1178" s="20">
        <v>45717</v>
      </c>
      <c r="C1178" s="21">
        <v>155.4</v>
      </c>
      <c r="D1178" s="21">
        <v>155.79333333333335</v>
      </c>
      <c r="E1178" s="21">
        <v>108.96</v>
      </c>
      <c r="F1178" s="27">
        <f t="shared" si="54"/>
        <v>1.0025311025311026</v>
      </c>
      <c r="G1178" s="21" t="str">
        <f>IFERROR(INDEX(Users!$A$2:$A$310,MATCH(A1178,Users!$B$2:$B$310,0)),"")</f>
        <v>Service A</v>
      </c>
      <c r="H1178" s="21" t="str">
        <f>IFERROR(INDEX(Users!$D$2:$D$310,MATCH(A1178,Users!$B$2:$B$310,0)),"")</f>
        <v>Band 3</v>
      </c>
      <c r="I1178" s="19" t="b">
        <f t="shared" si="55"/>
        <v>1</v>
      </c>
      <c r="J1178" s="33" t="str">
        <f t="shared" si="56"/>
        <v/>
      </c>
    </row>
    <row r="1179" spans="1:10">
      <c r="A1179" s="19" t="s">
        <v>198</v>
      </c>
      <c r="B1179" s="20">
        <v>45748</v>
      </c>
      <c r="C1179" s="21">
        <v>148</v>
      </c>
      <c r="D1179" s="21">
        <v>56.326666666666668</v>
      </c>
      <c r="E1179" s="21">
        <v>46.31</v>
      </c>
      <c r="F1179" s="27">
        <f t="shared" si="54"/>
        <v>0.38058558558558558</v>
      </c>
      <c r="G1179" s="21" t="str">
        <f>IFERROR(INDEX(Users!$A$2:$A$310,MATCH(A1179,Users!$B$2:$B$310,0)),"")</f>
        <v>Service A</v>
      </c>
      <c r="H1179" s="21" t="str">
        <f>IFERROR(INDEX(Users!$D$2:$D$310,MATCH(A1179,Users!$B$2:$B$310,0)),"")</f>
        <v>Band 3</v>
      </c>
      <c r="I1179" s="19" t="b">
        <f t="shared" si="55"/>
        <v>1</v>
      </c>
      <c r="J1179" s="33" t="str">
        <f t="shared" si="56"/>
        <v/>
      </c>
    </row>
    <row r="1180" spans="1:10">
      <c r="A1180" s="19" t="s">
        <v>198</v>
      </c>
      <c r="B1180" s="20">
        <v>45778</v>
      </c>
      <c r="C1180" s="21">
        <v>148</v>
      </c>
      <c r="D1180" s="21"/>
      <c r="E1180" s="21"/>
      <c r="F1180" s="27" t="str">
        <f t="shared" si="54"/>
        <v/>
      </c>
      <c r="G1180" s="21" t="str">
        <f>IFERROR(INDEX(Users!$A$2:$A$310,MATCH(A1180,Users!$B$2:$B$310,0)),"")</f>
        <v>Service A</v>
      </c>
      <c r="H1180" s="21" t="str">
        <f>IFERROR(INDEX(Users!$D$2:$D$310,MATCH(A1180,Users!$B$2:$B$310,0)),"")</f>
        <v>Band 3</v>
      </c>
      <c r="I1180" s="19" t="b">
        <f t="shared" si="55"/>
        <v>1</v>
      </c>
      <c r="J1180" s="33" t="str">
        <f t="shared" si="56"/>
        <v/>
      </c>
    </row>
    <row r="1181" spans="1:10">
      <c r="A1181" s="19" t="s">
        <v>198</v>
      </c>
      <c r="B1181" s="20">
        <v>45809</v>
      </c>
      <c r="C1181" s="21">
        <v>155.4</v>
      </c>
      <c r="D1181" s="21">
        <v>153.73666666666668</v>
      </c>
      <c r="E1181" s="21">
        <v>121.07000000000001</v>
      </c>
      <c r="F1181" s="27">
        <f t="shared" si="54"/>
        <v>0.98929643929643929</v>
      </c>
      <c r="G1181" s="21" t="str">
        <f>IFERROR(INDEX(Users!$A$2:$A$310,MATCH(A1181,Users!$B$2:$B$310,0)),"")</f>
        <v>Service A</v>
      </c>
      <c r="H1181" s="21" t="str">
        <f>IFERROR(INDEX(Users!$D$2:$D$310,MATCH(A1181,Users!$B$2:$B$310,0)),"")</f>
        <v>Band 3</v>
      </c>
      <c r="I1181" s="19" t="b">
        <f t="shared" si="55"/>
        <v>1</v>
      </c>
      <c r="J1181" s="33" t="str">
        <f t="shared" si="56"/>
        <v/>
      </c>
    </row>
    <row r="1182" spans="1:10">
      <c r="A1182" s="19" t="s">
        <v>198</v>
      </c>
      <c r="B1182" s="20">
        <v>45839</v>
      </c>
      <c r="C1182" s="21">
        <v>170.20000000000002</v>
      </c>
      <c r="D1182" s="21">
        <v>171.86666666666667</v>
      </c>
      <c r="E1182" s="21">
        <v>114.7</v>
      </c>
      <c r="F1182" s="27">
        <f t="shared" si="54"/>
        <v>1.0097924010967489</v>
      </c>
      <c r="G1182" s="21" t="str">
        <f>IFERROR(INDEX(Users!$A$2:$A$310,MATCH(A1182,Users!$B$2:$B$310,0)),"")</f>
        <v>Service A</v>
      </c>
      <c r="H1182" s="21" t="str">
        <f>IFERROR(INDEX(Users!$D$2:$D$310,MATCH(A1182,Users!$B$2:$B$310,0)),"")</f>
        <v>Band 3</v>
      </c>
      <c r="I1182" s="19" t="b">
        <f t="shared" si="55"/>
        <v>1</v>
      </c>
      <c r="J1182" s="33" t="str">
        <f t="shared" si="56"/>
        <v/>
      </c>
    </row>
    <row r="1183" spans="1:10">
      <c r="A1183" s="19" t="s">
        <v>198</v>
      </c>
      <c r="B1183" s="20">
        <v>45870</v>
      </c>
      <c r="C1183" s="21">
        <v>148</v>
      </c>
      <c r="D1183" s="21">
        <v>88.696666666666658</v>
      </c>
      <c r="E1183" s="21">
        <v>64.83</v>
      </c>
      <c r="F1183" s="27">
        <f t="shared" si="54"/>
        <v>0.5993018018018017</v>
      </c>
      <c r="G1183" s="21" t="str">
        <f>IFERROR(INDEX(Users!$A$2:$A$310,MATCH(A1183,Users!$B$2:$B$310,0)),"")</f>
        <v>Service A</v>
      </c>
      <c r="H1183" s="21" t="str">
        <f>IFERROR(INDEX(Users!$D$2:$D$310,MATCH(A1183,Users!$B$2:$B$310,0)),"")</f>
        <v>Band 3</v>
      </c>
      <c r="I1183" s="19" t="b">
        <f t="shared" si="55"/>
        <v>1</v>
      </c>
      <c r="J1183" s="33" t="str">
        <f t="shared" si="56"/>
        <v/>
      </c>
    </row>
    <row r="1184" spans="1:10">
      <c r="A1184" s="19" t="s">
        <v>198</v>
      </c>
      <c r="B1184" s="20">
        <v>45901</v>
      </c>
      <c r="C1184" s="21">
        <v>162.80000000000001</v>
      </c>
      <c r="D1184" s="21">
        <v>115.59</v>
      </c>
      <c r="E1184" s="21">
        <v>83.39</v>
      </c>
      <c r="F1184" s="27">
        <f t="shared" si="54"/>
        <v>0.71001228501228497</v>
      </c>
      <c r="G1184" s="21" t="str">
        <f>IFERROR(INDEX(Users!$A$2:$A$310,MATCH(A1184,Users!$B$2:$B$310,0)),"")</f>
        <v>Service A</v>
      </c>
      <c r="H1184" s="21" t="str">
        <f>IFERROR(INDEX(Users!$D$2:$D$310,MATCH(A1184,Users!$B$2:$B$310,0)),"")</f>
        <v>Band 3</v>
      </c>
      <c r="I1184" s="19" t="b">
        <f t="shared" si="55"/>
        <v>1</v>
      </c>
      <c r="J1184" s="33" t="str">
        <f t="shared" si="56"/>
        <v/>
      </c>
    </row>
    <row r="1185" spans="1:10">
      <c r="A1185" s="19" t="s">
        <v>198</v>
      </c>
      <c r="B1185" s="20">
        <v>45931</v>
      </c>
      <c r="C1185" s="21">
        <v>170.20000000000002</v>
      </c>
      <c r="D1185" s="21">
        <v>158.44999999999999</v>
      </c>
      <c r="E1185" s="21">
        <v>78.25</v>
      </c>
      <c r="F1185" s="27">
        <f t="shared" si="54"/>
        <v>0.93096357226791993</v>
      </c>
      <c r="G1185" s="21" t="str">
        <f>IFERROR(INDEX(Users!$A$2:$A$310,MATCH(A1185,Users!$B$2:$B$310,0)),"")</f>
        <v>Service A</v>
      </c>
      <c r="H1185" s="21" t="str">
        <f>IFERROR(INDEX(Users!$D$2:$D$310,MATCH(A1185,Users!$B$2:$B$310,0)),"")</f>
        <v>Band 3</v>
      </c>
      <c r="I1185" s="19" t="b">
        <f t="shared" si="55"/>
        <v>1</v>
      </c>
      <c r="J1185" s="33" t="str">
        <f t="shared" si="56"/>
        <v/>
      </c>
    </row>
    <row r="1186" spans="1:10">
      <c r="A1186" s="19" t="s">
        <v>198</v>
      </c>
      <c r="B1186" s="20">
        <v>45962</v>
      </c>
      <c r="C1186" s="21">
        <v>148</v>
      </c>
      <c r="D1186" s="21">
        <v>140.67666666666665</v>
      </c>
      <c r="E1186" s="21">
        <v>112.66</v>
      </c>
      <c r="F1186" s="27">
        <f t="shared" si="54"/>
        <v>0.95051801801801794</v>
      </c>
      <c r="G1186" s="21" t="str">
        <f>IFERROR(INDEX(Users!$A$2:$A$310,MATCH(A1186,Users!$B$2:$B$310,0)),"")</f>
        <v>Service A</v>
      </c>
      <c r="H1186" s="21" t="str">
        <f>IFERROR(INDEX(Users!$D$2:$D$310,MATCH(A1186,Users!$B$2:$B$310,0)),"")</f>
        <v>Band 3</v>
      </c>
      <c r="I1186" s="19" t="b">
        <f t="shared" si="55"/>
        <v>1</v>
      </c>
      <c r="J1186" s="33" t="str">
        <f t="shared" si="56"/>
        <v/>
      </c>
    </row>
    <row r="1187" spans="1:10">
      <c r="A1187" s="19" t="s">
        <v>198</v>
      </c>
      <c r="B1187" s="20">
        <v>45992</v>
      </c>
      <c r="C1187" s="21">
        <v>155.4</v>
      </c>
      <c r="D1187" s="21">
        <v>141.27666666666664</v>
      </c>
      <c r="E1187" s="21">
        <v>105.75999999999999</v>
      </c>
      <c r="F1187" s="27">
        <f t="shared" si="54"/>
        <v>0.90911625911625893</v>
      </c>
      <c r="G1187" s="21" t="str">
        <f>IFERROR(INDEX(Users!$A$2:$A$310,MATCH(A1187,Users!$B$2:$B$310,0)),"")</f>
        <v>Service A</v>
      </c>
      <c r="H1187" s="21" t="str">
        <f>IFERROR(INDEX(Users!$D$2:$D$310,MATCH(A1187,Users!$B$2:$B$310,0)),"")</f>
        <v>Band 3</v>
      </c>
      <c r="I1187" s="19" t="b">
        <f t="shared" si="55"/>
        <v>1</v>
      </c>
      <c r="J1187" s="33" t="str">
        <f t="shared" si="56"/>
        <v/>
      </c>
    </row>
    <row r="1188" spans="1:10">
      <c r="A1188" s="19" t="s">
        <v>198</v>
      </c>
      <c r="B1188" s="20">
        <v>46023</v>
      </c>
      <c r="C1188" s="21">
        <v>155.4</v>
      </c>
      <c r="D1188" s="21">
        <v>102.34333333333333</v>
      </c>
      <c r="E1188" s="21">
        <v>64.91</v>
      </c>
      <c r="F1188" s="27">
        <f t="shared" si="54"/>
        <v>0.65858000858000854</v>
      </c>
      <c r="G1188" s="21" t="str">
        <f>IFERROR(INDEX(Users!$A$2:$A$310,MATCH(A1188,Users!$B$2:$B$310,0)),"")</f>
        <v>Service A</v>
      </c>
      <c r="H1188" s="21" t="str">
        <f>IFERROR(INDEX(Users!$D$2:$D$310,MATCH(A1188,Users!$B$2:$B$310,0)),"")</f>
        <v>Band 3</v>
      </c>
      <c r="I1188" s="19" t="b">
        <f t="shared" si="55"/>
        <v>1</v>
      </c>
      <c r="J1188" s="33" t="str">
        <f t="shared" si="56"/>
        <v/>
      </c>
    </row>
    <row r="1189" spans="1:10">
      <c r="A1189" s="19" t="s">
        <v>200</v>
      </c>
      <c r="B1189" s="20">
        <v>45658</v>
      </c>
      <c r="C1189" s="21">
        <v>162.80000000000001</v>
      </c>
      <c r="D1189" s="21">
        <v>180.21388888888893</v>
      </c>
      <c r="E1189" s="21">
        <v>17.329999999999998</v>
      </c>
      <c r="F1189" s="27">
        <f t="shared" si="54"/>
        <v>1.1069649194649196</v>
      </c>
      <c r="G1189" s="21" t="str">
        <f>IFERROR(INDEX(Users!$A$2:$A$310,MATCH(A1189,Users!$B$2:$B$310,0)),"")</f>
        <v>Service D</v>
      </c>
      <c r="H1189" s="21" t="str">
        <f>IFERROR(INDEX(Users!$D$2:$D$310,MATCH(A1189,Users!$B$2:$B$310,0)),"")</f>
        <v>Band 3</v>
      </c>
      <c r="I1189" s="19" t="b">
        <f t="shared" si="55"/>
        <v>0</v>
      </c>
      <c r="J1189" s="33" t="str">
        <f t="shared" si="56"/>
        <v/>
      </c>
    </row>
    <row r="1190" spans="1:10">
      <c r="A1190" s="19" t="s">
        <v>200</v>
      </c>
      <c r="B1190" s="20">
        <v>45689</v>
      </c>
      <c r="C1190" s="21">
        <v>148</v>
      </c>
      <c r="D1190" s="21">
        <v>130.60333333333332</v>
      </c>
      <c r="E1190" s="21">
        <v>44.42</v>
      </c>
      <c r="F1190" s="27">
        <f t="shared" si="54"/>
        <v>0.88245495495495485</v>
      </c>
      <c r="G1190" s="21" t="str">
        <f>IFERROR(INDEX(Users!$A$2:$A$310,MATCH(A1190,Users!$B$2:$B$310,0)),"")</f>
        <v>Service D</v>
      </c>
      <c r="H1190" s="21" t="str">
        <f>IFERROR(INDEX(Users!$D$2:$D$310,MATCH(A1190,Users!$B$2:$B$310,0)),"")</f>
        <v>Band 3</v>
      </c>
      <c r="I1190" s="19" t="b">
        <f t="shared" si="55"/>
        <v>0</v>
      </c>
      <c r="J1190" s="33" t="str">
        <f t="shared" si="56"/>
        <v/>
      </c>
    </row>
    <row r="1191" spans="1:10">
      <c r="A1191" s="19" t="s">
        <v>200</v>
      </c>
      <c r="B1191" s="20">
        <v>45717</v>
      </c>
      <c r="C1191" s="21">
        <v>155.4</v>
      </c>
      <c r="D1191" s="21">
        <v>142.29000000000002</v>
      </c>
      <c r="E1191" s="21">
        <v>61.49</v>
      </c>
      <c r="F1191" s="27">
        <f t="shared" si="54"/>
        <v>0.91563706563706571</v>
      </c>
      <c r="G1191" s="21" t="str">
        <f>IFERROR(INDEX(Users!$A$2:$A$310,MATCH(A1191,Users!$B$2:$B$310,0)),"")</f>
        <v>Service D</v>
      </c>
      <c r="H1191" s="21" t="str">
        <f>IFERROR(INDEX(Users!$D$2:$D$310,MATCH(A1191,Users!$B$2:$B$310,0)),"")</f>
        <v>Band 3</v>
      </c>
      <c r="I1191" s="19" t="b">
        <f t="shared" si="55"/>
        <v>0</v>
      </c>
      <c r="J1191" s="33" t="str">
        <f t="shared" si="56"/>
        <v/>
      </c>
    </row>
    <row r="1192" spans="1:10">
      <c r="A1192" s="19" t="s">
        <v>200</v>
      </c>
      <c r="B1192" s="20">
        <v>45748</v>
      </c>
      <c r="C1192" s="21">
        <v>148</v>
      </c>
      <c r="D1192" s="21">
        <v>107.08666666666667</v>
      </c>
      <c r="E1192" s="21">
        <v>56.17</v>
      </c>
      <c r="F1192" s="27">
        <f t="shared" si="54"/>
        <v>0.72355855855855855</v>
      </c>
      <c r="G1192" s="21" t="str">
        <f>IFERROR(INDEX(Users!$A$2:$A$310,MATCH(A1192,Users!$B$2:$B$310,0)),"")</f>
        <v>Service D</v>
      </c>
      <c r="H1192" s="21" t="str">
        <f>IFERROR(INDEX(Users!$D$2:$D$310,MATCH(A1192,Users!$B$2:$B$310,0)),"")</f>
        <v>Band 3</v>
      </c>
      <c r="I1192" s="19" t="b">
        <f t="shared" si="55"/>
        <v>0</v>
      </c>
      <c r="J1192" s="33" t="str">
        <f t="shared" si="56"/>
        <v/>
      </c>
    </row>
    <row r="1193" spans="1:10">
      <c r="A1193" s="19" t="s">
        <v>200</v>
      </c>
      <c r="B1193" s="20">
        <v>45778</v>
      </c>
      <c r="C1193" s="21">
        <v>148</v>
      </c>
      <c r="D1193" s="21">
        <v>128.07333333333335</v>
      </c>
      <c r="E1193" s="21">
        <v>47.74</v>
      </c>
      <c r="F1193" s="27">
        <f t="shared" si="54"/>
        <v>0.86536036036036046</v>
      </c>
      <c r="G1193" s="21" t="str">
        <f>IFERROR(INDEX(Users!$A$2:$A$310,MATCH(A1193,Users!$B$2:$B$310,0)),"")</f>
        <v>Service D</v>
      </c>
      <c r="H1193" s="21" t="str">
        <f>IFERROR(INDEX(Users!$D$2:$D$310,MATCH(A1193,Users!$B$2:$B$310,0)),"")</f>
        <v>Band 3</v>
      </c>
      <c r="I1193" s="19" t="b">
        <f t="shared" si="55"/>
        <v>0</v>
      </c>
      <c r="J1193" s="33" t="str">
        <f t="shared" si="56"/>
        <v/>
      </c>
    </row>
    <row r="1194" spans="1:10">
      <c r="A1194" s="19" t="s">
        <v>200</v>
      </c>
      <c r="B1194" s="20">
        <v>45809</v>
      </c>
      <c r="C1194" s="21">
        <v>155.4</v>
      </c>
      <c r="D1194" s="21">
        <v>109.41</v>
      </c>
      <c r="E1194" s="21">
        <v>35.910000000000004</v>
      </c>
      <c r="F1194" s="27">
        <f t="shared" si="54"/>
        <v>0.70405405405405397</v>
      </c>
      <c r="G1194" s="21" t="str">
        <f>IFERROR(INDEX(Users!$A$2:$A$310,MATCH(A1194,Users!$B$2:$B$310,0)),"")</f>
        <v>Service D</v>
      </c>
      <c r="H1194" s="21" t="str">
        <f>IFERROR(INDEX(Users!$D$2:$D$310,MATCH(A1194,Users!$B$2:$B$310,0)),"")</f>
        <v>Band 3</v>
      </c>
      <c r="I1194" s="19" t="b">
        <f t="shared" si="55"/>
        <v>0</v>
      </c>
      <c r="J1194" s="33" t="str">
        <f t="shared" si="56"/>
        <v/>
      </c>
    </row>
    <row r="1195" spans="1:10">
      <c r="A1195" s="19" t="s">
        <v>200</v>
      </c>
      <c r="B1195" s="20">
        <v>45839</v>
      </c>
      <c r="C1195" s="21">
        <v>170.20000000000002</v>
      </c>
      <c r="D1195" s="21">
        <v>160.28166666666664</v>
      </c>
      <c r="E1195" s="21">
        <v>86.419999999999987</v>
      </c>
      <c r="F1195" s="27">
        <f t="shared" si="54"/>
        <v>0.94172542107324686</v>
      </c>
      <c r="G1195" s="21" t="str">
        <f>IFERROR(INDEX(Users!$A$2:$A$310,MATCH(A1195,Users!$B$2:$B$310,0)),"")</f>
        <v>Service D</v>
      </c>
      <c r="H1195" s="21" t="str">
        <f>IFERROR(INDEX(Users!$D$2:$D$310,MATCH(A1195,Users!$B$2:$B$310,0)),"")</f>
        <v>Band 3</v>
      </c>
      <c r="I1195" s="19" t="b">
        <f t="shared" si="55"/>
        <v>0</v>
      </c>
      <c r="J1195" s="33" t="str">
        <f t="shared" si="56"/>
        <v/>
      </c>
    </row>
    <row r="1196" spans="1:10">
      <c r="A1196" s="19" t="s">
        <v>200</v>
      </c>
      <c r="B1196" s="20">
        <v>45870</v>
      </c>
      <c r="C1196" s="21">
        <v>148</v>
      </c>
      <c r="D1196" s="21">
        <v>78.08</v>
      </c>
      <c r="E1196" s="21">
        <v>40.58</v>
      </c>
      <c r="F1196" s="27">
        <f t="shared" si="54"/>
        <v>0.52756756756756751</v>
      </c>
      <c r="G1196" s="21" t="str">
        <f>IFERROR(INDEX(Users!$A$2:$A$310,MATCH(A1196,Users!$B$2:$B$310,0)),"")</f>
        <v>Service D</v>
      </c>
      <c r="H1196" s="21" t="str">
        <f>IFERROR(INDEX(Users!$D$2:$D$310,MATCH(A1196,Users!$B$2:$B$310,0)),"")</f>
        <v>Band 3</v>
      </c>
      <c r="I1196" s="19" t="b">
        <f t="shared" si="55"/>
        <v>0</v>
      </c>
      <c r="J1196" s="33" t="str">
        <f t="shared" si="56"/>
        <v/>
      </c>
    </row>
    <row r="1197" spans="1:10">
      <c r="A1197" s="19" t="s">
        <v>200</v>
      </c>
      <c r="B1197" s="20">
        <v>45901</v>
      </c>
      <c r="C1197" s="21">
        <v>162.80000000000001</v>
      </c>
      <c r="D1197" s="21">
        <v>139.67000000000002</v>
      </c>
      <c r="E1197" s="21">
        <v>61.92</v>
      </c>
      <c r="F1197" s="27">
        <f t="shared" si="54"/>
        <v>0.85792383292383301</v>
      </c>
      <c r="G1197" s="21" t="str">
        <f>IFERROR(INDEX(Users!$A$2:$A$310,MATCH(A1197,Users!$B$2:$B$310,0)),"")</f>
        <v>Service D</v>
      </c>
      <c r="H1197" s="21" t="str">
        <f>IFERROR(INDEX(Users!$D$2:$D$310,MATCH(A1197,Users!$B$2:$B$310,0)),"")</f>
        <v>Band 3</v>
      </c>
      <c r="I1197" s="19" t="b">
        <f t="shared" si="55"/>
        <v>0</v>
      </c>
      <c r="J1197" s="33" t="str">
        <f t="shared" si="56"/>
        <v/>
      </c>
    </row>
    <row r="1198" spans="1:10">
      <c r="A1198" s="19" t="s">
        <v>200</v>
      </c>
      <c r="B1198" s="20">
        <v>45931</v>
      </c>
      <c r="C1198" s="21">
        <v>170.20000000000002</v>
      </c>
      <c r="D1198" s="21">
        <v>140.49</v>
      </c>
      <c r="E1198" s="21">
        <v>72.989999999999995</v>
      </c>
      <c r="F1198" s="27">
        <f t="shared" si="54"/>
        <v>0.82544065804935363</v>
      </c>
      <c r="G1198" s="21" t="str">
        <f>IFERROR(INDEX(Users!$A$2:$A$310,MATCH(A1198,Users!$B$2:$B$310,0)),"")</f>
        <v>Service D</v>
      </c>
      <c r="H1198" s="21" t="str">
        <f>IFERROR(INDEX(Users!$D$2:$D$310,MATCH(A1198,Users!$B$2:$B$310,0)),"")</f>
        <v>Band 3</v>
      </c>
      <c r="I1198" s="19" t="b">
        <f t="shared" si="55"/>
        <v>0</v>
      </c>
      <c r="J1198" s="33" t="str">
        <f t="shared" si="56"/>
        <v/>
      </c>
    </row>
    <row r="1199" spans="1:10">
      <c r="A1199" s="19" t="s">
        <v>200</v>
      </c>
      <c r="B1199" s="20">
        <v>45962</v>
      </c>
      <c r="C1199" s="21">
        <v>148</v>
      </c>
      <c r="D1199" s="21">
        <v>134.99</v>
      </c>
      <c r="E1199" s="21">
        <v>45.99</v>
      </c>
      <c r="F1199" s="27">
        <f t="shared" si="54"/>
        <v>0.91209459459459463</v>
      </c>
      <c r="G1199" s="21" t="str">
        <f>IFERROR(INDEX(Users!$A$2:$A$310,MATCH(A1199,Users!$B$2:$B$310,0)),"")</f>
        <v>Service D</v>
      </c>
      <c r="H1199" s="21" t="str">
        <f>IFERROR(INDEX(Users!$D$2:$D$310,MATCH(A1199,Users!$B$2:$B$310,0)),"")</f>
        <v>Band 3</v>
      </c>
      <c r="I1199" s="19" t="b">
        <f t="shared" si="55"/>
        <v>0</v>
      </c>
      <c r="J1199" s="33" t="str">
        <f t="shared" si="56"/>
        <v/>
      </c>
    </row>
    <row r="1200" spans="1:10">
      <c r="A1200" s="19" t="s">
        <v>200</v>
      </c>
      <c r="B1200" s="20">
        <v>45992</v>
      </c>
      <c r="C1200" s="21">
        <v>155.4</v>
      </c>
      <c r="D1200" s="21">
        <v>113.55333333333333</v>
      </c>
      <c r="E1200" s="21">
        <v>49.32</v>
      </c>
      <c r="F1200" s="27">
        <f t="shared" si="54"/>
        <v>0.73071643071643066</v>
      </c>
      <c r="G1200" s="21" t="str">
        <f>IFERROR(INDEX(Users!$A$2:$A$310,MATCH(A1200,Users!$B$2:$B$310,0)),"")</f>
        <v>Service D</v>
      </c>
      <c r="H1200" s="21" t="str">
        <f>IFERROR(INDEX(Users!$D$2:$D$310,MATCH(A1200,Users!$B$2:$B$310,0)),"")</f>
        <v>Band 3</v>
      </c>
      <c r="I1200" s="19" t="b">
        <f t="shared" si="55"/>
        <v>0</v>
      </c>
      <c r="J1200" s="33" t="str">
        <f t="shared" si="56"/>
        <v/>
      </c>
    </row>
    <row r="1201" spans="1:10">
      <c r="A1201" s="19" t="s">
        <v>200</v>
      </c>
      <c r="B1201" s="20">
        <v>46023</v>
      </c>
      <c r="C1201" s="21">
        <v>155.4</v>
      </c>
      <c r="D1201" s="21">
        <v>127.75</v>
      </c>
      <c r="E1201" s="21">
        <v>55.25</v>
      </c>
      <c r="F1201" s="27">
        <f t="shared" si="54"/>
        <v>0.822072072072072</v>
      </c>
      <c r="G1201" s="21" t="str">
        <f>IFERROR(INDEX(Users!$A$2:$A$310,MATCH(A1201,Users!$B$2:$B$310,0)),"")</f>
        <v>Service D</v>
      </c>
      <c r="H1201" s="21" t="str">
        <f>IFERROR(INDEX(Users!$D$2:$D$310,MATCH(A1201,Users!$B$2:$B$310,0)),"")</f>
        <v>Band 3</v>
      </c>
      <c r="I1201" s="19" t="b">
        <f t="shared" si="55"/>
        <v>0</v>
      </c>
      <c r="J1201" s="33" t="str">
        <f t="shared" si="56"/>
        <v/>
      </c>
    </row>
    <row r="1202" spans="1:10">
      <c r="A1202" s="19" t="s">
        <v>201</v>
      </c>
      <c r="B1202" s="20">
        <v>45658</v>
      </c>
      <c r="C1202" s="21">
        <v>162.79999999999998</v>
      </c>
      <c r="D1202" s="21">
        <v>108.78666666666663</v>
      </c>
      <c r="E1202" s="21">
        <v>77.369999999999976</v>
      </c>
      <c r="F1202" s="27">
        <f t="shared" si="54"/>
        <v>0.66822276822276805</v>
      </c>
      <c r="G1202" s="21" t="str">
        <f>IFERROR(INDEX(Users!$A$2:$A$310,MATCH(A1202,Users!$B$2:$B$310,0)),"")</f>
        <v>Service B</v>
      </c>
      <c r="H1202" s="21" t="str">
        <f>IFERROR(INDEX(Users!$D$2:$D$310,MATCH(A1202,Users!$B$2:$B$310,0)),"")</f>
        <v>Band 3</v>
      </c>
      <c r="I1202" s="19" t="b">
        <f t="shared" si="55"/>
        <v>0</v>
      </c>
      <c r="J1202" s="33">
        <f t="shared" si="56"/>
        <v>0.66822276822276805</v>
      </c>
    </row>
    <row r="1203" spans="1:10">
      <c r="A1203" s="19" t="s">
        <v>201</v>
      </c>
      <c r="B1203" s="20">
        <v>45689</v>
      </c>
      <c r="C1203" s="21">
        <v>148</v>
      </c>
      <c r="D1203" s="21">
        <v>95.276666666666671</v>
      </c>
      <c r="E1203" s="21">
        <v>59.61</v>
      </c>
      <c r="F1203" s="27">
        <f t="shared" si="54"/>
        <v>0.64376126126126132</v>
      </c>
      <c r="G1203" s="21" t="str">
        <f>IFERROR(INDEX(Users!$A$2:$A$310,MATCH(A1203,Users!$B$2:$B$310,0)),"")</f>
        <v>Service B</v>
      </c>
      <c r="H1203" s="21" t="str">
        <f>IFERROR(INDEX(Users!$D$2:$D$310,MATCH(A1203,Users!$B$2:$B$310,0)),"")</f>
        <v>Band 3</v>
      </c>
      <c r="I1203" s="19" t="b">
        <f t="shared" si="55"/>
        <v>0</v>
      </c>
      <c r="J1203" s="33">
        <f t="shared" si="56"/>
        <v>0.64376126126126132</v>
      </c>
    </row>
    <row r="1204" spans="1:10">
      <c r="A1204" s="19" t="s">
        <v>201</v>
      </c>
      <c r="B1204" s="20">
        <v>45717</v>
      </c>
      <c r="C1204" s="21">
        <v>155.4</v>
      </c>
      <c r="D1204" s="21">
        <v>151.13</v>
      </c>
      <c r="E1204" s="21">
        <v>108.48</v>
      </c>
      <c r="F1204" s="27">
        <f t="shared" si="54"/>
        <v>0.97252252252252247</v>
      </c>
      <c r="G1204" s="21" t="str">
        <f>IFERROR(INDEX(Users!$A$2:$A$310,MATCH(A1204,Users!$B$2:$B$310,0)),"")</f>
        <v>Service B</v>
      </c>
      <c r="H1204" s="21" t="str">
        <f>IFERROR(INDEX(Users!$D$2:$D$310,MATCH(A1204,Users!$B$2:$B$310,0)),"")</f>
        <v>Band 3</v>
      </c>
      <c r="I1204" s="19" t="b">
        <f t="shared" si="55"/>
        <v>0</v>
      </c>
      <c r="J1204" s="33">
        <f t="shared" si="56"/>
        <v>0.97252252252252247</v>
      </c>
    </row>
    <row r="1205" spans="1:10">
      <c r="A1205" s="19" t="s">
        <v>201</v>
      </c>
      <c r="B1205" s="20">
        <v>45748</v>
      </c>
      <c r="C1205" s="21">
        <v>148</v>
      </c>
      <c r="D1205" s="21">
        <v>125.07333333333332</v>
      </c>
      <c r="E1205" s="21">
        <v>86.089999999999989</v>
      </c>
      <c r="F1205" s="27">
        <f t="shared" si="54"/>
        <v>0.84509009009009006</v>
      </c>
      <c r="G1205" s="21" t="str">
        <f>IFERROR(INDEX(Users!$A$2:$A$310,MATCH(A1205,Users!$B$2:$B$310,0)),"")</f>
        <v>Service B</v>
      </c>
      <c r="H1205" s="21" t="str">
        <f>IFERROR(INDEX(Users!$D$2:$D$310,MATCH(A1205,Users!$B$2:$B$310,0)),"")</f>
        <v>Band 3</v>
      </c>
      <c r="I1205" s="19" t="b">
        <f t="shared" si="55"/>
        <v>0</v>
      </c>
      <c r="J1205" s="33">
        <f t="shared" si="56"/>
        <v>0.84509009009009006</v>
      </c>
    </row>
    <row r="1206" spans="1:10">
      <c r="A1206" s="19" t="s">
        <v>201</v>
      </c>
      <c r="B1206" s="20">
        <v>45778</v>
      </c>
      <c r="C1206" s="21">
        <v>148</v>
      </c>
      <c r="D1206" s="21">
        <v>106.92333333333335</v>
      </c>
      <c r="E1206" s="21">
        <v>74.84</v>
      </c>
      <c r="F1206" s="27">
        <f t="shared" si="54"/>
        <v>0.72245495495495504</v>
      </c>
      <c r="G1206" s="21" t="str">
        <f>IFERROR(INDEX(Users!$A$2:$A$310,MATCH(A1206,Users!$B$2:$B$310,0)),"")</f>
        <v>Service B</v>
      </c>
      <c r="H1206" s="21" t="str">
        <f>IFERROR(INDEX(Users!$D$2:$D$310,MATCH(A1206,Users!$B$2:$B$310,0)),"")</f>
        <v>Band 3</v>
      </c>
      <c r="I1206" s="19" t="b">
        <f t="shared" si="55"/>
        <v>0</v>
      </c>
      <c r="J1206" s="33">
        <f t="shared" si="56"/>
        <v>0.72245495495495504</v>
      </c>
    </row>
    <row r="1207" spans="1:10">
      <c r="A1207" s="19" t="s">
        <v>201</v>
      </c>
      <c r="B1207" s="20">
        <v>45809</v>
      </c>
      <c r="C1207" s="21">
        <v>155.4</v>
      </c>
      <c r="D1207" s="21">
        <v>151.43333333333334</v>
      </c>
      <c r="E1207" s="21">
        <v>106.60000000000001</v>
      </c>
      <c r="F1207" s="27">
        <f t="shared" si="54"/>
        <v>0.97447447447447444</v>
      </c>
      <c r="G1207" s="21" t="str">
        <f>IFERROR(INDEX(Users!$A$2:$A$310,MATCH(A1207,Users!$B$2:$B$310,0)),"")</f>
        <v>Service B</v>
      </c>
      <c r="H1207" s="21" t="str">
        <f>IFERROR(INDEX(Users!$D$2:$D$310,MATCH(A1207,Users!$B$2:$B$310,0)),"")</f>
        <v>Band 3</v>
      </c>
      <c r="I1207" s="19" t="b">
        <f t="shared" si="55"/>
        <v>0</v>
      </c>
      <c r="J1207" s="33">
        <f t="shared" si="56"/>
        <v>0.97447447447447444</v>
      </c>
    </row>
    <row r="1208" spans="1:10">
      <c r="A1208" s="19" t="s">
        <v>201</v>
      </c>
      <c r="B1208" s="20">
        <v>45839</v>
      </c>
      <c r="C1208" s="21">
        <v>170.2</v>
      </c>
      <c r="D1208" s="21">
        <v>169.60000000000002</v>
      </c>
      <c r="E1208" s="21">
        <v>131.35000000000002</v>
      </c>
      <c r="F1208" s="27">
        <f t="shared" si="54"/>
        <v>0.99647473560517064</v>
      </c>
      <c r="G1208" s="21" t="str">
        <f>IFERROR(INDEX(Users!$A$2:$A$310,MATCH(A1208,Users!$B$2:$B$310,0)),"")</f>
        <v>Service B</v>
      </c>
      <c r="H1208" s="21" t="str">
        <f>IFERROR(INDEX(Users!$D$2:$D$310,MATCH(A1208,Users!$B$2:$B$310,0)),"")</f>
        <v>Band 3</v>
      </c>
      <c r="I1208" s="19" t="b">
        <f t="shared" si="55"/>
        <v>0</v>
      </c>
      <c r="J1208" s="33">
        <f t="shared" si="56"/>
        <v>0.99647473560517064</v>
      </c>
    </row>
    <row r="1209" spans="1:10">
      <c r="A1209" s="19" t="s">
        <v>201</v>
      </c>
      <c r="B1209" s="20">
        <v>45870</v>
      </c>
      <c r="C1209" s="21">
        <v>148</v>
      </c>
      <c r="D1209" s="21">
        <v>137.1166666666667</v>
      </c>
      <c r="E1209" s="21">
        <v>105.45000000000002</v>
      </c>
      <c r="F1209" s="27">
        <f t="shared" si="54"/>
        <v>0.92646396396396424</v>
      </c>
      <c r="G1209" s="21" t="str">
        <f>IFERROR(INDEX(Users!$A$2:$A$310,MATCH(A1209,Users!$B$2:$B$310,0)),"")</f>
        <v>Service B</v>
      </c>
      <c r="H1209" s="21" t="str">
        <f>IFERROR(INDEX(Users!$D$2:$D$310,MATCH(A1209,Users!$B$2:$B$310,0)),"")</f>
        <v>Band 3</v>
      </c>
      <c r="I1209" s="19" t="b">
        <f t="shared" si="55"/>
        <v>0</v>
      </c>
      <c r="J1209" s="33">
        <f t="shared" si="56"/>
        <v>0.92646396396396424</v>
      </c>
    </row>
    <row r="1210" spans="1:10">
      <c r="A1210" s="19" t="s">
        <v>201</v>
      </c>
      <c r="B1210" s="20">
        <v>45901</v>
      </c>
      <c r="C1210" s="21">
        <v>162.80000000000001</v>
      </c>
      <c r="D1210" s="21">
        <v>104.86333333333334</v>
      </c>
      <c r="E1210" s="21">
        <v>74.030000000000015</v>
      </c>
      <c r="F1210" s="27">
        <f t="shared" si="54"/>
        <v>0.64412366912366914</v>
      </c>
      <c r="G1210" s="21" t="str">
        <f>IFERROR(INDEX(Users!$A$2:$A$310,MATCH(A1210,Users!$B$2:$B$310,0)),"")</f>
        <v>Service B</v>
      </c>
      <c r="H1210" s="21" t="str">
        <f>IFERROR(INDEX(Users!$D$2:$D$310,MATCH(A1210,Users!$B$2:$B$310,0)),"")</f>
        <v>Band 3</v>
      </c>
      <c r="I1210" s="19" t="b">
        <f t="shared" si="55"/>
        <v>0</v>
      </c>
      <c r="J1210" s="33">
        <f t="shared" si="56"/>
        <v>0.64412366912366914</v>
      </c>
    </row>
    <row r="1211" spans="1:10">
      <c r="A1211" s="19" t="s">
        <v>201</v>
      </c>
      <c r="B1211" s="20">
        <v>45931</v>
      </c>
      <c r="C1211" s="21">
        <v>170.2</v>
      </c>
      <c r="D1211" s="21">
        <v>104.50666666666667</v>
      </c>
      <c r="E1211" s="21">
        <v>63.34</v>
      </c>
      <c r="F1211" s="27">
        <f t="shared" si="54"/>
        <v>0.61402271837054456</v>
      </c>
      <c r="G1211" s="21" t="str">
        <f>IFERROR(INDEX(Users!$A$2:$A$310,MATCH(A1211,Users!$B$2:$B$310,0)),"")</f>
        <v>Service B</v>
      </c>
      <c r="H1211" s="21" t="str">
        <f>IFERROR(INDEX(Users!$D$2:$D$310,MATCH(A1211,Users!$B$2:$B$310,0)),"")</f>
        <v>Band 3</v>
      </c>
      <c r="I1211" s="19" t="b">
        <f t="shared" si="55"/>
        <v>0</v>
      </c>
      <c r="J1211" s="33">
        <f t="shared" si="56"/>
        <v>0.61402271837054456</v>
      </c>
    </row>
    <row r="1212" spans="1:10">
      <c r="A1212" s="19" t="s">
        <v>201</v>
      </c>
      <c r="B1212" s="20">
        <v>45962</v>
      </c>
      <c r="C1212" s="21">
        <v>148</v>
      </c>
      <c r="D1212" s="21">
        <v>117.54</v>
      </c>
      <c r="E1212" s="21">
        <v>82.04</v>
      </c>
      <c r="F1212" s="27">
        <f t="shared" si="54"/>
        <v>0.79418918918918924</v>
      </c>
      <c r="G1212" s="21" t="str">
        <f>IFERROR(INDEX(Users!$A$2:$A$310,MATCH(A1212,Users!$B$2:$B$310,0)),"")</f>
        <v>Service B</v>
      </c>
      <c r="H1212" s="21" t="str">
        <f>IFERROR(INDEX(Users!$D$2:$D$310,MATCH(A1212,Users!$B$2:$B$310,0)),"")</f>
        <v>Band 3</v>
      </c>
      <c r="I1212" s="19" t="b">
        <f t="shared" si="55"/>
        <v>0</v>
      </c>
      <c r="J1212" s="33">
        <f t="shared" si="56"/>
        <v>0.79418918918918924</v>
      </c>
    </row>
    <row r="1213" spans="1:10">
      <c r="A1213" s="19" t="s">
        <v>201</v>
      </c>
      <c r="B1213" s="20">
        <v>45992</v>
      </c>
      <c r="C1213" s="21">
        <v>155.4</v>
      </c>
      <c r="D1213" s="21">
        <v>120.85333333333334</v>
      </c>
      <c r="E1213" s="21">
        <v>88.02000000000001</v>
      </c>
      <c r="F1213" s="27">
        <f t="shared" si="54"/>
        <v>0.77769197769197773</v>
      </c>
      <c r="G1213" s="21" t="str">
        <f>IFERROR(INDEX(Users!$A$2:$A$310,MATCH(A1213,Users!$B$2:$B$310,0)),"")</f>
        <v>Service B</v>
      </c>
      <c r="H1213" s="21" t="str">
        <f>IFERROR(INDEX(Users!$D$2:$D$310,MATCH(A1213,Users!$B$2:$B$310,0)),"")</f>
        <v>Band 3</v>
      </c>
      <c r="I1213" s="19" t="b">
        <f t="shared" si="55"/>
        <v>0</v>
      </c>
      <c r="J1213" s="33">
        <f t="shared" si="56"/>
        <v>0.77769197769197773</v>
      </c>
    </row>
    <row r="1214" spans="1:10">
      <c r="A1214" s="19" t="s">
        <v>201</v>
      </c>
      <c r="B1214" s="20">
        <v>46023</v>
      </c>
      <c r="C1214" s="21">
        <v>155.39999999999998</v>
      </c>
      <c r="D1214" s="21">
        <v>102.84666666666666</v>
      </c>
      <c r="E1214" s="21">
        <v>71.180000000000007</v>
      </c>
      <c r="F1214" s="27">
        <f t="shared" si="54"/>
        <v>0.66181896181896194</v>
      </c>
      <c r="G1214" s="21" t="str">
        <f>IFERROR(INDEX(Users!$A$2:$A$310,MATCH(A1214,Users!$B$2:$B$310,0)),"")</f>
        <v>Service B</v>
      </c>
      <c r="H1214" s="21" t="str">
        <f>IFERROR(INDEX(Users!$D$2:$D$310,MATCH(A1214,Users!$B$2:$B$310,0)),"")</f>
        <v>Band 3</v>
      </c>
      <c r="I1214" s="19" t="b">
        <f t="shared" si="55"/>
        <v>0</v>
      </c>
      <c r="J1214" s="33" t="str">
        <f t="shared" si="56"/>
        <v/>
      </c>
    </row>
    <row r="1215" spans="1:10">
      <c r="A1215" s="19" t="s">
        <v>203</v>
      </c>
      <c r="B1215" s="20">
        <v>45658</v>
      </c>
      <c r="C1215" s="21">
        <v>162.80000000000001</v>
      </c>
      <c r="D1215" s="21"/>
      <c r="E1215" s="21"/>
      <c r="F1215" s="27" t="str">
        <f t="shared" si="54"/>
        <v/>
      </c>
      <c r="G1215" s="21" t="str">
        <f>IFERROR(INDEX(Users!$A$2:$A$310,MATCH(A1215,Users!$B$2:$B$310,0)),"")</f>
        <v>Service D</v>
      </c>
      <c r="H1215" s="21" t="str">
        <f>IFERROR(INDEX(Users!$D$2:$D$310,MATCH(A1215,Users!$B$2:$B$310,0)),"")</f>
        <v>Band 3</v>
      </c>
      <c r="I1215" s="19" t="b">
        <f t="shared" si="55"/>
        <v>0</v>
      </c>
      <c r="J1215" s="33" t="str">
        <f t="shared" si="56"/>
        <v/>
      </c>
    </row>
    <row r="1216" spans="1:10">
      <c r="A1216" s="19" t="s">
        <v>203</v>
      </c>
      <c r="B1216" s="20">
        <v>45689</v>
      </c>
      <c r="C1216" s="21">
        <v>148</v>
      </c>
      <c r="D1216" s="21">
        <v>36</v>
      </c>
      <c r="E1216" s="21"/>
      <c r="F1216" s="27">
        <f t="shared" si="54"/>
        <v>0.24324324324324326</v>
      </c>
      <c r="G1216" s="21" t="str">
        <f>IFERROR(INDEX(Users!$A$2:$A$310,MATCH(A1216,Users!$B$2:$B$310,0)),"")</f>
        <v>Service D</v>
      </c>
      <c r="H1216" s="21" t="str">
        <f>IFERROR(INDEX(Users!$D$2:$D$310,MATCH(A1216,Users!$B$2:$B$310,0)),"")</f>
        <v>Band 3</v>
      </c>
      <c r="I1216" s="19" t="b">
        <f t="shared" si="55"/>
        <v>0</v>
      </c>
      <c r="J1216" s="33" t="str">
        <f t="shared" si="56"/>
        <v/>
      </c>
    </row>
    <row r="1217" spans="1:10">
      <c r="A1217" s="19" t="s">
        <v>203</v>
      </c>
      <c r="B1217" s="20">
        <v>45717</v>
      </c>
      <c r="C1217" s="21">
        <v>155.4</v>
      </c>
      <c r="D1217" s="21">
        <v>94.11</v>
      </c>
      <c r="E1217" s="21">
        <v>10.61</v>
      </c>
      <c r="F1217" s="27">
        <f t="shared" si="54"/>
        <v>0.6055984555984556</v>
      </c>
      <c r="G1217" s="21" t="str">
        <f>IFERROR(INDEX(Users!$A$2:$A$310,MATCH(A1217,Users!$B$2:$B$310,0)),"")</f>
        <v>Service D</v>
      </c>
      <c r="H1217" s="21" t="str">
        <f>IFERROR(INDEX(Users!$D$2:$D$310,MATCH(A1217,Users!$B$2:$B$310,0)),"")</f>
        <v>Band 3</v>
      </c>
      <c r="I1217" s="19" t="b">
        <f t="shared" si="55"/>
        <v>0</v>
      </c>
      <c r="J1217" s="33" t="str">
        <f t="shared" si="56"/>
        <v/>
      </c>
    </row>
    <row r="1218" spans="1:10">
      <c r="A1218" s="19" t="s">
        <v>203</v>
      </c>
      <c r="B1218" s="20">
        <v>45748</v>
      </c>
      <c r="C1218" s="21">
        <v>148</v>
      </c>
      <c r="D1218" s="21">
        <v>159.58999999999997</v>
      </c>
      <c r="E1218" s="21">
        <v>58.84</v>
      </c>
      <c r="F1218" s="27">
        <f t="shared" ref="F1218:F1281" si="57">IFERROR(IF(OR(C1218="",D1218="",C1218=0),"",D1218/C1218),"")</f>
        <v>1.0783108108108106</v>
      </c>
      <c r="G1218" s="21" t="str">
        <f>IFERROR(INDEX(Users!$A$2:$A$310,MATCH(A1218,Users!$B$2:$B$310,0)),"")</f>
        <v>Service D</v>
      </c>
      <c r="H1218" s="21" t="str">
        <f>IFERROR(INDEX(Users!$D$2:$D$310,MATCH(A1218,Users!$B$2:$B$310,0)),"")</f>
        <v>Band 3</v>
      </c>
      <c r="I1218" s="19" t="b">
        <f t="shared" ref="I1218:I1281" si="58">AND(G1218="Service A",H1218="Band 3")</f>
        <v>0</v>
      </c>
      <c r="J1218" s="33" t="str">
        <f t="shared" ref="J1218:J1281" si="59">IF(AND(B1218&gt;=DATE(2025,1,1),B1218&lt;DATE(2026,1,1),G1218="Service B",OR(H1218="Band 3",H1218="Band 5"),ISNUMBER(F1218)),F1218,"")</f>
        <v/>
      </c>
    </row>
    <row r="1219" spans="1:10">
      <c r="A1219" s="19" t="s">
        <v>203</v>
      </c>
      <c r="B1219" s="20">
        <v>45778</v>
      </c>
      <c r="C1219" s="21">
        <v>148</v>
      </c>
      <c r="D1219" s="21">
        <v>139.58000000000001</v>
      </c>
      <c r="E1219" s="21">
        <v>86.663333333333341</v>
      </c>
      <c r="F1219" s="27">
        <f t="shared" si="57"/>
        <v>0.94310810810810819</v>
      </c>
      <c r="G1219" s="21" t="str">
        <f>IFERROR(INDEX(Users!$A$2:$A$310,MATCH(A1219,Users!$B$2:$B$310,0)),"")</f>
        <v>Service D</v>
      </c>
      <c r="H1219" s="21" t="str">
        <f>IFERROR(INDEX(Users!$D$2:$D$310,MATCH(A1219,Users!$B$2:$B$310,0)),"")</f>
        <v>Band 3</v>
      </c>
      <c r="I1219" s="19" t="b">
        <f t="shared" si="58"/>
        <v>0</v>
      </c>
      <c r="J1219" s="33" t="str">
        <f t="shared" si="59"/>
        <v/>
      </c>
    </row>
    <row r="1220" spans="1:10">
      <c r="A1220" s="19" t="s">
        <v>203</v>
      </c>
      <c r="B1220" s="20">
        <v>45809</v>
      </c>
      <c r="C1220" s="21">
        <v>155.4</v>
      </c>
      <c r="D1220" s="21">
        <v>139.5</v>
      </c>
      <c r="E1220" s="21">
        <v>47.583333333333336</v>
      </c>
      <c r="F1220" s="27">
        <f t="shared" si="57"/>
        <v>0.89768339768339767</v>
      </c>
      <c r="G1220" s="21" t="str">
        <f>IFERROR(INDEX(Users!$A$2:$A$310,MATCH(A1220,Users!$B$2:$B$310,0)),"")</f>
        <v>Service D</v>
      </c>
      <c r="H1220" s="21" t="str">
        <f>IFERROR(INDEX(Users!$D$2:$D$310,MATCH(A1220,Users!$B$2:$B$310,0)),"")</f>
        <v>Band 3</v>
      </c>
      <c r="I1220" s="19" t="b">
        <f t="shared" si="58"/>
        <v>0</v>
      </c>
      <c r="J1220" s="33" t="str">
        <f t="shared" si="59"/>
        <v/>
      </c>
    </row>
    <row r="1221" spans="1:10">
      <c r="A1221" s="19" t="s">
        <v>203</v>
      </c>
      <c r="B1221" s="20">
        <v>45839</v>
      </c>
      <c r="C1221" s="21">
        <v>170.20000000000002</v>
      </c>
      <c r="D1221" s="21">
        <v>147.29999999999998</v>
      </c>
      <c r="E1221" s="21">
        <v>3.5</v>
      </c>
      <c r="F1221" s="27">
        <f t="shared" si="57"/>
        <v>0.86545240893066966</v>
      </c>
      <c r="G1221" s="21" t="str">
        <f>IFERROR(INDEX(Users!$A$2:$A$310,MATCH(A1221,Users!$B$2:$B$310,0)),"")</f>
        <v>Service D</v>
      </c>
      <c r="H1221" s="21" t="str">
        <f>IFERROR(INDEX(Users!$D$2:$D$310,MATCH(A1221,Users!$B$2:$B$310,0)),"")</f>
        <v>Band 3</v>
      </c>
      <c r="I1221" s="19" t="b">
        <f t="shared" si="58"/>
        <v>0</v>
      </c>
      <c r="J1221" s="33" t="str">
        <f t="shared" si="59"/>
        <v/>
      </c>
    </row>
    <row r="1222" spans="1:10">
      <c r="A1222" s="19" t="s">
        <v>203</v>
      </c>
      <c r="B1222" s="20">
        <v>45870</v>
      </c>
      <c r="C1222" s="21">
        <v>148</v>
      </c>
      <c r="D1222" s="21">
        <v>93.92</v>
      </c>
      <c r="E1222" s="21">
        <v>34.67</v>
      </c>
      <c r="F1222" s="27">
        <f t="shared" si="57"/>
        <v>0.63459459459459455</v>
      </c>
      <c r="G1222" s="21" t="str">
        <f>IFERROR(INDEX(Users!$A$2:$A$310,MATCH(A1222,Users!$B$2:$B$310,0)),"")</f>
        <v>Service D</v>
      </c>
      <c r="H1222" s="21" t="str">
        <f>IFERROR(INDEX(Users!$D$2:$D$310,MATCH(A1222,Users!$B$2:$B$310,0)),"")</f>
        <v>Band 3</v>
      </c>
      <c r="I1222" s="19" t="b">
        <f t="shared" si="58"/>
        <v>0</v>
      </c>
      <c r="J1222" s="33" t="str">
        <f t="shared" si="59"/>
        <v/>
      </c>
    </row>
    <row r="1223" spans="1:10">
      <c r="A1223" s="19" t="s">
        <v>203</v>
      </c>
      <c r="B1223" s="20">
        <v>45901</v>
      </c>
      <c r="C1223" s="21">
        <v>162.80000000000001</v>
      </c>
      <c r="D1223" s="21">
        <v>98.25</v>
      </c>
      <c r="E1223" s="21">
        <v>38.333333333333336</v>
      </c>
      <c r="F1223" s="27">
        <f t="shared" si="57"/>
        <v>0.60350122850122845</v>
      </c>
      <c r="G1223" s="21" t="str">
        <f>IFERROR(INDEX(Users!$A$2:$A$310,MATCH(A1223,Users!$B$2:$B$310,0)),"")</f>
        <v>Service D</v>
      </c>
      <c r="H1223" s="21" t="str">
        <f>IFERROR(INDEX(Users!$D$2:$D$310,MATCH(A1223,Users!$B$2:$B$310,0)),"")</f>
        <v>Band 3</v>
      </c>
      <c r="I1223" s="19" t="b">
        <f t="shared" si="58"/>
        <v>0</v>
      </c>
      <c r="J1223" s="33" t="str">
        <f t="shared" si="59"/>
        <v/>
      </c>
    </row>
    <row r="1224" spans="1:10">
      <c r="A1224" s="19" t="s">
        <v>203</v>
      </c>
      <c r="B1224" s="20">
        <v>45931</v>
      </c>
      <c r="C1224" s="21">
        <v>170.20000000000002</v>
      </c>
      <c r="D1224" s="21">
        <v>156</v>
      </c>
      <c r="E1224" s="21">
        <v>20.5</v>
      </c>
      <c r="F1224" s="27">
        <f t="shared" si="57"/>
        <v>0.9165687426556991</v>
      </c>
      <c r="G1224" s="21" t="str">
        <f>IFERROR(INDEX(Users!$A$2:$A$310,MATCH(A1224,Users!$B$2:$B$310,0)),"")</f>
        <v>Service D</v>
      </c>
      <c r="H1224" s="21" t="str">
        <f>IFERROR(INDEX(Users!$D$2:$D$310,MATCH(A1224,Users!$B$2:$B$310,0)),"")</f>
        <v>Band 3</v>
      </c>
      <c r="I1224" s="19" t="b">
        <f t="shared" si="58"/>
        <v>0</v>
      </c>
      <c r="J1224" s="33" t="str">
        <f t="shared" si="59"/>
        <v/>
      </c>
    </row>
    <row r="1225" spans="1:10">
      <c r="A1225" s="19" t="s">
        <v>203</v>
      </c>
      <c r="B1225" s="20">
        <v>45962</v>
      </c>
      <c r="C1225" s="21">
        <v>148</v>
      </c>
      <c r="D1225" s="21">
        <v>12.5</v>
      </c>
      <c r="E1225" s="21">
        <v>4.5</v>
      </c>
      <c r="F1225" s="27">
        <f t="shared" si="57"/>
        <v>8.4459459459459457E-2</v>
      </c>
      <c r="G1225" s="21" t="str">
        <f>IFERROR(INDEX(Users!$A$2:$A$310,MATCH(A1225,Users!$B$2:$B$310,0)),"")</f>
        <v>Service D</v>
      </c>
      <c r="H1225" s="21" t="str">
        <f>IFERROR(INDEX(Users!$D$2:$D$310,MATCH(A1225,Users!$B$2:$B$310,0)),"")</f>
        <v>Band 3</v>
      </c>
      <c r="I1225" s="19" t="b">
        <f t="shared" si="58"/>
        <v>0</v>
      </c>
      <c r="J1225" s="33" t="str">
        <f t="shared" si="59"/>
        <v/>
      </c>
    </row>
    <row r="1226" spans="1:10">
      <c r="A1226" s="19" t="s">
        <v>203</v>
      </c>
      <c r="B1226" s="20">
        <v>45992</v>
      </c>
      <c r="C1226" s="21">
        <v>155.4</v>
      </c>
      <c r="D1226" s="21">
        <v>23.08</v>
      </c>
      <c r="E1226" s="21">
        <v>23.08</v>
      </c>
      <c r="F1226" s="27">
        <f t="shared" si="57"/>
        <v>0.14851994851994851</v>
      </c>
      <c r="G1226" s="21" t="str">
        <f>IFERROR(INDEX(Users!$A$2:$A$310,MATCH(A1226,Users!$B$2:$B$310,0)),"")</f>
        <v>Service D</v>
      </c>
      <c r="H1226" s="21" t="str">
        <f>IFERROR(INDEX(Users!$D$2:$D$310,MATCH(A1226,Users!$B$2:$B$310,0)),"")</f>
        <v>Band 3</v>
      </c>
      <c r="I1226" s="19" t="b">
        <f t="shared" si="58"/>
        <v>0</v>
      </c>
      <c r="J1226" s="33" t="str">
        <f t="shared" si="59"/>
        <v/>
      </c>
    </row>
    <row r="1227" spans="1:10">
      <c r="A1227" s="19" t="s">
        <v>203</v>
      </c>
      <c r="B1227" s="20">
        <v>46023</v>
      </c>
      <c r="C1227" s="21">
        <v>155.4</v>
      </c>
      <c r="D1227" s="21">
        <v>11.08</v>
      </c>
      <c r="E1227" s="21">
        <v>11.08</v>
      </c>
      <c r="F1227" s="27">
        <f t="shared" si="57"/>
        <v>7.1299871299871295E-2</v>
      </c>
      <c r="G1227" s="21" t="str">
        <f>IFERROR(INDEX(Users!$A$2:$A$310,MATCH(A1227,Users!$B$2:$B$310,0)),"")</f>
        <v>Service D</v>
      </c>
      <c r="H1227" s="21" t="str">
        <f>IFERROR(INDEX(Users!$D$2:$D$310,MATCH(A1227,Users!$B$2:$B$310,0)),"")</f>
        <v>Band 3</v>
      </c>
      <c r="I1227" s="19" t="b">
        <f t="shared" si="58"/>
        <v>0</v>
      </c>
      <c r="J1227" s="33" t="str">
        <f t="shared" si="59"/>
        <v/>
      </c>
    </row>
    <row r="1228" spans="1:10">
      <c r="A1228" s="19" t="s">
        <v>205</v>
      </c>
      <c r="B1228" s="20">
        <v>45658</v>
      </c>
      <c r="C1228" s="21">
        <v>162.80000000000001</v>
      </c>
      <c r="D1228" s="21">
        <v>136.98333333333335</v>
      </c>
      <c r="E1228" s="21">
        <v>115.50000000000001</v>
      </c>
      <c r="F1228" s="27">
        <f t="shared" si="57"/>
        <v>0.84142096642096642</v>
      </c>
      <c r="G1228" s="21" t="str">
        <f>IFERROR(INDEX(Users!$A$2:$A$310,MATCH(A1228,Users!$B$2:$B$310,0)),"")</f>
        <v>Service A</v>
      </c>
      <c r="H1228" s="21" t="str">
        <f>IFERROR(INDEX(Users!$D$2:$D$310,MATCH(A1228,Users!$B$2:$B$310,0)),"")</f>
        <v>Band 3</v>
      </c>
      <c r="I1228" s="19" t="b">
        <f t="shared" si="58"/>
        <v>1</v>
      </c>
      <c r="J1228" s="33" t="str">
        <f t="shared" si="59"/>
        <v/>
      </c>
    </row>
    <row r="1229" spans="1:10">
      <c r="A1229" s="19" t="s">
        <v>205</v>
      </c>
      <c r="B1229" s="20">
        <v>45689</v>
      </c>
      <c r="C1229" s="21">
        <v>148</v>
      </c>
      <c r="D1229" s="21">
        <v>103.78000000000002</v>
      </c>
      <c r="E1229" s="21">
        <v>81.580000000000013</v>
      </c>
      <c r="F1229" s="27">
        <f t="shared" si="57"/>
        <v>0.70121621621621633</v>
      </c>
      <c r="G1229" s="21" t="str">
        <f>IFERROR(INDEX(Users!$A$2:$A$310,MATCH(A1229,Users!$B$2:$B$310,0)),"")</f>
        <v>Service A</v>
      </c>
      <c r="H1229" s="21" t="str">
        <f>IFERROR(INDEX(Users!$D$2:$D$310,MATCH(A1229,Users!$B$2:$B$310,0)),"")</f>
        <v>Band 3</v>
      </c>
      <c r="I1229" s="19" t="b">
        <f t="shared" si="58"/>
        <v>1</v>
      </c>
      <c r="J1229" s="33" t="str">
        <f t="shared" si="59"/>
        <v/>
      </c>
    </row>
    <row r="1230" spans="1:10">
      <c r="A1230" s="19" t="s">
        <v>205</v>
      </c>
      <c r="B1230" s="20">
        <v>45717</v>
      </c>
      <c r="C1230" s="21">
        <v>155.4</v>
      </c>
      <c r="D1230" s="21">
        <v>93.033333333333331</v>
      </c>
      <c r="E1230" s="21">
        <v>69.95</v>
      </c>
      <c r="F1230" s="27">
        <f t="shared" si="57"/>
        <v>0.59867009867009868</v>
      </c>
      <c r="G1230" s="21" t="str">
        <f>IFERROR(INDEX(Users!$A$2:$A$310,MATCH(A1230,Users!$B$2:$B$310,0)),"")</f>
        <v>Service A</v>
      </c>
      <c r="H1230" s="21" t="str">
        <f>IFERROR(INDEX(Users!$D$2:$D$310,MATCH(A1230,Users!$B$2:$B$310,0)),"")</f>
        <v>Band 3</v>
      </c>
      <c r="I1230" s="19" t="b">
        <f t="shared" si="58"/>
        <v>1</v>
      </c>
      <c r="J1230" s="33" t="str">
        <f t="shared" si="59"/>
        <v/>
      </c>
    </row>
    <row r="1231" spans="1:10">
      <c r="A1231" s="19" t="s">
        <v>205</v>
      </c>
      <c r="B1231" s="20">
        <v>45748</v>
      </c>
      <c r="C1231" s="21">
        <v>148</v>
      </c>
      <c r="D1231" s="21">
        <v>121.85333333333334</v>
      </c>
      <c r="E1231" s="21">
        <v>92.62</v>
      </c>
      <c r="F1231" s="27">
        <f t="shared" si="57"/>
        <v>0.82333333333333336</v>
      </c>
      <c r="G1231" s="21" t="str">
        <f>IFERROR(INDEX(Users!$A$2:$A$310,MATCH(A1231,Users!$B$2:$B$310,0)),"")</f>
        <v>Service A</v>
      </c>
      <c r="H1231" s="21" t="str">
        <f>IFERROR(INDEX(Users!$D$2:$D$310,MATCH(A1231,Users!$B$2:$B$310,0)),"")</f>
        <v>Band 3</v>
      </c>
      <c r="I1231" s="19" t="b">
        <f t="shared" si="58"/>
        <v>1</v>
      </c>
      <c r="J1231" s="33" t="str">
        <f t="shared" si="59"/>
        <v/>
      </c>
    </row>
    <row r="1232" spans="1:10">
      <c r="A1232" s="19" t="s">
        <v>205</v>
      </c>
      <c r="B1232" s="20">
        <v>45778</v>
      </c>
      <c r="C1232" s="21">
        <v>148</v>
      </c>
      <c r="D1232" s="21">
        <v>126.46666666666667</v>
      </c>
      <c r="E1232" s="21">
        <v>99.800000000000011</v>
      </c>
      <c r="F1232" s="27">
        <f t="shared" si="57"/>
        <v>0.85450450450450455</v>
      </c>
      <c r="G1232" s="21" t="str">
        <f>IFERROR(INDEX(Users!$A$2:$A$310,MATCH(A1232,Users!$B$2:$B$310,0)),"")</f>
        <v>Service A</v>
      </c>
      <c r="H1232" s="21" t="str">
        <f>IFERROR(INDEX(Users!$D$2:$D$310,MATCH(A1232,Users!$B$2:$B$310,0)),"")</f>
        <v>Band 3</v>
      </c>
      <c r="I1232" s="19" t="b">
        <f t="shared" si="58"/>
        <v>1</v>
      </c>
      <c r="J1232" s="33" t="str">
        <f t="shared" si="59"/>
        <v/>
      </c>
    </row>
    <row r="1233" spans="1:10">
      <c r="A1233" s="19" t="s">
        <v>205</v>
      </c>
      <c r="B1233" s="20">
        <v>45809</v>
      </c>
      <c r="C1233" s="21">
        <v>155.4</v>
      </c>
      <c r="D1233" s="21">
        <v>142.83333333333334</v>
      </c>
      <c r="E1233" s="21">
        <v>118.95</v>
      </c>
      <c r="F1233" s="27">
        <f t="shared" si="57"/>
        <v>0.91913341913341917</v>
      </c>
      <c r="G1233" s="21" t="str">
        <f>IFERROR(INDEX(Users!$A$2:$A$310,MATCH(A1233,Users!$B$2:$B$310,0)),"")</f>
        <v>Service A</v>
      </c>
      <c r="H1233" s="21" t="str">
        <f>IFERROR(INDEX(Users!$D$2:$D$310,MATCH(A1233,Users!$B$2:$B$310,0)),"")</f>
        <v>Band 3</v>
      </c>
      <c r="I1233" s="19" t="b">
        <f t="shared" si="58"/>
        <v>1</v>
      </c>
      <c r="J1233" s="33" t="str">
        <f t="shared" si="59"/>
        <v/>
      </c>
    </row>
    <row r="1234" spans="1:10">
      <c r="A1234" s="19" t="s">
        <v>205</v>
      </c>
      <c r="B1234" s="20">
        <v>45839</v>
      </c>
      <c r="C1234" s="21">
        <v>170.20000000000002</v>
      </c>
      <c r="D1234" s="21">
        <v>166.93</v>
      </c>
      <c r="E1234" s="21">
        <v>122.43000000000002</v>
      </c>
      <c r="F1234" s="27">
        <f t="shared" si="57"/>
        <v>0.98078730904817857</v>
      </c>
      <c r="G1234" s="21" t="str">
        <f>IFERROR(INDEX(Users!$A$2:$A$310,MATCH(A1234,Users!$B$2:$B$310,0)),"")</f>
        <v>Service A</v>
      </c>
      <c r="H1234" s="21" t="str">
        <f>IFERROR(INDEX(Users!$D$2:$D$310,MATCH(A1234,Users!$B$2:$B$310,0)),"")</f>
        <v>Band 3</v>
      </c>
      <c r="I1234" s="19" t="b">
        <f t="shared" si="58"/>
        <v>1</v>
      </c>
      <c r="J1234" s="33" t="str">
        <f t="shared" si="59"/>
        <v/>
      </c>
    </row>
    <row r="1235" spans="1:10">
      <c r="A1235" s="19" t="s">
        <v>205</v>
      </c>
      <c r="B1235" s="20">
        <v>45870</v>
      </c>
      <c r="C1235" s="21">
        <v>148</v>
      </c>
      <c r="D1235" s="21">
        <v>133.55333333333334</v>
      </c>
      <c r="E1235" s="21">
        <v>110.72</v>
      </c>
      <c r="F1235" s="27">
        <f t="shared" si="57"/>
        <v>0.90238738738738744</v>
      </c>
      <c r="G1235" s="21" t="str">
        <f>IFERROR(INDEX(Users!$A$2:$A$310,MATCH(A1235,Users!$B$2:$B$310,0)),"")</f>
        <v>Service A</v>
      </c>
      <c r="H1235" s="21" t="str">
        <f>IFERROR(INDEX(Users!$D$2:$D$310,MATCH(A1235,Users!$B$2:$B$310,0)),"")</f>
        <v>Band 3</v>
      </c>
      <c r="I1235" s="19" t="b">
        <f t="shared" si="58"/>
        <v>1</v>
      </c>
      <c r="J1235" s="33" t="str">
        <f t="shared" si="59"/>
        <v/>
      </c>
    </row>
    <row r="1236" spans="1:10">
      <c r="A1236" s="19" t="s">
        <v>205</v>
      </c>
      <c r="B1236" s="20">
        <v>45901</v>
      </c>
      <c r="C1236" s="21">
        <v>162.80000000000001</v>
      </c>
      <c r="D1236" s="21">
        <v>128.08333333333334</v>
      </c>
      <c r="E1236" s="21">
        <v>96.95</v>
      </c>
      <c r="F1236" s="27">
        <f t="shared" si="57"/>
        <v>0.78675266175266179</v>
      </c>
      <c r="G1236" s="21" t="str">
        <f>IFERROR(INDEX(Users!$A$2:$A$310,MATCH(A1236,Users!$B$2:$B$310,0)),"")</f>
        <v>Service A</v>
      </c>
      <c r="H1236" s="21" t="str">
        <f>IFERROR(INDEX(Users!$D$2:$D$310,MATCH(A1236,Users!$B$2:$B$310,0)),"")</f>
        <v>Band 3</v>
      </c>
      <c r="I1236" s="19" t="b">
        <f t="shared" si="58"/>
        <v>1</v>
      </c>
      <c r="J1236" s="33" t="str">
        <f t="shared" si="59"/>
        <v/>
      </c>
    </row>
    <row r="1237" spans="1:10">
      <c r="A1237" s="19" t="s">
        <v>205</v>
      </c>
      <c r="B1237" s="20">
        <v>45931</v>
      </c>
      <c r="C1237" s="21">
        <v>170.20000000000002</v>
      </c>
      <c r="D1237" s="21">
        <v>60.093333333333341</v>
      </c>
      <c r="E1237" s="21">
        <v>45.560000000000009</v>
      </c>
      <c r="F1237" s="27">
        <f t="shared" si="57"/>
        <v>0.35307481394437917</v>
      </c>
      <c r="G1237" s="21" t="str">
        <f>IFERROR(INDEX(Users!$A$2:$A$310,MATCH(A1237,Users!$B$2:$B$310,0)),"")</f>
        <v>Service A</v>
      </c>
      <c r="H1237" s="21" t="str">
        <f>IFERROR(INDEX(Users!$D$2:$D$310,MATCH(A1237,Users!$B$2:$B$310,0)),"")</f>
        <v>Band 3</v>
      </c>
      <c r="I1237" s="19" t="b">
        <f t="shared" si="58"/>
        <v>1</v>
      </c>
      <c r="J1237" s="33" t="str">
        <f t="shared" si="59"/>
        <v/>
      </c>
    </row>
    <row r="1238" spans="1:10">
      <c r="A1238" s="19" t="s">
        <v>205</v>
      </c>
      <c r="B1238" s="20">
        <v>45962</v>
      </c>
      <c r="C1238" s="21">
        <v>148</v>
      </c>
      <c r="D1238" s="21"/>
      <c r="E1238" s="21"/>
      <c r="F1238" s="27" t="str">
        <f t="shared" si="57"/>
        <v/>
      </c>
      <c r="G1238" s="21" t="str">
        <f>IFERROR(INDEX(Users!$A$2:$A$310,MATCH(A1238,Users!$B$2:$B$310,0)),"")</f>
        <v>Service A</v>
      </c>
      <c r="H1238" s="21" t="str">
        <f>IFERROR(INDEX(Users!$D$2:$D$310,MATCH(A1238,Users!$B$2:$B$310,0)),"")</f>
        <v>Band 3</v>
      </c>
      <c r="I1238" s="19" t="b">
        <f t="shared" si="58"/>
        <v>1</v>
      </c>
      <c r="J1238" s="33" t="str">
        <f t="shared" si="59"/>
        <v/>
      </c>
    </row>
    <row r="1239" spans="1:10">
      <c r="A1239" s="19" t="s">
        <v>205</v>
      </c>
      <c r="B1239" s="20">
        <v>45992</v>
      </c>
      <c r="C1239" s="21">
        <v>7.4</v>
      </c>
      <c r="D1239" s="21"/>
      <c r="E1239" s="21"/>
      <c r="F1239" s="27" t="str">
        <f t="shared" si="57"/>
        <v/>
      </c>
      <c r="G1239" s="21" t="str">
        <f>IFERROR(INDEX(Users!$A$2:$A$310,MATCH(A1239,Users!$B$2:$B$310,0)),"")</f>
        <v>Service A</v>
      </c>
      <c r="H1239" s="21" t="str">
        <f>IFERROR(INDEX(Users!$D$2:$D$310,MATCH(A1239,Users!$B$2:$B$310,0)),"")</f>
        <v>Band 3</v>
      </c>
      <c r="I1239" s="19" t="b">
        <f t="shared" si="58"/>
        <v>1</v>
      </c>
      <c r="J1239" s="33" t="str">
        <f t="shared" si="59"/>
        <v/>
      </c>
    </row>
    <row r="1240" spans="1:10">
      <c r="A1240" s="19" t="s">
        <v>206</v>
      </c>
      <c r="B1240" s="20">
        <v>45658</v>
      </c>
      <c r="C1240" s="21">
        <v>162.79999999999998</v>
      </c>
      <c r="D1240" s="21">
        <v>72.22</v>
      </c>
      <c r="E1240" s="21">
        <v>39.22</v>
      </c>
      <c r="F1240" s="27">
        <f t="shared" si="57"/>
        <v>0.44361179361179365</v>
      </c>
      <c r="G1240" s="21" t="str">
        <f>IFERROR(INDEX(Users!$A$2:$A$310,MATCH(A1240,Users!$B$2:$B$310,0)),"")</f>
        <v>Service B</v>
      </c>
      <c r="H1240" s="21" t="str">
        <f>IFERROR(INDEX(Users!$D$2:$D$310,MATCH(A1240,Users!$B$2:$B$310,0)),"")</f>
        <v>Band 3</v>
      </c>
      <c r="I1240" s="19" t="b">
        <f t="shared" si="58"/>
        <v>0</v>
      </c>
      <c r="J1240" s="33">
        <f t="shared" si="59"/>
        <v>0.44361179361179365</v>
      </c>
    </row>
    <row r="1241" spans="1:10">
      <c r="A1241" s="19" t="s">
        <v>206</v>
      </c>
      <c r="B1241" s="20">
        <v>45689</v>
      </c>
      <c r="C1241" s="21">
        <v>148</v>
      </c>
      <c r="D1241" s="21">
        <v>150.81333333333333</v>
      </c>
      <c r="E1241" s="21">
        <v>96.48</v>
      </c>
      <c r="F1241" s="27">
        <f t="shared" si="57"/>
        <v>1.0190090090090089</v>
      </c>
      <c r="G1241" s="21" t="str">
        <f>IFERROR(INDEX(Users!$A$2:$A$310,MATCH(A1241,Users!$B$2:$B$310,0)),"")</f>
        <v>Service B</v>
      </c>
      <c r="H1241" s="21" t="str">
        <f>IFERROR(INDEX(Users!$D$2:$D$310,MATCH(A1241,Users!$B$2:$B$310,0)),"")</f>
        <v>Band 3</v>
      </c>
      <c r="I1241" s="19" t="b">
        <f t="shared" si="58"/>
        <v>0</v>
      </c>
      <c r="J1241" s="33">
        <f t="shared" si="59"/>
        <v>1.0190090090090089</v>
      </c>
    </row>
    <row r="1242" spans="1:10">
      <c r="A1242" s="19" t="s">
        <v>206</v>
      </c>
      <c r="B1242" s="20">
        <v>45717</v>
      </c>
      <c r="C1242" s="21">
        <v>155.4</v>
      </c>
      <c r="D1242" s="21">
        <v>158.44000000000003</v>
      </c>
      <c r="E1242" s="21">
        <v>97.940000000000012</v>
      </c>
      <c r="F1242" s="27">
        <f t="shared" si="57"/>
        <v>1.0195624195624198</v>
      </c>
      <c r="G1242" s="21" t="str">
        <f>IFERROR(INDEX(Users!$A$2:$A$310,MATCH(A1242,Users!$B$2:$B$310,0)),"")</f>
        <v>Service B</v>
      </c>
      <c r="H1242" s="21" t="str">
        <f>IFERROR(INDEX(Users!$D$2:$D$310,MATCH(A1242,Users!$B$2:$B$310,0)),"")</f>
        <v>Band 3</v>
      </c>
      <c r="I1242" s="19" t="b">
        <f t="shared" si="58"/>
        <v>0</v>
      </c>
      <c r="J1242" s="33">
        <f t="shared" si="59"/>
        <v>1.0195624195624198</v>
      </c>
    </row>
    <row r="1243" spans="1:10">
      <c r="A1243" s="19" t="s">
        <v>206</v>
      </c>
      <c r="B1243" s="20">
        <v>45748</v>
      </c>
      <c r="C1243" s="21">
        <v>148</v>
      </c>
      <c r="D1243" s="21">
        <v>142.32333333333335</v>
      </c>
      <c r="E1243" s="21">
        <v>93.240000000000009</v>
      </c>
      <c r="F1243" s="27">
        <f t="shared" si="57"/>
        <v>0.96164414414414423</v>
      </c>
      <c r="G1243" s="21" t="str">
        <f>IFERROR(INDEX(Users!$A$2:$A$310,MATCH(A1243,Users!$B$2:$B$310,0)),"")</f>
        <v>Service B</v>
      </c>
      <c r="H1243" s="21" t="str">
        <f>IFERROR(INDEX(Users!$D$2:$D$310,MATCH(A1243,Users!$B$2:$B$310,0)),"")</f>
        <v>Band 3</v>
      </c>
      <c r="I1243" s="19" t="b">
        <f t="shared" si="58"/>
        <v>0</v>
      </c>
      <c r="J1243" s="33">
        <f t="shared" si="59"/>
        <v>0.96164414414414423</v>
      </c>
    </row>
    <row r="1244" spans="1:10">
      <c r="A1244" s="19" t="s">
        <v>206</v>
      </c>
      <c r="B1244" s="20">
        <v>45778</v>
      </c>
      <c r="C1244" s="21">
        <v>148</v>
      </c>
      <c r="D1244" s="21">
        <v>95.333333333333343</v>
      </c>
      <c r="E1244" s="21">
        <v>55.499999999999993</v>
      </c>
      <c r="F1244" s="27">
        <f t="shared" si="57"/>
        <v>0.64414414414414423</v>
      </c>
      <c r="G1244" s="21" t="str">
        <f>IFERROR(INDEX(Users!$A$2:$A$310,MATCH(A1244,Users!$B$2:$B$310,0)),"")</f>
        <v>Service B</v>
      </c>
      <c r="H1244" s="21" t="str">
        <f>IFERROR(INDEX(Users!$D$2:$D$310,MATCH(A1244,Users!$B$2:$B$310,0)),"")</f>
        <v>Band 3</v>
      </c>
      <c r="I1244" s="19" t="b">
        <f t="shared" si="58"/>
        <v>0</v>
      </c>
      <c r="J1244" s="33">
        <f t="shared" si="59"/>
        <v>0.64414414414414423</v>
      </c>
    </row>
    <row r="1245" spans="1:10">
      <c r="A1245" s="19" t="s">
        <v>206</v>
      </c>
      <c r="B1245" s="20">
        <v>45809</v>
      </c>
      <c r="C1245" s="21">
        <v>155.4</v>
      </c>
      <c r="D1245" s="21">
        <v>146.97000000000003</v>
      </c>
      <c r="E1245" s="21">
        <v>92.52000000000001</v>
      </c>
      <c r="F1245" s="27">
        <f t="shared" si="57"/>
        <v>0.94575289575289589</v>
      </c>
      <c r="G1245" s="21" t="str">
        <f>IFERROR(INDEX(Users!$A$2:$A$310,MATCH(A1245,Users!$B$2:$B$310,0)),"")</f>
        <v>Service B</v>
      </c>
      <c r="H1245" s="21" t="str">
        <f>IFERROR(INDEX(Users!$D$2:$D$310,MATCH(A1245,Users!$B$2:$B$310,0)),"")</f>
        <v>Band 3</v>
      </c>
      <c r="I1245" s="19" t="b">
        <f t="shared" si="58"/>
        <v>0</v>
      </c>
      <c r="J1245" s="33">
        <f t="shared" si="59"/>
        <v>0.94575289575289589</v>
      </c>
    </row>
    <row r="1246" spans="1:10">
      <c r="A1246" s="19" t="s">
        <v>206</v>
      </c>
      <c r="B1246" s="20">
        <v>45839</v>
      </c>
      <c r="C1246" s="21">
        <v>170.2</v>
      </c>
      <c r="D1246" s="21">
        <v>164.14333333333335</v>
      </c>
      <c r="E1246" s="21">
        <v>93.56</v>
      </c>
      <c r="F1246" s="27">
        <f t="shared" si="57"/>
        <v>0.96441441441441456</v>
      </c>
      <c r="G1246" s="21" t="str">
        <f>IFERROR(INDEX(Users!$A$2:$A$310,MATCH(A1246,Users!$B$2:$B$310,0)),"")</f>
        <v>Service B</v>
      </c>
      <c r="H1246" s="21" t="str">
        <f>IFERROR(INDEX(Users!$D$2:$D$310,MATCH(A1246,Users!$B$2:$B$310,0)),"")</f>
        <v>Band 3</v>
      </c>
      <c r="I1246" s="19" t="b">
        <f t="shared" si="58"/>
        <v>0</v>
      </c>
      <c r="J1246" s="33">
        <f t="shared" si="59"/>
        <v>0.96441441441441456</v>
      </c>
    </row>
    <row r="1247" spans="1:10">
      <c r="A1247" s="19" t="s">
        <v>206</v>
      </c>
      <c r="B1247" s="20">
        <v>45870</v>
      </c>
      <c r="C1247" s="21">
        <v>148</v>
      </c>
      <c r="D1247" s="21">
        <v>91.546666666666653</v>
      </c>
      <c r="E1247" s="21">
        <v>52.129999999999995</v>
      </c>
      <c r="F1247" s="27">
        <f t="shared" si="57"/>
        <v>0.61855855855855846</v>
      </c>
      <c r="G1247" s="21" t="str">
        <f>IFERROR(INDEX(Users!$A$2:$A$310,MATCH(A1247,Users!$B$2:$B$310,0)),"")</f>
        <v>Service B</v>
      </c>
      <c r="H1247" s="21" t="str">
        <f>IFERROR(INDEX(Users!$D$2:$D$310,MATCH(A1247,Users!$B$2:$B$310,0)),"")</f>
        <v>Band 3</v>
      </c>
      <c r="I1247" s="19" t="b">
        <f t="shared" si="58"/>
        <v>0</v>
      </c>
      <c r="J1247" s="33">
        <f t="shared" si="59"/>
        <v>0.61855855855855846</v>
      </c>
    </row>
    <row r="1248" spans="1:10">
      <c r="A1248" s="19" t="s">
        <v>206</v>
      </c>
      <c r="B1248" s="20">
        <v>45901</v>
      </c>
      <c r="C1248" s="21">
        <v>162.80000000000001</v>
      </c>
      <c r="D1248" s="21">
        <v>158.93666666666667</v>
      </c>
      <c r="E1248" s="21">
        <v>75.77</v>
      </c>
      <c r="F1248" s="27">
        <f t="shared" si="57"/>
        <v>0.97626945126945119</v>
      </c>
      <c r="G1248" s="21" t="str">
        <f>IFERROR(INDEX(Users!$A$2:$A$310,MATCH(A1248,Users!$B$2:$B$310,0)),"")</f>
        <v>Service B</v>
      </c>
      <c r="H1248" s="21" t="str">
        <f>IFERROR(INDEX(Users!$D$2:$D$310,MATCH(A1248,Users!$B$2:$B$310,0)),"")</f>
        <v>Band 3</v>
      </c>
      <c r="I1248" s="19" t="b">
        <f t="shared" si="58"/>
        <v>0</v>
      </c>
      <c r="J1248" s="33">
        <f t="shared" si="59"/>
        <v>0.97626945126945119</v>
      </c>
    </row>
    <row r="1249" spans="1:10">
      <c r="A1249" s="19" t="s">
        <v>206</v>
      </c>
      <c r="B1249" s="20">
        <v>45931</v>
      </c>
      <c r="C1249" s="21">
        <v>170.2</v>
      </c>
      <c r="D1249" s="21">
        <v>104.69</v>
      </c>
      <c r="E1249" s="21">
        <v>58.190000000000005</v>
      </c>
      <c r="F1249" s="27">
        <f t="shared" si="57"/>
        <v>0.61509988249118686</v>
      </c>
      <c r="G1249" s="21" t="str">
        <f>IFERROR(INDEX(Users!$A$2:$A$310,MATCH(A1249,Users!$B$2:$B$310,0)),"")</f>
        <v>Service B</v>
      </c>
      <c r="H1249" s="21" t="str">
        <f>IFERROR(INDEX(Users!$D$2:$D$310,MATCH(A1249,Users!$B$2:$B$310,0)),"")</f>
        <v>Band 3</v>
      </c>
      <c r="I1249" s="19" t="b">
        <f t="shared" si="58"/>
        <v>0</v>
      </c>
      <c r="J1249" s="33">
        <f t="shared" si="59"/>
        <v>0.61509988249118686</v>
      </c>
    </row>
    <row r="1250" spans="1:10">
      <c r="A1250" s="19" t="s">
        <v>206</v>
      </c>
      <c r="B1250" s="20">
        <v>45962</v>
      </c>
      <c r="C1250" s="21">
        <v>148</v>
      </c>
      <c r="D1250" s="21">
        <v>150.53666666666669</v>
      </c>
      <c r="E1250" s="21">
        <v>78.12</v>
      </c>
      <c r="F1250" s="27">
        <f t="shared" si="57"/>
        <v>1.0171396396396397</v>
      </c>
      <c r="G1250" s="21" t="str">
        <f>IFERROR(INDEX(Users!$A$2:$A$310,MATCH(A1250,Users!$B$2:$B$310,0)),"")</f>
        <v>Service B</v>
      </c>
      <c r="H1250" s="21" t="str">
        <f>IFERROR(INDEX(Users!$D$2:$D$310,MATCH(A1250,Users!$B$2:$B$310,0)),"")</f>
        <v>Band 3</v>
      </c>
      <c r="I1250" s="19" t="b">
        <f t="shared" si="58"/>
        <v>0</v>
      </c>
      <c r="J1250" s="33">
        <f t="shared" si="59"/>
        <v>1.0171396396396397</v>
      </c>
    </row>
    <row r="1251" spans="1:10">
      <c r="A1251" s="19" t="s">
        <v>206</v>
      </c>
      <c r="B1251" s="20">
        <v>45992</v>
      </c>
      <c r="C1251" s="21">
        <v>155.4</v>
      </c>
      <c r="D1251" s="21">
        <v>122.13999999999999</v>
      </c>
      <c r="E1251" s="21">
        <v>72.64</v>
      </c>
      <c r="F1251" s="27">
        <f t="shared" si="57"/>
        <v>0.78597168597168587</v>
      </c>
      <c r="G1251" s="21" t="str">
        <f>IFERROR(INDEX(Users!$A$2:$A$310,MATCH(A1251,Users!$B$2:$B$310,0)),"")</f>
        <v>Service B</v>
      </c>
      <c r="H1251" s="21" t="str">
        <f>IFERROR(INDEX(Users!$D$2:$D$310,MATCH(A1251,Users!$B$2:$B$310,0)),"")</f>
        <v>Band 3</v>
      </c>
      <c r="I1251" s="19" t="b">
        <f t="shared" si="58"/>
        <v>0</v>
      </c>
      <c r="J1251" s="33">
        <f t="shared" si="59"/>
        <v>0.78597168597168587</v>
      </c>
    </row>
    <row r="1252" spans="1:10">
      <c r="A1252" s="19" t="s">
        <v>206</v>
      </c>
      <c r="B1252" s="20">
        <v>46023</v>
      </c>
      <c r="C1252" s="21">
        <v>155.39999999999998</v>
      </c>
      <c r="D1252" s="21">
        <v>103.44000000000001</v>
      </c>
      <c r="E1252" s="21">
        <v>63.190000000000005</v>
      </c>
      <c r="F1252" s="27">
        <f t="shared" si="57"/>
        <v>0.66563706563706582</v>
      </c>
      <c r="G1252" s="21" t="str">
        <f>IFERROR(INDEX(Users!$A$2:$A$310,MATCH(A1252,Users!$B$2:$B$310,0)),"")</f>
        <v>Service B</v>
      </c>
      <c r="H1252" s="21" t="str">
        <f>IFERROR(INDEX(Users!$D$2:$D$310,MATCH(A1252,Users!$B$2:$B$310,0)),"")</f>
        <v>Band 3</v>
      </c>
      <c r="I1252" s="19" t="b">
        <f t="shared" si="58"/>
        <v>0</v>
      </c>
      <c r="J1252" s="33" t="str">
        <f t="shared" si="59"/>
        <v/>
      </c>
    </row>
    <row r="1253" spans="1:10">
      <c r="A1253" s="19" t="s">
        <v>207</v>
      </c>
      <c r="B1253" s="20">
        <v>45658</v>
      </c>
      <c r="C1253" s="21">
        <v>162.80000000000001</v>
      </c>
      <c r="D1253" s="21">
        <v>117.60666666666667</v>
      </c>
      <c r="E1253" s="21">
        <v>53.189999999999991</v>
      </c>
      <c r="F1253" s="27">
        <f t="shared" si="57"/>
        <v>0.7223996723996724</v>
      </c>
      <c r="G1253" s="21" t="str">
        <f>IFERROR(INDEX(Users!$A$2:$A$310,MATCH(A1253,Users!$B$2:$B$310,0)),"")</f>
        <v>Service B</v>
      </c>
      <c r="H1253" s="21" t="str">
        <f>IFERROR(INDEX(Users!$D$2:$D$310,MATCH(A1253,Users!$B$2:$B$310,0)),"")</f>
        <v>Band 5</v>
      </c>
      <c r="I1253" s="19" t="b">
        <f t="shared" si="58"/>
        <v>0</v>
      </c>
      <c r="J1253" s="33">
        <f t="shared" si="59"/>
        <v>0.7223996723996724</v>
      </c>
    </row>
    <row r="1254" spans="1:10">
      <c r="A1254" s="19" t="s">
        <v>207</v>
      </c>
      <c r="B1254" s="20">
        <v>45689</v>
      </c>
      <c r="C1254" s="21">
        <v>148</v>
      </c>
      <c r="D1254" s="21">
        <v>135.01999999999998</v>
      </c>
      <c r="E1254" s="21">
        <v>59.77</v>
      </c>
      <c r="F1254" s="27">
        <f t="shared" si="57"/>
        <v>0.91229729729729714</v>
      </c>
      <c r="G1254" s="21" t="str">
        <f>IFERROR(INDEX(Users!$A$2:$A$310,MATCH(A1254,Users!$B$2:$B$310,0)),"")</f>
        <v>Service B</v>
      </c>
      <c r="H1254" s="21" t="str">
        <f>IFERROR(INDEX(Users!$D$2:$D$310,MATCH(A1254,Users!$B$2:$B$310,0)),"")</f>
        <v>Band 5</v>
      </c>
      <c r="I1254" s="19" t="b">
        <f t="shared" si="58"/>
        <v>0</v>
      </c>
      <c r="J1254" s="33">
        <f t="shared" si="59"/>
        <v>0.91229729729729714</v>
      </c>
    </row>
    <row r="1255" spans="1:10">
      <c r="A1255" s="19" t="s">
        <v>207</v>
      </c>
      <c r="B1255" s="20">
        <v>45717</v>
      </c>
      <c r="C1255" s="21">
        <v>155.4</v>
      </c>
      <c r="D1255" s="21">
        <v>124.62666666666668</v>
      </c>
      <c r="E1255" s="21">
        <v>83.710000000000008</v>
      </c>
      <c r="F1255" s="27">
        <f t="shared" si="57"/>
        <v>0.80197340197340206</v>
      </c>
      <c r="G1255" s="21" t="str">
        <f>IFERROR(INDEX(Users!$A$2:$A$310,MATCH(A1255,Users!$B$2:$B$310,0)),"")</f>
        <v>Service B</v>
      </c>
      <c r="H1255" s="21" t="str">
        <f>IFERROR(INDEX(Users!$D$2:$D$310,MATCH(A1255,Users!$B$2:$B$310,0)),"")</f>
        <v>Band 5</v>
      </c>
      <c r="I1255" s="19" t="b">
        <f t="shared" si="58"/>
        <v>0</v>
      </c>
      <c r="J1255" s="33">
        <f t="shared" si="59"/>
        <v>0.80197340197340206</v>
      </c>
    </row>
    <row r="1256" spans="1:10">
      <c r="A1256" s="19" t="s">
        <v>207</v>
      </c>
      <c r="B1256" s="20">
        <v>45748</v>
      </c>
      <c r="C1256" s="21">
        <v>148</v>
      </c>
      <c r="D1256" s="21">
        <v>148.64999999999995</v>
      </c>
      <c r="E1256" s="21">
        <v>84.399999999999949</v>
      </c>
      <c r="F1256" s="27">
        <f t="shared" si="57"/>
        <v>1.0043918918918915</v>
      </c>
      <c r="G1256" s="21" t="str">
        <f>IFERROR(INDEX(Users!$A$2:$A$310,MATCH(A1256,Users!$B$2:$B$310,0)),"")</f>
        <v>Service B</v>
      </c>
      <c r="H1256" s="21" t="str">
        <f>IFERROR(INDEX(Users!$D$2:$D$310,MATCH(A1256,Users!$B$2:$B$310,0)),"")</f>
        <v>Band 5</v>
      </c>
      <c r="I1256" s="19" t="b">
        <f t="shared" si="58"/>
        <v>0</v>
      </c>
      <c r="J1256" s="33">
        <f t="shared" si="59"/>
        <v>1.0043918918918915</v>
      </c>
    </row>
    <row r="1257" spans="1:10">
      <c r="A1257" s="19" t="s">
        <v>207</v>
      </c>
      <c r="B1257" s="20">
        <v>45778</v>
      </c>
      <c r="C1257" s="21">
        <v>148</v>
      </c>
      <c r="D1257" s="21">
        <v>122.23666666666668</v>
      </c>
      <c r="E1257" s="21">
        <v>53.320000000000007</v>
      </c>
      <c r="F1257" s="27">
        <f t="shared" si="57"/>
        <v>0.82592342342342351</v>
      </c>
      <c r="G1257" s="21" t="str">
        <f>IFERROR(INDEX(Users!$A$2:$A$310,MATCH(A1257,Users!$B$2:$B$310,0)),"")</f>
        <v>Service B</v>
      </c>
      <c r="H1257" s="21" t="str">
        <f>IFERROR(INDEX(Users!$D$2:$D$310,MATCH(A1257,Users!$B$2:$B$310,0)),"")</f>
        <v>Band 5</v>
      </c>
      <c r="I1257" s="19" t="b">
        <f t="shared" si="58"/>
        <v>0</v>
      </c>
      <c r="J1257" s="33">
        <f t="shared" si="59"/>
        <v>0.82592342342342351</v>
      </c>
    </row>
    <row r="1258" spans="1:10">
      <c r="A1258" s="19" t="s">
        <v>207</v>
      </c>
      <c r="B1258" s="20">
        <v>45809</v>
      </c>
      <c r="C1258" s="21">
        <v>155.4</v>
      </c>
      <c r="D1258" s="21">
        <v>149.23333333333335</v>
      </c>
      <c r="E1258" s="21">
        <v>92.649999999999991</v>
      </c>
      <c r="F1258" s="27">
        <f t="shared" si="57"/>
        <v>0.96031746031746035</v>
      </c>
      <c r="G1258" s="21" t="str">
        <f>IFERROR(INDEX(Users!$A$2:$A$310,MATCH(A1258,Users!$B$2:$B$310,0)),"")</f>
        <v>Service B</v>
      </c>
      <c r="H1258" s="21" t="str">
        <f>IFERROR(INDEX(Users!$D$2:$D$310,MATCH(A1258,Users!$B$2:$B$310,0)),"")</f>
        <v>Band 5</v>
      </c>
      <c r="I1258" s="19" t="b">
        <f t="shared" si="58"/>
        <v>0</v>
      </c>
      <c r="J1258" s="33">
        <f t="shared" si="59"/>
        <v>0.96031746031746035</v>
      </c>
    </row>
    <row r="1259" spans="1:10">
      <c r="A1259" s="19" t="s">
        <v>207</v>
      </c>
      <c r="B1259" s="20">
        <v>45839</v>
      </c>
      <c r="C1259" s="21">
        <v>170.20000000000002</v>
      </c>
      <c r="D1259" s="21">
        <v>132.48666666666668</v>
      </c>
      <c r="E1259" s="21">
        <v>70.320000000000007</v>
      </c>
      <c r="F1259" s="27">
        <f t="shared" si="57"/>
        <v>0.77841754798276541</v>
      </c>
      <c r="G1259" s="21" t="str">
        <f>IFERROR(INDEX(Users!$A$2:$A$310,MATCH(A1259,Users!$B$2:$B$310,0)),"")</f>
        <v>Service B</v>
      </c>
      <c r="H1259" s="21" t="str">
        <f>IFERROR(INDEX(Users!$D$2:$D$310,MATCH(A1259,Users!$B$2:$B$310,0)),"")</f>
        <v>Band 5</v>
      </c>
      <c r="I1259" s="19" t="b">
        <f t="shared" si="58"/>
        <v>0</v>
      </c>
      <c r="J1259" s="33">
        <f t="shared" si="59"/>
        <v>0.77841754798276541</v>
      </c>
    </row>
    <row r="1260" spans="1:10">
      <c r="A1260" s="19" t="s">
        <v>207</v>
      </c>
      <c r="B1260" s="20">
        <v>45870</v>
      </c>
      <c r="C1260" s="21">
        <v>148</v>
      </c>
      <c r="D1260" s="21">
        <v>87.703333333333347</v>
      </c>
      <c r="E1260" s="21">
        <v>46.120000000000005</v>
      </c>
      <c r="F1260" s="27">
        <f t="shared" si="57"/>
        <v>0.59259009009009023</v>
      </c>
      <c r="G1260" s="21" t="str">
        <f>IFERROR(INDEX(Users!$A$2:$A$310,MATCH(A1260,Users!$B$2:$B$310,0)),"")</f>
        <v>Service B</v>
      </c>
      <c r="H1260" s="21" t="str">
        <f>IFERROR(INDEX(Users!$D$2:$D$310,MATCH(A1260,Users!$B$2:$B$310,0)),"")</f>
        <v>Band 5</v>
      </c>
      <c r="I1260" s="19" t="b">
        <f t="shared" si="58"/>
        <v>0</v>
      </c>
      <c r="J1260" s="33">
        <f t="shared" si="59"/>
        <v>0.59259009009009023</v>
      </c>
    </row>
    <row r="1261" spans="1:10">
      <c r="A1261" s="19" t="s">
        <v>207</v>
      </c>
      <c r="B1261" s="20">
        <v>45901</v>
      </c>
      <c r="C1261" s="21">
        <v>162.80000000000001</v>
      </c>
      <c r="D1261" s="21">
        <v>162.98666666666662</v>
      </c>
      <c r="E1261" s="21">
        <v>91.419999999999945</v>
      </c>
      <c r="F1261" s="27">
        <f t="shared" si="57"/>
        <v>1.0011466011466008</v>
      </c>
      <c r="G1261" s="21" t="str">
        <f>IFERROR(INDEX(Users!$A$2:$A$310,MATCH(A1261,Users!$B$2:$B$310,0)),"")</f>
        <v>Service B</v>
      </c>
      <c r="H1261" s="21" t="str">
        <f>IFERROR(INDEX(Users!$D$2:$D$310,MATCH(A1261,Users!$B$2:$B$310,0)),"")</f>
        <v>Band 5</v>
      </c>
      <c r="I1261" s="19" t="b">
        <f t="shared" si="58"/>
        <v>0</v>
      </c>
      <c r="J1261" s="33">
        <f t="shared" si="59"/>
        <v>1.0011466011466008</v>
      </c>
    </row>
    <row r="1262" spans="1:10">
      <c r="A1262" s="19" t="s">
        <v>207</v>
      </c>
      <c r="B1262" s="20">
        <v>45931</v>
      </c>
      <c r="C1262" s="21">
        <v>170.20000000000002</v>
      </c>
      <c r="D1262" s="21">
        <v>169.52999999999997</v>
      </c>
      <c r="E1262" s="21">
        <v>99.279999999999987</v>
      </c>
      <c r="F1262" s="27">
        <f t="shared" si="57"/>
        <v>0.99606345475910663</v>
      </c>
      <c r="G1262" s="21" t="str">
        <f>IFERROR(INDEX(Users!$A$2:$A$310,MATCH(A1262,Users!$B$2:$B$310,0)),"")</f>
        <v>Service B</v>
      </c>
      <c r="H1262" s="21" t="str">
        <f>IFERROR(INDEX(Users!$D$2:$D$310,MATCH(A1262,Users!$B$2:$B$310,0)),"")</f>
        <v>Band 5</v>
      </c>
      <c r="I1262" s="19" t="b">
        <f t="shared" si="58"/>
        <v>0</v>
      </c>
      <c r="J1262" s="33">
        <f t="shared" si="59"/>
        <v>0.99606345475910663</v>
      </c>
    </row>
    <row r="1263" spans="1:10">
      <c r="A1263" s="19" t="s">
        <v>207</v>
      </c>
      <c r="B1263" s="20">
        <v>45962</v>
      </c>
      <c r="C1263" s="21">
        <v>148</v>
      </c>
      <c r="D1263" s="21">
        <v>137.99666666666664</v>
      </c>
      <c r="E1263" s="21">
        <v>81.579999999999984</v>
      </c>
      <c r="F1263" s="27">
        <f t="shared" si="57"/>
        <v>0.93240990990990968</v>
      </c>
      <c r="G1263" s="21" t="str">
        <f>IFERROR(INDEX(Users!$A$2:$A$310,MATCH(A1263,Users!$B$2:$B$310,0)),"")</f>
        <v>Service B</v>
      </c>
      <c r="H1263" s="21" t="str">
        <f>IFERROR(INDEX(Users!$D$2:$D$310,MATCH(A1263,Users!$B$2:$B$310,0)),"")</f>
        <v>Band 5</v>
      </c>
      <c r="I1263" s="19" t="b">
        <f t="shared" si="58"/>
        <v>0</v>
      </c>
      <c r="J1263" s="33">
        <f t="shared" si="59"/>
        <v>0.93240990990990968</v>
      </c>
    </row>
    <row r="1264" spans="1:10">
      <c r="A1264" s="19" t="s">
        <v>207</v>
      </c>
      <c r="B1264" s="20">
        <v>45992</v>
      </c>
      <c r="C1264" s="21">
        <v>155.4</v>
      </c>
      <c r="D1264" s="21">
        <v>111.07666666666664</v>
      </c>
      <c r="E1264" s="21">
        <v>67.159999999999968</v>
      </c>
      <c r="F1264" s="27">
        <f t="shared" si="57"/>
        <v>0.71477906477906461</v>
      </c>
      <c r="G1264" s="21" t="str">
        <f>IFERROR(INDEX(Users!$A$2:$A$310,MATCH(A1264,Users!$B$2:$B$310,0)),"")</f>
        <v>Service B</v>
      </c>
      <c r="H1264" s="21" t="str">
        <f>IFERROR(INDEX(Users!$D$2:$D$310,MATCH(A1264,Users!$B$2:$B$310,0)),"")</f>
        <v>Band 5</v>
      </c>
      <c r="I1264" s="19" t="b">
        <f t="shared" si="58"/>
        <v>0</v>
      </c>
      <c r="J1264" s="33">
        <f t="shared" si="59"/>
        <v>0.71477906477906461</v>
      </c>
    </row>
    <row r="1265" spans="1:10">
      <c r="A1265" s="19" t="s">
        <v>207</v>
      </c>
      <c r="B1265" s="20">
        <v>46023</v>
      </c>
      <c r="C1265" s="21">
        <v>155.4</v>
      </c>
      <c r="D1265" s="21">
        <v>129.64333333333329</v>
      </c>
      <c r="E1265" s="21">
        <v>71.659999999999968</v>
      </c>
      <c r="F1265" s="27">
        <f t="shared" si="57"/>
        <v>0.83425568425568397</v>
      </c>
      <c r="G1265" s="21" t="str">
        <f>IFERROR(INDEX(Users!$A$2:$A$310,MATCH(A1265,Users!$B$2:$B$310,0)),"")</f>
        <v>Service B</v>
      </c>
      <c r="H1265" s="21" t="str">
        <f>IFERROR(INDEX(Users!$D$2:$D$310,MATCH(A1265,Users!$B$2:$B$310,0)),"")</f>
        <v>Band 5</v>
      </c>
      <c r="I1265" s="19" t="b">
        <f t="shared" si="58"/>
        <v>0</v>
      </c>
      <c r="J1265" s="33" t="str">
        <f t="shared" si="59"/>
        <v/>
      </c>
    </row>
    <row r="1266" spans="1:10">
      <c r="A1266" s="19" t="s">
        <v>210</v>
      </c>
      <c r="B1266" s="20">
        <v>45658</v>
      </c>
      <c r="C1266" s="21">
        <v>96</v>
      </c>
      <c r="D1266" s="21">
        <v>65.25</v>
      </c>
      <c r="E1266" s="21">
        <v>28.5</v>
      </c>
      <c r="F1266" s="27">
        <f t="shared" si="57"/>
        <v>0.6796875</v>
      </c>
      <c r="G1266" s="21" t="str">
        <f>IFERROR(INDEX(Users!$A$2:$A$310,MATCH(A1266,Users!$B$2:$B$310,0)),"")</f>
        <v>Service A</v>
      </c>
      <c r="H1266" s="21" t="str">
        <f>IFERROR(INDEX(Users!$D$2:$D$310,MATCH(A1266,Users!$B$2:$B$310,0)),"")</f>
        <v>Band 3</v>
      </c>
      <c r="I1266" s="19" t="b">
        <f t="shared" si="58"/>
        <v>1</v>
      </c>
      <c r="J1266" s="33" t="str">
        <f t="shared" si="59"/>
        <v/>
      </c>
    </row>
    <row r="1267" spans="1:10">
      <c r="A1267" s="19" t="s">
        <v>210</v>
      </c>
      <c r="B1267" s="20">
        <v>45689</v>
      </c>
      <c r="C1267" s="21">
        <v>96</v>
      </c>
      <c r="D1267" s="21">
        <v>86.166666666666671</v>
      </c>
      <c r="E1267" s="21">
        <v>58.25</v>
      </c>
      <c r="F1267" s="27">
        <f t="shared" si="57"/>
        <v>0.89756944444444453</v>
      </c>
      <c r="G1267" s="21" t="str">
        <f>IFERROR(INDEX(Users!$A$2:$A$310,MATCH(A1267,Users!$B$2:$B$310,0)),"")</f>
        <v>Service A</v>
      </c>
      <c r="H1267" s="21" t="str">
        <f>IFERROR(INDEX(Users!$D$2:$D$310,MATCH(A1267,Users!$B$2:$B$310,0)),"")</f>
        <v>Band 3</v>
      </c>
      <c r="I1267" s="19" t="b">
        <f t="shared" si="58"/>
        <v>1</v>
      </c>
      <c r="J1267" s="33" t="str">
        <f t="shared" si="59"/>
        <v/>
      </c>
    </row>
    <row r="1268" spans="1:10">
      <c r="A1268" s="19" t="s">
        <v>210</v>
      </c>
      <c r="B1268" s="20">
        <v>45717</v>
      </c>
      <c r="C1268" s="21">
        <v>104</v>
      </c>
      <c r="D1268" s="21">
        <v>97.573333333333323</v>
      </c>
      <c r="E1268" s="21">
        <v>71.489999999999995</v>
      </c>
      <c r="F1268" s="27">
        <f t="shared" si="57"/>
        <v>0.93820512820512814</v>
      </c>
      <c r="G1268" s="21" t="str">
        <f>IFERROR(INDEX(Users!$A$2:$A$310,MATCH(A1268,Users!$B$2:$B$310,0)),"")</f>
        <v>Service A</v>
      </c>
      <c r="H1268" s="21" t="str">
        <f>IFERROR(INDEX(Users!$D$2:$D$310,MATCH(A1268,Users!$B$2:$B$310,0)),"")</f>
        <v>Band 3</v>
      </c>
      <c r="I1268" s="19" t="b">
        <f t="shared" si="58"/>
        <v>1</v>
      </c>
      <c r="J1268" s="33" t="str">
        <f t="shared" si="59"/>
        <v/>
      </c>
    </row>
    <row r="1269" spans="1:10">
      <c r="A1269" s="19" t="s">
        <v>210</v>
      </c>
      <c r="B1269" s="20">
        <v>45748</v>
      </c>
      <c r="C1269" s="21">
        <v>104</v>
      </c>
      <c r="D1269" s="21">
        <v>66.25</v>
      </c>
      <c r="E1269" s="21">
        <v>28.75</v>
      </c>
      <c r="F1269" s="27">
        <f t="shared" si="57"/>
        <v>0.63701923076923073</v>
      </c>
      <c r="G1269" s="21" t="str">
        <f>IFERROR(INDEX(Users!$A$2:$A$310,MATCH(A1269,Users!$B$2:$B$310,0)),"")</f>
        <v>Service A</v>
      </c>
      <c r="H1269" s="21" t="str">
        <f>IFERROR(INDEX(Users!$D$2:$D$310,MATCH(A1269,Users!$B$2:$B$310,0)),"")</f>
        <v>Band 3</v>
      </c>
      <c r="I1269" s="19" t="b">
        <f t="shared" si="58"/>
        <v>1</v>
      </c>
      <c r="J1269" s="33" t="str">
        <f t="shared" si="59"/>
        <v/>
      </c>
    </row>
    <row r="1270" spans="1:10">
      <c r="A1270" s="19" t="s">
        <v>210</v>
      </c>
      <c r="B1270" s="20">
        <v>45778</v>
      </c>
      <c r="C1270" s="21">
        <v>80</v>
      </c>
      <c r="D1270" s="21">
        <v>73.08</v>
      </c>
      <c r="E1270" s="21">
        <v>47.33</v>
      </c>
      <c r="F1270" s="27">
        <f t="shared" si="57"/>
        <v>0.91349999999999998</v>
      </c>
      <c r="G1270" s="21" t="str">
        <f>IFERROR(INDEX(Users!$A$2:$A$310,MATCH(A1270,Users!$B$2:$B$310,0)),"")</f>
        <v>Service A</v>
      </c>
      <c r="H1270" s="21" t="str">
        <f>IFERROR(INDEX(Users!$D$2:$D$310,MATCH(A1270,Users!$B$2:$B$310,0)),"")</f>
        <v>Band 3</v>
      </c>
      <c r="I1270" s="19" t="b">
        <f t="shared" si="58"/>
        <v>1</v>
      </c>
      <c r="J1270" s="33" t="str">
        <f t="shared" si="59"/>
        <v/>
      </c>
    </row>
    <row r="1271" spans="1:10">
      <c r="A1271" s="19" t="s">
        <v>210</v>
      </c>
      <c r="B1271" s="20">
        <v>45809</v>
      </c>
      <c r="C1271" s="21">
        <v>104</v>
      </c>
      <c r="D1271" s="21">
        <v>108.75333333333333</v>
      </c>
      <c r="E1271" s="21">
        <v>81.92</v>
      </c>
      <c r="F1271" s="27">
        <f t="shared" si="57"/>
        <v>1.0457051282051282</v>
      </c>
      <c r="G1271" s="21" t="str">
        <f>IFERROR(INDEX(Users!$A$2:$A$310,MATCH(A1271,Users!$B$2:$B$310,0)),"")</f>
        <v>Service A</v>
      </c>
      <c r="H1271" s="21" t="str">
        <f>IFERROR(INDEX(Users!$D$2:$D$310,MATCH(A1271,Users!$B$2:$B$310,0)),"")</f>
        <v>Band 3</v>
      </c>
      <c r="I1271" s="19" t="b">
        <f t="shared" si="58"/>
        <v>1</v>
      </c>
      <c r="J1271" s="33" t="str">
        <f t="shared" si="59"/>
        <v/>
      </c>
    </row>
    <row r="1272" spans="1:10">
      <c r="A1272" s="19" t="s">
        <v>210</v>
      </c>
      <c r="B1272" s="20">
        <v>45839</v>
      </c>
      <c r="C1272" s="21">
        <v>112</v>
      </c>
      <c r="D1272" s="21">
        <v>85.75</v>
      </c>
      <c r="E1272" s="21">
        <v>62</v>
      </c>
      <c r="F1272" s="27">
        <f t="shared" si="57"/>
        <v>0.765625</v>
      </c>
      <c r="G1272" s="21" t="str">
        <f>IFERROR(INDEX(Users!$A$2:$A$310,MATCH(A1272,Users!$B$2:$B$310,0)),"")</f>
        <v>Service A</v>
      </c>
      <c r="H1272" s="21" t="str">
        <f>IFERROR(INDEX(Users!$D$2:$D$310,MATCH(A1272,Users!$B$2:$B$310,0)),"")</f>
        <v>Band 3</v>
      </c>
      <c r="I1272" s="19" t="b">
        <f t="shared" si="58"/>
        <v>1</v>
      </c>
      <c r="J1272" s="33" t="str">
        <f t="shared" si="59"/>
        <v/>
      </c>
    </row>
    <row r="1273" spans="1:10">
      <c r="A1273" s="19" t="s">
        <v>210</v>
      </c>
      <c r="B1273" s="20">
        <v>45870</v>
      </c>
      <c r="C1273" s="21">
        <v>88</v>
      </c>
      <c r="D1273" s="21">
        <v>73.083333333333329</v>
      </c>
      <c r="E1273" s="21">
        <v>62</v>
      </c>
      <c r="F1273" s="27">
        <f t="shared" si="57"/>
        <v>0.8304924242424242</v>
      </c>
      <c r="G1273" s="21" t="str">
        <f>IFERROR(INDEX(Users!$A$2:$A$310,MATCH(A1273,Users!$B$2:$B$310,0)),"")</f>
        <v>Service A</v>
      </c>
      <c r="H1273" s="21" t="str">
        <f>IFERROR(INDEX(Users!$D$2:$D$310,MATCH(A1273,Users!$B$2:$B$310,0)),"")</f>
        <v>Band 3</v>
      </c>
      <c r="I1273" s="19" t="b">
        <f t="shared" si="58"/>
        <v>1</v>
      </c>
      <c r="J1273" s="33" t="str">
        <f t="shared" si="59"/>
        <v/>
      </c>
    </row>
    <row r="1274" spans="1:10">
      <c r="A1274" s="19" t="s">
        <v>210</v>
      </c>
      <c r="B1274" s="20">
        <v>45901</v>
      </c>
      <c r="C1274" s="21">
        <v>48</v>
      </c>
      <c r="D1274" s="21">
        <v>28.92</v>
      </c>
      <c r="E1274" s="21">
        <v>22.17</v>
      </c>
      <c r="F1274" s="27">
        <f t="shared" si="57"/>
        <v>0.60250000000000004</v>
      </c>
      <c r="G1274" s="21" t="str">
        <f>IFERROR(INDEX(Users!$A$2:$A$310,MATCH(A1274,Users!$B$2:$B$310,0)),"")</f>
        <v>Service A</v>
      </c>
      <c r="H1274" s="21" t="str">
        <f>IFERROR(INDEX(Users!$D$2:$D$310,MATCH(A1274,Users!$B$2:$B$310,0)),"")</f>
        <v>Band 3</v>
      </c>
      <c r="I1274" s="19" t="b">
        <f t="shared" si="58"/>
        <v>1</v>
      </c>
      <c r="J1274" s="33" t="str">
        <f t="shared" si="59"/>
        <v/>
      </c>
    </row>
    <row r="1275" spans="1:10">
      <c r="A1275" s="19" t="s">
        <v>211</v>
      </c>
      <c r="B1275" s="20">
        <v>45658</v>
      </c>
      <c r="C1275" s="21">
        <v>97.68</v>
      </c>
      <c r="D1275" s="21">
        <v>97.50333333333333</v>
      </c>
      <c r="E1275" s="21">
        <v>71.17</v>
      </c>
      <c r="F1275" s="27">
        <f t="shared" si="57"/>
        <v>0.99819137319137308</v>
      </c>
      <c r="G1275" s="21" t="str">
        <f>IFERROR(INDEX(Users!$A$2:$A$310,MATCH(A1275,Users!$B$2:$B$310,0)),"")</f>
        <v>Service A</v>
      </c>
      <c r="H1275" s="21" t="str">
        <f>IFERROR(INDEX(Users!$D$2:$D$310,MATCH(A1275,Users!$B$2:$B$310,0)),"")</f>
        <v>Band 5</v>
      </c>
      <c r="I1275" s="19" t="b">
        <f t="shared" si="58"/>
        <v>0</v>
      </c>
      <c r="J1275" s="33" t="str">
        <f t="shared" si="59"/>
        <v/>
      </c>
    </row>
    <row r="1276" spans="1:10">
      <c r="A1276" s="19" t="s">
        <v>211</v>
      </c>
      <c r="B1276" s="20">
        <v>45689</v>
      </c>
      <c r="C1276" s="21">
        <v>88.800000000000011</v>
      </c>
      <c r="D1276" s="21">
        <v>69.53</v>
      </c>
      <c r="E1276" s="21">
        <v>41.78</v>
      </c>
      <c r="F1276" s="27">
        <f t="shared" si="57"/>
        <v>0.78299549549549541</v>
      </c>
      <c r="G1276" s="21" t="str">
        <f>IFERROR(INDEX(Users!$A$2:$A$310,MATCH(A1276,Users!$B$2:$B$310,0)),"")</f>
        <v>Service A</v>
      </c>
      <c r="H1276" s="21" t="str">
        <f>IFERROR(INDEX(Users!$D$2:$D$310,MATCH(A1276,Users!$B$2:$B$310,0)),"")</f>
        <v>Band 5</v>
      </c>
      <c r="I1276" s="19" t="b">
        <f t="shared" si="58"/>
        <v>0</v>
      </c>
      <c r="J1276" s="33" t="str">
        <f t="shared" si="59"/>
        <v/>
      </c>
    </row>
    <row r="1277" spans="1:10">
      <c r="A1277" s="19" t="s">
        <v>211</v>
      </c>
      <c r="B1277" s="20">
        <v>45717</v>
      </c>
      <c r="C1277" s="21">
        <v>93.240000000000009</v>
      </c>
      <c r="D1277" s="21">
        <v>74.346666666666664</v>
      </c>
      <c r="E1277" s="21">
        <v>54.680000000000007</v>
      </c>
      <c r="F1277" s="27">
        <f t="shared" si="57"/>
        <v>0.79736879736879729</v>
      </c>
      <c r="G1277" s="21" t="str">
        <f>IFERROR(INDEX(Users!$A$2:$A$310,MATCH(A1277,Users!$B$2:$B$310,0)),"")</f>
        <v>Service A</v>
      </c>
      <c r="H1277" s="21" t="str">
        <f>IFERROR(INDEX(Users!$D$2:$D$310,MATCH(A1277,Users!$B$2:$B$310,0)),"")</f>
        <v>Band 5</v>
      </c>
      <c r="I1277" s="19" t="b">
        <f t="shared" si="58"/>
        <v>0</v>
      </c>
      <c r="J1277" s="33" t="str">
        <f t="shared" si="59"/>
        <v/>
      </c>
    </row>
    <row r="1278" spans="1:10">
      <c r="A1278" s="19" t="s">
        <v>211</v>
      </c>
      <c r="B1278" s="20">
        <v>45748</v>
      </c>
      <c r="C1278" s="21">
        <v>88.800000000000011</v>
      </c>
      <c r="D1278" s="21">
        <v>70.206666666666678</v>
      </c>
      <c r="E1278" s="21">
        <v>48.040000000000006</v>
      </c>
      <c r="F1278" s="27">
        <f t="shared" si="57"/>
        <v>0.79061561561561566</v>
      </c>
      <c r="G1278" s="21" t="str">
        <f>IFERROR(INDEX(Users!$A$2:$A$310,MATCH(A1278,Users!$B$2:$B$310,0)),"")</f>
        <v>Service A</v>
      </c>
      <c r="H1278" s="21" t="str">
        <f>IFERROR(INDEX(Users!$D$2:$D$310,MATCH(A1278,Users!$B$2:$B$310,0)),"")</f>
        <v>Band 5</v>
      </c>
      <c r="I1278" s="19" t="b">
        <f t="shared" si="58"/>
        <v>0</v>
      </c>
      <c r="J1278" s="33" t="str">
        <f t="shared" si="59"/>
        <v/>
      </c>
    </row>
    <row r="1279" spans="1:10">
      <c r="A1279" s="19" t="s">
        <v>211</v>
      </c>
      <c r="B1279" s="20">
        <v>45778</v>
      </c>
      <c r="C1279" s="21">
        <v>88.800000000000011</v>
      </c>
      <c r="D1279" s="21">
        <v>88.713333333333324</v>
      </c>
      <c r="E1279" s="21">
        <v>67.13</v>
      </c>
      <c r="F1279" s="27">
        <f t="shared" si="57"/>
        <v>0.99902402402402379</v>
      </c>
      <c r="G1279" s="21" t="str">
        <f>IFERROR(INDEX(Users!$A$2:$A$310,MATCH(A1279,Users!$B$2:$B$310,0)),"")</f>
        <v>Service A</v>
      </c>
      <c r="H1279" s="21" t="str">
        <f>IFERROR(INDEX(Users!$D$2:$D$310,MATCH(A1279,Users!$B$2:$B$310,0)),"")</f>
        <v>Band 5</v>
      </c>
      <c r="I1279" s="19" t="b">
        <f t="shared" si="58"/>
        <v>0</v>
      </c>
      <c r="J1279" s="33" t="str">
        <f t="shared" si="59"/>
        <v/>
      </c>
    </row>
    <row r="1280" spans="1:10">
      <c r="A1280" s="19" t="s">
        <v>211</v>
      </c>
      <c r="B1280" s="20">
        <v>45809</v>
      </c>
      <c r="C1280" s="21">
        <v>93.240000000000009</v>
      </c>
      <c r="D1280" s="21">
        <v>81.593333333333334</v>
      </c>
      <c r="E1280" s="21">
        <v>44.01</v>
      </c>
      <c r="F1280" s="27">
        <f t="shared" si="57"/>
        <v>0.87508937508937501</v>
      </c>
      <c r="G1280" s="21" t="str">
        <f>IFERROR(INDEX(Users!$A$2:$A$310,MATCH(A1280,Users!$B$2:$B$310,0)),"")</f>
        <v>Service A</v>
      </c>
      <c r="H1280" s="21" t="str">
        <f>IFERROR(INDEX(Users!$D$2:$D$310,MATCH(A1280,Users!$B$2:$B$310,0)),"")</f>
        <v>Band 5</v>
      </c>
      <c r="I1280" s="19" t="b">
        <f t="shared" si="58"/>
        <v>0</v>
      </c>
      <c r="J1280" s="33" t="str">
        <f t="shared" si="59"/>
        <v/>
      </c>
    </row>
    <row r="1281" spans="1:10">
      <c r="A1281" s="19" t="s">
        <v>211</v>
      </c>
      <c r="B1281" s="20">
        <v>45839</v>
      </c>
      <c r="C1281" s="21">
        <v>102.12</v>
      </c>
      <c r="D1281" s="21">
        <v>53.36</v>
      </c>
      <c r="E1281" s="21">
        <v>31.86</v>
      </c>
      <c r="F1281" s="27">
        <f t="shared" si="57"/>
        <v>0.52252252252252251</v>
      </c>
      <c r="G1281" s="21" t="str">
        <f>IFERROR(INDEX(Users!$A$2:$A$310,MATCH(A1281,Users!$B$2:$B$310,0)),"")</f>
        <v>Service A</v>
      </c>
      <c r="H1281" s="21" t="str">
        <f>IFERROR(INDEX(Users!$D$2:$D$310,MATCH(A1281,Users!$B$2:$B$310,0)),"")</f>
        <v>Band 5</v>
      </c>
      <c r="I1281" s="19" t="b">
        <f t="shared" si="58"/>
        <v>0</v>
      </c>
      <c r="J1281" s="33" t="str">
        <f t="shared" si="59"/>
        <v/>
      </c>
    </row>
    <row r="1282" spans="1:10">
      <c r="A1282" s="19" t="s">
        <v>211</v>
      </c>
      <c r="B1282" s="20">
        <v>45870</v>
      </c>
      <c r="C1282" s="21">
        <v>88.800000000000011</v>
      </c>
      <c r="D1282" s="21">
        <v>46.876666666666658</v>
      </c>
      <c r="E1282" s="21">
        <v>35.209999999999994</v>
      </c>
      <c r="F1282" s="27">
        <f t="shared" ref="F1282:F1345" si="60">IFERROR(IF(OR(C1282="",D1282="",C1282=0),"",D1282/C1282),"")</f>
        <v>0.52789039039039021</v>
      </c>
      <c r="G1282" s="21" t="str">
        <f>IFERROR(INDEX(Users!$A$2:$A$310,MATCH(A1282,Users!$B$2:$B$310,0)),"")</f>
        <v>Service A</v>
      </c>
      <c r="H1282" s="21" t="str">
        <f>IFERROR(INDEX(Users!$D$2:$D$310,MATCH(A1282,Users!$B$2:$B$310,0)),"")</f>
        <v>Band 5</v>
      </c>
      <c r="I1282" s="19" t="b">
        <f t="shared" ref="I1282:I1345" si="61">AND(G1282="Service A",H1282="Band 3")</f>
        <v>0</v>
      </c>
      <c r="J1282" s="33" t="str">
        <f t="shared" ref="J1282:J1345" si="62">IF(AND(B1282&gt;=DATE(2025,1,1),B1282&lt;DATE(2026,1,1),G1282="Service B",OR(H1282="Band 3",H1282="Band 5"),ISNUMBER(F1282)),F1282,"")</f>
        <v/>
      </c>
    </row>
    <row r="1283" spans="1:10">
      <c r="A1283" s="19" t="s">
        <v>211</v>
      </c>
      <c r="B1283" s="20">
        <v>45901</v>
      </c>
      <c r="C1283" s="21">
        <v>97.68</v>
      </c>
      <c r="D1283" s="21">
        <v>91.933333333333337</v>
      </c>
      <c r="E1283" s="21">
        <v>61.850000000000009</v>
      </c>
      <c r="F1283" s="27">
        <f t="shared" si="60"/>
        <v>0.94116844116844112</v>
      </c>
      <c r="G1283" s="21" t="str">
        <f>IFERROR(INDEX(Users!$A$2:$A$310,MATCH(A1283,Users!$B$2:$B$310,0)),"")</f>
        <v>Service A</v>
      </c>
      <c r="H1283" s="21" t="str">
        <f>IFERROR(INDEX(Users!$D$2:$D$310,MATCH(A1283,Users!$B$2:$B$310,0)),"")</f>
        <v>Band 5</v>
      </c>
      <c r="I1283" s="19" t="b">
        <f t="shared" si="61"/>
        <v>0</v>
      </c>
      <c r="J1283" s="33" t="str">
        <f t="shared" si="62"/>
        <v/>
      </c>
    </row>
    <row r="1284" spans="1:10">
      <c r="A1284" s="19" t="s">
        <v>211</v>
      </c>
      <c r="B1284" s="20">
        <v>45931</v>
      </c>
      <c r="C1284" s="21">
        <v>102.12</v>
      </c>
      <c r="D1284" s="21">
        <v>91.44</v>
      </c>
      <c r="E1284" s="21">
        <v>61.189999999999991</v>
      </c>
      <c r="F1284" s="27">
        <f t="shared" si="60"/>
        <v>0.89541715628672147</v>
      </c>
      <c r="G1284" s="21" t="str">
        <f>IFERROR(INDEX(Users!$A$2:$A$310,MATCH(A1284,Users!$B$2:$B$310,0)),"")</f>
        <v>Service A</v>
      </c>
      <c r="H1284" s="21" t="str">
        <f>IFERROR(INDEX(Users!$D$2:$D$310,MATCH(A1284,Users!$B$2:$B$310,0)),"")</f>
        <v>Band 5</v>
      </c>
      <c r="I1284" s="19" t="b">
        <f t="shared" si="61"/>
        <v>0</v>
      </c>
      <c r="J1284" s="33" t="str">
        <f t="shared" si="62"/>
        <v/>
      </c>
    </row>
    <row r="1285" spans="1:10">
      <c r="A1285" s="19" t="s">
        <v>211</v>
      </c>
      <c r="B1285" s="20">
        <v>45962</v>
      </c>
      <c r="C1285" s="21">
        <v>88.800000000000011</v>
      </c>
      <c r="D1285" s="21">
        <v>74.853333333333339</v>
      </c>
      <c r="E1285" s="21">
        <v>60.27</v>
      </c>
      <c r="F1285" s="27">
        <f t="shared" si="60"/>
        <v>0.84294294294294292</v>
      </c>
      <c r="G1285" s="21" t="str">
        <f>IFERROR(INDEX(Users!$A$2:$A$310,MATCH(A1285,Users!$B$2:$B$310,0)),"")</f>
        <v>Service A</v>
      </c>
      <c r="H1285" s="21" t="str">
        <f>IFERROR(INDEX(Users!$D$2:$D$310,MATCH(A1285,Users!$B$2:$B$310,0)),"")</f>
        <v>Band 5</v>
      </c>
      <c r="I1285" s="19" t="b">
        <f t="shared" si="61"/>
        <v>0</v>
      </c>
      <c r="J1285" s="33" t="str">
        <f t="shared" si="62"/>
        <v/>
      </c>
    </row>
    <row r="1286" spans="1:10">
      <c r="A1286" s="19" t="s">
        <v>211</v>
      </c>
      <c r="B1286" s="20">
        <v>45992</v>
      </c>
      <c r="C1286" s="21">
        <v>93.240000000000009</v>
      </c>
      <c r="D1286" s="21">
        <v>75.489999999999995</v>
      </c>
      <c r="E1286" s="21">
        <v>52.989999999999995</v>
      </c>
      <c r="F1286" s="27">
        <f t="shared" si="60"/>
        <v>0.80963105963105952</v>
      </c>
      <c r="G1286" s="21" t="str">
        <f>IFERROR(INDEX(Users!$A$2:$A$310,MATCH(A1286,Users!$B$2:$B$310,0)),"")</f>
        <v>Service A</v>
      </c>
      <c r="H1286" s="21" t="str">
        <f>IFERROR(INDEX(Users!$D$2:$D$310,MATCH(A1286,Users!$B$2:$B$310,0)),"")</f>
        <v>Band 5</v>
      </c>
      <c r="I1286" s="19" t="b">
        <f t="shared" si="61"/>
        <v>0</v>
      </c>
      <c r="J1286" s="33" t="str">
        <f t="shared" si="62"/>
        <v/>
      </c>
    </row>
    <row r="1287" spans="1:10">
      <c r="A1287" s="19" t="s">
        <v>211</v>
      </c>
      <c r="B1287" s="20">
        <v>46023</v>
      </c>
      <c r="C1287" s="21">
        <v>93.240000000000009</v>
      </c>
      <c r="D1287" s="21">
        <v>93.696666666666658</v>
      </c>
      <c r="E1287" s="21">
        <v>56.28</v>
      </c>
      <c r="F1287" s="27">
        <f t="shared" si="60"/>
        <v>1.0048977548977547</v>
      </c>
      <c r="G1287" s="21" t="str">
        <f>IFERROR(INDEX(Users!$A$2:$A$310,MATCH(A1287,Users!$B$2:$B$310,0)),"")</f>
        <v>Service A</v>
      </c>
      <c r="H1287" s="21" t="str">
        <f>IFERROR(INDEX(Users!$D$2:$D$310,MATCH(A1287,Users!$B$2:$B$310,0)),"")</f>
        <v>Band 5</v>
      </c>
      <c r="I1287" s="19" t="b">
        <f t="shared" si="61"/>
        <v>0</v>
      </c>
      <c r="J1287" s="33" t="str">
        <f t="shared" si="62"/>
        <v/>
      </c>
    </row>
    <row r="1288" spans="1:10">
      <c r="A1288" s="19" t="s">
        <v>212</v>
      </c>
      <c r="B1288" s="20">
        <v>45658</v>
      </c>
      <c r="C1288" s="21">
        <v>162.80000000000001</v>
      </c>
      <c r="D1288" s="21">
        <v>142.74666666666667</v>
      </c>
      <c r="E1288" s="21">
        <v>82.830000000000013</v>
      </c>
      <c r="F1288" s="27">
        <f t="shared" si="60"/>
        <v>0.87682227682227676</v>
      </c>
      <c r="G1288" s="21" t="str">
        <f>IFERROR(INDEX(Users!$A$2:$A$310,MATCH(A1288,Users!$B$2:$B$310,0)),"")</f>
        <v>Service A</v>
      </c>
      <c r="H1288" s="21" t="str">
        <f>IFERROR(INDEX(Users!$D$2:$D$310,MATCH(A1288,Users!$B$2:$B$310,0)),"")</f>
        <v>Band 3</v>
      </c>
      <c r="I1288" s="19" t="b">
        <f t="shared" si="61"/>
        <v>1</v>
      </c>
      <c r="J1288" s="33" t="str">
        <f t="shared" si="62"/>
        <v/>
      </c>
    </row>
    <row r="1289" spans="1:10">
      <c r="A1289" s="19" t="s">
        <v>212</v>
      </c>
      <c r="B1289" s="20">
        <v>45689</v>
      </c>
      <c r="C1289" s="21">
        <v>148</v>
      </c>
      <c r="D1289" s="21">
        <v>129.35666666666668</v>
      </c>
      <c r="E1289" s="21">
        <v>66.440000000000012</v>
      </c>
      <c r="F1289" s="27">
        <f t="shared" si="60"/>
        <v>0.87403153153153168</v>
      </c>
      <c r="G1289" s="21" t="str">
        <f>IFERROR(INDEX(Users!$A$2:$A$310,MATCH(A1289,Users!$B$2:$B$310,0)),"")</f>
        <v>Service A</v>
      </c>
      <c r="H1289" s="21" t="str">
        <f>IFERROR(INDEX(Users!$D$2:$D$310,MATCH(A1289,Users!$B$2:$B$310,0)),"")</f>
        <v>Band 3</v>
      </c>
      <c r="I1289" s="19" t="b">
        <f t="shared" si="61"/>
        <v>1</v>
      </c>
      <c r="J1289" s="33" t="str">
        <f t="shared" si="62"/>
        <v/>
      </c>
    </row>
    <row r="1290" spans="1:10">
      <c r="A1290" s="19" t="s">
        <v>212</v>
      </c>
      <c r="B1290" s="20">
        <v>45717</v>
      </c>
      <c r="C1290" s="21">
        <v>155.4</v>
      </c>
      <c r="D1290" s="21">
        <v>148.25333333333333</v>
      </c>
      <c r="E1290" s="21">
        <v>75.42</v>
      </c>
      <c r="F1290" s="27">
        <f t="shared" si="60"/>
        <v>0.95401115401115399</v>
      </c>
      <c r="G1290" s="21" t="str">
        <f>IFERROR(INDEX(Users!$A$2:$A$310,MATCH(A1290,Users!$B$2:$B$310,0)),"")</f>
        <v>Service A</v>
      </c>
      <c r="H1290" s="21" t="str">
        <f>IFERROR(INDEX(Users!$D$2:$D$310,MATCH(A1290,Users!$B$2:$B$310,0)),"")</f>
        <v>Band 3</v>
      </c>
      <c r="I1290" s="19" t="b">
        <f t="shared" si="61"/>
        <v>1</v>
      </c>
      <c r="J1290" s="33" t="str">
        <f t="shared" si="62"/>
        <v/>
      </c>
    </row>
    <row r="1291" spans="1:10">
      <c r="A1291" s="19" t="s">
        <v>212</v>
      </c>
      <c r="B1291" s="20">
        <v>45748</v>
      </c>
      <c r="C1291" s="21">
        <v>148</v>
      </c>
      <c r="D1291" s="21">
        <v>98.75</v>
      </c>
      <c r="E1291" s="21">
        <v>46.25</v>
      </c>
      <c r="F1291" s="27">
        <f t="shared" si="60"/>
        <v>0.66722972972972971</v>
      </c>
      <c r="G1291" s="21" t="str">
        <f>IFERROR(INDEX(Users!$A$2:$A$310,MATCH(A1291,Users!$B$2:$B$310,0)),"")</f>
        <v>Service A</v>
      </c>
      <c r="H1291" s="21" t="str">
        <f>IFERROR(INDEX(Users!$D$2:$D$310,MATCH(A1291,Users!$B$2:$B$310,0)),"")</f>
        <v>Band 3</v>
      </c>
      <c r="I1291" s="19" t="b">
        <f t="shared" si="61"/>
        <v>1</v>
      </c>
      <c r="J1291" s="33" t="str">
        <f t="shared" si="62"/>
        <v/>
      </c>
    </row>
    <row r="1292" spans="1:10">
      <c r="A1292" s="19" t="s">
        <v>212</v>
      </c>
      <c r="B1292" s="20">
        <v>45778</v>
      </c>
      <c r="C1292" s="21">
        <v>148</v>
      </c>
      <c r="D1292" s="21">
        <v>121.63666666666668</v>
      </c>
      <c r="E1292" s="21">
        <v>64.72</v>
      </c>
      <c r="F1292" s="27">
        <f t="shared" si="60"/>
        <v>0.8218693693693695</v>
      </c>
      <c r="G1292" s="21" t="str">
        <f>IFERROR(INDEX(Users!$A$2:$A$310,MATCH(A1292,Users!$B$2:$B$310,0)),"")</f>
        <v>Service A</v>
      </c>
      <c r="H1292" s="21" t="str">
        <f>IFERROR(INDEX(Users!$D$2:$D$310,MATCH(A1292,Users!$B$2:$B$310,0)),"")</f>
        <v>Band 3</v>
      </c>
      <c r="I1292" s="19" t="b">
        <f t="shared" si="61"/>
        <v>1</v>
      </c>
      <c r="J1292" s="33" t="str">
        <f t="shared" si="62"/>
        <v/>
      </c>
    </row>
    <row r="1293" spans="1:10">
      <c r="A1293" s="19" t="s">
        <v>212</v>
      </c>
      <c r="B1293" s="20">
        <v>45809</v>
      </c>
      <c r="C1293" s="21">
        <v>155.4</v>
      </c>
      <c r="D1293" s="21">
        <v>138.93</v>
      </c>
      <c r="E1293" s="21">
        <v>75.680000000000007</v>
      </c>
      <c r="F1293" s="27">
        <f t="shared" si="60"/>
        <v>0.89401544401544397</v>
      </c>
      <c r="G1293" s="21" t="str">
        <f>IFERROR(INDEX(Users!$A$2:$A$310,MATCH(A1293,Users!$B$2:$B$310,0)),"")</f>
        <v>Service A</v>
      </c>
      <c r="H1293" s="21" t="str">
        <f>IFERROR(INDEX(Users!$D$2:$D$310,MATCH(A1293,Users!$B$2:$B$310,0)),"")</f>
        <v>Band 3</v>
      </c>
      <c r="I1293" s="19" t="b">
        <f t="shared" si="61"/>
        <v>1</v>
      </c>
      <c r="J1293" s="33" t="str">
        <f t="shared" si="62"/>
        <v/>
      </c>
    </row>
    <row r="1294" spans="1:10">
      <c r="A1294" s="19" t="s">
        <v>212</v>
      </c>
      <c r="B1294" s="20">
        <v>45839</v>
      </c>
      <c r="C1294" s="21">
        <v>170.20000000000002</v>
      </c>
      <c r="D1294" s="21">
        <v>122.83333333333334</v>
      </c>
      <c r="E1294" s="21">
        <v>77.25</v>
      </c>
      <c r="F1294" s="27">
        <f t="shared" si="60"/>
        <v>0.72169996083039556</v>
      </c>
      <c r="G1294" s="21" t="str">
        <f>IFERROR(INDEX(Users!$A$2:$A$310,MATCH(A1294,Users!$B$2:$B$310,0)),"")</f>
        <v>Service A</v>
      </c>
      <c r="H1294" s="21" t="str">
        <f>IFERROR(INDEX(Users!$D$2:$D$310,MATCH(A1294,Users!$B$2:$B$310,0)),"")</f>
        <v>Band 3</v>
      </c>
      <c r="I1294" s="19" t="b">
        <f t="shared" si="61"/>
        <v>1</v>
      </c>
      <c r="J1294" s="33" t="str">
        <f t="shared" si="62"/>
        <v/>
      </c>
    </row>
    <row r="1295" spans="1:10">
      <c r="A1295" s="19" t="s">
        <v>212</v>
      </c>
      <c r="B1295" s="20">
        <v>45870</v>
      </c>
      <c r="C1295" s="21">
        <v>148</v>
      </c>
      <c r="D1295" s="21">
        <v>97.426666666666677</v>
      </c>
      <c r="E1295" s="21">
        <v>68.010000000000005</v>
      </c>
      <c r="F1295" s="27">
        <f t="shared" si="60"/>
        <v>0.65828828828828834</v>
      </c>
      <c r="G1295" s="21" t="str">
        <f>IFERROR(INDEX(Users!$A$2:$A$310,MATCH(A1295,Users!$B$2:$B$310,0)),"")</f>
        <v>Service A</v>
      </c>
      <c r="H1295" s="21" t="str">
        <f>IFERROR(INDEX(Users!$D$2:$D$310,MATCH(A1295,Users!$B$2:$B$310,0)),"")</f>
        <v>Band 3</v>
      </c>
      <c r="I1295" s="19" t="b">
        <f t="shared" si="61"/>
        <v>1</v>
      </c>
      <c r="J1295" s="33" t="str">
        <f t="shared" si="62"/>
        <v/>
      </c>
    </row>
    <row r="1296" spans="1:10">
      <c r="A1296" s="19" t="s">
        <v>212</v>
      </c>
      <c r="B1296" s="20">
        <v>45901</v>
      </c>
      <c r="C1296" s="21">
        <v>162.80000000000001</v>
      </c>
      <c r="D1296" s="21">
        <v>105.97999999999999</v>
      </c>
      <c r="E1296" s="21">
        <v>71.98</v>
      </c>
      <c r="F1296" s="27">
        <f t="shared" si="60"/>
        <v>0.65098280098280092</v>
      </c>
      <c r="G1296" s="21" t="str">
        <f>IFERROR(INDEX(Users!$A$2:$A$310,MATCH(A1296,Users!$B$2:$B$310,0)),"")</f>
        <v>Service A</v>
      </c>
      <c r="H1296" s="21" t="str">
        <f>IFERROR(INDEX(Users!$D$2:$D$310,MATCH(A1296,Users!$B$2:$B$310,0)),"")</f>
        <v>Band 3</v>
      </c>
      <c r="I1296" s="19" t="b">
        <f t="shared" si="61"/>
        <v>1</v>
      </c>
      <c r="J1296" s="33" t="str">
        <f t="shared" si="62"/>
        <v/>
      </c>
    </row>
    <row r="1297" spans="1:10">
      <c r="A1297" s="19" t="s">
        <v>212</v>
      </c>
      <c r="B1297" s="20">
        <v>45931</v>
      </c>
      <c r="C1297" s="21">
        <v>170.20000000000002</v>
      </c>
      <c r="D1297" s="21">
        <v>135.99666666666667</v>
      </c>
      <c r="E1297" s="21">
        <v>89.330000000000013</v>
      </c>
      <c r="F1297" s="27">
        <f t="shared" si="60"/>
        <v>0.7990403446925185</v>
      </c>
      <c r="G1297" s="21" t="str">
        <f>IFERROR(INDEX(Users!$A$2:$A$310,MATCH(A1297,Users!$B$2:$B$310,0)),"")</f>
        <v>Service A</v>
      </c>
      <c r="H1297" s="21" t="str">
        <f>IFERROR(INDEX(Users!$D$2:$D$310,MATCH(A1297,Users!$B$2:$B$310,0)),"")</f>
        <v>Band 3</v>
      </c>
      <c r="I1297" s="19" t="b">
        <f t="shared" si="61"/>
        <v>1</v>
      </c>
      <c r="J1297" s="33" t="str">
        <f t="shared" si="62"/>
        <v/>
      </c>
    </row>
    <row r="1298" spans="1:10">
      <c r="A1298" s="19" t="s">
        <v>212</v>
      </c>
      <c r="B1298" s="20">
        <v>45962</v>
      </c>
      <c r="C1298" s="21">
        <v>148</v>
      </c>
      <c r="D1298" s="21">
        <v>125.10666666666667</v>
      </c>
      <c r="E1298" s="21">
        <v>83.44</v>
      </c>
      <c r="F1298" s="27">
        <f t="shared" si="60"/>
        <v>0.84531531531531534</v>
      </c>
      <c r="G1298" s="21" t="str">
        <f>IFERROR(INDEX(Users!$A$2:$A$310,MATCH(A1298,Users!$B$2:$B$310,0)),"")</f>
        <v>Service A</v>
      </c>
      <c r="H1298" s="21" t="str">
        <f>IFERROR(INDEX(Users!$D$2:$D$310,MATCH(A1298,Users!$B$2:$B$310,0)),"")</f>
        <v>Band 3</v>
      </c>
      <c r="I1298" s="19" t="b">
        <f t="shared" si="61"/>
        <v>1</v>
      </c>
      <c r="J1298" s="33" t="str">
        <f t="shared" si="62"/>
        <v/>
      </c>
    </row>
    <row r="1299" spans="1:10">
      <c r="A1299" s="19" t="s">
        <v>212</v>
      </c>
      <c r="B1299" s="20">
        <v>45992</v>
      </c>
      <c r="C1299" s="21">
        <v>155.4</v>
      </c>
      <c r="D1299" s="21">
        <v>84.09</v>
      </c>
      <c r="E1299" s="21">
        <v>47.09</v>
      </c>
      <c r="F1299" s="27">
        <f t="shared" si="60"/>
        <v>0.54111969111969116</v>
      </c>
      <c r="G1299" s="21" t="str">
        <f>IFERROR(INDEX(Users!$A$2:$A$310,MATCH(A1299,Users!$B$2:$B$310,0)),"")</f>
        <v>Service A</v>
      </c>
      <c r="H1299" s="21" t="str">
        <f>IFERROR(INDEX(Users!$D$2:$D$310,MATCH(A1299,Users!$B$2:$B$310,0)),"")</f>
        <v>Band 3</v>
      </c>
      <c r="I1299" s="19" t="b">
        <f t="shared" si="61"/>
        <v>1</v>
      </c>
      <c r="J1299" s="33" t="str">
        <f t="shared" si="62"/>
        <v/>
      </c>
    </row>
    <row r="1300" spans="1:10">
      <c r="A1300" s="19" t="s">
        <v>212</v>
      </c>
      <c r="B1300" s="20">
        <v>46023</v>
      </c>
      <c r="C1300" s="21">
        <v>155.4</v>
      </c>
      <c r="D1300" s="21">
        <v>123.24333333333334</v>
      </c>
      <c r="E1300" s="21">
        <v>74.760000000000005</v>
      </c>
      <c r="F1300" s="27">
        <f t="shared" si="60"/>
        <v>0.79307164307164313</v>
      </c>
      <c r="G1300" s="21" t="str">
        <f>IFERROR(INDEX(Users!$A$2:$A$310,MATCH(A1300,Users!$B$2:$B$310,0)),"")</f>
        <v>Service A</v>
      </c>
      <c r="H1300" s="21" t="str">
        <f>IFERROR(INDEX(Users!$D$2:$D$310,MATCH(A1300,Users!$B$2:$B$310,0)),"")</f>
        <v>Band 3</v>
      </c>
      <c r="I1300" s="19" t="b">
        <f t="shared" si="61"/>
        <v>1</v>
      </c>
      <c r="J1300" s="33" t="str">
        <f t="shared" si="62"/>
        <v/>
      </c>
    </row>
    <row r="1301" spans="1:10">
      <c r="A1301" s="19" t="s">
        <v>213</v>
      </c>
      <c r="B1301" s="20">
        <v>45658</v>
      </c>
      <c r="C1301" s="21">
        <v>162.80000000000001</v>
      </c>
      <c r="D1301" s="21">
        <v>177.92</v>
      </c>
      <c r="E1301" s="21">
        <v>140.91999999999999</v>
      </c>
      <c r="F1301" s="27">
        <f t="shared" si="60"/>
        <v>1.0928746928746926</v>
      </c>
      <c r="G1301" s="21" t="str">
        <f>IFERROR(INDEX(Users!$A$2:$A$310,MATCH(A1301,Users!$B$2:$B$310,0)),"")</f>
        <v>Service B</v>
      </c>
      <c r="H1301" s="21" t="str">
        <f>IFERROR(INDEX(Users!$D$2:$D$310,MATCH(A1301,Users!$B$2:$B$310,0)),"")</f>
        <v>Band 3</v>
      </c>
      <c r="I1301" s="19" t="b">
        <f t="shared" si="61"/>
        <v>0</v>
      </c>
      <c r="J1301" s="33">
        <f t="shared" si="62"/>
        <v>1.0928746928746926</v>
      </c>
    </row>
    <row r="1302" spans="1:10">
      <c r="A1302" s="19" t="s">
        <v>213</v>
      </c>
      <c r="B1302" s="20">
        <v>45689</v>
      </c>
      <c r="C1302" s="21">
        <v>148</v>
      </c>
      <c r="D1302" s="21">
        <v>147.96</v>
      </c>
      <c r="E1302" s="21">
        <v>117.96</v>
      </c>
      <c r="F1302" s="27">
        <f t="shared" si="60"/>
        <v>0.99972972972972973</v>
      </c>
      <c r="G1302" s="21" t="str">
        <f>IFERROR(INDEX(Users!$A$2:$A$310,MATCH(A1302,Users!$B$2:$B$310,0)),"")</f>
        <v>Service B</v>
      </c>
      <c r="H1302" s="21" t="str">
        <f>IFERROR(INDEX(Users!$D$2:$D$310,MATCH(A1302,Users!$B$2:$B$310,0)),"")</f>
        <v>Band 3</v>
      </c>
      <c r="I1302" s="19" t="b">
        <f t="shared" si="61"/>
        <v>0</v>
      </c>
      <c r="J1302" s="33">
        <f t="shared" si="62"/>
        <v>0.99972972972972973</v>
      </c>
    </row>
    <row r="1303" spans="1:10">
      <c r="A1303" s="19" t="s">
        <v>213</v>
      </c>
      <c r="B1303" s="20">
        <v>45717</v>
      </c>
      <c r="C1303" s="21">
        <v>155.4</v>
      </c>
      <c r="D1303" s="21">
        <v>119.33</v>
      </c>
      <c r="E1303" s="21">
        <v>82.58</v>
      </c>
      <c r="F1303" s="27">
        <f t="shared" si="60"/>
        <v>0.7678893178893178</v>
      </c>
      <c r="G1303" s="21" t="str">
        <f>IFERROR(INDEX(Users!$A$2:$A$310,MATCH(A1303,Users!$B$2:$B$310,0)),"")</f>
        <v>Service B</v>
      </c>
      <c r="H1303" s="21" t="str">
        <f>IFERROR(INDEX(Users!$D$2:$D$310,MATCH(A1303,Users!$B$2:$B$310,0)),"")</f>
        <v>Band 3</v>
      </c>
      <c r="I1303" s="19" t="b">
        <f t="shared" si="61"/>
        <v>0</v>
      </c>
      <c r="J1303" s="33">
        <f t="shared" si="62"/>
        <v>0.7678893178893178</v>
      </c>
    </row>
    <row r="1304" spans="1:10">
      <c r="A1304" s="19" t="s">
        <v>213</v>
      </c>
      <c r="B1304" s="20">
        <v>45748</v>
      </c>
      <c r="C1304" s="21">
        <v>148</v>
      </c>
      <c r="D1304" s="21">
        <v>180.49999999999997</v>
      </c>
      <c r="E1304" s="21">
        <v>143.99999999999997</v>
      </c>
      <c r="F1304" s="27">
        <f t="shared" si="60"/>
        <v>1.2195945945945943</v>
      </c>
      <c r="G1304" s="21" t="str">
        <f>IFERROR(INDEX(Users!$A$2:$A$310,MATCH(A1304,Users!$B$2:$B$310,0)),"")</f>
        <v>Service B</v>
      </c>
      <c r="H1304" s="21" t="str">
        <f>IFERROR(INDEX(Users!$D$2:$D$310,MATCH(A1304,Users!$B$2:$B$310,0)),"")</f>
        <v>Band 3</v>
      </c>
      <c r="I1304" s="19" t="b">
        <f t="shared" si="61"/>
        <v>0</v>
      </c>
      <c r="J1304" s="33">
        <f t="shared" si="62"/>
        <v>1.2195945945945943</v>
      </c>
    </row>
    <row r="1305" spans="1:10">
      <c r="A1305" s="19" t="s">
        <v>213</v>
      </c>
      <c r="B1305" s="20">
        <v>45778</v>
      </c>
      <c r="C1305" s="21">
        <v>148</v>
      </c>
      <c r="D1305" s="21">
        <v>122.81</v>
      </c>
      <c r="E1305" s="21">
        <v>99.31</v>
      </c>
      <c r="F1305" s="27">
        <f t="shared" si="60"/>
        <v>0.82979729729729734</v>
      </c>
      <c r="G1305" s="21" t="str">
        <f>IFERROR(INDEX(Users!$A$2:$A$310,MATCH(A1305,Users!$B$2:$B$310,0)),"")</f>
        <v>Service B</v>
      </c>
      <c r="H1305" s="21" t="str">
        <f>IFERROR(INDEX(Users!$D$2:$D$310,MATCH(A1305,Users!$B$2:$B$310,0)),"")</f>
        <v>Band 3</v>
      </c>
      <c r="I1305" s="19" t="b">
        <f t="shared" si="61"/>
        <v>0</v>
      </c>
      <c r="J1305" s="33">
        <f t="shared" si="62"/>
        <v>0.82979729729729734</v>
      </c>
    </row>
    <row r="1306" spans="1:10">
      <c r="A1306" s="19" t="s">
        <v>213</v>
      </c>
      <c r="B1306" s="20">
        <v>45809</v>
      </c>
      <c r="C1306" s="21">
        <v>155.4</v>
      </c>
      <c r="D1306" s="21">
        <v>162.01666666666665</v>
      </c>
      <c r="E1306" s="21">
        <v>136.09999999999997</v>
      </c>
      <c r="F1306" s="27">
        <f t="shared" si="60"/>
        <v>1.0425782925782925</v>
      </c>
      <c r="G1306" s="21" t="str">
        <f>IFERROR(INDEX(Users!$A$2:$A$310,MATCH(A1306,Users!$B$2:$B$310,0)),"")</f>
        <v>Service B</v>
      </c>
      <c r="H1306" s="21" t="str">
        <f>IFERROR(INDEX(Users!$D$2:$D$310,MATCH(A1306,Users!$B$2:$B$310,0)),"")</f>
        <v>Band 3</v>
      </c>
      <c r="I1306" s="19" t="b">
        <f t="shared" si="61"/>
        <v>0</v>
      </c>
      <c r="J1306" s="33">
        <f t="shared" si="62"/>
        <v>1.0425782925782925</v>
      </c>
    </row>
    <row r="1307" spans="1:10">
      <c r="A1307" s="19" t="s">
        <v>213</v>
      </c>
      <c r="B1307" s="20">
        <v>45839</v>
      </c>
      <c r="C1307" s="21">
        <v>170.20000000000002</v>
      </c>
      <c r="D1307" s="21">
        <v>197.71000000000004</v>
      </c>
      <c r="E1307" s="21">
        <v>155.11000000000004</v>
      </c>
      <c r="F1307" s="27">
        <f t="shared" si="60"/>
        <v>1.1616333725029377</v>
      </c>
      <c r="G1307" s="21" t="str">
        <f>IFERROR(INDEX(Users!$A$2:$A$310,MATCH(A1307,Users!$B$2:$B$310,0)),"")</f>
        <v>Service B</v>
      </c>
      <c r="H1307" s="21" t="str">
        <f>IFERROR(INDEX(Users!$D$2:$D$310,MATCH(A1307,Users!$B$2:$B$310,0)),"")</f>
        <v>Band 3</v>
      </c>
      <c r="I1307" s="19" t="b">
        <f t="shared" si="61"/>
        <v>0</v>
      </c>
      <c r="J1307" s="33">
        <f t="shared" si="62"/>
        <v>1.1616333725029377</v>
      </c>
    </row>
    <row r="1308" spans="1:10">
      <c r="A1308" s="19" t="s">
        <v>213</v>
      </c>
      <c r="B1308" s="20">
        <v>45870</v>
      </c>
      <c r="C1308" s="21">
        <v>148</v>
      </c>
      <c r="D1308" s="21">
        <v>162.31666666666666</v>
      </c>
      <c r="E1308" s="21">
        <v>128.9</v>
      </c>
      <c r="F1308" s="27">
        <f t="shared" si="60"/>
        <v>1.0967342342342341</v>
      </c>
      <c r="G1308" s="21" t="str">
        <f>IFERROR(INDEX(Users!$A$2:$A$310,MATCH(A1308,Users!$B$2:$B$310,0)),"")</f>
        <v>Service B</v>
      </c>
      <c r="H1308" s="21" t="str">
        <f>IFERROR(INDEX(Users!$D$2:$D$310,MATCH(A1308,Users!$B$2:$B$310,0)),"")</f>
        <v>Band 3</v>
      </c>
      <c r="I1308" s="19" t="b">
        <f t="shared" si="61"/>
        <v>0</v>
      </c>
      <c r="J1308" s="33">
        <f t="shared" si="62"/>
        <v>1.0967342342342341</v>
      </c>
    </row>
    <row r="1309" spans="1:10">
      <c r="A1309" s="19" t="s">
        <v>213</v>
      </c>
      <c r="B1309" s="20">
        <v>45901</v>
      </c>
      <c r="C1309" s="21">
        <v>162.80000000000001</v>
      </c>
      <c r="D1309" s="21">
        <v>18.850000000000001</v>
      </c>
      <c r="E1309" s="21">
        <v>13.85</v>
      </c>
      <c r="F1309" s="27">
        <f t="shared" si="60"/>
        <v>0.11578624078624079</v>
      </c>
      <c r="G1309" s="21" t="str">
        <f>IFERROR(INDEX(Users!$A$2:$A$310,MATCH(A1309,Users!$B$2:$B$310,0)),"")</f>
        <v>Service B</v>
      </c>
      <c r="H1309" s="21" t="str">
        <f>IFERROR(INDEX(Users!$D$2:$D$310,MATCH(A1309,Users!$B$2:$B$310,0)),"")</f>
        <v>Band 3</v>
      </c>
      <c r="I1309" s="19" t="b">
        <f t="shared" si="61"/>
        <v>0</v>
      </c>
      <c r="J1309" s="33">
        <f t="shared" si="62"/>
        <v>0.11578624078624079</v>
      </c>
    </row>
    <row r="1310" spans="1:10">
      <c r="A1310" s="19" t="s">
        <v>213</v>
      </c>
      <c r="B1310" s="20">
        <v>45931</v>
      </c>
      <c r="C1310" s="21">
        <v>170.20000000000002</v>
      </c>
      <c r="D1310" s="21"/>
      <c r="E1310" s="21"/>
      <c r="F1310" s="27" t="str">
        <f t="shared" si="60"/>
        <v/>
      </c>
      <c r="G1310" s="21" t="str">
        <f>IFERROR(INDEX(Users!$A$2:$A$310,MATCH(A1310,Users!$B$2:$B$310,0)),"")</f>
        <v>Service B</v>
      </c>
      <c r="H1310" s="21" t="str">
        <f>IFERROR(INDEX(Users!$D$2:$D$310,MATCH(A1310,Users!$B$2:$B$310,0)),"")</f>
        <v>Band 3</v>
      </c>
      <c r="I1310" s="19" t="b">
        <f t="shared" si="61"/>
        <v>0</v>
      </c>
      <c r="J1310" s="33" t="str">
        <f t="shared" si="62"/>
        <v/>
      </c>
    </row>
    <row r="1311" spans="1:10">
      <c r="A1311" s="19" t="s">
        <v>213</v>
      </c>
      <c r="B1311" s="20">
        <v>45962</v>
      </c>
      <c r="C1311" s="21">
        <v>37</v>
      </c>
      <c r="D1311" s="21"/>
      <c r="E1311" s="21"/>
      <c r="F1311" s="27" t="str">
        <f t="shared" si="60"/>
        <v/>
      </c>
      <c r="G1311" s="21" t="str">
        <f>IFERROR(INDEX(Users!$A$2:$A$310,MATCH(A1311,Users!$B$2:$B$310,0)),"")</f>
        <v>Service B</v>
      </c>
      <c r="H1311" s="21" t="str">
        <f>IFERROR(INDEX(Users!$D$2:$D$310,MATCH(A1311,Users!$B$2:$B$310,0)),"")</f>
        <v>Band 3</v>
      </c>
      <c r="I1311" s="19" t="b">
        <f t="shared" si="61"/>
        <v>0</v>
      </c>
      <c r="J1311" s="33" t="str">
        <f t="shared" si="62"/>
        <v/>
      </c>
    </row>
    <row r="1312" spans="1:10">
      <c r="A1312" s="19" t="s">
        <v>214</v>
      </c>
      <c r="B1312" s="20">
        <v>45658</v>
      </c>
      <c r="C1312" s="21">
        <v>162.80000000000001</v>
      </c>
      <c r="D1312" s="21">
        <v>134.75666666666666</v>
      </c>
      <c r="E1312" s="21">
        <v>67.59</v>
      </c>
      <c r="F1312" s="27">
        <f t="shared" si="60"/>
        <v>0.82774365274365269</v>
      </c>
      <c r="G1312" s="21" t="str">
        <f>IFERROR(INDEX(Users!$A$2:$A$310,MATCH(A1312,Users!$B$2:$B$310,0)),"")</f>
        <v>Service A</v>
      </c>
      <c r="H1312" s="21" t="str">
        <f>IFERROR(INDEX(Users!$D$2:$D$310,MATCH(A1312,Users!$B$2:$B$310,0)),"")</f>
        <v>Band 3</v>
      </c>
      <c r="I1312" s="19" t="b">
        <f t="shared" si="61"/>
        <v>1</v>
      </c>
      <c r="J1312" s="33" t="str">
        <f t="shared" si="62"/>
        <v/>
      </c>
    </row>
    <row r="1313" spans="1:10">
      <c r="A1313" s="19" t="s">
        <v>214</v>
      </c>
      <c r="B1313" s="20">
        <v>45689</v>
      </c>
      <c r="C1313" s="21">
        <v>148</v>
      </c>
      <c r="D1313" s="21">
        <v>113.75</v>
      </c>
      <c r="E1313" s="21">
        <v>81.5</v>
      </c>
      <c r="F1313" s="27">
        <f t="shared" si="60"/>
        <v>0.76858108108108103</v>
      </c>
      <c r="G1313" s="21" t="str">
        <f>IFERROR(INDEX(Users!$A$2:$A$310,MATCH(A1313,Users!$B$2:$B$310,0)),"")</f>
        <v>Service A</v>
      </c>
      <c r="H1313" s="21" t="str">
        <f>IFERROR(INDEX(Users!$D$2:$D$310,MATCH(A1313,Users!$B$2:$B$310,0)),"")</f>
        <v>Band 3</v>
      </c>
      <c r="I1313" s="19" t="b">
        <f t="shared" si="61"/>
        <v>1</v>
      </c>
      <c r="J1313" s="33" t="str">
        <f t="shared" si="62"/>
        <v/>
      </c>
    </row>
    <row r="1314" spans="1:10">
      <c r="A1314" s="19" t="s">
        <v>214</v>
      </c>
      <c r="B1314" s="20">
        <v>45717</v>
      </c>
      <c r="C1314" s="21">
        <v>155.4</v>
      </c>
      <c r="D1314" s="21">
        <v>161.09000000000003</v>
      </c>
      <c r="E1314" s="21">
        <v>101.59000000000002</v>
      </c>
      <c r="F1314" s="27">
        <f t="shared" si="60"/>
        <v>1.0366151866151867</v>
      </c>
      <c r="G1314" s="21" t="str">
        <f>IFERROR(INDEX(Users!$A$2:$A$310,MATCH(A1314,Users!$B$2:$B$310,0)),"")</f>
        <v>Service A</v>
      </c>
      <c r="H1314" s="21" t="str">
        <f>IFERROR(INDEX(Users!$D$2:$D$310,MATCH(A1314,Users!$B$2:$B$310,0)),"")</f>
        <v>Band 3</v>
      </c>
      <c r="I1314" s="19" t="b">
        <f t="shared" si="61"/>
        <v>1</v>
      </c>
      <c r="J1314" s="33" t="str">
        <f t="shared" si="62"/>
        <v/>
      </c>
    </row>
    <row r="1315" spans="1:10">
      <c r="A1315" s="19" t="s">
        <v>214</v>
      </c>
      <c r="B1315" s="20">
        <v>45748</v>
      </c>
      <c r="C1315" s="21">
        <v>148</v>
      </c>
      <c r="D1315" s="21">
        <v>142.72666666666666</v>
      </c>
      <c r="E1315" s="21">
        <v>77.56</v>
      </c>
      <c r="F1315" s="27">
        <f t="shared" si="60"/>
        <v>0.96436936936936934</v>
      </c>
      <c r="G1315" s="21" t="str">
        <f>IFERROR(INDEX(Users!$A$2:$A$310,MATCH(A1315,Users!$B$2:$B$310,0)),"")</f>
        <v>Service A</v>
      </c>
      <c r="H1315" s="21" t="str">
        <f>IFERROR(INDEX(Users!$D$2:$D$310,MATCH(A1315,Users!$B$2:$B$310,0)),"")</f>
        <v>Band 3</v>
      </c>
      <c r="I1315" s="19" t="b">
        <f t="shared" si="61"/>
        <v>1</v>
      </c>
      <c r="J1315" s="33" t="str">
        <f t="shared" si="62"/>
        <v/>
      </c>
    </row>
    <row r="1316" spans="1:10">
      <c r="A1316" s="19" t="s">
        <v>214</v>
      </c>
      <c r="B1316" s="20">
        <v>45778</v>
      </c>
      <c r="C1316" s="21">
        <v>148</v>
      </c>
      <c r="D1316" s="21">
        <v>140.90666666666667</v>
      </c>
      <c r="E1316" s="21">
        <v>93.49</v>
      </c>
      <c r="F1316" s="27">
        <f t="shared" si="60"/>
        <v>0.95207207207207212</v>
      </c>
      <c r="G1316" s="21" t="str">
        <f>IFERROR(INDEX(Users!$A$2:$A$310,MATCH(A1316,Users!$B$2:$B$310,0)),"")</f>
        <v>Service A</v>
      </c>
      <c r="H1316" s="21" t="str">
        <f>IFERROR(INDEX(Users!$D$2:$D$310,MATCH(A1316,Users!$B$2:$B$310,0)),"")</f>
        <v>Band 3</v>
      </c>
      <c r="I1316" s="19" t="b">
        <f t="shared" si="61"/>
        <v>1</v>
      </c>
      <c r="J1316" s="33" t="str">
        <f t="shared" si="62"/>
        <v/>
      </c>
    </row>
    <row r="1317" spans="1:10">
      <c r="A1317" s="19" t="s">
        <v>214</v>
      </c>
      <c r="B1317" s="20">
        <v>45809</v>
      </c>
      <c r="C1317" s="21">
        <v>155.4</v>
      </c>
      <c r="D1317" s="21">
        <v>99.993333333333339</v>
      </c>
      <c r="E1317" s="21">
        <v>66.91</v>
      </c>
      <c r="F1317" s="27">
        <f t="shared" si="60"/>
        <v>0.64345774345774343</v>
      </c>
      <c r="G1317" s="21" t="str">
        <f>IFERROR(INDEX(Users!$A$2:$A$310,MATCH(A1317,Users!$B$2:$B$310,0)),"")</f>
        <v>Service A</v>
      </c>
      <c r="H1317" s="21" t="str">
        <f>IFERROR(INDEX(Users!$D$2:$D$310,MATCH(A1317,Users!$B$2:$B$310,0)),"")</f>
        <v>Band 3</v>
      </c>
      <c r="I1317" s="19" t="b">
        <f t="shared" si="61"/>
        <v>1</v>
      </c>
      <c r="J1317" s="33" t="str">
        <f t="shared" si="62"/>
        <v/>
      </c>
    </row>
    <row r="1318" spans="1:10">
      <c r="A1318" s="19" t="s">
        <v>214</v>
      </c>
      <c r="B1318" s="20">
        <v>45839</v>
      </c>
      <c r="C1318" s="21">
        <v>170.20000000000002</v>
      </c>
      <c r="D1318" s="21">
        <v>177.05333333333334</v>
      </c>
      <c r="E1318" s="21">
        <v>130.47</v>
      </c>
      <c r="F1318" s="27">
        <f t="shared" si="60"/>
        <v>1.0402663533098315</v>
      </c>
      <c r="G1318" s="21" t="str">
        <f>IFERROR(INDEX(Users!$A$2:$A$310,MATCH(A1318,Users!$B$2:$B$310,0)),"")</f>
        <v>Service A</v>
      </c>
      <c r="H1318" s="21" t="str">
        <f>IFERROR(INDEX(Users!$D$2:$D$310,MATCH(A1318,Users!$B$2:$B$310,0)),"")</f>
        <v>Band 3</v>
      </c>
      <c r="I1318" s="19" t="b">
        <f t="shared" si="61"/>
        <v>1</v>
      </c>
      <c r="J1318" s="33" t="str">
        <f t="shared" si="62"/>
        <v/>
      </c>
    </row>
    <row r="1319" spans="1:10">
      <c r="A1319" s="19" t="s">
        <v>214</v>
      </c>
      <c r="B1319" s="20">
        <v>45870</v>
      </c>
      <c r="C1319" s="21">
        <v>148</v>
      </c>
      <c r="D1319" s="21">
        <v>152.70333333333335</v>
      </c>
      <c r="E1319" s="21">
        <v>121.37</v>
      </c>
      <c r="F1319" s="27">
        <f t="shared" si="60"/>
        <v>1.0317792792792795</v>
      </c>
      <c r="G1319" s="21" t="str">
        <f>IFERROR(INDEX(Users!$A$2:$A$310,MATCH(A1319,Users!$B$2:$B$310,0)),"")</f>
        <v>Service A</v>
      </c>
      <c r="H1319" s="21" t="str">
        <f>IFERROR(INDEX(Users!$D$2:$D$310,MATCH(A1319,Users!$B$2:$B$310,0)),"")</f>
        <v>Band 3</v>
      </c>
      <c r="I1319" s="19" t="b">
        <f t="shared" si="61"/>
        <v>1</v>
      </c>
      <c r="J1319" s="33" t="str">
        <f t="shared" si="62"/>
        <v/>
      </c>
    </row>
    <row r="1320" spans="1:10">
      <c r="A1320" s="19" t="s">
        <v>214</v>
      </c>
      <c r="B1320" s="20">
        <v>45901</v>
      </c>
      <c r="C1320" s="21">
        <v>162.80000000000001</v>
      </c>
      <c r="D1320" s="21">
        <v>81.726666666666674</v>
      </c>
      <c r="E1320" s="21">
        <v>55.810000000000009</v>
      </c>
      <c r="F1320" s="27">
        <f t="shared" si="60"/>
        <v>0.50200655200655198</v>
      </c>
      <c r="G1320" s="21" t="str">
        <f>IFERROR(INDEX(Users!$A$2:$A$310,MATCH(A1320,Users!$B$2:$B$310,0)),"")</f>
        <v>Service A</v>
      </c>
      <c r="H1320" s="21" t="str">
        <f>IFERROR(INDEX(Users!$D$2:$D$310,MATCH(A1320,Users!$B$2:$B$310,0)),"")</f>
        <v>Band 3</v>
      </c>
      <c r="I1320" s="19" t="b">
        <f t="shared" si="61"/>
        <v>1</v>
      </c>
      <c r="J1320" s="33" t="str">
        <f t="shared" si="62"/>
        <v/>
      </c>
    </row>
    <row r="1321" spans="1:10">
      <c r="A1321" s="19" t="s">
        <v>214</v>
      </c>
      <c r="B1321" s="20">
        <v>45931</v>
      </c>
      <c r="C1321" s="21">
        <v>170.20000000000002</v>
      </c>
      <c r="D1321" s="21">
        <v>158.37666666666669</v>
      </c>
      <c r="E1321" s="21">
        <v>107.71000000000002</v>
      </c>
      <c r="F1321" s="27">
        <f t="shared" si="60"/>
        <v>0.93053270661966325</v>
      </c>
      <c r="G1321" s="21" t="str">
        <f>IFERROR(INDEX(Users!$A$2:$A$310,MATCH(A1321,Users!$B$2:$B$310,0)),"")</f>
        <v>Service A</v>
      </c>
      <c r="H1321" s="21" t="str">
        <f>IFERROR(INDEX(Users!$D$2:$D$310,MATCH(A1321,Users!$B$2:$B$310,0)),"")</f>
        <v>Band 3</v>
      </c>
      <c r="I1321" s="19" t="b">
        <f t="shared" si="61"/>
        <v>1</v>
      </c>
      <c r="J1321" s="33" t="str">
        <f t="shared" si="62"/>
        <v/>
      </c>
    </row>
    <row r="1322" spans="1:10">
      <c r="A1322" s="19" t="s">
        <v>214</v>
      </c>
      <c r="B1322" s="20">
        <v>45962</v>
      </c>
      <c r="C1322" s="21">
        <v>148</v>
      </c>
      <c r="D1322" s="21">
        <v>99.87</v>
      </c>
      <c r="E1322" s="21">
        <v>81.52000000000001</v>
      </c>
      <c r="F1322" s="27">
        <f t="shared" si="60"/>
        <v>0.67479729729729732</v>
      </c>
      <c r="G1322" s="21" t="str">
        <f>IFERROR(INDEX(Users!$A$2:$A$310,MATCH(A1322,Users!$B$2:$B$310,0)),"")</f>
        <v>Service A</v>
      </c>
      <c r="H1322" s="21" t="str">
        <f>IFERROR(INDEX(Users!$D$2:$D$310,MATCH(A1322,Users!$B$2:$B$310,0)),"")</f>
        <v>Band 3</v>
      </c>
      <c r="I1322" s="19" t="b">
        <f t="shared" si="61"/>
        <v>1</v>
      </c>
      <c r="J1322" s="33" t="str">
        <f t="shared" si="62"/>
        <v/>
      </c>
    </row>
    <row r="1323" spans="1:10">
      <c r="A1323" s="19" t="s">
        <v>214</v>
      </c>
      <c r="B1323" s="20">
        <v>45992</v>
      </c>
      <c r="C1323" s="21">
        <v>81.400000000000006</v>
      </c>
      <c r="D1323" s="21">
        <v>63.676666666666677</v>
      </c>
      <c r="E1323" s="21">
        <v>52.010000000000005</v>
      </c>
      <c r="F1323" s="27">
        <f t="shared" si="60"/>
        <v>0.7822686322686323</v>
      </c>
      <c r="G1323" s="21" t="str">
        <f>IFERROR(INDEX(Users!$A$2:$A$310,MATCH(A1323,Users!$B$2:$B$310,0)),"")</f>
        <v>Service A</v>
      </c>
      <c r="H1323" s="21" t="str">
        <f>IFERROR(INDEX(Users!$D$2:$D$310,MATCH(A1323,Users!$B$2:$B$310,0)),"")</f>
        <v>Band 3</v>
      </c>
      <c r="I1323" s="19" t="b">
        <f t="shared" si="61"/>
        <v>1</v>
      </c>
      <c r="J1323" s="33" t="str">
        <f t="shared" si="62"/>
        <v/>
      </c>
    </row>
    <row r="1324" spans="1:10">
      <c r="A1324" s="19" t="s">
        <v>215</v>
      </c>
      <c r="B1324" s="20">
        <v>45658</v>
      </c>
      <c r="C1324" s="21">
        <v>162.80000000000001</v>
      </c>
      <c r="D1324" s="21">
        <v>152.07666666666665</v>
      </c>
      <c r="E1324" s="21">
        <v>125.41</v>
      </c>
      <c r="F1324" s="27">
        <f t="shared" si="60"/>
        <v>0.93413185913185903</v>
      </c>
      <c r="G1324" s="21" t="str">
        <f>IFERROR(INDEX(Users!$A$2:$A$310,MATCH(A1324,Users!$B$2:$B$310,0)),"")</f>
        <v>Service A</v>
      </c>
      <c r="H1324" s="21" t="str">
        <f>IFERROR(INDEX(Users!$D$2:$D$310,MATCH(A1324,Users!$B$2:$B$310,0)),"")</f>
        <v>Band 3</v>
      </c>
      <c r="I1324" s="19" t="b">
        <f t="shared" si="61"/>
        <v>1</v>
      </c>
      <c r="J1324" s="33" t="str">
        <f t="shared" si="62"/>
        <v/>
      </c>
    </row>
    <row r="1325" spans="1:10">
      <c r="A1325" s="19" t="s">
        <v>215</v>
      </c>
      <c r="B1325" s="20">
        <v>45689</v>
      </c>
      <c r="C1325" s="21">
        <v>148</v>
      </c>
      <c r="D1325" s="21">
        <v>143.32999999999998</v>
      </c>
      <c r="E1325" s="21">
        <v>120.83</v>
      </c>
      <c r="F1325" s="27">
        <f t="shared" si="60"/>
        <v>0.9684459459459458</v>
      </c>
      <c r="G1325" s="21" t="str">
        <f>IFERROR(INDEX(Users!$A$2:$A$310,MATCH(A1325,Users!$B$2:$B$310,0)),"")</f>
        <v>Service A</v>
      </c>
      <c r="H1325" s="21" t="str">
        <f>IFERROR(INDEX(Users!$D$2:$D$310,MATCH(A1325,Users!$B$2:$B$310,0)),"")</f>
        <v>Band 3</v>
      </c>
      <c r="I1325" s="19" t="b">
        <f t="shared" si="61"/>
        <v>1</v>
      </c>
      <c r="J1325" s="33" t="str">
        <f t="shared" si="62"/>
        <v/>
      </c>
    </row>
    <row r="1326" spans="1:10">
      <c r="A1326" s="19" t="s">
        <v>215</v>
      </c>
      <c r="B1326" s="20">
        <v>45717</v>
      </c>
      <c r="C1326" s="21">
        <v>155.4</v>
      </c>
      <c r="D1326" s="21">
        <v>122.6</v>
      </c>
      <c r="E1326" s="21">
        <v>96.85</v>
      </c>
      <c r="F1326" s="27">
        <f t="shared" si="60"/>
        <v>0.78893178893178884</v>
      </c>
      <c r="G1326" s="21" t="str">
        <f>IFERROR(INDEX(Users!$A$2:$A$310,MATCH(A1326,Users!$B$2:$B$310,0)),"")</f>
        <v>Service A</v>
      </c>
      <c r="H1326" s="21" t="str">
        <f>IFERROR(INDEX(Users!$D$2:$D$310,MATCH(A1326,Users!$B$2:$B$310,0)),"")</f>
        <v>Band 3</v>
      </c>
      <c r="I1326" s="19" t="b">
        <f t="shared" si="61"/>
        <v>1</v>
      </c>
      <c r="J1326" s="33" t="str">
        <f t="shared" si="62"/>
        <v/>
      </c>
    </row>
    <row r="1327" spans="1:10">
      <c r="A1327" s="19" t="s">
        <v>215</v>
      </c>
      <c r="B1327" s="20">
        <v>45748</v>
      </c>
      <c r="C1327" s="21">
        <v>148</v>
      </c>
      <c r="D1327" s="21">
        <v>88.75</v>
      </c>
      <c r="E1327" s="21">
        <v>54.75</v>
      </c>
      <c r="F1327" s="27">
        <f t="shared" si="60"/>
        <v>0.59966216216216217</v>
      </c>
      <c r="G1327" s="21" t="str">
        <f>IFERROR(INDEX(Users!$A$2:$A$310,MATCH(A1327,Users!$B$2:$B$310,0)),"")</f>
        <v>Service A</v>
      </c>
      <c r="H1327" s="21" t="str">
        <f>IFERROR(INDEX(Users!$D$2:$D$310,MATCH(A1327,Users!$B$2:$B$310,0)),"")</f>
        <v>Band 3</v>
      </c>
      <c r="I1327" s="19" t="b">
        <f t="shared" si="61"/>
        <v>1</v>
      </c>
      <c r="J1327" s="33" t="str">
        <f t="shared" si="62"/>
        <v/>
      </c>
    </row>
    <row r="1328" spans="1:10">
      <c r="A1328" s="19" t="s">
        <v>215</v>
      </c>
      <c r="B1328" s="20">
        <v>45778</v>
      </c>
      <c r="C1328" s="21">
        <v>148</v>
      </c>
      <c r="D1328" s="21">
        <v>133.15333333333334</v>
      </c>
      <c r="E1328" s="21">
        <v>112.57000000000001</v>
      </c>
      <c r="F1328" s="27">
        <f t="shared" si="60"/>
        <v>0.89968468468468465</v>
      </c>
      <c r="G1328" s="21" t="str">
        <f>IFERROR(INDEX(Users!$A$2:$A$310,MATCH(A1328,Users!$B$2:$B$310,0)),"")</f>
        <v>Service A</v>
      </c>
      <c r="H1328" s="21" t="str">
        <f>IFERROR(INDEX(Users!$D$2:$D$310,MATCH(A1328,Users!$B$2:$B$310,0)),"")</f>
        <v>Band 3</v>
      </c>
      <c r="I1328" s="19" t="b">
        <f t="shared" si="61"/>
        <v>1</v>
      </c>
      <c r="J1328" s="33" t="str">
        <f t="shared" si="62"/>
        <v/>
      </c>
    </row>
    <row r="1329" spans="1:10">
      <c r="A1329" s="19" t="s">
        <v>215</v>
      </c>
      <c r="B1329" s="20">
        <v>45809</v>
      </c>
      <c r="C1329" s="21">
        <v>155.4</v>
      </c>
      <c r="D1329" s="21">
        <v>123.57333333333332</v>
      </c>
      <c r="E1329" s="21">
        <v>99.74</v>
      </c>
      <c r="F1329" s="27">
        <f t="shared" si="60"/>
        <v>0.7951951951951951</v>
      </c>
      <c r="G1329" s="21" t="str">
        <f>IFERROR(INDEX(Users!$A$2:$A$310,MATCH(A1329,Users!$B$2:$B$310,0)),"")</f>
        <v>Service A</v>
      </c>
      <c r="H1329" s="21" t="str">
        <f>IFERROR(INDEX(Users!$D$2:$D$310,MATCH(A1329,Users!$B$2:$B$310,0)),"")</f>
        <v>Band 3</v>
      </c>
      <c r="I1329" s="19" t="b">
        <f t="shared" si="61"/>
        <v>1</v>
      </c>
      <c r="J1329" s="33" t="str">
        <f t="shared" si="62"/>
        <v/>
      </c>
    </row>
    <row r="1330" spans="1:10">
      <c r="A1330" s="19" t="s">
        <v>215</v>
      </c>
      <c r="B1330" s="20">
        <v>45839</v>
      </c>
      <c r="C1330" s="21">
        <v>170.20000000000002</v>
      </c>
      <c r="D1330" s="21">
        <v>169</v>
      </c>
      <c r="E1330" s="21">
        <v>131</v>
      </c>
      <c r="F1330" s="27">
        <f t="shared" si="60"/>
        <v>0.99294947121034072</v>
      </c>
      <c r="G1330" s="21" t="str">
        <f>IFERROR(INDEX(Users!$A$2:$A$310,MATCH(A1330,Users!$B$2:$B$310,0)),"")</f>
        <v>Service A</v>
      </c>
      <c r="H1330" s="21" t="str">
        <f>IFERROR(INDEX(Users!$D$2:$D$310,MATCH(A1330,Users!$B$2:$B$310,0)),"")</f>
        <v>Band 3</v>
      </c>
      <c r="I1330" s="19" t="b">
        <f t="shared" si="61"/>
        <v>1</v>
      </c>
      <c r="J1330" s="33" t="str">
        <f t="shared" si="62"/>
        <v/>
      </c>
    </row>
    <row r="1331" spans="1:10">
      <c r="A1331" s="19" t="s">
        <v>215</v>
      </c>
      <c r="B1331" s="20">
        <v>45870</v>
      </c>
      <c r="C1331" s="21">
        <v>148</v>
      </c>
      <c r="D1331" s="21">
        <v>155.42333333333335</v>
      </c>
      <c r="E1331" s="21">
        <v>127.34</v>
      </c>
      <c r="F1331" s="27">
        <f t="shared" si="60"/>
        <v>1.0501576576576577</v>
      </c>
      <c r="G1331" s="21" t="str">
        <f>IFERROR(INDEX(Users!$A$2:$A$310,MATCH(A1331,Users!$B$2:$B$310,0)),"")</f>
        <v>Service A</v>
      </c>
      <c r="H1331" s="21" t="str">
        <f>IFERROR(INDEX(Users!$D$2:$D$310,MATCH(A1331,Users!$B$2:$B$310,0)),"")</f>
        <v>Band 3</v>
      </c>
      <c r="I1331" s="19" t="b">
        <f t="shared" si="61"/>
        <v>1</v>
      </c>
      <c r="J1331" s="33" t="str">
        <f t="shared" si="62"/>
        <v/>
      </c>
    </row>
    <row r="1332" spans="1:10">
      <c r="A1332" s="19" t="s">
        <v>215</v>
      </c>
      <c r="B1332" s="20">
        <v>45901</v>
      </c>
      <c r="C1332" s="21">
        <v>162.80000000000001</v>
      </c>
      <c r="D1332" s="21">
        <v>157</v>
      </c>
      <c r="E1332" s="21">
        <v>123</v>
      </c>
      <c r="F1332" s="27">
        <f t="shared" si="60"/>
        <v>0.96437346437346427</v>
      </c>
      <c r="G1332" s="21" t="str">
        <f>IFERROR(INDEX(Users!$A$2:$A$310,MATCH(A1332,Users!$B$2:$B$310,0)),"")</f>
        <v>Service A</v>
      </c>
      <c r="H1332" s="21" t="str">
        <f>IFERROR(INDEX(Users!$D$2:$D$310,MATCH(A1332,Users!$B$2:$B$310,0)),"")</f>
        <v>Band 3</v>
      </c>
      <c r="I1332" s="19" t="b">
        <f t="shared" si="61"/>
        <v>1</v>
      </c>
      <c r="J1332" s="33" t="str">
        <f t="shared" si="62"/>
        <v/>
      </c>
    </row>
    <row r="1333" spans="1:10">
      <c r="A1333" s="19" t="s">
        <v>215</v>
      </c>
      <c r="B1333" s="20">
        <v>45931</v>
      </c>
      <c r="C1333" s="21">
        <v>170.20000000000002</v>
      </c>
      <c r="D1333" s="21">
        <v>130.74</v>
      </c>
      <c r="E1333" s="21">
        <v>97.240000000000009</v>
      </c>
      <c r="F1333" s="27">
        <f t="shared" si="60"/>
        <v>0.76815511163337247</v>
      </c>
      <c r="G1333" s="21" t="str">
        <f>IFERROR(INDEX(Users!$A$2:$A$310,MATCH(A1333,Users!$B$2:$B$310,0)),"")</f>
        <v>Service A</v>
      </c>
      <c r="H1333" s="21" t="str">
        <f>IFERROR(INDEX(Users!$D$2:$D$310,MATCH(A1333,Users!$B$2:$B$310,0)),"")</f>
        <v>Band 3</v>
      </c>
      <c r="I1333" s="19" t="b">
        <f t="shared" si="61"/>
        <v>1</v>
      </c>
      <c r="J1333" s="33" t="str">
        <f t="shared" si="62"/>
        <v/>
      </c>
    </row>
    <row r="1334" spans="1:10">
      <c r="A1334" s="19" t="s">
        <v>215</v>
      </c>
      <c r="B1334" s="20">
        <v>45962</v>
      </c>
      <c r="C1334" s="21">
        <v>148</v>
      </c>
      <c r="D1334" s="21">
        <v>128.92666666666668</v>
      </c>
      <c r="E1334" s="21">
        <v>108.51</v>
      </c>
      <c r="F1334" s="27">
        <f t="shared" si="60"/>
        <v>0.87112612612612617</v>
      </c>
      <c r="G1334" s="21" t="str">
        <f>IFERROR(INDEX(Users!$A$2:$A$310,MATCH(A1334,Users!$B$2:$B$310,0)),"")</f>
        <v>Service A</v>
      </c>
      <c r="H1334" s="21" t="str">
        <f>IFERROR(INDEX(Users!$D$2:$D$310,MATCH(A1334,Users!$B$2:$B$310,0)),"")</f>
        <v>Band 3</v>
      </c>
      <c r="I1334" s="19" t="b">
        <f t="shared" si="61"/>
        <v>1</v>
      </c>
      <c r="J1334" s="33" t="str">
        <f t="shared" si="62"/>
        <v/>
      </c>
    </row>
    <row r="1335" spans="1:10">
      <c r="A1335" s="19" t="s">
        <v>215</v>
      </c>
      <c r="B1335" s="20">
        <v>45992</v>
      </c>
      <c r="C1335" s="21">
        <v>155.4</v>
      </c>
      <c r="D1335" s="21">
        <v>136.85666666666665</v>
      </c>
      <c r="E1335" s="21">
        <v>105.94</v>
      </c>
      <c r="F1335" s="27">
        <f t="shared" si="60"/>
        <v>0.8806735306735306</v>
      </c>
      <c r="G1335" s="21" t="str">
        <f>IFERROR(INDEX(Users!$A$2:$A$310,MATCH(A1335,Users!$B$2:$B$310,0)),"")</f>
        <v>Service A</v>
      </c>
      <c r="H1335" s="21" t="str">
        <f>IFERROR(INDEX(Users!$D$2:$D$310,MATCH(A1335,Users!$B$2:$B$310,0)),"")</f>
        <v>Band 3</v>
      </c>
      <c r="I1335" s="19" t="b">
        <f t="shared" si="61"/>
        <v>1</v>
      </c>
      <c r="J1335" s="33" t="str">
        <f t="shared" si="62"/>
        <v/>
      </c>
    </row>
    <row r="1336" spans="1:10">
      <c r="A1336" s="19" t="s">
        <v>215</v>
      </c>
      <c r="B1336" s="20">
        <v>46023</v>
      </c>
      <c r="C1336" s="21">
        <v>155.4</v>
      </c>
      <c r="D1336" s="21">
        <v>153.26333333333335</v>
      </c>
      <c r="E1336" s="21">
        <v>133.43</v>
      </c>
      <c r="F1336" s="27">
        <f t="shared" si="60"/>
        <v>0.98625053625053627</v>
      </c>
      <c r="G1336" s="21" t="str">
        <f>IFERROR(INDEX(Users!$A$2:$A$310,MATCH(A1336,Users!$B$2:$B$310,0)),"")</f>
        <v>Service A</v>
      </c>
      <c r="H1336" s="21" t="str">
        <f>IFERROR(INDEX(Users!$D$2:$D$310,MATCH(A1336,Users!$B$2:$B$310,0)),"")</f>
        <v>Band 3</v>
      </c>
      <c r="I1336" s="19" t="b">
        <f t="shared" si="61"/>
        <v>1</v>
      </c>
      <c r="J1336" s="33" t="str">
        <f t="shared" si="62"/>
        <v/>
      </c>
    </row>
    <row r="1337" spans="1:10">
      <c r="A1337" s="19" t="s">
        <v>216</v>
      </c>
      <c r="B1337" s="20">
        <v>45658</v>
      </c>
      <c r="C1337" s="21">
        <v>133.20000000000002</v>
      </c>
      <c r="D1337" s="21">
        <v>123.78666666666666</v>
      </c>
      <c r="E1337" s="21">
        <v>68.569999999999993</v>
      </c>
      <c r="F1337" s="27">
        <f t="shared" si="60"/>
        <v>0.92932932932932921</v>
      </c>
      <c r="G1337" s="21" t="str">
        <f>IFERROR(INDEX(Users!$A$2:$A$310,MATCH(A1337,Users!$B$2:$B$310,0)),"")</f>
        <v>Service C</v>
      </c>
      <c r="H1337" s="21" t="str">
        <f>IFERROR(INDEX(Users!$D$2:$D$310,MATCH(A1337,Users!$B$2:$B$310,0)),"")</f>
        <v>Band 4</v>
      </c>
      <c r="I1337" s="19" t="b">
        <f t="shared" si="61"/>
        <v>0</v>
      </c>
      <c r="J1337" s="33" t="str">
        <f t="shared" si="62"/>
        <v/>
      </c>
    </row>
    <row r="1338" spans="1:10">
      <c r="A1338" s="19" t="s">
        <v>216</v>
      </c>
      <c r="B1338" s="20">
        <v>45689</v>
      </c>
      <c r="C1338" s="21">
        <v>118.4</v>
      </c>
      <c r="D1338" s="21">
        <v>113.09</v>
      </c>
      <c r="E1338" s="21">
        <v>59.24</v>
      </c>
      <c r="F1338" s="27">
        <f t="shared" si="60"/>
        <v>0.95515202702702706</v>
      </c>
      <c r="G1338" s="21" t="str">
        <f>IFERROR(INDEX(Users!$A$2:$A$310,MATCH(A1338,Users!$B$2:$B$310,0)),"")</f>
        <v>Service C</v>
      </c>
      <c r="H1338" s="21" t="str">
        <f>IFERROR(INDEX(Users!$D$2:$D$310,MATCH(A1338,Users!$B$2:$B$310,0)),"")</f>
        <v>Band 4</v>
      </c>
      <c r="I1338" s="19" t="b">
        <f t="shared" si="61"/>
        <v>0</v>
      </c>
      <c r="J1338" s="33" t="str">
        <f t="shared" si="62"/>
        <v/>
      </c>
    </row>
    <row r="1339" spans="1:10">
      <c r="A1339" s="19" t="s">
        <v>216</v>
      </c>
      <c r="B1339" s="20">
        <v>45717</v>
      </c>
      <c r="C1339" s="21">
        <v>118.4</v>
      </c>
      <c r="D1339" s="21">
        <v>116.57000000000002</v>
      </c>
      <c r="E1339" s="21">
        <v>84.570000000000022</v>
      </c>
      <c r="F1339" s="27">
        <f t="shared" si="60"/>
        <v>0.98454391891891901</v>
      </c>
      <c r="G1339" s="21" t="str">
        <f>IFERROR(INDEX(Users!$A$2:$A$310,MATCH(A1339,Users!$B$2:$B$310,0)),"")</f>
        <v>Service C</v>
      </c>
      <c r="H1339" s="21" t="str">
        <f>IFERROR(INDEX(Users!$D$2:$D$310,MATCH(A1339,Users!$B$2:$B$310,0)),"")</f>
        <v>Band 4</v>
      </c>
      <c r="I1339" s="19" t="b">
        <f t="shared" si="61"/>
        <v>0</v>
      </c>
      <c r="J1339" s="33" t="str">
        <f t="shared" si="62"/>
        <v/>
      </c>
    </row>
    <row r="1340" spans="1:10">
      <c r="A1340" s="19" t="s">
        <v>216</v>
      </c>
      <c r="B1340" s="20">
        <v>45748</v>
      </c>
      <c r="C1340" s="21">
        <v>125.80000000000001</v>
      </c>
      <c r="D1340" s="21">
        <v>87.42000000000003</v>
      </c>
      <c r="E1340" s="21">
        <v>69.570000000000036</v>
      </c>
      <c r="F1340" s="27">
        <f t="shared" si="60"/>
        <v>0.69491255961844212</v>
      </c>
      <c r="G1340" s="21" t="str">
        <f>IFERROR(INDEX(Users!$A$2:$A$310,MATCH(A1340,Users!$B$2:$B$310,0)),"")</f>
        <v>Service C</v>
      </c>
      <c r="H1340" s="21" t="str">
        <f>IFERROR(INDEX(Users!$D$2:$D$310,MATCH(A1340,Users!$B$2:$B$310,0)),"")</f>
        <v>Band 4</v>
      </c>
      <c r="I1340" s="19" t="b">
        <f t="shared" si="61"/>
        <v>0</v>
      </c>
      <c r="J1340" s="33" t="str">
        <f t="shared" si="62"/>
        <v/>
      </c>
    </row>
    <row r="1341" spans="1:10">
      <c r="A1341" s="19" t="s">
        <v>216</v>
      </c>
      <c r="B1341" s="20">
        <v>45778</v>
      </c>
      <c r="C1341" s="21">
        <v>133.20000000000002</v>
      </c>
      <c r="D1341" s="21">
        <v>145.53666666666666</v>
      </c>
      <c r="E1341" s="21">
        <v>90.11999999999999</v>
      </c>
      <c r="F1341" s="27">
        <f t="shared" si="60"/>
        <v>1.0926176176176174</v>
      </c>
      <c r="G1341" s="21" t="str">
        <f>IFERROR(INDEX(Users!$A$2:$A$310,MATCH(A1341,Users!$B$2:$B$310,0)),"")</f>
        <v>Service C</v>
      </c>
      <c r="H1341" s="21" t="str">
        <f>IFERROR(INDEX(Users!$D$2:$D$310,MATCH(A1341,Users!$B$2:$B$310,0)),"")</f>
        <v>Band 4</v>
      </c>
      <c r="I1341" s="19" t="b">
        <f t="shared" si="61"/>
        <v>0</v>
      </c>
      <c r="J1341" s="33" t="str">
        <f t="shared" si="62"/>
        <v/>
      </c>
    </row>
    <row r="1342" spans="1:10">
      <c r="A1342" s="19" t="s">
        <v>216</v>
      </c>
      <c r="B1342" s="20">
        <v>45809</v>
      </c>
      <c r="C1342" s="21">
        <v>118.4</v>
      </c>
      <c r="D1342" s="21">
        <v>99.823333333333352</v>
      </c>
      <c r="E1342" s="21">
        <v>77.990000000000009</v>
      </c>
      <c r="F1342" s="27">
        <f t="shared" si="60"/>
        <v>0.84310247747747757</v>
      </c>
      <c r="G1342" s="21" t="str">
        <f>IFERROR(INDEX(Users!$A$2:$A$310,MATCH(A1342,Users!$B$2:$B$310,0)),"")</f>
        <v>Service C</v>
      </c>
      <c r="H1342" s="21" t="str">
        <f>IFERROR(INDEX(Users!$D$2:$D$310,MATCH(A1342,Users!$B$2:$B$310,0)),"")</f>
        <v>Band 4</v>
      </c>
      <c r="I1342" s="19" t="b">
        <f t="shared" si="61"/>
        <v>0</v>
      </c>
      <c r="J1342" s="33" t="str">
        <f t="shared" si="62"/>
        <v/>
      </c>
    </row>
    <row r="1343" spans="1:10">
      <c r="A1343" s="19" t="s">
        <v>216</v>
      </c>
      <c r="B1343" s="20">
        <v>45839</v>
      </c>
      <c r="C1343" s="21">
        <v>140.6</v>
      </c>
      <c r="D1343" s="21">
        <v>133.21666666666664</v>
      </c>
      <c r="E1343" s="21">
        <v>91.299999999999983</v>
      </c>
      <c r="F1343" s="27">
        <f t="shared" si="60"/>
        <v>0.94748696064485527</v>
      </c>
      <c r="G1343" s="21" t="str">
        <f>IFERROR(INDEX(Users!$A$2:$A$310,MATCH(A1343,Users!$B$2:$B$310,0)),"")</f>
        <v>Service C</v>
      </c>
      <c r="H1343" s="21" t="str">
        <f>IFERROR(INDEX(Users!$D$2:$D$310,MATCH(A1343,Users!$B$2:$B$310,0)),"")</f>
        <v>Band 4</v>
      </c>
      <c r="I1343" s="19" t="b">
        <f t="shared" si="61"/>
        <v>0</v>
      </c>
      <c r="J1343" s="33" t="str">
        <f t="shared" si="62"/>
        <v/>
      </c>
    </row>
    <row r="1344" spans="1:10">
      <c r="A1344" s="19" t="s">
        <v>216</v>
      </c>
      <c r="B1344" s="20">
        <v>45870</v>
      </c>
      <c r="C1344" s="21">
        <v>125.80000000000001</v>
      </c>
      <c r="D1344" s="21">
        <v>81.306666666666672</v>
      </c>
      <c r="E1344" s="21">
        <v>60.290000000000006</v>
      </c>
      <c r="F1344" s="27">
        <f t="shared" si="60"/>
        <v>0.64631690514043449</v>
      </c>
      <c r="G1344" s="21" t="str">
        <f>IFERROR(INDEX(Users!$A$2:$A$310,MATCH(A1344,Users!$B$2:$B$310,0)),"")</f>
        <v>Service C</v>
      </c>
      <c r="H1344" s="21" t="str">
        <f>IFERROR(INDEX(Users!$D$2:$D$310,MATCH(A1344,Users!$B$2:$B$310,0)),"")</f>
        <v>Band 4</v>
      </c>
      <c r="I1344" s="19" t="b">
        <f t="shared" si="61"/>
        <v>0</v>
      </c>
      <c r="J1344" s="33" t="str">
        <f t="shared" si="62"/>
        <v/>
      </c>
    </row>
    <row r="1345" spans="1:10">
      <c r="A1345" s="19" t="s">
        <v>216</v>
      </c>
      <c r="B1345" s="20">
        <v>45901</v>
      </c>
      <c r="C1345" s="21">
        <v>125.80000000000001</v>
      </c>
      <c r="D1345" s="21">
        <v>58.13666666666667</v>
      </c>
      <c r="E1345" s="21">
        <v>22.72</v>
      </c>
      <c r="F1345" s="27">
        <f t="shared" si="60"/>
        <v>0.46213566507684156</v>
      </c>
      <c r="G1345" s="21" t="str">
        <f>IFERROR(INDEX(Users!$A$2:$A$310,MATCH(A1345,Users!$B$2:$B$310,0)),"")</f>
        <v>Service C</v>
      </c>
      <c r="H1345" s="21" t="str">
        <f>IFERROR(INDEX(Users!$D$2:$D$310,MATCH(A1345,Users!$B$2:$B$310,0)),"")</f>
        <v>Band 4</v>
      </c>
      <c r="I1345" s="19" t="b">
        <f t="shared" si="61"/>
        <v>0</v>
      </c>
      <c r="J1345" s="33" t="str">
        <f t="shared" si="62"/>
        <v/>
      </c>
    </row>
    <row r="1346" spans="1:10">
      <c r="A1346" s="19" t="s">
        <v>216</v>
      </c>
      <c r="B1346" s="20">
        <v>45931</v>
      </c>
      <c r="C1346" s="21">
        <v>140.6</v>
      </c>
      <c r="D1346" s="21"/>
      <c r="E1346" s="21"/>
      <c r="F1346" s="27" t="str">
        <f t="shared" ref="F1346:F1409" si="63">IFERROR(IF(OR(C1346="",D1346="",C1346=0),"",D1346/C1346),"")</f>
        <v/>
      </c>
      <c r="G1346" s="21" t="str">
        <f>IFERROR(INDEX(Users!$A$2:$A$310,MATCH(A1346,Users!$B$2:$B$310,0)),"")</f>
        <v>Service C</v>
      </c>
      <c r="H1346" s="21" t="str">
        <f>IFERROR(INDEX(Users!$D$2:$D$310,MATCH(A1346,Users!$B$2:$B$310,0)),"")</f>
        <v>Band 4</v>
      </c>
      <c r="I1346" s="19" t="b">
        <f t="shared" ref="I1346:I1409" si="64">AND(G1346="Service A",H1346="Band 3")</f>
        <v>0</v>
      </c>
      <c r="J1346" s="33" t="str">
        <f t="shared" ref="J1346:J1409" si="65">IF(AND(B1346&gt;=DATE(2025,1,1),B1346&lt;DATE(2026,1,1),G1346="Service B",OR(H1346="Band 3",H1346="Band 5"),ISNUMBER(F1346)),F1346,"")</f>
        <v/>
      </c>
    </row>
    <row r="1347" spans="1:10">
      <c r="A1347" s="19" t="s">
        <v>216</v>
      </c>
      <c r="B1347" s="20">
        <v>45962</v>
      </c>
      <c r="C1347" s="21">
        <v>118.4</v>
      </c>
      <c r="D1347" s="21">
        <v>15.413333333333334</v>
      </c>
      <c r="E1347" s="21">
        <v>6.6300000000000008</v>
      </c>
      <c r="F1347" s="27">
        <f t="shared" si="63"/>
        <v>0.13018018018018018</v>
      </c>
      <c r="G1347" s="21" t="str">
        <f>IFERROR(INDEX(Users!$A$2:$A$310,MATCH(A1347,Users!$B$2:$B$310,0)),"")</f>
        <v>Service C</v>
      </c>
      <c r="H1347" s="21" t="str">
        <f>IFERROR(INDEX(Users!$D$2:$D$310,MATCH(A1347,Users!$B$2:$B$310,0)),"")</f>
        <v>Band 4</v>
      </c>
      <c r="I1347" s="19" t="b">
        <f t="shared" si="64"/>
        <v>0</v>
      </c>
      <c r="J1347" s="33" t="str">
        <f t="shared" si="65"/>
        <v/>
      </c>
    </row>
    <row r="1348" spans="1:10">
      <c r="A1348" s="19" t="s">
        <v>216</v>
      </c>
      <c r="B1348" s="20">
        <v>45992</v>
      </c>
      <c r="C1348" s="21">
        <v>118.4</v>
      </c>
      <c r="D1348" s="21">
        <v>97.93</v>
      </c>
      <c r="E1348" s="21">
        <v>67.13000000000001</v>
      </c>
      <c r="F1348" s="27">
        <f t="shared" si="63"/>
        <v>0.82711148648648647</v>
      </c>
      <c r="G1348" s="21" t="str">
        <f>IFERROR(INDEX(Users!$A$2:$A$310,MATCH(A1348,Users!$B$2:$B$310,0)),"")</f>
        <v>Service C</v>
      </c>
      <c r="H1348" s="21" t="str">
        <f>IFERROR(INDEX(Users!$D$2:$D$310,MATCH(A1348,Users!$B$2:$B$310,0)),"")</f>
        <v>Band 4</v>
      </c>
      <c r="I1348" s="19" t="b">
        <f t="shared" si="64"/>
        <v>0</v>
      </c>
      <c r="J1348" s="33" t="str">
        <f t="shared" si="65"/>
        <v/>
      </c>
    </row>
    <row r="1349" spans="1:10">
      <c r="A1349" s="19" t="s">
        <v>216</v>
      </c>
      <c r="B1349" s="20">
        <v>46023</v>
      </c>
      <c r="C1349" s="21">
        <v>125.80000000000001</v>
      </c>
      <c r="D1349" s="21">
        <v>129.54333333333335</v>
      </c>
      <c r="E1349" s="21">
        <v>66.56</v>
      </c>
      <c r="F1349" s="27">
        <f t="shared" si="63"/>
        <v>1.0297562268150504</v>
      </c>
      <c r="G1349" s="21" t="str">
        <f>IFERROR(INDEX(Users!$A$2:$A$310,MATCH(A1349,Users!$B$2:$B$310,0)),"")</f>
        <v>Service C</v>
      </c>
      <c r="H1349" s="21" t="str">
        <f>IFERROR(INDEX(Users!$D$2:$D$310,MATCH(A1349,Users!$B$2:$B$310,0)),"")</f>
        <v>Band 4</v>
      </c>
      <c r="I1349" s="19" t="b">
        <f t="shared" si="64"/>
        <v>0</v>
      </c>
      <c r="J1349" s="33" t="str">
        <f t="shared" si="65"/>
        <v/>
      </c>
    </row>
    <row r="1350" spans="1:10">
      <c r="A1350" s="19" t="s">
        <v>217</v>
      </c>
      <c r="B1350" s="20">
        <v>45901</v>
      </c>
      <c r="C1350" s="21">
        <v>37.5</v>
      </c>
      <c r="D1350" s="21"/>
      <c r="E1350" s="21"/>
      <c r="F1350" s="27" t="str">
        <f t="shared" si="63"/>
        <v/>
      </c>
      <c r="G1350" s="21" t="str">
        <f>IFERROR(INDEX(Users!$A$2:$A$310,MATCH(A1350,Users!$B$2:$B$310,0)),"")</f>
        <v>Service B</v>
      </c>
      <c r="H1350" s="21" t="str">
        <f>IFERROR(INDEX(Users!$D$2:$D$310,MATCH(A1350,Users!$B$2:$B$310,0)),"")</f>
        <v>Band 5</v>
      </c>
      <c r="I1350" s="19" t="b">
        <f t="shared" si="64"/>
        <v>0</v>
      </c>
      <c r="J1350" s="33" t="str">
        <f t="shared" si="65"/>
        <v/>
      </c>
    </row>
    <row r="1351" spans="1:10">
      <c r="A1351" s="19" t="s">
        <v>217</v>
      </c>
      <c r="B1351" s="20">
        <v>45931</v>
      </c>
      <c r="C1351" s="21">
        <v>142.5</v>
      </c>
      <c r="D1351" s="21">
        <v>129.13666666666668</v>
      </c>
      <c r="E1351" s="21">
        <v>27.720000000000002</v>
      </c>
      <c r="F1351" s="27">
        <f t="shared" si="63"/>
        <v>0.90622222222222237</v>
      </c>
      <c r="G1351" s="21" t="str">
        <f>IFERROR(INDEX(Users!$A$2:$A$310,MATCH(A1351,Users!$B$2:$B$310,0)),"")</f>
        <v>Service B</v>
      </c>
      <c r="H1351" s="21" t="str">
        <f>IFERROR(INDEX(Users!$D$2:$D$310,MATCH(A1351,Users!$B$2:$B$310,0)),"")</f>
        <v>Band 5</v>
      </c>
      <c r="I1351" s="19" t="b">
        <f t="shared" si="64"/>
        <v>0</v>
      </c>
      <c r="J1351" s="33">
        <f t="shared" si="65"/>
        <v>0.90622222222222237</v>
      </c>
    </row>
    <row r="1352" spans="1:10">
      <c r="A1352" s="19" t="s">
        <v>217</v>
      </c>
      <c r="B1352" s="20">
        <v>45962</v>
      </c>
      <c r="C1352" s="21">
        <v>120</v>
      </c>
      <c r="D1352" s="21">
        <v>114.67333333333336</v>
      </c>
      <c r="E1352" s="21">
        <v>37.840000000000018</v>
      </c>
      <c r="F1352" s="27">
        <f t="shared" si="63"/>
        <v>0.9556111111111113</v>
      </c>
      <c r="G1352" s="21" t="str">
        <f>IFERROR(INDEX(Users!$A$2:$A$310,MATCH(A1352,Users!$B$2:$B$310,0)),"")</f>
        <v>Service B</v>
      </c>
      <c r="H1352" s="21" t="str">
        <f>IFERROR(INDEX(Users!$D$2:$D$310,MATCH(A1352,Users!$B$2:$B$310,0)),"")</f>
        <v>Band 5</v>
      </c>
      <c r="I1352" s="19" t="b">
        <f t="shared" si="64"/>
        <v>0</v>
      </c>
      <c r="J1352" s="33">
        <f t="shared" si="65"/>
        <v>0.9556111111111113</v>
      </c>
    </row>
    <row r="1353" spans="1:10">
      <c r="A1353" s="19" t="s">
        <v>217</v>
      </c>
      <c r="B1353" s="20">
        <v>45992</v>
      </c>
      <c r="C1353" s="21">
        <v>120</v>
      </c>
      <c r="D1353" s="21">
        <v>104.73000000000003</v>
      </c>
      <c r="E1353" s="21">
        <v>68.180000000000035</v>
      </c>
      <c r="F1353" s="27">
        <f t="shared" si="63"/>
        <v>0.87275000000000025</v>
      </c>
      <c r="G1353" s="21" t="str">
        <f>IFERROR(INDEX(Users!$A$2:$A$310,MATCH(A1353,Users!$B$2:$B$310,0)),"")</f>
        <v>Service B</v>
      </c>
      <c r="H1353" s="21" t="str">
        <f>IFERROR(INDEX(Users!$D$2:$D$310,MATCH(A1353,Users!$B$2:$B$310,0)),"")</f>
        <v>Band 5</v>
      </c>
      <c r="I1353" s="19" t="b">
        <f t="shared" si="64"/>
        <v>0</v>
      </c>
      <c r="J1353" s="33">
        <f t="shared" si="65"/>
        <v>0.87275000000000025</v>
      </c>
    </row>
    <row r="1354" spans="1:10">
      <c r="A1354" s="19" t="s">
        <v>217</v>
      </c>
      <c r="B1354" s="20">
        <v>46023</v>
      </c>
      <c r="C1354" s="21">
        <v>127.5</v>
      </c>
      <c r="D1354" s="21">
        <v>102.83000000000004</v>
      </c>
      <c r="E1354" s="21">
        <v>62.080000000000048</v>
      </c>
      <c r="F1354" s="27">
        <f t="shared" si="63"/>
        <v>0.8065098039215689</v>
      </c>
      <c r="G1354" s="21" t="str">
        <f>IFERROR(INDEX(Users!$A$2:$A$310,MATCH(A1354,Users!$B$2:$B$310,0)),"")</f>
        <v>Service B</v>
      </c>
      <c r="H1354" s="21" t="str">
        <f>IFERROR(INDEX(Users!$D$2:$D$310,MATCH(A1354,Users!$B$2:$B$310,0)),"")</f>
        <v>Band 5</v>
      </c>
      <c r="I1354" s="19" t="b">
        <f t="shared" si="64"/>
        <v>0</v>
      </c>
      <c r="J1354" s="33" t="str">
        <f t="shared" si="65"/>
        <v/>
      </c>
    </row>
    <row r="1355" spans="1:10">
      <c r="A1355" s="19" t="s">
        <v>218</v>
      </c>
      <c r="B1355" s="20">
        <v>45658</v>
      </c>
      <c r="C1355" s="21">
        <v>162.80000000000001</v>
      </c>
      <c r="D1355" s="21">
        <v>133.01666666666665</v>
      </c>
      <c r="E1355" s="21">
        <v>47.85</v>
      </c>
      <c r="F1355" s="27">
        <f t="shared" si="63"/>
        <v>0.81705569205569195</v>
      </c>
      <c r="G1355" s="21" t="str">
        <f>IFERROR(INDEX(Users!$A$2:$A$310,MATCH(A1355,Users!$B$2:$B$310,0)),"")</f>
        <v>Service A</v>
      </c>
      <c r="H1355" s="21" t="str">
        <f>IFERROR(INDEX(Users!$D$2:$D$310,MATCH(A1355,Users!$B$2:$B$310,0)),"")</f>
        <v>Band 5</v>
      </c>
      <c r="I1355" s="19" t="b">
        <f t="shared" si="64"/>
        <v>0</v>
      </c>
      <c r="J1355" s="33" t="str">
        <f t="shared" si="65"/>
        <v/>
      </c>
    </row>
    <row r="1356" spans="1:10">
      <c r="A1356" s="19" t="s">
        <v>218</v>
      </c>
      <c r="B1356" s="20">
        <v>45689</v>
      </c>
      <c r="C1356" s="21">
        <v>148</v>
      </c>
      <c r="D1356" s="21">
        <v>140.16333333333336</v>
      </c>
      <c r="E1356" s="21">
        <v>42.08</v>
      </c>
      <c r="F1356" s="27">
        <f t="shared" si="63"/>
        <v>0.94704954954954967</v>
      </c>
      <c r="G1356" s="21" t="str">
        <f>IFERROR(INDEX(Users!$A$2:$A$310,MATCH(A1356,Users!$B$2:$B$310,0)),"")</f>
        <v>Service A</v>
      </c>
      <c r="H1356" s="21" t="str">
        <f>IFERROR(INDEX(Users!$D$2:$D$310,MATCH(A1356,Users!$B$2:$B$310,0)),"")</f>
        <v>Band 5</v>
      </c>
      <c r="I1356" s="19" t="b">
        <f t="shared" si="64"/>
        <v>0</v>
      </c>
      <c r="J1356" s="33" t="str">
        <f t="shared" si="65"/>
        <v/>
      </c>
    </row>
    <row r="1357" spans="1:10">
      <c r="A1357" s="19" t="s">
        <v>218</v>
      </c>
      <c r="B1357" s="20">
        <v>45717</v>
      </c>
      <c r="C1357" s="21">
        <v>155.4</v>
      </c>
      <c r="D1357" s="21">
        <v>157.84666666666666</v>
      </c>
      <c r="E1357" s="21">
        <v>69.680000000000007</v>
      </c>
      <c r="F1357" s="27">
        <f t="shared" si="63"/>
        <v>1.0157443157443158</v>
      </c>
      <c r="G1357" s="21" t="str">
        <f>IFERROR(INDEX(Users!$A$2:$A$310,MATCH(A1357,Users!$B$2:$B$310,0)),"")</f>
        <v>Service A</v>
      </c>
      <c r="H1357" s="21" t="str">
        <f>IFERROR(INDEX(Users!$D$2:$D$310,MATCH(A1357,Users!$B$2:$B$310,0)),"")</f>
        <v>Band 5</v>
      </c>
      <c r="I1357" s="19" t="b">
        <f t="shared" si="64"/>
        <v>0</v>
      </c>
      <c r="J1357" s="33" t="str">
        <f t="shared" si="65"/>
        <v/>
      </c>
    </row>
    <row r="1358" spans="1:10">
      <c r="A1358" s="19" t="s">
        <v>218</v>
      </c>
      <c r="B1358" s="20">
        <v>45748</v>
      </c>
      <c r="C1358" s="21">
        <v>148</v>
      </c>
      <c r="D1358" s="21">
        <v>99.356666666666683</v>
      </c>
      <c r="E1358" s="21">
        <v>63.190000000000012</v>
      </c>
      <c r="F1358" s="27">
        <f t="shared" si="63"/>
        <v>0.67132882882882894</v>
      </c>
      <c r="G1358" s="21" t="str">
        <f>IFERROR(INDEX(Users!$A$2:$A$310,MATCH(A1358,Users!$B$2:$B$310,0)),"")</f>
        <v>Service A</v>
      </c>
      <c r="H1358" s="21" t="str">
        <f>IFERROR(INDEX(Users!$D$2:$D$310,MATCH(A1358,Users!$B$2:$B$310,0)),"")</f>
        <v>Band 5</v>
      </c>
      <c r="I1358" s="19" t="b">
        <f t="shared" si="64"/>
        <v>0</v>
      </c>
      <c r="J1358" s="33" t="str">
        <f t="shared" si="65"/>
        <v/>
      </c>
    </row>
    <row r="1359" spans="1:10">
      <c r="A1359" s="19" t="s">
        <v>218</v>
      </c>
      <c r="B1359" s="20">
        <v>45778</v>
      </c>
      <c r="C1359" s="21">
        <v>148</v>
      </c>
      <c r="D1359" s="21">
        <v>154.66000000000003</v>
      </c>
      <c r="E1359" s="21">
        <v>89.410000000000011</v>
      </c>
      <c r="F1359" s="27">
        <f t="shared" si="63"/>
        <v>1.0450000000000002</v>
      </c>
      <c r="G1359" s="21" t="str">
        <f>IFERROR(INDEX(Users!$A$2:$A$310,MATCH(A1359,Users!$B$2:$B$310,0)),"")</f>
        <v>Service A</v>
      </c>
      <c r="H1359" s="21" t="str">
        <f>IFERROR(INDEX(Users!$D$2:$D$310,MATCH(A1359,Users!$B$2:$B$310,0)),"")</f>
        <v>Band 5</v>
      </c>
      <c r="I1359" s="19" t="b">
        <f t="shared" si="64"/>
        <v>0</v>
      </c>
      <c r="J1359" s="33" t="str">
        <f t="shared" si="65"/>
        <v/>
      </c>
    </row>
    <row r="1360" spans="1:10">
      <c r="A1360" s="19" t="s">
        <v>218</v>
      </c>
      <c r="B1360" s="20">
        <v>45809</v>
      </c>
      <c r="C1360" s="21">
        <v>155.4</v>
      </c>
      <c r="D1360" s="21">
        <v>155.38333333333333</v>
      </c>
      <c r="E1360" s="21">
        <v>92.3</v>
      </c>
      <c r="F1360" s="27">
        <f t="shared" si="63"/>
        <v>0.99989274989274979</v>
      </c>
      <c r="G1360" s="21" t="str">
        <f>IFERROR(INDEX(Users!$A$2:$A$310,MATCH(A1360,Users!$B$2:$B$310,0)),"")</f>
        <v>Service A</v>
      </c>
      <c r="H1360" s="21" t="str">
        <f>IFERROR(INDEX(Users!$D$2:$D$310,MATCH(A1360,Users!$B$2:$B$310,0)),"")</f>
        <v>Band 5</v>
      </c>
      <c r="I1360" s="19" t="b">
        <f t="shared" si="64"/>
        <v>0</v>
      </c>
      <c r="J1360" s="33" t="str">
        <f t="shared" si="65"/>
        <v/>
      </c>
    </row>
    <row r="1361" spans="1:10">
      <c r="A1361" s="19" t="s">
        <v>218</v>
      </c>
      <c r="B1361" s="20">
        <v>45839</v>
      </c>
      <c r="C1361" s="21">
        <v>170.20000000000002</v>
      </c>
      <c r="D1361" s="21">
        <v>99.06</v>
      </c>
      <c r="E1361" s="21">
        <v>54.31</v>
      </c>
      <c r="F1361" s="27">
        <f t="shared" si="63"/>
        <v>0.58202115158636891</v>
      </c>
      <c r="G1361" s="21" t="str">
        <f>IFERROR(INDEX(Users!$A$2:$A$310,MATCH(A1361,Users!$B$2:$B$310,0)),"")</f>
        <v>Service A</v>
      </c>
      <c r="H1361" s="21" t="str">
        <f>IFERROR(INDEX(Users!$D$2:$D$310,MATCH(A1361,Users!$B$2:$B$310,0)),"")</f>
        <v>Band 5</v>
      </c>
      <c r="I1361" s="19" t="b">
        <f t="shared" si="64"/>
        <v>0</v>
      </c>
      <c r="J1361" s="33" t="str">
        <f t="shared" si="65"/>
        <v/>
      </c>
    </row>
    <row r="1362" spans="1:10">
      <c r="A1362" s="19" t="s">
        <v>218</v>
      </c>
      <c r="B1362" s="20">
        <v>45870</v>
      </c>
      <c r="C1362" s="21">
        <v>148</v>
      </c>
      <c r="D1362" s="21">
        <v>109.30666666666667</v>
      </c>
      <c r="E1362" s="21">
        <v>54.64</v>
      </c>
      <c r="F1362" s="27">
        <f t="shared" si="63"/>
        <v>0.73855855855855856</v>
      </c>
      <c r="G1362" s="21" t="str">
        <f>IFERROR(INDEX(Users!$A$2:$A$310,MATCH(A1362,Users!$B$2:$B$310,0)),"")</f>
        <v>Service A</v>
      </c>
      <c r="H1362" s="21" t="str">
        <f>IFERROR(INDEX(Users!$D$2:$D$310,MATCH(A1362,Users!$B$2:$B$310,0)),"")</f>
        <v>Band 5</v>
      </c>
      <c r="I1362" s="19" t="b">
        <f t="shared" si="64"/>
        <v>0</v>
      </c>
      <c r="J1362" s="33" t="str">
        <f t="shared" si="65"/>
        <v/>
      </c>
    </row>
    <row r="1363" spans="1:10">
      <c r="A1363" s="19" t="s">
        <v>218</v>
      </c>
      <c r="B1363" s="20">
        <v>45901</v>
      </c>
      <c r="C1363" s="21">
        <v>162.80000000000001</v>
      </c>
      <c r="D1363" s="21">
        <v>165.52333333333331</v>
      </c>
      <c r="E1363" s="21">
        <v>87.039999999999992</v>
      </c>
      <c r="F1363" s="27">
        <f t="shared" si="63"/>
        <v>1.0167280917280914</v>
      </c>
      <c r="G1363" s="21" t="str">
        <f>IFERROR(INDEX(Users!$A$2:$A$310,MATCH(A1363,Users!$B$2:$B$310,0)),"")</f>
        <v>Service A</v>
      </c>
      <c r="H1363" s="21" t="str">
        <f>IFERROR(INDEX(Users!$D$2:$D$310,MATCH(A1363,Users!$B$2:$B$310,0)),"")</f>
        <v>Band 5</v>
      </c>
      <c r="I1363" s="19" t="b">
        <f t="shared" si="64"/>
        <v>0</v>
      </c>
      <c r="J1363" s="33" t="str">
        <f t="shared" si="65"/>
        <v/>
      </c>
    </row>
    <row r="1364" spans="1:10">
      <c r="A1364" s="19" t="s">
        <v>218</v>
      </c>
      <c r="B1364" s="20">
        <v>45931</v>
      </c>
      <c r="C1364" s="21">
        <v>170.20000000000002</v>
      </c>
      <c r="D1364" s="21">
        <v>139.61666666666667</v>
      </c>
      <c r="E1364" s="21">
        <v>72.2</v>
      </c>
      <c r="F1364" s="27">
        <f t="shared" si="63"/>
        <v>0.82030943987465721</v>
      </c>
      <c r="G1364" s="21" t="str">
        <f>IFERROR(INDEX(Users!$A$2:$A$310,MATCH(A1364,Users!$B$2:$B$310,0)),"")</f>
        <v>Service A</v>
      </c>
      <c r="H1364" s="21" t="str">
        <f>IFERROR(INDEX(Users!$D$2:$D$310,MATCH(A1364,Users!$B$2:$B$310,0)),"")</f>
        <v>Band 5</v>
      </c>
      <c r="I1364" s="19" t="b">
        <f t="shared" si="64"/>
        <v>0</v>
      </c>
      <c r="J1364" s="33" t="str">
        <f t="shared" si="65"/>
        <v/>
      </c>
    </row>
    <row r="1365" spans="1:10">
      <c r="A1365" s="19" t="s">
        <v>218</v>
      </c>
      <c r="B1365" s="20">
        <v>45962</v>
      </c>
      <c r="C1365" s="21">
        <v>148</v>
      </c>
      <c r="D1365" s="21">
        <v>152.44</v>
      </c>
      <c r="E1365" s="21">
        <v>44.94</v>
      </c>
      <c r="F1365" s="27">
        <f t="shared" si="63"/>
        <v>1.03</v>
      </c>
      <c r="G1365" s="21" t="str">
        <f>IFERROR(INDEX(Users!$A$2:$A$310,MATCH(A1365,Users!$B$2:$B$310,0)),"")</f>
        <v>Service A</v>
      </c>
      <c r="H1365" s="21" t="str">
        <f>IFERROR(INDEX(Users!$D$2:$D$310,MATCH(A1365,Users!$B$2:$B$310,0)),"")</f>
        <v>Band 5</v>
      </c>
      <c r="I1365" s="19" t="b">
        <f t="shared" si="64"/>
        <v>0</v>
      </c>
      <c r="J1365" s="33" t="str">
        <f t="shared" si="65"/>
        <v/>
      </c>
    </row>
    <row r="1366" spans="1:10">
      <c r="A1366" s="19" t="s">
        <v>218</v>
      </c>
      <c r="B1366" s="20">
        <v>45992</v>
      </c>
      <c r="C1366" s="21">
        <v>37</v>
      </c>
      <c r="D1366" s="21">
        <v>37.833333333333329</v>
      </c>
      <c r="E1366" s="21"/>
      <c r="F1366" s="27">
        <f t="shared" si="63"/>
        <v>1.0225225225225223</v>
      </c>
      <c r="G1366" s="21" t="str">
        <f>IFERROR(INDEX(Users!$A$2:$A$310,MATCH(A1366,Users!$B$2:$B$310,0)),"")</f>
        <v>Service A</v>
      </c>
      <c r="H1366" s="21" t="str">
        <f>IFERROR(INDEX(Users!$D$2:$D$310,MATCH(A1366,Users!$B$2:$B$310,0)),"")</f>
        <v>Band 5</v>
      </c>
      <c r="I1366" s="19" t="b">
        <f t="shared" si="64"/>
        <v>0</v>
      </c>
      <c r="J1366" s="33" t="str">
        <f t="shared" si="65"/>
        <v/>
      </c>
    </row>
    <row r="1367" spans="1:10">
      <c r="A1367" s="19" t="s">
        <v>220</v>
      </c>
      <c r="B1367" s="20">
        <v>45689</v>
      </c>
      <c r="C1367" s="21">
        <v>34</v>
      </c>
      <c r="D1367" s="21">
        <v>28</v>
      </c>
      <c r="E1367" s="21">
        <v>0.5</v>
      </c>
      <c r="F1367" s="27">
        <f t="shared" si="63"/>
        <v>0.82352941176470584</v>
      </c>
      <c r="G1367" s="21" t="str">
        <f>IFERROR(INDEX(Users!$A$2:$A$310,MATCH(A1367,Users!$B$2:$B$310,0)),"")</f>
        <v>Service A</v>
      </c>
      <c r="H1367" s="21" t="str">
        <f>IFERROR(INDEX(Users!$D$2:$D$310,MATCH(A1367,Users!$B$2:$B$310,0)),"")</f>
        <v>Band 3</v>
      </c>
      <c r="I1367" s="19" t="b">
        <f t="shared" si="64"/>
        <v>1</v>
      </c>
      <c r="J1367" s="33" t="str">
        <f t="shared" si="65"/>
        <v/>
      </c>
    </row>
    <row r="1368" spans="1:10">
      <c r="A1368" s="19" t="s">
        <v>220</v>
      </c>
      <c r="B1368" s="20">
        <v>45717</v>
      </c>
      <c r="C1368" s="21">
        <v>144.5</v>
      </c>
      <c r="D1368" s="21">
        <v>148.24333333333334</v>
      </c>
      <c r="E1368" s="21">
        <v>1.1600000000000001</v>
      </c>
      <c r="F1368" s="27">
        <f t="shared" si="63"/>
        <v>1.0259054209919263</v>
      </c>
      <c r="G1368" s="21" t="str">
        <f>IFERROR(INDEX(Users!$A$2:$A$310,MATCH(A1368,Users!$B$2:$B$310,0)),"")</f>
        <v>Service A</v>
      </c>
      <c r="H1368" s="21" t="str">
        <f>IFERROR(INDEX(Users!$D$2:$D$310,MATCH(A1368,Users!$B$2:$B$310,0)),"")</f>
        <v>Band 3</v>
      </c>
      <c r="I1368" s="19" t="b">
        <f t="shared" si="64"/>
        <v>1</v>
      </c>
      <c r="J1368" s="33" t="str">
        <f t="shared" si="65"/>
        <v/>
      </c>
    </row>
    <row r="1369" spans="1:10">
      <c r="A1369" s="19" t="s">
        <v>220</v>
      </c>
      <c r="B1369" s="20">
        <v>45748</v>
      </c>
      <c r="C1369" s="21">
        <v>144.5</v>
      </c>
      <c r="D1369" s="21">
        <v>111</v>
      </c>
      <c r="E1369" s="21"/>
      <c r="F1369" s="27">
        <f t="shared" si="63"/>
        <v>0.76816608996539792</v>
      </c>
      <c r="G1369" s="21" t="str">
        <f>IFERROR(INDEX(Users!$A$2:$A$310,MATCH(A1369,Users!$B$2:$B$310,0)),"")</f>
        <v>Service A</v>
      </c>
      <c r="H1369" s="21" t="str">
        <f>IFERROR(INDEX(Users!$D$2:$D$310,MATCH(A1369,Users!$B$2:$B$310,0)),"")</f>
        <v>Band 3</v>
      </c>
      <c r="I1369" s="19" t="b">
        <f t="shared" si="64"/>
        <v>1</v>
      </c>
      <c r="J1369" s="33" t="str">
        <f t="shared" si="65"/>
        <v/>
      </c>
    </row>
    <row r="1370" spans="1:10">
      <c r="A1370" s="19" t="s">
        <v>220</v>
      </c>
      <c r="B1370" s="20">
        <v>45778</v>
      </c>
      <c r="C1370" s="21">
        <v>127.5</v>
      </c>
      <c r="D1370" s="21">
        <v>128.66666666666669</v>
      </c>
      <c r="E1370" s="21">
        <v>9.5</v>
      </c>
      <c r="F1370" s="27">
        <f t="shared" si="63"/>
        <v>1.0091503267973858</v>
      </c>
      <c r="G1370" s="21" t="str">
        <f>IFERROR(INDEX(Users!$A$2:$A$310,MATCH(A1370,Users!$B$2:$B$310,0)),"")</f>
        <v>Service A</v>
      </c>
      <c r="H1370" s="21" t="str">
        <f>IFERROR(INDEX(Users!$D$2:$D$310,MATCH(A1370,Users!$B$2:$B$310,0)),"")</f>
        <v>Band 3</v>
      </c>
      <c r="I1370" s="19" t="b">
        <f t="shared" si="64"/>
        <v>1</v>
      </c>
      <c r="J1370" s="33" t="str">
        <f t="shared" si="65"/>
        <v/>
      </c>
    </row>
    <row r="1371" spans="1:10">
      <c r="A1371" s="19" t="s">
        <v>220</v>
      </c>
      <c r="B1371" s="20">
        <v>45809</v>
      </c>
      <c r="C1371" s="21">
        <v>144.5</v>
      </c>
      <c r="D1371" s="21">
        <v>143.73333333333332</v>
      </c>
      <c r="E1371" s="21">
        <v>84.899999999999991</v>
      </c>
      <c r="F1371" s="27">
        <f t="shared" si="63"/>
        <v>0.9946943483275662</v>
      </c>
      <c r="G1371" s="21" t="str">
        <f>IFERROR(INDEX(Users!$A$2:$A$310,MATCH(A1371,Users!$B$2:$B$310,0)),"")</f>
        <v>Service A</v>
      </c>
      <c r="H1371" s="21" t="str">
        <f>IFERROR(INDEX(Users!$D$2:$D$310,MATCH(A1371,Users!$B$2:$B$310,0)),"")</f>
        <v>Band 3</v>
      </c>
      <c r="I1371" s="19" t="b">
        <f t="shared" si="64"/>
        <v>1</v>
      </c>
      <c r="J1371" s="33" t="str">
        <f t="shared" si="65"/>
        <v/>
      </c>
    </row>
    <row r="1372" spans="1:10">
      <c r="A1372" s="19" t="s">
        <v>220</v>
      </c>
      <c r="B1372" s="20">
        <v>45839</v>
      </c>
      <c r="C1372" s="21">
        <v>161.5</v>
      </c>
      <c r="D1372" s="21">
        <v>126.73666666666668</v>
      </c>
      <c r="E1372" s="21">
        <v>82.820000000000007</v>
      </c>
      <c r="F1372" s="27">
        <f t="shared" si="63"/>
        <v>0.78474716202270389</v>
      </c>
      <c r="G1372" s="21" t="str">
        <f>IFERROR(INDEX(Users!$A$2:$A$310,MATCH(A1372,Users!$B$2:$B$310,0)),"")</f>
        <v>Service A</v>
      </c>
      <c r="H1372" s="21" t="str">
        <f>IFERROR(INDEX(Users!$D$2:$D$310,MATCH(A1372,Users!$B$2:$B$310,0)),"")</f>
        <v>Band 3</v>
      </c>
      <c r="I1372" s="19" t="b">
        <f t="shared" si="64"/>
        <v>1</v>
      </c>
      <c r="J1372" s="33" t="str">
        <f t="shared" si="65"/>
        <v/>
      </c>
    </row>
    <row r="1373" spans="1:10">
      <c r="A1373" s="19" t="s">
        <v>220</v>
      </c>
      <c r="B1373" s="20">
        <v>45870</v>
      </c>
      <c r="C1373" s="21">
        <v>127.5</v>
      </c>
      <c r="D1373" s="21">
        <v>79.486666666666665</v>
      </c>
      <c r="E1373" s="21">
        <v>57.819999999999993</v>
      </c>
      <c r="F1373" s="27">
        <f t="shared" si="63"/>
        <v>0.62342483660130721</v>
      </c>
      <c r="G1373" s="21" t="str">
        <f>IFERROR(INDEX(Users!$A$2:$A$310,MATCH(A1373,Users!$B$2:$B$310,0)),"")</f>
        <v>Service A</v>
      </c>
      <c r="H1373" s="21" t="str">
        <f>IFERROR(INDEX(Users!$D$2:$D$310,MATCH(A1373,Users!$B$2:$B$310,0)),"")</f>
        <v>Band 3</v>
      </c>
      <c r="I1373" s="19" t="b">
        <f t="shared" si="64"/>
        <v>1</v>
      </c>
      <c r="J1373" s="33" t="str">
        <f t="shared" si="65"/>
        <v/>
      </c>
    </row>
    <row r="1374" spans="1:10">
      <c r="A1374" s="19" t="s">
        <v>220</v>
      </c>
      <c r="B1374" s="20">
        <v>45901</v>
      </c>
      <c r="C1374" s="21">
        <v>153</v>
      </c>
      <c r="D1374" s="21">
        <v>156.52333333333331</v>
      </c>
      <c r="E1374" s="21">
        <v>91.94</v>
      </c>
      <c r="F1374" s="27">
        <f t="shared" si="63"/>
        <v>1.0230283224400869</v>
      </c>
      <c r="G1374" s="21" t="str">
        <f>IFERROR(INDEX(Users!$A$2:$A$310,MATCH(A1374,Users!$B$2:$B$310,0)),"")</f>
        <v>Service A</v>
      </c>
      <c r="H1374" s="21" t="str">
        <f>IFERROR(INDEX(Users!$D$2:$D$310,MATCH(A1374,Users!$B$2:$B$310,0)),"")</f>
        <v>Band 3</v>
      </c>
      <c r="I1374" s="19" t="b">
        <f t="shared" si="64"/>
        <v>1</v>
      </c>
      <c r="J1374" s="33" t="str">
        <f t="shared" si="65"/>
        <v/>
      </c>
    </row>
    <row r="1375" spans="1:10">
      <c r="A1375" s="19" t="s">
        <v>220</v>
      </c>
      <c r="B1375" s="20">
        <v>45931</v>
      </c>
      <c r="C1375" s="21">
        <v>153</v>
      </c>
      <c r="D1375" s="21">
        <v>144.59666666666666</v>
      </c>
      <c r="E1375" s="21">
        <v>88.429999999999993</v>
      </c>
      <c r="F1375" s="27">
        <f t="shared" si="63"/>
        <v>0.94507625272331153</v>
      </c>
      <c r="G1375" s="21" t="str">
        <f>IFERROR(INDEX(Users!$A$2:$A$310,MATCH(A1375,Users!$B$2:$B$310,0)),"")</f>
        <v>Service A</v>
      </c>
      <c r="H1375" s="21" t="str">
        <f>IFERROR(INDEX(Users!$D$2:$D$310,MATCH(A1375,Users!$B$2:$B$310,0)),"")</f>
        <v>Band 3</v>
      </c>
      <c r="I1375" s="19" t="b">
        <f t="shared" si="64"/>
        <v>1</v>
      </c>
      <c r="J1375" s="33" t="str">
        <f t="shared" si="65"/>
        <v/>
      </c>
    </row>
    <row r="1376" spans="1:10">
      <c r="A1376" s="19" t="s">
        <v>220</v>
      </c>
      <c r="B1376" s="20">
        <v>45962</v>
      </c>
      <c r="C1376" s="21">
        <v>136</v>
      </c>
      <c r="D1376" s="21">
        <v>135.15666666666664</v>
      </c>
      <c r="E1376" s="21">
        <v>91.99</v>
      </c>
      <c r="F1376" s="27">
        <f t="shared" si="63"/>
        <v>0.99379901960784289</v>
      </c>
      <c r="G1376" s="21" t="str">
        <f>IFERROR(INDEX(Users!$A$2:$A$310,MATCH(A1376,Users!$B$2:$B$310,0)),"")</f>
        <v>Service A</v>
      </c>
      <c r="H1376" s="21" t="str">
        <f>IFERROR(INDEX(Users!$D$2:$D$310,MATCH(A1376,Users!$B$2:$B$310,0)),"")</f>
        <v>Band 3</v>
      </c>
      <c r="I1376" s="19" t="b">
        <f t="shared" si="64"/>
        <v>1</v>
      </c>
      <c r="J1376" s="33" t="str">
        <f t="shared" si="65"/>
        <v/>
      </c>
    </row>
    <row r="1377" spans="1:10">
      <c r="A1377" s="19" t="s">
        <v>220</v>
      </c>
      <c r="B1377" s="20">
        <v>45992</v>
      </c>
      <c r="C1377" s="21">
        <v>153</v>
      </c>
      <c r="D1377" s="21">
        <v>125.49333333333333</v>
      </c>
      <c r="E1377" s="21">
        <v>81.91</v>
      </c>
      <c r="F1377" s="27">
        <f t="shared" si="63"/>
        <v>0.82021786492374726</v>
      </c>
      <c r="G1377" s="21" t="str">
        <f>IFERROR(INDEX(Users!$A$2:$A$310,MATCH(A1377,Users!$B$2:$B$310,0)),"")</f>
        <v>Service A</v>
      </c>
      <c r="H1377" s="21" t="str">
        <f>IFERROR(INDEX(Users!$D$2:$D$310,MATCH(A1377,Users!$B$2:$B$310,0)),"")</f>
        <v>Band 3</v>
      </c>
      <c r="I1377" s="19" t="b">
        <f t="shared" si="64"/>
        <v>1</v>
      </c>
      <c r="J1377" s="33" t="str">
        <f t="shared" si="65"/>
        <v/>
      </c>
    </row>
    <row r="1378" spans="1:10">
      <c r="A1378" s="19" t="s">
        <v>220</v>
      </c>
      <c r="B1378" s="20">
        <v>46023</v>
      </c>
      <c r="C1378" s="21">
        <v>136</v>
      </c>
      <c r="D1378" s="21">
        <v>122.57333333333335</v>
      </c>
      <c r="E1378" s="21">
        <v>88.990000000000009</v>
      </c>
      <c r="F1378" s="27">
        <f t="shared" si="63"/>
        <v>0.90127450980392165</v>
      </c>
      <c r="G1378" s="21" t="str">
        <f>IFERROR(INDEX(Users!$A$2:$A$310,MATCH(A1378,Users!$B$2:$B$310,0)),"")</f>
        <v>Service A</v>
      </c>
      <c r="H1378" s="21" t="str">
        <f>IFERROR(INDEX(Users!$D$2:$D$310,MATCH(A1378,Users!$B$2:$B$310,0)),"")</f>
        <v>Band 3</v>
      </c>
      <c r="I1378" s="19" t="b">
        <f t="shared" si="64"/>
        <v>1</v>
      </c>
      <c r="J1378" s="33" t="str">
        <f t="shared" si="65"/>
        <v/>
      </c>
    </row>
    <row r="1379" spans="1:10">
      <c r="A1379" s="19" t="s">
        <v>221</v>
      </c>
      <c r="B1379" s="20">
        <v>45658</v>
      </c>
      <c r="C1379" s="21">
        <v>162.80000000000001</v>
      </c>
      <c r="D1379" s="21">
        <v>163.54999999999998</v>
      </c>
      <c r="E1379" s="21">
        <v>69.049999999999983</v>
      </c>
      <c r="F1379" s="27">
        <f t="shared" si="63"/>
        <v>1.0046068796068794</v>
      </c>
      <c r="G1379" s="21" t="str">
        <f>IFERROR(INDEX(Users!$A$2:$A$310,MATCH(A1379,Users!$B$2:$B$310,0)),"")</f>
        <v>Service A</v>
      </c>
      <c r="H1379" s="21" t="str">
        <f>IFERROR(INDEX(Users!$D$2:$D$310,MATCH(A1379,Users!$B$2:$B$310,0)),"")</f>
        <v>Band 5</v>
      </c>
      <c r="I1379" s="19" t="b">
        <f t="shared" si="64"/>
        <v>0</v>
      </c>
      <c r="J1379" s="33" t="str">
        <f t="shared" si="65"/>
        <v/>
      </c>
    </row>
    <row r="1380" spans="1:10">
      <c r="A1380" s="19" t="s">
        <v>221</v>
      </c>
      <c r="B1380" s="20">
        <v>45689</v>
      </c>
      <c r="C1380" s="21">
        <v>111</v>
      </c>
      <c r="D1380" s="21">
        <v>103.01999999999995</v>
      </c>
      <c r="E1380" s="21">
        <v>39.769999999999968</v>
      </c>
      <c r="F1380" s="27">
        <f t="shared" si="63"/>
        <v>0.92810810810810773</v>
      </c>
      <c r="G1380" s="21" t="str">
        <f>IFERROR(INDEX(Users!$A$2:$A$310,MATCH(A1380,Users!$B$2:$B$310,0)),"")</f>
        <v>Service A</v>
      </c>
      <c r="H1380" s="21" t="str">
        <f>IFERROR(INDEX(Users!$D$2:$D$310,MATCH(A1380,Users!$B$2:$B$310,0)),"")</f>
        <v>Band 5</v>
      </c>
      <c r="I1380" s="19" t="b">
        <f t="shared" si="64"/>
        <v>0</v>
      </c>
      <c r="J1380" s="33" t="str">
        <f t="shared" si="65"/>
        <v/>
      </c>
    </row>
    <row r="1381" spans="1:10">
      <c r="A1381" s="19" t="s">
        <v>222</v>
      </c>
      <c r="B1381" s="20">
        <v>45658</v>
      </c>
      <c r="C1381" s="21">
        <v>157.25</v>
      </c>
      <c r="D1381" s="21">
        <v>143.58666666666667</v>
      </c>
      <c r="E1381" s="21">
        <v>87.470000000000013</v>
      </c>
      <c r="F1381" s="27">
        <f t="shared" si="63"/>
        <v>0.9131107578166402</v>
      </c>
      <c r="G1381" s="21" t="str">
        <f>IFERROR(INDEX(Users!$A$2:$A$310,MATCH(A1381,Users!$B$2:$B$310,0)),"")</f>
        <v>Service B</v>
      </c>
      <c r="H1381" s="21" t="str">
        <f>IFERROR(INDEX(Users!$D$2:$D$310,MATCH(A1381,Users!$B$2:$B$310,0)),"")</f>
        <v>Band 3</v>
      </c>
      <c r="I1381" s="19" t="b">
        <f t="shared" si="64"/>
        <v>0</v>
      </c>
      <c r="J1381" s="33">
        <f t="shared" si="65"/>
        <v>0.9131107578166402</v>
      </c>
    </row>
    <row r="1382" spans="1:10">
      <c r="A1382" s="19" t="s">
        <v>222</v>
      </c>
      <c r="B1382" s="20">
        <v>45689</v>
      </c>
      <c r="C1382" s="21">
        <v>148</v>
      </c>
      <c r="D1382" s="21">
        <v>76.680000000000007</v>
      </c>
      <c r="E1382" s="21">
        <v>49.93</v>
      </c>
      <c r="F1382" s="27">
        <f t="shared" si="63"/>
        <v>0.51810810810810815</v>
      </c>
      <c r="G1382" s="21" t="str">
        <f>IFERROR(INDEX(Users!$A$2:$A$310,MATCH(A1382,Users!$B$2:$B$310,0)),"")</f>
        <v>Service B</v>
      </c>
      <c r="H1382" s="21" t="str">
        <f>IFERROR(INDEX(Users!$D$2:$D$310,MATCH(A1382,Users!$B$2:$B$310,0)),"")</f>
        <v>Band 3</v>
      </c>
      <c r="I1382" s="19" t="b">
        <f t="shared" si="64"/>
        <v>0</v>
      </c>
      <c r="J1382" s="33">
        <f t="shared" si="65"/>
        <v>0.51810810810810815</v>
      </c>
    </row>
    <row r="1383" spans="1:10">
      <c r="A1383" s="19" t="s">
        <v>222</v>
      </c>
      <c r="B1383" s="20">
        <v>45717</v>
      </c>
      <c r="C1383" s="21">
        <v>157.25</v>
      </c>
      <c r="D1383" s="21"/>
      <c r="E1383" s="21"/>
      <c r="F1383" s="27" t="str">
        <f t="shared" si="63"/>
        <v/>
      </c>
      <c r="G1383" s="21" t="str">
        <f>IFERROR(INDEX(Users!$A$2:$A$310,MATCH(A1383,Users!$B$2:$B$310,0)),"")</f>
        <v>Service B</v>
      </c>
      <c r="H1383" s="21" t="str">
        <f>IFERROR(INDEX(Users!$D$2:$D$310,MATCH(A1383,Users!$B$2:$B$310,0)),"")</f>
        <v>Band 3</v>
      </c>
      <c r="I1383" s="19" t="b">
        <f t="shared" si="64"/>
        <v>0</v>
      </c>
      <c r="J1383" s="33" t="str">
        <f t="shared" si="65"/>
        <v/>
      </c>
    </row>
    <row r="1384" spans="1:10">
      <c r="A1384" s="19" t="s">
        <v>222</v>
      </c>
      <c r="B1384" s="20">
        <v>45748</v>
      </c>
      <c r="C1384" s="21">
        <v>157.25</v>
      </c>
      <c r="D1384" s="21"/>
      <c r="E1384" s="21"/>
      <c r="F1384" s="27" t="str">
        <f t="shared" si="63"/>
        <v/>
      </c>
      <c r="G1384" s="21" t="str">
        <f>IFERROR(INDEX(Users!$A$2:$A$310,MATCH(A1384,Users!$B$2:$B$310,0)),"")</f>
        <v>Service B</v>
      </c>
      <c r="H1384" s="21" t="str">
        <f>IFERROR(INDEX(Users!$D$2:$D$310,MATCH(A1384,Users!$B$2:$B$310,0)),"")</f>
        <v>Band 3</v>
      </c>
      <c r="I1384" s="19" t="b">
        <f t="shared" si="64"/>
        <v>0</v>
      </c>
      <c r="J1384" s="33" t="str">
        <f t="shared" si="65"/>
        <v/>
      </c>
    </row>
    <row r="1385" spans="1:10">
      <c r="A1385" s="19" t="s">
        <v>222</v>
      </c>
      <c r="B1385" s="20">
        <v>45778</v>
      </c>
      <c r="C1385" s="21">
        <v>138.75</v>
      </c>
      <c r="D1385" s="21"/>
      <c r="E1385" s="21"/>
      <c r="F1385" s="27" t="str">
        <f t="shared" si="63"/>
        <v/>
      </c>
      <c r="G1385" s="21" t="str">
        <f>IFERROR(INDEX(Users!$A$2:$A$310,MATCH(A1385,Users!$B$2:$B$310,0)),"")</f>
        <v>Service B</v>
      </c>
      <c r="H1385" s="21" t="str">
        <f>IFERROR(INDEX(Users!$D$2:$D$310,MATCH(A1385,Users!$B$2:$B$310,0)),"")</f>
        <v>Band 3</v>
      </c>
      <c r="I1385" s="19" t="b">
        <f t="shared" si="64"/>
        <v>0</v>
      </c>
      <c r="J1385" s="33" t="str">
        <f t="shared" si="65"/>
        <v/>
      </c>
    </row>
    <row r="1386" spans="1:10">
      <c r="A1386" s="19" t="s">
        <v>222</v>
      </c>
      <c r="B1386" s="20">
        <v>45809</v>
      </c>
      <c r="C1386" s="21">
        <v>157.25</v>
      </c>
      <c r="D1386" s="21">
        <v>4.5</v>
      </c>
      <c r="E1386" s="21"/>
      <c r="F1386" s="27">
        <f t="shared" si="63"/>
        <v>2.8616852146263912E-2</v>
      </c>
      <c r="G1386" s="21" t="str">
        <f>IFERROR(INDEX(Users!$A$2:$A$310,MATCH(A1386,Users!$B$2:$B$310,0)),"")</f>
        <v>Service B</v>
      </c>
      <c r="H1386" s="21" t="str">
        <f>IFERROR(INDEX(Users!$D$2:$D$310,MATCH(A1386,Users!$B$2:$B$310,0)),"")</f>
        <v>Band 3</v>
      </c>
      <c r="I1386" s="19" t="b">
        <f t="shared" si="64"/>
        <v>0</v>
      </c>
      <c r="J1386" s="33">
        <f t="shared" si="65"/>
        <v>2.8616852146263912E-2</v>
      </c>
    </row>
    <row r="1387" spans="1:10">
      <c r="A1387" s="19" t="s">
        <v>222</v>
      </c>
      <c r="B1387" s="20">
        <v>45839</v>
      </c>
      <c r="C1387" s="21">
        <v>175.75</v>
      </c>
      <c r="D1387" s="21">
        <v>99.083333333333329</v>
      </c>
      <c r="E1387" s="21"/>
      <c r="F1387" s="27">
        <f t="shared" si="63"/>
        <v>0.56377430061640588</v>
      </c>
      <c r="G1387" s="21" t="str">
        <f>IFERROR(INDEX(Users!$A$2:$A$310,MATCH(A1387,Users!$B$2:$B$310,0)),"")</f>
        <v>Service B</v>
      </c>
      <c r="H1387" s="21" t="str">
        <f>IFERROR(INDEX(Users!$D$2:$D$310,MATCH(A1387,Users!$B$2:$B$310,0)),"")</f>
        <v>Band 3</v>
      </c>
      <c r="I1387" s="19" t="b">
        <f t="shared" si="64"/>
        <v>0</v>
      </c>
      <c r="J1387" s="33">
        <f t="shared" si="65"/>
        <v>0.56377430061640588</v>
      </c>
    </row>
    <row r="1388" spans="1:10">
      <c r="A1388" s="19" t="s">
        <v>222</v>
      </c>
      <c r="B1388" s="20">
        <v>45870</v>
      </c>
      <c r="C1388" s="21">
        <v>138.75</v>
      </c>
      <c r="D1388" s="21">
        <v>34.583333333333336</v>
      </c>
      <c r="E1388" s="21"/>
      <c r="F1388" s="27">
        <f t="shared" si="63"/>
        <v>0.24924924924924927</v>
      </c>
      <c r="G1388" s="21" t="str">
        <f>IFERROR(INDEX(Users!$A$2:$A$310,MATCH(A1388,Users!$B$2:$B$310,0)),"")</f>
        <v>Service B</v>
      </c>
      <c r="H1388" s="21" t="str">
        <f>IFERROR(INDEX(Users!$D$2:$D$310,MATCH(A1388,Users!$B$2:$B$310,0)),"")</f>
        <v>Band 3</v>
      </c>
      <c r="I1388" s="19" t="b">
        <f t="shared" si="64"/>
        <v>0</v>
      </c>
      <c r="J1388" s="33">
        <f t="shared" si="65"/>
        <v>0.24924924924924927</v>
      </c>
    </row>
    <row r="1389" spans="1:10">
      <c r="A1389" s="19" t="s">
        <v>222</v>
      </c>
      <c r="B1389" s="20">
        <v>45901</v>
      </c>
      <c r="C1389" s="21">
        <v>166.5</v>
      </c>
      <c r="D1389" s="21">
        <v>115.28333333333335</v>
      </c>
      <c r="E1389" s="21">
        <v>29.70000000000001</v>
      </c>
      <c r="F1389" s="27">
        <f t="shared" si="63"/>
        <v>0.69239239239239248</v>
      </c>
      <c r="G1389" s="21" t="str">
        <f>IFERROR(INDEX(Users!$A$2:$A$310,MATCH(A1389,Users!$B$2:$B$310,0)),"")</f>
        <v>Service B</v>
      </c>
      <c r="H1389" s="21" t="str">
        <f>IFERROR(INDEX(Users!$D$2:$D$310,MATCH(A1389,Users!$B$2:$B$310,0)),"")</f>
        <v>Band 3</v>
      </c>
      <c r="I1389" s="19" t="b">
        <f t="shared" si="64"/>
        <v>0</v>
      </c>
      <c r="J1389" s="33">
        <f t="shared" si="65"/>
        <v>0.69239239239239248</v>
      </c>
    </row>
    <row r="1390" spans="1:10">
      <c r="A1390" s="19" t="s">
        <v>222</v>
      </c>
      <c r="B1390" s="20">
        <v>45931</v>
      </c>
      <c r="C1390" s="21">
        <v>166.5</v>
      </c>
      <c r="D1390" s="21">
        <v>100.8933333333334</v>
      </c>
      <c r="E1390" s="21">
        <v>39.060000000000066</v>
      </c>
      <c r="F1390" s="27">
        <f t="shared" si="63"/>
        <v>0.60596596596596641</v>
      </c>
      <c r="G1390" s="21" t="str">
        <f>IFERROR(INDEX(Users!$A$2:$A$310,MATCH(A1390,Users!$B$2:$B$310,0)),"")</f>
        <v>Service B</v>
      </c>
      <c r="H1390" s="21" t="str">
        <f>IFERROR(INDEX(Users!$D$2:$D$310,MATCH(A1390,Users!$B$2:$B$310,0)),"")</f>
        <v>Band 3</v>
      </c>
      <c r="I1390" s="19" t="b">
        <f t="shared" si="64"/>
        <v>0</v>
      </c>
      <c r="J1390" s="33">
        <f t="shared" si="65"/>
        <v>0.60596596596596641</v>
      </c>
    </row>
    <row r="1391" spans="1:10">
      <c r="A1391" s="19" t="s">
        <v>222</v>
      </c>
      <c r="B1391" s="20">
        <v>45962</v>
      </c>
      <c r="C1391" s="21">
        <v>148</v>
      </c>
      <c r="D1391" s="21">
        <v>131.25666666666672</v>
      </c>
      <c r="E1391" s="21">
        <v>32.640000000000065</v>
      </c>
      <c r="F1391" s="27">
        <f t="shared" si="63"/>
        <v>0.88686936936936966</v>
      </c>
      <c r="G1391" s="21" t="str">
        <f>IFERROR(INDEX(Users!$A$2:$A$310,MATCH(A1391,Users!$B$2:$B$310,0)),"")</f>
        <v>Service B</v>
      </c>
      <c r="H1391" s="21" t="str">
        <f>IFERROR(INDEX(Users!$D$2:$D$310,MATCH(A1391,Users!$B$2:$B$310,0)),"")</f>
        <v>Band 3</v>
      </c>
      <c r="I1391" s="19" t="b">
        <f t="shared" si="64"/>
        <v>0</v>
      </c>
      <c r="J1391" s="33">
        <f t="shared" si="65"/>
        <v>0.88686936936936966</v>
      </c>
    </row>
    <row r="1392" spans="1:10">
      <c r="A1392" s="19" t="s">
        <v>222</v>
      </c>
      <c r="B1392" s="20">
        <v>45992</v>
      </c>
      <c r="C1392" s="21">
        <v>166.5</v>
      </c>
      <c r="D1392" s="21">
        <v>103.04333333333332</v>
      </c>
      <c r="E1392" s="21">
        <v>31.96</v>
      </c>
      <c r="F1392" s="27">
        <f t="shared" si="63"/>
        <v>0.61887887887887882</v>
      </c>
      <c r="G1392" s="21" t="str">
        <f>IFERROR(INDEX(Users!$A$2:$A$310,MATCH(A1392,Users!$B$2:$B$310,0)),"")</f>
        <v>Service B</v>
      </c>
      <c r="H1392" s="21" t="str">
        <f>IFERROR(INDEX(Users!$D$2:$D$310,MATCH(A1392,Users!$B$2:$B$310,0)),"")</f>
        <v>Band 3</v>
      </c>
      <c r="I1392" s="19" t="b">
        <f t="shared" si="64"/>
        <v>0</v>
      </c>
      <c r="J1392" s="33">
        <f t="shared" si="65"/>
        <v>0.61887887887887882</v>
      </c>
    </row>
    <row r="1393" spans="1:10">
      <c r="A1393" s="19" t="s">
        <v>222</v>
      </c>
      <c r="B1393" s="20">
        <v>46023</v>
      </c>
      <c r="C1393" s="21">
        <v>148</v>
      </c>
      <c r="D1393" s="21">
        <v>118.66333333333336</v>
      </c>
      <c r="E1393" s="21">
        <v>54.630000000000017</v>
      </c>
      <c r="F1393" s="27">
        <f t="shared" si="63"/>
        <v>0.80177927927927939</v>
      </c>
      <c r="G1393" s="21" t="str">
        <f>IFERROR(INDEX(Users!$A$2:$A$310,MATCH(A1393,Users!$B$2:$B$310,0)),"")</f>
        <v>Service B</v>
      </c>
      <c r="H1393" s="21" t="str">
        <f>IFERROR(INDEX(Users!$D$2:$D$310,MATCH(A1393,Users!$B$2:$B$310,0)),"")</f>
        <v>Band 3</v>
      </c>
      <c r="I1393" s="19" t="b">
        <f t="shared" si="64"/>
        <v>0</v>
      </c>
      <c r="J1393" s="33" t="str">
        <f t="shared" si="65"/>
        <v/>
      </c>
    </row>
    <row r="1394" spans="1:10">
      <c r="A1394" s="19" t="s">
        <v>223</v>
      </c>
      <c r="B1394" s="20">
        <v>45658</v>
      </c>
      <c r="C1394" s="21">
        <v>162.80000000000001</v>
      </c>
      <c r="D1394" s="21">
        <v>143.10333333333332</v>
      </c>
      <c r="E1394" s="21">
        <v>63.519999999999996</v>
      </c>
      <c r="F1394" s="27">
        <f t="shared" si="63"/>
        <v>0.87901310401310395</v>
      </c>
      <c r="G1394" s="21" t="str">
        <f>IFERROR(INDEX(Users!$A$2:$A$310,MATCH(A1394,Users!$B$2:$B$310,0)),"")</f>
        <v>Service A</v>
      </c>
      <c r="H1394" s="21" t="str">
        <f>IFERROR(INDEX(Users!$D$2:$D$310,MATCH(A1394,Users!$B$2:$B$310,0)),"")</f>
        <v>Band 5</v>
      </c>
      <c r="I1394" s="19" t="b">
        <f t="shared" si="64"/>
        <v>0</v>
      </c>
      <c r="J1394" s="33" t="str">
        <f t="shared" si="65"/>
        <v/>
      </c>
    </row>
    <row r="1395" spans="1:10">
      <c r="A1395" s="19" t="s">
        <v>223</v>
      </c>
      <c r="B1395" s="20">
        <v>45689</v>
      </c>
      <c r="C1395" s="21">
        <v>148</v>
      </c>
      <c r="D1395" s="21">
        <v>111.27333333333334</v>
      </c>
      <c r="E1395" s="21">
        <v>38.190000000000026</v>
      </c>
      <c r="F1395" s="27">
        <f t="shared" si="63"/>
        <v>0.75184684684684688</v>
      </c>
      <c r="G1395" s="21" t="str">
        <f>IFERROR(INDEX(Users!$A$2:$A$310,MATCH(A1395,Users!$B$2:$B$310,0)),"")</f>
        <v>Service A</v>
      </c>
      <c r="H1395" s="21" t="str">
        <f>IFERROR(INDEX(Users!$D$2:$D$310,MATCH(A1395,Users!$B$2:$B$310,0)),"")</f>
        <v>Band 5</v>
      </c>
      <c r="I1395" s="19" t="b">
        <f t="shared" si="64"/>
        <v>0</v>
      </c>
      <c r="J1395" s="33" t="str">
        <f t="shared" si="65"/>
        <v/>
      </c>
    </row>
    <row r="1396" spans="1:10">
      <c r="A1396" s="19" t="s">
        <v>223</v>
      </c>
      <c r="B1396" s="20">
        <v>45717</v>
      </c>
      <c r="C1396" s="21">
        <v>155.4</v>
      </c>
      <c r="D1396" s="21">
        <v>158.83666666666676</v>
      </c>
      <c r="E1396" s="21">
        <v>53.420000000000073</v>
      </c>
      <c r="F1396" s="27">
        <f t="shared" si="63"/>
        <v>1.0221149721149727</v>
      </c>
      <c r="G1396" s="21" t="str">
        <f>IFERROR(INDEX(Users!$A$2:$A$310,MATCH(A1396,Users!$B$2:$B$310,0)),"")</f>
        <v>Service A</v>
      </c>
      <c r="H1396" s="21" t="str">
        <f>IFERROR(INDEX(Users!$D$2:$D$310,MATCH(A1396,Users!$B$2:$B$310,0)),"")</f>
        <v>Band 5</v>
      </c>
      <c r="I1396" s="19" t="b">
        <f t="shared" si="64"/>
        <v>0</v>
      </c>
      <c r="J1396" s="33" t="str">
        <f t="shared" si="65"/>
        <v/>
      </c>
    </row>
    <row r="1397" spans="1:10">
      <c r="A1397" s="19" t="s">
        <v>223</v>
      </c>
      <c r="B1397" s="20">
        <v>45748</v>
      </c>
      <c r="C1397" s="21">
        <v>148</v>
      </c>
      <c r="D1397" s="21">
        <v>149.49</v>
      </c>
      <c r="E1397" s="21">
        <v>2.4900000000000002</v>
      </c>
      <c r="F1397" s="27">
        <f t="shared" si="63"/>
        <v>1.0100675675675677</v>
      </c>
      <c r="G1397" s="21" t="str">
        <f>IFERROR(INDEX(Users!$A$2:$A$310,MATCH(A1397,Users!$B$2:$B$310,0)),"")</f>
        <v>Service A</v>
      </c>
      <c r="H1397" s="21" t="str">
        <f>IFERROR(INDEX(Users!$D$2:$D$310,MATCH(A1397,Users!$B$2:$B$310,0)),"")</f>
        <v>Band 5</v>
      </c>
      <c r="I1397" s="19" t="b">
        <f t="shared" si="64"/>
        <v>0</v>
      </c>
      <c r="J1397" s="33" t="str">
        <f t="shared" si="65"/>
        <v/>
      </c>
    </row>
    <row r="1398" spans="1:10">
      <c r="A1398" s="19" t="s">
        <v>223</v>
      </c>
      <c r="B1398" s="20">
        <v>45778</v>
      </c>
      <c r="C1398" s="21">
        <v>14.8</v>
      </c>
      <c r="D1398" s="21">
        <v>14.583333333333332</v>
      </c>
      <c r="E1398" s="21"/>
      <c r="F1398" s="27">
        <f t="shared" si="63"/>
        <v>0.98536036036036023</v>
      </c>
      <c r="G1398" s="21" t="str">
        <f>IFERROR(INDEX(Users!$A$2:$A$310,MATCH(A1398,Users!$B$2:$B$310,0)),"")</f>
        <v>Service A</v>
      </c>
      <c r="H1398" s="21" t="str">
        <f>IFERROR(INDEX(Users!$D$2:$D$310,MATCH(A1398,Users!$B$2:$B$310,0)),"")</f>
        <v>Band 5</v>
      </c>
      <c r="I1398" s="19" t="b">
        <f t="shared" si="64"/>
        <v>0</v>
      </c>
      <c r="J1398" s="33" t="str">
        <f t="shared" si="65"/>
        <v/>
      </c>
    </row>
    <row r="1399" spans="1:10">
      <c r="A1399" s="19" t="s">
        <v>224</v>
      </c>
      <c r="B1399" s="20">
        <v>45658</v>
      </c>
      <c r="C1399" s="21">
        <v>162.80000000000001</v>
      </c>
      <c r="D1399" s="21">
        <v>84.773333333333341</v>
      </c>
      <c r="E1399" s="21">
        <v>32.190000000000005</v>
      </c>
      <c r="F1399" s="27">
        <f t="shared" si="63"/>
        <v>0.52072072072072073</v>
      </c>
      <c r="G1399" s="21" t="str">
        <f>IFERROR(INDEX(Users!$A$2:$A$310,MATCH(A1399,Users!$B$2:$B$310,0)),"")</f>
        <v>Service A</v>
      </c>
      <c r="H1399" s="21" t="str">
        <f>IFERROR(INDEX(Users!$D$2:$D$310,MATCH(A1399,Users!$B$2:$B$310,0)),"")</f>
        <v>Band 3</v>
      </c>
      <c r="I1399" s="19" t="b">
        <f t="shared" si="64"/>
        <v>1</v>
      </c>
      <c r="J1399" s="33" t="str">
        <f t="shared" si="65"/>
        <v/>
      </c>
    </row>
    <row r="1400" spans="1:10">
      <c r="A1400" s="19" t="s">
        <v>224</v>
      </c>
      <c r="B1400" s="20">
        <v>45689</v>
      </c>
      <c r="C1400" s="21">
        <v>148</v>
      </c>
      <c r="D1400" s="21">
        <v>126.36666666666666</v>
      </c>
      <c r="E1400" s="21">
        <v>60.85</v>
      </c>
      <c r="F1400" s="27">
        <f t="shared" si="63"/>
        <v>0.85382882882882882</v>
      </c>
      <c r="G1400" s="21" t="str">
        <f>IFERROR(INDEX(Users!$A$2:$A$310,MATCH(A1400,Users!$B$2:$B$310,0)),"")</f>
        <v>Service A</v>
      </c>
      <c r="H1400" s="21" t="str">
        <f>IFERROR(INDEX(Users!$D$2:$D$310,MATCH(A1400,Users!$B$2:$B$310,0)),"")</f>
        <v>Band 3</v>
      </c>
      <c r="I1400" s="19" t="b">
        <f t="shared" si="64"/>
        <v>1</v>
      </c>
      <c r="J1400" s="33" t="str">
        <f t="shared" si="65"/>
        <v/>
      </c>
    </row>
    <row r="1401" spans="1:10">
      <c r="A1401" s="19" t="s">
        <v>224</v>
      </c>
      <c r="B1401" s="20">
        <v>45717</v>
      </c>
      <c r="C1401" s="21">
        <v>155.4</v>
      </c>
      <c r="D1401" s="21">
        <v>137.99666666666667</v>
      </c>
      <c r="E1401" s="21">
        <v>69.180000000000007</v>
      </c>
      <c r="F1401" s="27">
        <f t="shared" si="63"/>
        <v>0.88800943800943799</v>
      </c>
      <c r="G1401" s="21" t="str">
        <f>IFERROR(INDEX(Users!$A$2:$A$310,MATCH(A1401,Users!$B$2:$B$310,0)),"")</f>
        <v>Service A</v>
      </c>
      <c r="H1401" s="21" t="str">
        <f>IFERROR(INDEX(Users!$D$2:$D$310,MATCH(A1401,Users!$B$2:$B$310,0)),"")</f>
        <v>Band 3</v>
      </c>
      <c r="I1401" s="19" t="b">
        <f t="shared" si="64"/>
        <v>1</v>
      </c>
      <c r="J1401" s="33" t="str">
        <f t="shared" si="65"/>
        <v/>
      </c>
    </row>
    <row r="1402" spans="1:10">
      <c r="A1402" s="19" t="s">
        <v>224</v>
      </c>
      <c r="B1402" s="20">
        <v>45748</v>
      </c>
      <c r="C1402" s="21">
        <v>148</v>
      </c>
      <c r="D1402" s="21">
        <v>132.68666666666667</v>
      </c>
      <c r="E1402" s="21">
        <v>69.22</v>
      </c>
      <c r="F1402" s="27">
        <f t="shared" si="63"/>
        <v>0.89653153153153153</v>
      </c>
      <c r="G1402" s="21" t="str">
        <f>IFERROR(INDEX(Users!$A$2:$A$310,MATCH(A1402,Users!$B$2:$B$310,0)),"")</f>
        <v>Service A</v>
      </c>
      <c r="H1402" s="21" t="str">
        <f>IFERROR(INDEX(Users!$D$2:$D$310,MATCH(A1402,Users!$B$2:$B$310,0)),"")</f>
        <v>Band 3</v>
      </c>
      <c r="I1402" s="19" t="b">
        <f t="shared" si="64"/>
        <v>1</v>
      </c>
      <c r="J1402" s="33" t="str">
        <f t="shared" si="65"/>
        <v/>
      </c>
    </row>
    <row r="1403" spans="1:10">
      <c r="A1403" s="19" t="s">
        <v>224</v>
      </c>
      <c r="B1403" s="20">
        <v>45778</v>
      </c>
      <c r="C1403" s="21">
        <v>148</v>
      </c>
      <c r="D1403" s="21">
        <v>69.19</v>
      </c>
      <c r="E1403" s="21">
        <v>28.589999999999996</v>
      </c>
      <c r="F1403" s="27">
        <f t="shared" si="63"/>
        <v>0.46749999999999997</v>
      </c>
      <c r="G1403" s="21" t="str">
        <f>IFERROR(INDEX(Users!$A$2:$A$310,MATCH(A1403,Users!$B$2:$B$310,0)),"")</f>
        <v>Service A</v>
      </c>
      <c r="H1403" s="21" t="str">
        <f>IFERROR(INDEX(Users!$D$2:$D$310,MATCH(A1403,Users!$B$2:$B$310,0)),"")</f>
        <v>Band 3</v>
      </c>
      <c r="I1403" s="19" t="b">
        <f t="shared" si="64"/>
        <v>1</v>
      </c>
      <c r="J1403" s="33" t="str">
        <f t="shared" si="65"/>
        <v/>
      </c>
    </row>
    <row r="1404" spans="1:10">
      <c r="A1404" s="19" t="s">
        <v>224</v>
      </c>
      <c r="B1404" s="20">
        <v>45809</v>
      </c>
      <c r="C1404" s="21">
        <v>155.4</v>
      </c>
      <c r="D1404" s="21">
        <v>7</v>
      </c>
      <c r="E1404" s="21"/>
      <c r="F1404" s="27">
        <f t="shared" si="63"/>
        <v>4.5045045045045043E-2</v>
      </c>
      <c r="G1404" s="21" t="str">
        <f>IFERROR(INDEX(Users!$A$2:$A$310,MATCH(A1404,Users!$B$2:$B$310,0)),"")</f>
        <v>Service A</v>
      </c>
      <c r="H1404" s="21" t="str">
        <f>IFERROR(INDEX(Users!$D$2:$D$310,MATCH(A1404,Users!$B$2:$B$310,0)),"")</f>
        <v>Band 3</v>
      </c>
      <c r="I1404" s="19" t="b">
        <f t="shared" si="64"/>
        <v>1</v>
      </c>
      <c r="J1404" s="33" t="str">
        <f t="shared" si="65"/>
        <v/>
      </c>
    </row>
    <row r="1405" spans="1:10">
      <c r="A1405" s="19" t="s">
        <v>224</v>
      </c>
      <c r="B1405" s="20">
        <v>45839</v>
      </c>
      <c r="C1405" s="21">
        <v>170.20000000000002</v>
      </c>
      <c r="D1405" s="21">
        <v>70.31</v>
      </c>
      <c r="E1405" s="21">
        <v>23.009999999999998</v>
      </c>
      <c r="F1405" s="27">
        <f t="shared" si="63"/>
        <v>0.41310223266745005</v>
      </c>
      <c r="G1405" s="21" t="str">
        <f>IFERROR(INDEX(Users!$A$2:$A$310,MATCH(A1405,Users!$B$2:$B$310,0)),"")</f>
        <v>Service A</v>
      </c>
      <c r="H1405" s="21" t="str">
        <f>IFERROR(INDEX(Users!$D$2:$D$310,MATCH(A1405,Users!$B$2:$B$310,0)),"")</f>
        <v>Band 3</v>
      </c>
      <c r="I1405" s="19" t="b">
        <f t="shared" si="64"/>
        <v>1</v>
      </c>
      <c r="J1405" s="33" t="str">
        <f t="shared" si="65"/>
        <v/>
      </c>
    </row>
    <row r="1406" spans="1:10">
      <c r="A1406" s="19" t="s">
        <v>224</v>
      </c>
      <c r="B1406" s="20">
        <v>45870</v>
      </c>
      <c r="C1406" s="21">
        <v>7.4</v>
      </c>
      <c r="D1406" s="21">
        <v>8.2566666666666659</v>
      </c>
      <c r="E1406" s="21">
        <v>2.34</v>
      </c>
      <c r="F1406" s="27">
        <f t="shared" si="63"/>
        <v>1.1157657657657656</v>
      </c>
      <c r="G1406" s="21" t="str">
        <f>IFERROR(INDEX(Users!$A$2:$A$310,MATCH(A1406,Users!$B$2:$B$310,0)),"")</f>
        <v>Service A</v>
      </c>
      <c r="H1406" s="21" t="str">
        <f>IFERROR(INDEX(Users!$D$2:$D$310,MATCH(A1406,Users!$B$2:$B$310,0)),"")</f>
        <v>Band 3</v>
      </c>
      <c r="I1406" s="19" t="b">
        <f t="shared" si="64"/>
        <v>1</v>
      </c>
      <c r="J1406" s="33" t="str">
        <f t="shared" si="65"/>
        <v/>
      </c>
    </row>
    <row r="1407" spans="1:10">
      <c r="A1407" s="19" t="s">
        <v>225</v>
      </c>
      <c r="B1407" s="20">
        <v>45658</v>
      </c>
      <c r="C1407" s="21">
        <v>136</v>
      </c>
      <c r="D1407" s="21">
        <v>132.29666666666665</v>
      </c>
      <c r="E1407" s="21">
        <v>83.38</v>
      </c>
      <c r="F1407" s="27">
        <f t="shared" si="63"/>
        <v>0.97276960784313715</v>
      </c>
      <c r="G1407" s="21" t="str">
        <f>IFERROR(INDEX(Users!$A$2:$A$310,MATCH(A1407,Users!$B$2:$B$310,0)),"")</f>
        <v>Service A</v>
      </c>
      <c r="H1407" s="21" t="str">
        <f>IFERROR(INDEX(Users!$D$2:$D$310,MATCH(A1407,Users!$B$2:$B$310,0)),"")</f>
        <v>Band 3</v>
      </c>
      <c r="I1407" s="19" t="b">
        <f t="shared" si="64"/>
        <v>1</v>
      </c>
      <c r="J1407" s="33" t="str">
        <f t="shared" si="65"/>
        <v/>
      </c>
    </row>
    <row r="1408" spans="1:10">
      <c r="A1408" s="19" t="s">
        <v>225</v>
      </c>
      <c r="B1408" s="20">
        <v>45689</v>
      </c>
      <c r="C1408" s="21">
        <v>128</v>
      </c>
      <c r="D1408" s="21">
        <v>124.04333333333332</v>
      </c>
      <c r="E1408" s="21">
        <v>82.21</v>
      </c>
      <c r="F1408" s="27">
        <f t="shared" si="63"/>
        <v>0.96908854166666658</v>
      </c>
      <c r="G1408" s="21" t="str">
        <f>IFERROR(INDEX(Users!$A$2:$A$310,MATCH(A1408,Users!$B$2:$B$310,0)),"")</f>
        <v>Service A</v>
      </c>
      <c r="H1408" s="21" t="str">
        <f>IFERROR(INDEX(Users!$D$2:$D$310,MATCH(A1408,Users!$B$2:$B$310,0)),"")</f>
        <v>Band 3</v>
      </c>
      <c r="I1408" s="19" t="b">
        <f t="shared" si="64"/>
        <v>1</v>
      </c>
      <c r="J1408" s="33" t="str">
        <f t="shared" si="65"/>
        <v/>
      </c>
    </row>
    <row r="1409" spans="1:10">
      <c r="A1409" s="19" t="s">
        <v>225</v>
      </c>
      <c r="B1409" s="20">
        <v>45717</v>
      </c>
      <c r="C1409" s="21">
        <v>136</v>
      </c>
      <c r="D1409" s="21">
        <v>141.70333333333335</v>
      </c>
      <c r="E1409" s="21">
        <v>90.92</v>
      </c>
      <c r="F1409" s="27">
        <f t="shared" si="63"/>
        <v>1.041936274509804</v>
      </c>
      <c r="G1409" s="21" t="str">
        <f>IFERROR(INDEX(Users!$A$2:$A$310,MATCH(A1409,Users!$B$2:$B$310,0)),"")</f>
        <v>Service A</v>
      </c>
      <c r="H1409" s="21" t="str">
        <f>IFERROR(INDEX(Users!$D$2:$D$310,MATCH(A1409,Users!$B$2:$B$310,0)),"")</f>
        <v>Band 3</v>
      </c>
      <c r="I1409" s="19" t="b">
        <f t="shared" si="64"/>
        <v>1</v>
      </c>
      <c r="J1409" s="33" t="str">
        <f t="shared" si="65"/>
        <v/>
      </c>
    </row>
    <row r="1410" spans="1:10">
      <c r="A1410" s="19" t="s">
        <v>225</v>
      </c>
      <c r="B1410" s="20">
        <v>45748</v>
      </c>
      <c r="C1410" s="21">
        <v>136</v>
      </c>
      <c r="D1410" s="21">
        <v>84.796666666666667</v>
      </c>
      <c r="E1410" s="21">
        <v>50.28</v>
      </c>
      <c r="F1410" s="27">
        <f t="shared" ref="F1410:F1473" si="66">IFERROR(IF(OR(C1410="",D1410="",C1410=0),"",D1410/C1410),"")</f>
        <v>0.62350490196078434</v>
      </c>
      <c r="G1410" s="21" t="str">
        <f>IFERROR(INDEX(Users!$A$2:$A$310,MATCH(A1410,Users!$B$2:$B$310,0)),"")</f>
        <v>Service A</v>
      </c>
      <c r="H1410" s="21" t="str">
        <f>IFERROR(INDEX(Users!$D$2:$D$310,MATCH(A1410,Users!$B$2:$B$310,0)),"")</f>
        <v>Band 3</v>
      </c>
      <c r="I1410" s="19" t="b">
        <f t="shared" ref="I1410:I1473" si="67">AND(G1410="Service A",H1410="Band 3")</f>
        <v>1</v>
      </c>
      <c r="J1410" s="33" t="str">
        <f t="shared" ref="J1410:J1473" si="68">IF(AND(B1410&gt;=DATE(2025,1,1),B1410&lt;DATE(2026,1,1),G1410="Service B",OR(H1410="Band 3",H1410="Band 5"),ISNUMBER(F1410)),F1410,"")</f>
        <v/>
      </c>
    </row>
    <row r="1411" spans="1:10">
      <c r="A1411" s="19" t="s">
        <v>225</v>
      </c>
      <c r="B1411" s="20">
        <v>45778</v>
      </c>
      <c r="C1411" s="21">
        <v>120</v>
      </c>
      <c r="D1411" s="21">
        <v>100.58333333333333</v>
      </c>
      <c r="E1411" s="21">
        <v>66.7</v>
      </c>
      <c r="F1411" s="27">
        <f t="shared" si="66"/>
        <v>0.83819444444444435</v>
      </c>
      <c r="G1411" s="21" t="str">
        <f>IFERROR(INDEX(Users!$A$2:$A$310,MATCH(A1411,Users!$B$2:$B$310,0)),"")</f>
        <v>Service A</v>
      </c>
      <c r="H1411" s="21" t="str">
        <f>IFERROR(INDEX(Users!$D$2:$D$310,MATCH(A1411,Users!$B$2:$B$310,0)),"")</f>
        <v>Band 3</v>
      </c>
      <c r="I1411" s="19" t="b">
        <f t="shared" si="67"/>
        <v>1</v>
      </c>
      <c r="J1411" s="33" t="str">
        <f t="shared" si="68"/>
        <v/>
      </c>
    </row>
    <row r="1412" spans="1:10">
      <c r="A1412" s="19" t="s">
        <v>225</v>
      </c>
      <c r="B1412" s="20">
        <v>45809</v>
      </c>
      <c r="C1412" s="21">
        <v>136</v>
      </c>
      <c r="D1412" s="21">
        <v>143.74666666666667</v>
      </c>
      <c r="E1412" s="21">
        <v>101.73</v>
      </c>
      <c r="F1412" s="27">
        <f t="shared" si="66"/>
        <v>1.0569607843137254</v>
      </c>
      <c r="G1412" s="21" t="str">
        <f>IFERROR(INDEX(Users!$A$2:$A$310,MATCH(A1412,Users!$B$2:$B$310,0)),"")</f>
        <v>Service A</v>
      </c>
      <c r="H1412" s="21" t="str">
        <f>IFERROR(INDEX(Users!$D$2:$D$310,MATCH(A1412,Users!$B$2:$B$310,0)),"")</f>
        <v>Band 3</v>
      </c>
      <c r="I1412" s="19" t="b">
        <f t="shared" si="67"/>
        <v>1</v>
      </c>
      <c r="J1412" s="33" t="str">
        <f t="shared" si="68"/>
        <v/>
      </c>
    </row>
    <row r="1413" spans="1:10">
      <c r="A1413" s="19" t="s">
        <v>225</v>
      </c>
      <c r="B1413" s="20">
        <v>45839</v>
      </c>
      <c r="C1413" s="21">
        <v>152</v>
      </c>
      <c r="D1413" s="21">
        <v>125.60333333333332</v>
      </c>
      <c r="E1413" s="21">
        <v>83.969999999999985</v>
      </c>
      <c r="F1413" s="27">
        <f t="shared" si="66"/>
        <v>0.82633771929824551</v>
      </c>
      <c r="G1413" s="21" t="str">
        <f>IFERROR(INDEX(Users!$A$2:$A$310,MATCH(A1413,Users!$B$2:$B$310,0)),"")</f>
        <v>Service A</v>
      </c>
      <c r="H1413" s="21" t="str">
        <f>IFERROR(INDEX(Users!$D$2:$D$310,MATCH(A1413,Users!$B$2:$B$310,0)),"")</f>
        <v>Band 3</v>
      </c>
      <c r="I1413" s="19" t="b">
        <f t="shared" si="67"/>
        <v>1</v>
      </c>
      <c r="J1413" s="33" t="str">
        <f t="shared" si="68"/>
        <v/>
      </c>
    </row>
    <row r="1414" spans="1:10">
      <c r="A1414" s="19" t="s">
        <v>225</v>
      </c>
      <c r="B1414" s="20">
        <v>45870</v>
      </c>
      <c r="C1414" s="21">
        <v>120</v>
      </c>
      <c r="D1414" s="21">
        <v>74.150000000000006</v>
      </c>
      <c r="E1414" s="21">
        <v>59.250000000000007</v>
      </c>
      <c r="F1414" s="27">
        <f t="shared" si="66"/>
        <v>0.61791666666666667</v>
      </c>
      <c r="G1414" s="21" t="str">
        <f>IFERROR(INDEX(Users!$A$2:$A$310,MATCH(A1414,Users!$B$2:$B$310,0)),"")</f>
        <v>Service A</v>
      </c>
      <c r="H1414" s="21" t="str">
        <f>IFERROR(INDEX(Users!$D$2:$D$310,MATCH(A1414,Users!$B$2:$B$310,0)),"")</f>
        <v>Band 3</v>
      </c>
      <c r="I1414" s="19" t="b">
        <f t="shared" si="67"/>
        <v>1</v>
      </c>
      <c r="J1414" s="33" t="str">
        <f t="shared" si="68"/>
        <v/>
      </c>
    </row>
    <row r="1415" spans="1:10">
      <c r="A1415" s="19" t="s">
        <v>225</v>
      </c>
      <c r="B1415" s="20">
        <v>45901</v>
      </c>
      <c r="C1415" s="21">
        <v>144</v>
      </c>
      <c r="D1415" s="21">
        <v>121.59666666666665</v>
      </c>
      <c r="E1415" s="21">
        <v>88.47999999999999</v>
      </c>
      <c r="F1415" s="27">
        <f t="shared" si="66"/>
        <v>0.84442129629629614</v>
      </c>
      <c r="G1415" s="21" t="str">
        <f>IFERROR(INDEX(Users!$A$2:$A$310,MATCH(A1415,Users!$B$2:$B$310,0)),"")</f>
        <v>Service A</v>
      </c>
      <c r="H1415" s="21" t="str">
        <f>IFERROR(INDEX(Users!$D$2:$D$310,MATCH(A1415,Users!$B$2:$B$310,0)),"")</f>
        <v>Band 3</v>
      </c>
      <c r="I1415" s="19" t="b">
        <f t="shared" si="67"/>
        <v>1</v>
      </c>
      <c r="J1415" s="33" t="str">
        <f t="shared" si="68"/>
        <v/>
      </c>
    </row>
    <row r="1416" spans="1:10">
      <c r="A1416" s="19" t="s">
        <v>225</v>
      </c>
      <c r="B1416" s="20">
        <v>45931</v>
      </c>
      <c r="C1416" s="21">
        <v>144</v>
      </c>
      <c r="D1416" s="21">
        <v>154.38</v>
      </c>
      <c r="E1416" s="21">
        <v>111.58</v>
      </c>
      <c r="F1416" s="27">
        <f t="shared" si="66"/>
        <v>1.0720833333333333</v>
      </c>
      <c r="G1416" s="21" t="str">
        <f>IFERROR(INDEX(Users!$A$2:$A$310,MATCH(A1416,Users!$B$2:$B$310,0)),"")</f>
        <v>Service A</v>
      </c>
      <c r="H1416" s="21" t="str">
        <f>IFERROR(INDEX(Users!$D$2:$D$310,MATCH(A1416,Users!$B$2:$B$310,0)),"")</f>
        <v>Band 3</v>
      </c>
      <c r="I1416" s="19" t="b">
        <f t="shared" si="67"/>
        <v>1</v>
      </c>
      <c r="J1416" s="33" t="str">
        <f t="shared" si="68"/>
        <v/>
      </c>
    </row>
    <row r="1417" spans="1:10">
      <c r="A1417" s="19" t="s">
        <v>225</v>
      </c>
      <c r="B1417" s="20">
        <v>45962</v>
      </c>
      <c r="C1417" s="21">
        <v>128</v>
      </c>
      <c r="D1417" s="21">
        <v>134.17333333333335</v>
      </c>
      <c r="E1417" s="21">
        <v>104.39</v>
      </c>
      <c r="F1417" s="27">
        <f t="shared" si="66"/>
        <v>1.0482291666666668</v>
      </c>
      <c r="G1417" s="21" t="str">
        <f>IFERROR(INDEX(Users!$A$2:$A$310,MATCH(A1417,Users!$B$2:$B$310,0)),"")</f>
        <v>Service A</v>
      </c>
      <c r="H1417" s="21" t="str">
        <f>IFERROR(INDEX(Users!$D$2:$D$310,MATCH(A1417,Users!$B$2:$B$310,0)),"")</f>
        <v>Band 3</v>
      </c>
      <c r="I1417" s="19" t="b">
        <f t="shared" si="67"/>
        <v>1</v>
      </c>
      <c r="J1417" s="33" t="str">
        <f t="shared" si="68"/>
        <v/>
      </c>
    </row>
    <row r="1418" spans="1:10">
      <c r="A1418" s="19" t="s">
        <v>225</v>
      </c>
      <c r="B1418" s="20">
        <v>45992</v>
      </c>
      <c r="C1418" s="21">
        <v>144</v>
      </c>
      <c r="D1418" s="21">
        <v>97.553333333333342</v>
      </c>
      <c r="E1418" s="21">
        <v>63.97</v>
      </c>
      <c r="F1418" s="27">
        <f t="shared" si="66"/>
        <v>0.67745370370370372</v>
      </c>
      <c r="G1418" s="21" t="str">
        <f>IFERROR(INDEX(Users!$A$2:$A$310,MATCH(A1418,Users!$B$2:$B$310,0)),"")</f>
        <v>Service A</v>
      </c>
      <c r="H1418" s="21" t="str">
        <f>IFERROR(INDEX(Users!$D$2:$D$310,MATCH(A1418,Users!$B$2:$B$310,0)),"")</f>
        <v>Band 3</v>
      </c>
      <c r="I1418" s="19" t="b">
        <f t="shared" si="67"/>
        <v>1</v>
      </c>
      <c r="J1418" s="33" t="str">
        <f t="shared" si="68"/>
        <v/>
      </c>
    </row>
    <row r="1419" spans="1:10">
      <c r="A1419" s="19" t="s">
        <v>225</v>
      </c>
      <c r="B1419" s="20">
        <v>46023</v>
      </c>
      <c r="C1419" s="21">
        <v>128</v>
      </c>
      <c r="D1419" s="21">
        <v>136.16</v>
      </c>
      <c r="E1419" s="21">
        <v>98.859999999999985</v>
      </c>
      <c r="F1419" s="27">
        <f t="shared" si="66"/>
        <v>1.06375</v>
      </c>
      <c r="G1419" s="21" t="str">
        <f>IFERROR(INDEX(Users!$A$2:$A$310,MATCH(A1419,Users!$B$2:$B$310,0)),"")</f>
        <v>Service A</v>
      </c>
      <c r="H1419" s="21" t="str">
        <f>IFERROR(INDEX(Users!$D$2:$D$310,MATCH(A1419,Users!$B$2:$B$310,0)),"")</f>
        <v>Band 3</v>
      </c>
      <c r="I1419" s="19" t="b">
        <f t="shared" si="67"/>
        <v>1</v>
      </c>
      <c r="J1419" s="33" t="str">
        <f t="shared" si="68"/>
        <v/>
      </c>
    </row>
    <row r="1420" spans="1:10">
      <c r="A1420" s="19" t="s">
        <v>228</v>
      </c>
      <c r="B1420" s="20">
        <v>45658</v>
      </c>
      <c r="C1420" s="21">
        <v>162.80000000000001</v>
      </c>
      <c r="D1420" s="21">
        <v>151.45666666666668</v>
      </c>
      <c r="E1420" s="21">
        <v>75.039999999999992</v>
      </c>
      <c r="F1420" s="27">
        <f t="shared" si="66"/>
        <v>0.93032350532350527</v>
      </c>
      <c r="G1420" s="21" t="str">
        <f>IFERROR(INDEX(Users!$A$2:$A$310,MATCH(A1420,Users!$B$2:$B$310,0)),"")</f>
        <v>Service B</v>
      </c>
      <c r="H1420" s="21" t="str">
        <f>IFERROR(INDEX(Users!$D$2:$D$310,MATCH(A1420,Users!$B$2:$B$310,0)),"")</f>
        <v>Band 3</v>
      </c>
      <c r="I1420" s="19" t="b">
        <f t="shared" si="67"/>
        <v>0</v>
      </c>
      <c r="J1420" s="33">
        <f t="shared" si="68"/>
        <v>0.93032350532350527</v>
      </c>
    </row>
    <row r="1421" spans="1:10">
      <c r="A1421" s="19" t="s">
        <v>228</v>
      </c>
      <c r="B1421" s="20">
        <v>45689</v>
      </c>
      <c r="C1421" s="21">
        <v>148</v>
      </c>
      <c r="D1421" s="21">
        <v>120.59666666666666</v>
      </c>
      <c r="E1421" s="21">
        <v>55.680000000000007</v>
      </c>
      <c r="F1421" s="27">
        <f t="shared" si="66"/>
        <v>0.81484234234234232</v>
      </c>
      <c r="G1421" s="21" t="str">
        <f>IFERROR(INDEX(Users!$A$2:$A$310,MATCH(A1421,Users!$B$2:$B$310,0)),"")</f>
        <v>Service B</v>
      </c>
      <c r="H1421" s="21" t="str">
        <f>IFERROR(INDEX(Users!$D$2:$D$310,MATCH(A1421,Users!$B$2:$B$310,0)),"")</f>
        <v>Band 3</v>
      </c>
      <c r="I1421" s="19" t="b">
        <f t="shared" si="67"/>
        <v>0</v>
      </c>
      <c r="J1421" s="33">
        <f t="shared" si="68"/>
        <v>0.81484234234234232</v>
      </c>
    </row>
    <row r="1422" spans="1:10">
      <c r="A1422" s="19" t="s">
        <v>228</v>
      </c>
      <c r="B1422" s="20">
        <v>45717</v>
      </c>
      <c r="C1422" s="21">
        <v>155.4</v>
      </c>
      <c r="D1422" s="21">
        <v>123.9</v>
      </c>
      <c r="E1422" s="21">
        <v>64.150000000000006</v>
      </c>
      <c r="F1422" s="27">
        <f t="shared" si="66"/>
        <v>0.79729729729729726</v>
      </c>
      <c r="G1422" s="21" t="str">
        <f>IFERROR(INDEX(Users!$A$2:$A$310,MATCH(A1422,Users!$B$2:$B$310,0)),"")</f>
        <v>Service B</v>
      </c>
      <c r="H1422" s="21" t="str">
        <f>IFERROR(INDEX(Users!$D$2:$D$310,MATCH(A1422,Users!$B$2:$B$310,0)),"")</f>
        <v>Band 3</v>
      </c>
      <c r="I1422" s="19" t="b">
        <f t="shared" si="67"/>
        <v>0</v>
      </c>
      <c r="J1422" s="33">
        <f t="shared" si="68"/>
        <v>0.79729729729729726</v>
      </c>
    </row>
    <row r="1423" spans="1:10">
      <c r="A1423" s="19" t="s">
        <v>228</v>
      </c>
      <c r="B1423" s="20">
        <v>45748</v>
      </c>
      <c r="C1423" s="21">
        <v>148</v>
      </c>
      <c r="D1423" s="21">
        <v>125.68333333333335</v>
      </c>
      <c r="E1423" s="21">
        <v>64.100000000000009</v>
      </c>
      <c r="F1423" s="27">
        <f t="shared" si="66"/>
        <v>0.84921171171171184</v>
      </c>
      <c r="G1423" s="21" t="str">
        <f>IFERROR(INDEX(Users!$A$2:$A$310,MATCH(A1423,Users!$B$2:$B$310,0)),"")</f>
        <v>Service B</v>
      </c>
      <c r="H1423" s="21" t="str">
        <f>IFERROR(INDEX(Users!$D$2:$D$310,MATCH(A1423,Users!$B$2:$B$310,0)),"")</f>
        <v>Band 3</v>
      </c>
      <c r="I1423" s="19" t="b">
        <f t="shared" si="67"/>
        <v>0</v>
      </c>
      <c r="J1423" s="33">
        <f t="shared" si="68"/>
        <v>0.84921171171171184</v>
      </c>
    </row>
    <row r="1424" spans="1:10">
      <c r="A1424" s="19" t="s">
        <v>228</v>
      </c>
      <c r="B1424" s="20">
        <v>45778</v>
      </c>
      <c r="C1424" s="21">
        <v>148</v>
      </c>
      <c r="D1424" s="21">
        <v>125.85333333333332</v>
      </c>
      <c r="E1424" s="21">
        <v>48.019999999999996</v>
      </c>
      <c r="F1424" s="27">
        <f t="shared" si="66"/>
        <v>0.85036036036036033</v>
      </c>
      <c r="G1424" s="21" t="str">
        <f>IFERROR(INDEX(Users!$A$2:$A$310,MATCH(A1424,Users!$B$2:$B$310,0)),"")</f>
        <v>Service B</v>
      </c>
      <c r="H1424" s="21" t="str">
        <f>IFERROR(INDEX(Users!$D$2:$D$310,MATCH(A1424,Users!$B$2:$B$310,0)),"")</f>
        <v>Band 3</v>
      </c>
      <c r="I1424" s="19" t="b">
        <f t="shared" si="67"/>
        <v>0</v>
      </c>
      <c r="J1424" s="33">
        <f t="shared" si="68"/>
        <v>0.85036036036036033</v>
      </c>
    </row>
    <row r="1425" spans="1:10">
      <c r="A1425" s="19" t="s">
        <v>228</v>
      </c>
      <c r="B1425" s="20">
        <v>45809</v>
      </c>
      <c r="C1425" s="21">
        <v>155.4</v>
      </c>
      <c r="D1425" s="21">
        <v>138.07333333333332</v>
      </c>
      <c r="E1425" s="21">
        <v>54.489999999999995</v>
      </c>
      <c r="F1425" s="27">
        <f t="shared" si="66"/>
        <v>0.88850278850278841</v>
      </c>
      <c r="G1425" s="21" t="str">
        <f>IFERROR(INDEX(Users!$A$2:$A$310,MATCH(A1425,Users!$B$2:$B$310,0)),"")</f>
        <v>Service B</v>
      </c>
      <c r="H1425" s="21" t="str">
        <f>IFERROR(INDEX(Users!$D$2:$D$310,MATCH(A1425,Users!$B$2:$B$310,0)),"")</f>
        <v>Band 3</v>
      </c>
      <c r="I1425" s="19" t="b">
        <f t="shared" si="67"/>
        <v>0</v>
      </c>
      <c r="J1425" s="33">
        <f t="shared" si="68"/>
        <v>0.88850278850278841</v>
      </c>
    </row>
    <row r="1426" spans="1:10">
      <c r="A1426" s="19" t="s">
        <v>228</v>
      </c>
      <c r="B1426" s="20">
        <v>45839</v>
      </c>
      <c r="C1426" s="21">
        <v>170.20000000000002</v>
      </c>
      <c r="D1426" s="21">
        <v>14</v>
      </c>
      <c r="E1426" s="21">
        <v>1.5</v>
      </c>
      <c r="F1426" s="27">
        <f t="shared" si="66"/>
        <v>8.2256169212690938E-2</v>
      </c>
      <c r="G1426" s="21" t="str">
        <f>IFERROR(INDEX(Users!$A$2:$A$310,MATCH(A1426,Users!$B$2:$B$310,0)),"")</f>
        <v>Service B</v>
      </c>
      <c r="H1426" s="21" t="str">
        <f>IFERROR(INDEX(Users!$D$2:$D$310,MATCH(A1426,Users!$B$2:$B$310,0)),"")</f>
        <v>Band 3</v>
      </c>
      <c r="I1426" s="19" t="b">
        <f t="shared" si="67"/>
        <v>0</v>
      </c>
      <c r="J1426" s="33">
        <f t="shared" si="68"/>
        <v>8.2256169212690938E-2</v>
      </c>
    </row>
    <row r="1427" spans="1:10">
      <c r="A1427" s="19" t="s">
        <v>228</v>
      </c>
      <c r="B1427" s="20">
        <v>45870</v>
      </c>
      <c r="C1427" s="21">
        <v>148</v>
      </c>
      <c r="D1427" s="21"/>
      <c r="E1427" s="21"/>
      <c r="F1427" s="27" t="str">
        <f t="shared" si="66"/>
        <v/>
      </c>
      <c r="G1427" s="21" t="str">
        <f>IFERROR(INDEX(Users!$A$2:$A$310,MATCH(A1427,Users!$B$2:$B$310,0)),"")</f>
        <v>Service B</v>
      </c>
      <c r="H1427" s="21" t="str">
        <f>IFERROR(INDEX(Users!$D$2:$D$310,MATCH(A1427,Users!$B$2:$B$310,0)),"")</f>
        <v>Band 3</v>
      </c>
      <c r="I1427" s="19" t="b">
        <f t="shared" si="67"/>
        <v>0</v>
      </c>
      <c r="J1427" s="33" t="str">
        <f t="shared" si="68"/>
        <v/>
      </c>
    </row>
    <row r="1428" spans="1:10">
      <c r="A1428" s="19" t="s">
        <v>228</v>
      </c>
      <c r="B1428" s="20">
        <v>45901</v>
      </c>
      <c r="C1428" s="21">
        <v>162.80000000000001</v>
      </c>
      <c r="D1428" s="21"/>
      <c r="E1428" s="21"/>
      <c r="F1428" s="27" t="str">
        <f t="shared" si="66"/>
        <v/>
      </c>
      <c r="G1428" s="21" t="str">
        <f>IFERROR(INDEX(Users!$A$2:$A$310,MATCH(A1428,Users!$B$2:$B$310,0)),"")</f>
        <v>Service B</v>
      </c>
      <c r="H1428" s="21" t="str">
        <f>IFERROR(INDEX(Users!$D$2:$D$310,MATCH(A1428,Users!$B$2:$B$310,0)),"")</f>
        <v>Band 3</v>
      </c>
      <c r="I1428" s="19" t="b">
        <f t="shared" si="67"/>
        <v>0</v>
      </c>
      <c r="J1428" s="33" t="str">
        <f t="shared" si="68"/>
        <v/>
      </c>
    </row>
    <row r="1429" spans="1:10">
      <c r="A1429" s="19" t="s">
        <v>228</v>
      </c>
      <c r="B1429" s="20">
        <v>45931</v>
      </c>
      <c r="C1429" s="21">
        <v>170.20000000000002</v>
      </c>
      <c r="D1429" s="21"/>
      <c r="E1429" s="21"/>
      <c r="F1429" s="27" t="str">
        <f t="shared" si="66"/>
        <v/>
      </c>
      <c r="G1429" s="21" t="str">
        <f>IFERROR(INDEX(Users!$A$2:$A$310,MATCH(A1429,Users!$B$2:$B$310,0)),"")</f>
        <v>Service B</v>
      </c>
      <c r="H1429" s="21" t="str">
        <f>IFERROR(INDEX(Users!$D$2:$D$310,MATCH(A1429,Users!$B$2:$B$310,0)),"")</f>
        <v>Band 3</v>
      </c>
      <c r="I1429" s="19" t="b">
        <f t="shared" si="67"/>
        <v>0</v>
      </c>
      <c r="J1429" s="33" t="str">
        <f t="shared" si="68"/>
        <v/>
      </c>
    </row>
    <row r="1430" spans="1:10">
      <c r="A1430" s="19" t="s">
        <v>228</v>
      </c>
      <c r="B1430" s="20">
        <v>45962</v>
      </c>
      <c r="C1430" s="21">
        <v>148</v>
      </c>
      <c r="D1430" s="21"/>
      <c r="E1430" s="21"/>
      <c r="F1430" s="27" t="str">
        <f t="shared" si="66"/>
        <v/>
      </c>
      <c r="G1430" s="21" t="str">
        <f>IFERROR(INDEX(Users!$A$2:$A$310,MATCH(A1430,Users!$B$2:$B$310,0)),"")</f>
        <v>Service B</v>
      </c>
      <c r="H1430" s="21" t="str">
        <f>IFERROR(INDEX(Users!$D$2:$D$310,MATCH(A1430,Users!$B$2:$B$310,0)),"")</f>
        <v>Band 3</v>
      </c>
      <c r="I1430" s="19" t="b">
        <f t="shared" si="67"/>
        <v>0</v>
      </c>
      <c r="J1430" s="33" t="str">
        <f t="shared" si="68"/>
        <v/>
      </c>
    </row>
    <row r="1431" spans="1:10">
      <c r="A1431" s="19" t="s">
        <v>228</v>
      </c>
      <c r="B1431" s="20">
        <v>45992</v>
      </c>
      <c r="C1431" s="21">
        <v>37</v>
      </c>
      <c r="D1431" s="21">
        <v>2.16</v>
      </c>
      <c r="E1431" s="21">
        <v>2.16</v>
      </c>
      <c r="F1431" s="27">
        <f t="shared" si="66"/>
        <v>5.8378378378378379E-2</v>
      </c>
      <c r="G1431" s="21" t="str">
        <f>IFERROR(INDEX(Users!$A$2:$A$310,MATCH(A1431,Users!$B$2:$B$310,0)),"")</f>
        <v>Service B</v>
      </c>
      <c r="H1431" s="21" t="str">
        <f>IFERROR(INDEX(Users!$D$2:$D$310,MATCH(A1431,Users!$B$2:$B$310,0)),"")</f>
        <v>Band 3</v>
      </c>
      <c r="I1431" s="19" t="b">
        <f t="shared" si="67"/>
        <v>0</v>
      </c>
      <c r="J1431" s="33">
        <f t="shared" si="68"/>
        <v>5.8378378378378379E-2</v>
      </c>
    </row>
    <row r="1432" spans="1:10">
      <c r="A1432" s="19" t="s">
        <v>229</v>
      </c>
      <c r="B1432" s="20">
        <v>45658</v>
      </c>
      <c r="C1432" s="21">
        <v>162.80000000000001</v>
      </c>
      <c r="D1432" s="21">
        <v>155.67333333333335</v>
      </c>
      <c r="E1432" s="21">
        <v>111.34</v>
      </c>
      <c r="F1432" s="27">
        <f t="shared" si="66"/>
        <v>0.95622440622440619</v>
      </c>
      <c r="G1432" s="21" t="str">
        <f>IFERROR(INDEX(Users!$A$2:$A$310,MATCH(A1432,Users!$B$2:$B$310,0)),"")</f>
        <v>Service A</v>
      </c>
      <c r="H1432" s="21" t="str">
        <f>IFERROR(INDEX(Users!$D$2:$D$310,MATCH(A1432,Users!$B$2:$B$310,0)),"")</f>
        <v>Band 3</v>
      </c>
      <c r="I1432" s="19" t="b">
        <f t="shared" si="67"/>
        <v>1</v>
      </c>
      <c r="J1432" s="33" t="str">
        <f t="shared" si="68"/>
        <v/>
      </c>
    </row>
    <row r="1433" spans="1:10">
      <c r="A1433" s="19" t="s">
        <v>229</v>
      </c>
      <c r="B1433" s="20">
        <v>45689</v>
      </c>
      <c r="C1433" s="21">
        <v>148</v>
      </c>
      <c r="D1433" s="21">
        <v>110.20666666666668</v>
      </c>
      <c r="E1433" s="21">
        <v>78.540000000000006</v>
      </c>
      <c r="F1433" s="27">
        <f t="shared" si="66"/>
        <v>0.74463963963963975</v>
      </c>
      <c r="G1433" s="21" t="str">
        <f>IFERROR(INDEX(Users!$A$2:$A$310,MATCH(A1433,Users!$B$2:$B$310,0)),"")</f>
        <v>Service A</v>
      </c>
      <c r="H1433" s="21" t="str">
        <f>IFERROR(INDEX(Users!$D$2:$D$310,MATCH(A1433,Users!$B$2:$B$310,0)),"")</f>
        <v>Band 3</v>
      </c>
      <c r="I1433" s="19" t="b">
        <f t="shared" si="67"/>
        <v>1</v>
      </c>
      <c r="J1433" s="33" t="str">
        <f t="shared" si="68"/>
        <v/>
      </c>
    </row>
    <row r="1434" spans="1:10">
      <c r="A1434" s="19" t="s">
        <v>229</v>
      </c>
      <c r="B1434" s="20">
        <v>45717</v>
      </c>
      <c r="C1434" s="21">
        <v>155.4</v>
      </c>
      <c r="D1434" s="21">
        <v>155.39333333333335</v>
      </c>
      <c r="E1434" s="21">
        <v>109.81</v>
      </c>
      <c r="F1434" s="27">
        <f t="shared" si="66"/>
        <v>0.99995709995710003</v>
      </c>
      <c r="G1434" s="21" t="str">
        <f>IFERROR(INDEX(Users!$A$2:$A$310,MATCH(A1434,Users!$B$2:$B$310,0)),"")</f>
        <v>Service A</v>
      </c>
      <c r="H1434" s="21" t="str">
        <f>IFERROR(INDEX(Users!$D$2:$D$310,MATCH(A1434,Users!$B$2:$B$310,0)),"")</f>
        <v>Band 3</v>
      </c>
      <c r="I1434" s="19" t="b">
        <f t="shared" si="67"/>
        <v>1</v>
      </c>
      <c r="J1434" s="33" t="str">
        <f t="shared" si="68"/>
        <v/>
      </c>
    </row>
    <row r="1435" spans="1:10">
      <c r="A1435" s="19" t="s">
        <v>229</v>
      </c>
      <c r="B1435" s="20">
        <v>45748</v>
      </c>
      <c r="C1435" s="21">
        <v>148</v>
      </c>
      <c r="D1435" s="21">
        <v>119.00999999999999</v>
      </c>
      <c r="E1435" s="21">
        <v>77.010000000000005</v>
      </c>
      <c r="F1435" s="27">
        <f t="shared" si="66"/>
        <v>0.8041216216216216</v>
      </c>
      <c r="G1435" s="21" t="str">
        <f>IFERROR(INDEX(Users!$A$2:$A$310,MATCH(A1435,Users!$B$2:$B$310,0)),"")</f>
        <v>Service A</v>
      </c>
      <c r="H1435" s="21" t="str">
        <f>IFERROR(INDEX(Users!$D$2:$D$310,MATCH(A1435,Users!$B$2:$B$310,0)),"")</f>
        <v>Band 3</v>
      </c>
      <c r="I1435" s="19" t="b">
        <f t="shared" si="67"/>
        <v>1</v>
      </c>
      <c r="J1435" s="33" t="str">
        <f t="shared" si="68"/>
        <v/>
      </c>
    </row>
    <row r="1436" spans="1:10">
      <c r="A1436" s="19" t="s">
        <v>229</v>
      </c>
      <c r="B1436" s="20">
        <v>45778</v>
      </c>
      <c r="C1436" s="21">
        <v>148</v>
      </c>
      <c r="D1436" s="21">
        <v>118.20666666666668</v>
      </c>
      <c r="E1436" s="21">
        <v>71.290000000000006</v>
      </c>
      <c r="F1436" s="27">
        <f t="shared" si="66"/>
        <v>0.79869369369369381</v>
      </c>
      <c r="G1436" s="21" t="str">
        <f>IFERROR(INDEX(Users!$A$2:$A$310,MATCH(A1436,Users!$B$2:$B$310,0)),"")</f>
        <v>Service A</v>
      </c>
      <c r="H1436" s="21" t="str">
        <f>IFERROR(INDEX(Users!$D$2:$D$310,MATCH(A1436,Users!$B$2:$B$310,0)),"")</f>
        <v>Band 3</v>
      </c>
      <c r="I1436" s="19" t="b">
        <f t="shared" si="67"/>
        <v>1</v>
      </c>
      <c r="J1436" s="33" t="str">
        <f t="shared" si="68"/>
        <v/>
      </c>
    </row>
    <row r="1437" spans="1:10">
      <c r="A1437" s="19" t="s">
        <v>229</v>
      </c>
      <c r="B1437" s="20">
        <v>45809</v>
      </c>
      <c r="C1437" s="21">
        <v>155.4</v>
      </c>
      <c r="D1437" s="21">
        <v>142.73333333333335</v>
      </c>
      <c r="E1437" s="21">
        <v>85.400000000000034</v>
      </c>
      <c r="F1437" s="27">
        <f t="shared" si="66"/>
        <v>0.91848991848991857</v>
      </c>
      <c r="G1437" s="21" t="str">
        <f>IFERROR(INDEX(Users!$A$2:$A$310,MATCH(A1437,Users!$B$2:$B$310,0)),"")</f>
        <v>Service A</v>
      </c>
      <c r="H1437" s="21" t="str">
        <f>IFERROR(INDEX(Users!$D$2:$D$310,MATCH(A1437,Users!$B$2:$B$310,0)),"")</f>
        <v>Band 3</v>
      </c>
      <c r="I1437" s="19" t="b">
        <f t="shared" si="67"/>
        <v>1</v>
      </c>
      <c r="J1437" s="33" t="str">
        <f t="shared" si="68"/>
        <v/>
      </c>
    </row>
    <row r="1438" spans="1:10">
      <c r="A1438" s="19" t="s">
        <v>229</v>
      </c>
      <c r="B1438" s="20">
        <v>45839</v>
      </c>
      <c r="C1438" s="21">
        <v>170.20000000000002</v>
      </c>
      <c r="D1438" s="21">
        <v>176.03666666666666</v>
      </c>
      <c r="E1438" s="21">
        <v>125.61999999999999</v>
      </c>
      <c r="F1438" s="27">
        <f t="shared" si="66"/>
        <v>1.0342929886408145</v>
      </c>
      <c r="G1438" s="21" t="str">
        <f>IFERROR(INDEX(Users!$A$2:$A$310,MATCH(A1438,Users!$B$2:$B$310,0)),"")</f>
        <v>Service A</v>
      </c>
      <c r="H1438" s="21" t="str">
        <f>IFERROR(INDEX(Users!$D$2:$D$310,MATCH(A1438,Users!$B$2:$B$310,0)),"")</f>
        <v>Band 3</v>
      </c>
      <c r="I1438" s="19" t="b">
        <f t="shared" si="67"/>
        <v>1</v>
      </c>
      <c r="J1438" s="33" t="str">
        <f t="shared" si="68"/>
        <v/>
      </c>
    </row>
    <row r="1439" spans="1:10">
      <c r="A1439" s="19" t="s">
        <v>229</v>
      </c>
      <c r="B1439" s="20">
        <v>45870</v>
      </c>
      <c r="C1439" s="21">
        <v>148</v>
      </c>
      <c r="D1439" s="21">
        <v>108.88</v>
      </c>
      <c r="E1439" s="21">
        <v>60.379999999999995</v>
      </c>
      <c r="F1439" s="27">
        <f t="shared" si="66"/>
        <v>0.7356756756756756</v>
      </c>
      <c r="G1439" s="21" t="str">
        <f>IFERROR(INDEX(Users!$A$2:$A$310,MATCH(A1439,Users!$B$2:$B$310,0)),"")</f>
        <v>Service A</v>
      </c>
      <c r="H1439" s="21" t="str">
        <f>IFERROR(INDEX(Users!$D$2:$D$310,MATCH(A1439,Users!$B$2:$B$310,0)),"")</f>
        <v>Band 3</v>
      </c>
      <c r="I1439" s="19" t="b">
        <f t="shared" si="67"/>
        <v>1</v>
      </c>
      <c r="J1439" s="33" t="str">
        <f t="shared" si="68"/>
        <v/>
      </c>
    </row>
    <row r="1440" spans="1:10">
      <c r="A1440" s="19" t="s">
        <v>229</v>
      </c>
      <c r="B1440" s="20">
        <v>45901</v>
      </c>
      <c r="C1440" s="21">
        <v>162.80000000000001</v>
      </c>
      <c r="D1440" s="21">
        <v>146.73333333333332</v>
      </c>
      <c r="E1440" s="21">
        <v>99.899999999999991</v>
      </c>
      <c r="F1440" s="27">
        <f t="shared" si="66"/>
        <v>0.90131040131040119</v>
      </c>
      <c r="G1440" s="21" t="str">
        <f>IFERROR(INDEX(Users!$A$2:$A$310,MATCH(A1440,Users!$B$2:$B$310,0)),"")</f>
        <v>Service A</v>
      </c>
      <c r="H1440" s="21" t="str">
        <f>IFERROR(INDEX(Users!$D$2:$D$310,MATCH(A1440,Users!$B$2:$B$310,0)),"")</f>
        <v>Band 3</v>
      </c>
      <c r="I1440" s="19" t="b">
        <f t="shared" si="67"/>
        <v>1</v>
      </c>
      <c r="J1440" s="33" t="str">
        <f t="shared" si="68"/>
        <v/>
      </c>
    </row>
    <row r="1441" spans="1:10">
      <c r="A1441" s="19" t="s">
        <v>229</v>
      </c>
      <c r="B1441" s="20">
        <v>45931</v>
      </c>
      <c r="C1441" s="21">
        <v>170.20000000000002</v>
      </c>
      <c r="D1441" s="21">
        <v>174.65333333333336</v>
      </c>
      <c r="E1441" s="21">
        <v>98.820000000000036</v>
      </c>
      <c r="F1441" s="27">
        <f t="shared" si="66"/>
        <v>1.0261652957305132</v>
      </c>
      <c r="G1441" s="21" t="str">
        <f>IFERROR(INDEX(Users!$A$2:$A$310,MATCH(A1441,Users!$B$2:$B$310,0)),"")</f>
        <v>Service A</v>
      </c>
      <c r="H1441" s="21" t="str">
        <f>IFERROR(INDEX(Users!$D$2:$D$310,MATCH(A1441,Users!$B$2:$B$310,0)),"")</f>
        <v>Band 3</v>
      </c>
      <c r="I1441" s="19" t="b">
        <f t="shared" si="67"/>
        <v>1</v>
      </c>
      <c r="J1441" s="33" t="str">
        <f t="shared" si="68"/>
        <v/>
      </c>
    </row>
    <row r="1442" spans="1:10">
      <c r="A1442" s="19" t="s">
        <v>229</v>
      </c>
      <c r="B1442" s="20">
        <v>45962</v>
      </c>
      <c r="C1442" s="21">
        <v>148</v>
      </c>
      <c r="D1442" s="21">
        <v>133.51</v>
      </c>
      <c r="E1442" s="21">
        <v>91.509999999999991</v>
      </c>
      <c r="F1442" s="27">
        <f t="shared" si="66"/>
        <v>0.90209459459459451</v>
      </c>
      <c r="G1442" s="21" t="str">
        <f>IFERROR(INDEX(Users!$A$2:$A$310,MATCH(A1442,Users!$B$2:$B$310,0)),"")</f>
        <v>Service A</v>
      </c>
      <c r="H1442" s="21" t="str">
        <f>IFERROR(INDEX(Users!$D$2:$D$310,MATCH(A1442,Users!$B$2:$B$310,0)),"")</f>
        <v>Band 3</v>
      </c>
      <c r="I1442" s="19" t="b">
        <f t="shared" si="67"/>
        <v>1</v>
      </c>
      <c r="J1442" s="33" t="str">
        <f t="shared" si="68"/>
        <v/>
      </c>
    </row>
    <row r="1443" spans="1:10">
      <c r="A1443" s="19" t="s">
        <v>229</v>
      </c>
      <c r="B1443" s="20">
        <v>45992</v>
      </c>
      <c r="C1443" s="21">
        <v>155.4</v>
      </c>
      <c r="D1443" s="21">
        <v>132.82666666666668</v>
      </c>
      <c r="E1443" s="21">
        <v>90.160000000000011</v>
      </c>
      <c r="F1443" s="27">
        <f t="shared" si="66"/>
        <v>0.85474045474045479</v>
      </c>
      <c r="G1443" s="21" t="str">
        <f>IFERROR(INDEX(Users!$A$2:$A$310,MATCH(A1443,Users!$B$2:$B$310,0)),"")</f>
        <v>Service A</v>
      </c>
      <c r="H1443" s="21" t="str">
        <f>IFERROR(INDEX(Users!$D$2:$D$310,MATCH(A1443,Users!$B$2:$B$310,0)),"")</f>
        <v>Band 3</v>
      </c>
      <c r="I1443" s="19" t="b">
        <f t="shared" si="67"/>
        <v>1</v>
      </c>
      <c r="J1443" s="33" t="str">
        <f t="shared" si="68"/>
        <v/>
      </c>
    </row>
    <row r="1444" spans="1:10">
      <c r="A1444" s="19" t="s">
        <v>229</v>
      </c>
      <c r="B1444" s="20">
        <v>46023</v>
      </c>
      <c r="C1444" s="21">
        <v>155.4</v>
      </c>
      <c r="D1444" s="21">
        <v>146.13</v>
      </c>
      <c r="E1444" s="21">
        <v>99.88000000000001</v>
      </c>
      <c r="F1444" s="27">
        <f t="shared" si="66"/>
        <v>0.94034749034749032</v>
      </c>
      <c r="G1444" s="21" t="str">
        <f>IFERROR(INDEX(Users!$A$2:$A$310,MATCH(A1444,Users!$B$2:$B$310,0)),"")</f>
        <v>Service A</v>
      </c>
      <c r="H1444" s="21" t="str">
        <f>IFERROR(INDEX(Users!$D$2:$D$310,MATCH(A1444,Users!$B$2:$B$310,0)),"")</f>
        <v>Band 3</v>
      </c>
      <c r="I1444" s="19" t="b">
        <f t="shared" si="67"/>
        <v>1</v>
      </c>
      <c r="J1444" s="33" t="str">
        <f t="shared" si="68"/>
        <v/>
      </c>
    </row>
    <row r="1445" spans="1:10">
      <c r="A1445" s="19" t="s">
        <v>230</v>
      </c>
      <c r="B1445" s="20">
        <v>45658</v>
      </c>
      <c r="C1445" s="21">
        <v>162.80000000000001</v>
      </c>
      <c r="D1445" s="21">
        <v>56.763333333333328</v>
      </c>
      <c r="E1445" s="21">
        <v>5.78</v>
      </c>
      <c r="F1445" s="27">
        <f t="shared" si="66"/>
        <v>0.34866912366912362</v>
      </c>
      <c r="G1445" s="21" t="str">
        <f>IFERROR(INDEX(Users!$A$2:$A$310,MATCH(A1445,Users!$B$2:$B$310,0)),"")</f>
        <v>Service B</v>
      </c>
      <c r="H1445" s="21" t="str">
        <f>IFERROR(INDEX(Users!$D$2:$D$310,MATCH(A1445,Users!$B$2:$B$310,0)),"")</f>
        <v>Band 3</v>
      </c>
      <c r="I1445" s="19" t="b">
        <f t="shared" si="67"/>
        <v>0</v>
      </c>
      <c r="J1445" s="33">
        <f t="shared" si="68"/>
        <v>0.34866912366912362</v>
      </c>
    </row>
    <row r="1446" spans="1:10">
      <c r="A1446" s="19" t="s">
        <v>230</v>
      </c>
      <c r="B1446" s="20">
        <v>45689</v>
      </c>
      <c r="C1446" s="21">
        <v>148</v>
      </c>
      <c r="D1446" s="21">
        <v>72.493333333333325</v>
      </c>
      <c r="E1446" s="21">
        <v>13.709999999999999</v>
      </c>
      <c r="F1446" s="27">
        <f t="shared" si="66"/>
        <v>0.48981981981981976</v>
      </c>
      <c r="G1446" s="21" t="str">
        <f>IFERROR(INDEX(Users!$A$2:$A$310,MATCH(A1446,Users!$B$2:$B$310,0)),"")</f>
        <v>Service B</v>
      </c>
      <c r="H1446" s="21" t="str">
        <f>IFERROR(INDEX(Users!$D$2:$D$310,MATCH(A1446,Users!$B$2:$B$310,0)),"")</f>
        <v>Band 3</v>
      </c>
      <c r="I1446" s="19" t="b">
        <f t="shared" si="67"/>
        <v>0</v>
      </c>
      <c r="J1446" s="33">
        <f t="shared" si="68"/>
        <v>0.48981981981981976</v>
      </c>
    </row>
    <row r="1447" spans="1:10">
      <c r="A1447" s="19" t="s">
        <v>230</v>
      </c>
      <c r="B1447" s="20">
        <v>45717</v>
      </c>
      <c r="C1447" s="21">
        <v>155.4</v>
      </c>
      <c r="D1447" s="21">
        <v>48.256666666666668</v>
      </c>
      <c r="E1447" s="21">
        <v>12.690000000000003</v>
      </c>
      <c r="F1447" s="27">
        <f t="shared" si="66"/>
        <v>0.31053196053196053</v>
      </c>
      <c r="G1447" s="21" t="str">
        <f>IFERROR(INDEX(Users!$A$2:$A$310,MATCH(A1447,Users!$B$2:$B$310,0)),"")</f>
        <v>Service B</v>
      </c>
      <c r="H1447" s="21" t="str">
        <f>IFERROR(INDEX(Users!$D$2:$D$310,MATCH(A1447,Users!$B$2:$B$310,0)),"")</f>
        <v>Band 3</v>
      </c>
      <c r="I1447" s="19" t="b">
        <f t="shared" si="67"/>
        <v>0</v>
      </c>
      <c r="J1447" s="33">
        <f t="shared" si="68"/>
        <v>0.31053196053196053</v>
      </c>
    </row>
    <row r="1448" spans="1:10">
      <c r="A1448" s="19" t="s">
        <v>230</v>
      </c>
      <c r="B1448" s="20">
        <v>45748</v>
      </c>
      <c r="C1448" s="21">
        <v>148</v>
      </c>
      <c r="D1448" s="21">
        <v>38.520000000000003</v>
      </c>
      <c r="E1448" s="21">
        <v>26.720000000000002</v>
      </c>
      <c r="F1448" s="27">
        <f t="shared" si="66"/>
        <v>0.26027027027027028</v>
      </c>
      <c r="G1448" s="21" t="str">
        <f>IFERROR(INDEX(Users!$A$2:$A$310,MATCH(A1448,Users!$B$2:$B$310,0)),"")</f>
        <v>Service B</v>
      </c>
      <c r="H1448" s="21" t="str">
        <f>IFERROR(INDEX(Users!$D$2:$D$310,MATCH(A1448,Users!$B$2:$B$310,0)),"")</f>
        <v>Band 3</v>
      </c>
      <c r="I1448" s="19" t="b">
        <f t="shared" si="67"/>
        <v>0</v>
      </c>
      <c r="J1448" s="33">
        <f t="shared" si="68"/>
        <v>0.26027027027027028</v>
      </c>
    </row>
    <row r="1449" spans="1:10">
      <c r="A1449" s="19" t="s">
        <v>230</v>
      </c>
      <c r="B1449" s="20">
        <v>45778</v>
      </c>
      <c r="C1449" s="21">
        <v>148</v>
      </c>
      <c r="D1449" s="21">
        <v>38.199999999999996</v>
      </c>
      <c r="E1449" s="21">
        <v>18.599999999999998</v>
      </c>
      <c r="F1449" s="27">
        <f t="shared" si="66"/>
        <v>0.25810810810810808</v>
      </c>
      <c r="G1449" s="21" t="str">
        <f>IFERROR(INDEX(Users!$A$2:$A$310,MATCH(A1449,Users!$B$2:$B$310,0)),"")</f>
        <v>Service B</v>
      </c>
      <c r="H1449" s="21" t="str">
        <f>IFERROR(INDEX(Users!$D$2:$D$310,MATCH(A1449,Users!$B$2:$B$310,0)),"")</f>
        <v>Band 3</v>
      </c>
      <c r="I1449" s="19" t="b">
        <f t="shared" si="67"/>
        <v>0</v>
      </c>
      <c r="J1449" s="33">
        <f t="shared" si="68"/>
        <v>0.25810810810810808</v>
      </c>
    </row>
    <row r="1450" spans="1:10">
      <c r="A1450" s="19" t="s">
        <v>230</v>
      </c>
      <c r="B1450" s="20">
        <v>45809</v>
      </c>
      <c r="C1450" s="21">
        <v>155.4</v>
      </c>
      <c r="D1450" s="21">
        <v>83.953333333333319</v>
      </c>
      <c r="E1450" s="21">
        <v>43.019999999999996</v>
      </c>
      <c r="F1450" s="27">
        <f t="shared" si="66"/>
        <v>0.54024024024024009</v>
      </c>
      <c r="G1450" s="21" t="str">
        <f>IFERROR(INDEX(Users!$A$2:$A$310,MATCH(A1450,Users!$B$2:$B$310,0)),"")</f>
        <v>Service B</v>
      </c>
      <c r="H1450" s="21" t="str">
        <f>IFERROR(INDEX(Users!$D$2:$D$310,MATCH(A1450,Users!$B$2:$B$310,0)),"")</f>
        <v>Band 3</v>
      </c>
      <c r="I1450" s="19" t="b">
        <f t="shared" si="67"/>
        <v>0</v>
      </c>
      <c r="J1450" s="33">
        <f t="shared" si="68"/>
        <v>0.54024024024024009</v>
      </c>
    </row>
    <row r="1451" spans="1:10">
      <c r="A1451" s="19" t="s">
        <v>230</v>
      </c>
      <c r="B1451" s="20">
        <v>45839</v>
      </c>
      <c r="C1451" s="21">
        <v>170.20000000000002</v>
      </c>
      <c r="D1451" s="21">
        <v>111.32</v>
      </c>
      <c r="E1451" s="21">
        <v>63.169999999999987</v>
      </c>
      <c r="F1451" s="27">
        <f t="shared" si="66"/>
        <v>0.65405405405405392</v>
      </c>
      <c r="G1451" s="21" t="str">
        <f>IFERROR(INDEX(Users!$A$2:$A$310,MATCH(A1451,Users!$B$2:$B$310,0)),"")</f>
        <v>Service B</v>
      </c>
      <c r="H1451" s="21" t="str">
        <f>IFERROR(INDEX(Users!$D$2:$D$310,MATCH(A1451,Users!$B$2:$B$310,0)),"")</f>
        <v>Band 3</v>
      </c>
      <c r="I1451" s="19" t="b">
        <f t="shared" si="67"/>
        <v>0</v>
      </c>
      <c r="J1451" s="33">
        <f t="shared" si="68"/>
        <v>0.65405405405405392</v>
      </c>
    </row>
    <row r="1452" spans="1:10">
      <c r="A1452" s="19" t="s">
        <v>230</v>
      </c>
      <c r="B1452" s="20">
        <v>45870</v>
      </c>
      <c r="C1452" s="21">
        <v>148</v>
      </c>
      <c r="D1452" s="21">
        <v>123.51333333333332</v>
      </c>
      <c r="E1452" s="21">
        <v>76.879999999999981</v>
      </c>
      <c r="F1452" s="27">
        <f t="shared" si="66"/>
        <v>0.83454954954954952</v>
      </c>
      <c r="G1452" s="21" t="str">
        <f>IFERROR(INDEX(Users!$A$2:$A$310,MATCH(A1452,Users!$B$2:$B$310,0)),"")</f>
        <v>Service B</v>
      </c>
      <c r="H1452" s="21" t="str">
        <f>IFERROR(INDEX(Users!$D$2:$D$310,MATCH(A1452,Users!$B$2:$B$310,0)),"")</f>
        <v>Band 3</v>
      </c>
      <c r="I1452" s="19" t="b">
        <f t="shared" si="67"/>
        <v>0</v>
      </c>
      <c r="J1452" s="33">
        <f t="shared" si="68"/>
        <v>0.83454954954954952</v>
      </c>
    </row>
    <row r="1453" spans="1:10">
      <c r="A1453" s="19" t="s">
        <v>230</v>
      </c>
      <c r="B1453" s="20">
        <v>45901</v>
      </c>
      <c r="C1453" s="21">
        <v>162.80000000000001</v>
      </c>
      <c r="D1453" s="21">
        <v>77.493333333333339</v>
      </c>
      <c r="E1453" s="21">
        <v>47.86</v>
      </c>
      <c r="F1453" s="27">
        <f t="shared" si="66"/>
        <v>0.47600327600327602</v>
      </c>
      <c r="G1453" s="21" t="str">
        <f>IFERROR(INDEX(Users!$A$2:$A$310,MATCH(A1453,Users!$B$2:$B$310,0)),"")</f>
        <v>Service B</v>
      </c>
      <c r="H1453" s="21" t="str">
        <f>IFERROR(INDEX(Users!$D$2:$D$310,MATCH(A1453,Users!$B$2:$B$310,0)),"")</f>
        <v>Band 3</v>
      </c>
      <c r="I1453" s="19" t="b">
        <f t="shared" si="67"/>
        <v>0</v>
      </c>
      <c r="J1453" s="33">
        <f t="shared" si="68"/>
        <v>0.47600327600327602</v>
      </c>
    </row>
    <row r="1454" spans="1:10">
      <c r="A1454" s="19" t="s">
        <v>230</v>
      </c>
      <c r="B1454" s="20">
        <v>45931</v>
      </c>
      <c r="C1454" s="21">
        <v>170.20000000000002</v>
      </c>
      <c r="D1454" s="21"/>
      <c r="E1454" s="21"/>
      <c r="F1454" s="27" t="str">
        <f t="shared" si="66"/>
        <v/>
      </c>
      <c r="G1454" s="21" t="str">
        <f>IFERROR(INDEX(Users!$A$2:$A$310,MATCH(A1454,Users!$B$2:$B$310,0)),"")</f>
        <v>Service B</v>
      </c>
      <c r="H1454" s="21" t="str">
        <f>IFERROR(INDEX(Users!$D$2:$D$310,MATCH(A1454,Users!$B$2:$B$310,0)),"")</f>
        <v>Band 3</v>
      </c>
      <c r="I1454" s="19" t="b">
        <f t="shared" si="67"/>
        <v>0</v>
      </c>
      <c r="J1454" s="33" t="str">
        <f t="shared" si="68"/>
        <v/>
      </c>
    </row>
    <row r="1455" spans="1:10">
      <c r="A1455" s="19" t="s">
        <v>230</v>
      </c>
      <c r="B1455" s="20">
        <v>45962</v>
      </c>
      <c r="C1455" s="21">
        <v>148</v>
      </c>
      <c r="D1455" s="21"/>
      <c r="E1455" s="21"/>
      <c r="F1455" s="27" t="str">
        <f t="shared" si="66"/>
        <v/>
      </c>
      <c r="G1455" s="21" t="str">
        <f>IFERROR(INDEX(Users!$A$2:$A$310,MATCH(A1455,Users!$B$2:$B$310,0)),"")</f>
        <v>Service B</v>
      </c>
      <c r="H1455" s="21" t="str">
        <f>IFERROR(INDEX(Users!$D$2:$D$310,MATCH(A1455,Users!$B$2:$B$310,0)),"")</f>
        <v>Band 3</v>
      </c>
      <c r="I1455" s="19" t="b">
        <f t="shared" si="67"/>
        <v>0</v>
      </c>
      <c r="J1455" s="33" t="str">
        <f t="shared" si="68"/>
        <v/>
      </c>
    </row>
    <row r="1456" spans="1:10">
      <c r="A1456" s="19" t="s">
        <v>230</v>
      </c>
      <c r="B1456" s="20">
        <v>45992</v>
      </c>
      <c r="C1456" s="21">
        <v>155.4</v>
      </c>
      <c r="D1456" s="21">
        <v>4</v>
      </c>
      <c r="E1456" s="21">
        <v>4</v>
      </c>
      <c r="F1456" s="27">
        <f t="shared" si="66"/>
        <v>2.5740025740025738E-2</v>
      </c>
      <c r="G1456" s="21" t="str">
        <f>IFERROR(INDEX(Users!$A$2:$A$310,MATCH(A1456,Users!$B$2:$B$310,0)),"")</f>
        <v>Service B</v>
      </c>
      <c r="H1456" s="21" t="str">
        <f>IFERROR(INDEX(Users!$D$2:$D$310,MATCH(A1456,Users!$B$2:$B$310,0)),"")</f>
        <v>Band 3</v>
      </c>
      <c r="I1456" s="19" t="b">
        <f t="shared" si="67"/>
        <v>0</v>
      </c>
      <c r="J1456" s="33">
        <f t="shared" si="68"/>
        <v>2.5740025740025738E-2</v>
      </c>
    </row>
    <row r="1457" spans="1:10">
      <c r="A1457" s="19" t="s">
        <v>230</v>
      </c>
      <c r="B1457" s="20">
        <v>46023</v>
      </c>
      <c r="C1457" s="21">
        <v>155.4</v>
      </c>
      <c r="D1457" s="21">
        <v>11</v>
      </c>
      <c r="E1457" s="21">
        <v>11</v>
      </c>
      <c r="F1457" s="27">
        <f t="shared" si="66"/>
        <v>7.0785070785070778E-2</v>
      </c>
      <c r="G1457" s="21" t="str">
        <f>IFERROR(INDEX(Users!$A$2:$A$310,MATCH(A1457,Users!$B$2:$B$310,0)),"")</f>
        <v>Service B</v>
      </c>
      <c r="H1457" s="21" t="str">
        <f>IFERROR(INDEX(Users!$D$2:$D$310,MATCH(A1457,Users!$B$2:$B$310,0)),"")</f>
        <v>Band 3</v>
      </c>
      <c r="I1457" s="19" t="b">
        <f t="shared" si="67"/>
        <v>0</v>
      </c>
      <c r="J1457" s="33" t="str">
        <f t="shared" si="68"/>
        <v/>
      </c>
    </row>
    <row r="1458" spans="1:10">
      <c r="A1458" s="19" t="s">
        <v>233</v>
      </c>
      <c r="B1458" s="20">
        <v>45689</v>
      </c>
      <c r="C1458" s="21">
        <v>37</v>
      </c>
      <c r="D1458" s="21">
        <v>21.09</v>
      </c>
      <c r="E1458" s="21">
        <v>5.59</v>
      </c>
      <c r="F1458" s="27">
        <f t="shared" si="66"/>
        <v>0.56999999999999995</v>
      </c>
      <c r="G1458" s="21" t="str">
        <f>IFERROR(INDEX(Users!$A$2:$A$310,MATCH(A1458,Users!$B$2:$B$310,0)),"")</f>
        <v>Service B</v>
      </c>
      <c r="H1458" s="21" t="str">
        <f>IFERROR(INDEX(Users!$D$2:$D$310,MATCH(A1458,Users!$B$2:$B$310,0)),"")</f>
        <v>Band 5</v>
      </c>
      <c r="I1458" s="19" t="b">
        <f t="shared" si="67"/>
        <v>0</v>
      </c>
      <c r="J1458" s="33">
        <f t="shared" si="68"/>
        <v>0.56999999999999995</v>
      </c>
    </row>
    <row r="1459" spans="1:10">
      <c r="A1459" s="19" t="s">
        <v>233</v>
      </c>
      <c r="B1459" s="20">
        <v>45717</v>
      </c>
      <c r="C1459" s="21">
        <v>155.4</v>
      </c>
      <c r="D1459" s="21">
        <v>119.59000000000002</v>
      </c>
      <c r="E1459" s="21">
        <v>50.840000000000018</v>
      </c>
      <c r="F1459" s="27">
        <f t="shared" si="66"/>
        <v>0.76956241956241966</v>
      </c>
      <c r="G1459" s="21" t="str">
        <f>IFERROR(INDEX(Users!$A$2:$A$310,MATCH(A1459,Users!$B$2:$B$310,0)),"")</f>
        <v>Service B</v>
      </c>
      <c r="H1459" s="21" t="str">
        <f>IFERROR(INDEX(Users!$D$2:$D$310,MATCH(A1459,Users!$B$2:$B$310,0)),"")</f>
        <v>Band 5</v>
      </c>
      <c r="I1459" s="19" t="b">
        <f t="shared" si="67"/>
        <v>0</v>
      </c>
      <c r="J1459" s="33">
        <f t="shared" si="68"/>
        <v>0.76956241956241966</v>
      </c>
    </row>
    <row r="1460" spans="1:10">
      <c r="A1460" s="19" t="s">
        <v>233</v>
      </c>
      <c r="B1460" s="20">
        <v>45748</v>
      </c>
      <c r="C1460" s="21">
        <v>148</v>
      </c>
      <c r="D1460" s="21">
        <v>128.48666666666671</v>
      </c>
      <c r="E1460" s="21">
        <v>63.820000000000043</v>
      </c>
      <c r="F1460" s="27">
        <f t="shared" si="66"/>
        <v>0.86815315315315345</v>
      </c>
      <c r="G1460" s="21" t="str">
        <f>IFERROR(INDEX(Users!$A$2:$A$310,MATCH(A1460,Users!$B$2:$B$310,0)),"")</f>
        <v>Service B</v>
      </c>
      <c r="H1460" s="21" t="str">
        <f>IFERROR(INDEX(Users!$D$2:$D$310,MATCH(A1460,Users!$B$2:$B$310,0)),"")</f>
        <v>Band 5</v>
      </c>
      <c r="I1460" s="19" t="b">
        <f t="shared" si="67"/>
        <v>0</v>
      </c>
      <c r="J1460" s="33">
        <f t="shared" si="68"/>
        <v>0.86815315315315345</v>
      </c>
    </row>
    <row r="1461" spans="1:10">
      <c r="A1461" s="19" t="s">
        <v>233</v>
      </c>
      <c r="B1461" s="20">
        <v>45778</v>
      </c>
      <c r="C1461" s="21">
        <v>148</v>
      </c>
      <c r="D1461" s="21">
        <v>71.410000000000011</v>
      </c>
      <c r="E1461" s="21">
        <v>38.160000000000011</v>
      </c>
      <c r="F1461" s="27">
        <f t="shared" si="66"/>
        <v>0.4825000000000001</v>
      </c>
      <c r="G1461" s="21" t="str">
        <f>IFERROR(INDEX(Users!$A$2:$A$310,MATCH(A1461,Users!$B$2:$B$310,0)),"")</f>
        <v>Service B</v>
      </c>
      <c r="H1461" s="21" t="str">
        <f>IFERROR(INDEX(Users!$D$2:$D$310,MATCH(A1461,Users!$B$2:$B$310,0)),"")</f>
        <v>Band 5</v>
      </c>
      <c r="I1461" s="19" t="b">
        <f t="shared" si="67"/>
        <v>0</v>
      </c>
      <c r="J1461" s="33">
        <f t="shared" si="68"/>
        <v>0.4825000000000001</v>
      </c>
    </row>
    <row r="1462" spans="1:10">
      <c r="A1462" s="19" t="s">
        <v>233</v>
      </c>
      <c r="B1462" s="20">
        <v>45809</v>
      </c>
      <c r="C1462" s="21">
        <v>155.4</v>
      </c>
      <c r="D1462" s="21">
        <v>77.140000000000029</v>
      </c>
      <c r="E1462" s="21">
        <v>38.99000000000003</v>
      </c>
      <c r="F1462" s="27">
        <f t="shared" si="66"/>
        <v>0.49639639639639654</v>
      </c>
      <c r="G1462" s="21" t="str">
        <f>IFERROR(INDEX(Users!$A$2:$A$310,MATCH(A1462,Users!$B$2:$B$310,0)),"")</f>
        <v>Service B</v>
      </c>
      <c r="H1462" s="21" t="str">
        <f>IFERROR(INDEX(Users!$D$2:$D$310,MATCH(A1462,Users!$B$2:$B$310,0)),"")</f>
        <v>Band 5</v>
      </c>
      <c r="I1462" s="19" t="b">
        <f t="shared" si="67"/>
        <v>0</v>
      </c>
      <c r="J1462" s="33">
        <f t="shared" si="68"/>
        <v>0.49639639639639654</v>
      </c>
    </row>
    <row r="1463" spans="1:10">
      <c r="A1463" s="19" t="s">
        <v>233</v>
      </c>
      <c r="B1463" s="20">
        <v>45839</v>
      </c>
      <c r="C1463" s="21">
        <v>170.20000000000002</v>
      </c>
      <c r="D1463" s="21">
        <v>152.63</v>
      </c>
      <c r="E1463" s="21">
        <v>94.88</v>
      </c>
      <c r="F1463" s="27">
        <f t="shared" si="66"/>
        <v>0.8967685076380727</v>
      </c>
      <c r="G1463" s="21" t="str">
        <f>IFERROR(INDEX(Users!$A$2:$A$310,MATCH(A1463,Users!$B$2:$B$310,0)),"")</f>
        <v>Service B</v>
      </c>
      <c r="H1463" s="21" t="str">
        <f>IFERROR(INDEX(Users!$D$2:$D$310,MATCH(A1463,Users!$B$2:$B$310,0)),"")</f>
        <v>Band 5</v>
      </c>
      <c r="I1463" s="19" t="b">
        <f t="shared" si="67"/>
        <v>0</v>
      </c>
      <c r="J1463" s="33">
        <f t="shared" si="68"/>
        <v>0.8967685076380727</v>
      </c>
    </row>
    <row r="1464" spans="1:10">
      <c r="A1464" s="19" t="s">
        <v>233</v>
      </c>
      <c r="B1464" s="20">
        <v>45870</v>
      </c>
      <c r="C1464" s="21">
        <v>148</v>
      </c>
      <c r="D1464" s="21">
        <v>133.54000000000002</v>
      </c>
      <c r="E1464" s="21">
        <v>82.29</v>
      </c>
      <c r="F1464" s="27">
        <f t="shared" si="66"/>
        <v>0.90229729729729746</v>
      </c>
      <c r="G1464" s="21" t="str">
        <f>IFERROR(INDEX(Users!$A$2:$A$310,MATCH(A1464,Users!$B$2:$B$310,0)),"")</f>
        <v>Service B</v>
      </c>
      <c r="H1464" s="21" t="str">
        <f>IFERROR(INDEX(Users!$D$2:$D$310,MATCH(A1464,Users!$B$2:$B$310,0)),"")</f>
        <v>Band 5</v>
      </c>
      <c r="I1464" s="19" t="b">
        <f t="shared" si="67"/>
        <v>0</v>
      </c>
      <c r="J1464" s="33">
        <f t="shared" si="68"/>
        <v>0.90229729729729746</v>
      </c>
    </row>
    <row r="1465" spans="1:10">
      <c r="A1465" s="19" t="s">
        <v>233</v>
      </c>
      <c r="B1465" s="20">
        <v>45901</v>
      </c>
      <c r="C1465" s="21">
        <v>162.80000000000001</v>
      </c>
      <c r="D1465" s="21">
        <v>94.320000000000007</v>
      </c>
      <c r="E1465" s="21">
        <v>48.420000000000009</v>
      </c>
      <c r="F1465" s="27">
        <f t="shared" si="66"/>
        <v>0.57936117936117937</v>
      </c>
      <c r="G1465" s="21" t="str">
        <f>IFERROR(INDEX(Users!$A$2:$A$310,MATCH(A1465,Users!$B$2:$B$310,0)),"")</f>
        <v>Service B</v>
      </c>
      <c r="H1465" s="21" t="str">
        <f>IFERROR(INDEX(Users!$D$2:$D$310,MATCH(A1465,Users!$B$2:$B$310,0)),"")</f>
        <v>Band 5</v>
      </c>
      <c r="I1465" s="19" t="b">
        <f t="shared" si="67"/>
        <v>0</v>
      </c>
      <c r="J1465" s="33">
        <f t="shared" si="68"/>
        <v>0.57936117936117937</v>
      </c>
    </row>
    <row r="1466" spans="1:10">
      <c r="A1466" s="19" t="s">
        <v>233</v>
      </c>
      <c r="B1466" s="20">
        <v>45931</v>
      </c>
      <c r="C1466" s="21">
        <v>170.20000000000002</v>
      </c>
      <c r="D1466" s="21">
        <v>163.91333333333336</v>
      </c>
      <c r="E1466" s="21">
        <v>77.330000000000013</v>
      </c>
      <c r="F1466" s="27">
        <f t="shared" si="66"/>
        <v>0.96306306306306311</v>
      </c>
      <c r="G1466" s="21" t="str">
        <f>IFERROR(INDEX(Users!$A$2:$A$310,MATCH(A1466,Users!$B$2:$B$310,0)),"")</f>
        <v>Service B</v>
      </c>
      <c r="H1466" s="21" t="str">
        <f>IFERROR(INDEX(Users!$D$2:$D$310,MATCH(A1466,Users!$B$2:$B$310,0)),"")</f>
        <v>Band 5</v>
      </c>
      <c r="I1466" s="19" t="b">
        <f t="shared" si="67"/>
        <v>0</v>
      </c>
      <c r="J1466" s="33">
        <f t="shared" si="68"/>
        <v>0.96306306306306311</v>
      </c>
    </row>
    <row r="1467" spans="1:10">
      <c r="A1467" s="19" t="s">
        <v>233</v>
      </c>
      <c r="B1467" s="20">
        <v>45962</v>
      </c>
      <c r="C1467" s="21">
        <v>148</v>
      </c>
      <c r="D1467" s="21">
        <v>138.01999999999998</v>
      </c>
      <c r="E1467" s="21">
        <v>85.719999999999985</v>
      </c>
      <c r="F1467" s="27">
        <f t="shared" si="66"/>
        <v>0.93256756756756742</v>
      </c>
      <c r="G1467" s="21" t="str">
        <f>IFERROR(INDEX(Users!$A$2:$A$310,MATCH(A1467,Users!$B$2:$B$310,0)),"")</f>
        <v>Service B</v>
      </c>
      <c r="H1467" s="21" t="str">
        <f>IFERROR(INDEX(Users!$D$2:$D$310,MATCH(A1467,Users!$B$2:$B$310,0)),"")</f>
        <v>Band 5</v>
      </c>
      <c r="I1467" s="19" t="b">
        <f t="shared" si="67"/>
        <v>0</v>
      </c>
      <c r="J1467" s="33">
        <f t="shared" si="68"/>
        <v>0.93256756756756742</v>
      </c>
    </row>
    <row r="1468" spans="1:10">
      <c r="A1468" s="19" t="s">
        <v>233</v>
      </c>
      <c r="B1468" s="20">
        <v>45992</v>
      </c>
      <c r="C1468" s="21">
        <v>155.4</v>
      </c>
      <c r="D1468" s="21">
        <v>137.14999999999998</v>
      </c>
      <c r="E1468" s="21">
        <v>79.999999999999972</v>
      </c>
      <c r="F1468" s="27">
        <f t="shared" si="66"/>
        <v>0.88256113256113233</v>
      </c>
      <c r="G1468" s="21" t="str">
        <f>IFERROR(INDEX(Users!$A$2:$A$310,MATCH(A1468,Users!$B$2:$B$310,0)),"")</f>
        <v>Service B</v>
      </c>
      <c r="H1468" s="21" t="str">
        <f>IFERROR(INDEX(Users!$D$2:$D$310,MATCH(A1468,Users!$B$2:$B$310,0)),"")</f>
        <v>Band 5</v>
      </c>
      <c r="I1468" s="19" t="b">
        <f t="shared" si="67"/>
        <v>0</v>
      </c>
      <c r="J1468" s="33">
        <f t="shared" si="68"/>
        <v>0.88256113256113233</v>
      </c>
    </row>
    <row r="1469" spans="1:10">
      <c r="A1469" s="19" t="s">
        <v>233</v>
      </c>
      <c r="B1469" s="20">
        <v>46023</v>
      </c>
      <c r="C1469" s="21">
        <v>155.4</v>
      </c>
      <c r="D1469" s="21">
        <v>145.54</v>
      </c>
      <c r="E1469" s="21">
        <v>86.539999999999992</v>
      </c>
      <c r="F1469" s="27">
        <f t="shared" si="66"/>
        <v>0.93655083655083649</v>
      </c>
      <c r="G1469" s="21" t="str">
        <f>IFERROR(INDEX(Users!$A$2:$A$310,MATCH(A1469,Users!$B$2:$B$310,0)),"")</f>
        <v>Service B</v>
      </c>
      <c r="H1469" s="21" t="str">
        <f>IFERROR(INDEX(Users!$D$2:$D$310,MATCH(A1469,Users!$B$2:$B$310,0)),"")</f>
        <v>Band 5</v>
      </c>
      <c r="I1469" s="19" t="b">
        <f t="shared" si="67"/>
        <v>0</v>
      </c>
      <c r="J1469" s="33" t="str">
        <f t="shared" si="68"/>
        <v/>
      </c>
    </row>
    <row r="1470" spans="1:10">
      <c r="A1470" s="19" t="s">
        <v>234</v>
      </c>
      <c r="B1470" s="20">
        <v>45658</v>
      </c>
      <c r="C1470" s="21">
        <v>162.80000000000001</v>
      </c>
      <c r="D1470" s="21">
        <v>152.31</v>
      </c>
      <c r="E1470" s="21">
        <v>93.809999999999988</v>
      </c>
      <c r="F1470" s="27">
        <f t="shared" si="66"/>
        <v>0.93556511056511049</v>
      </c>
      <c r="G1470" s="21" t="str">
        <f>IFERROR(INDEX(Users!$A$2:$A$310,MATCH(A1470,Users!$B$2:$B$310,0)),"")</f>
        <v>Service A</v>
      </c>
      <c r="H1470" s="21" t="str">
        <f>IFERROR(INDEX(Users!$D$2:$D$310,MATCH(A1470,Users!$B$2:$B$310,0)),"")</f>
        <v>Band 5</v>
      </c>
      <c r="I1470" s="19" t="b">
        <f t="shared" si="67"/>
        <v>0</v>
      </c>
      <c r="J1470" s="33" t="str">
        <f t="shared" si="68"/>
        <v/>
      </c>
    </row>
    <row r="1471" spans="1:10">
      <c r="A1471" s="19" t="s">
        <v>234</v>
      </c>
      <c r="B1471" s="20">
        <v>45689</v>
      </c>
      <c r="C1471" s="21">
        <v>111</v>
      </c>
      <c r="D1471" s="21">
        <v>99.67</v>
      </c>
      <c r="E1471" s="21">
        <v>20.170000000000002</v>
      </c>
      <c r="F1471" s="27">
        <f t="shared" si="66"/>
        <v>0.89792792792792797</v>
      </c>
      <c r="G1471" s="21" t="str">
        <f>IFERROR(INDEX(Users!$A$2:$A$310,MATCH(A1471,Users!$B$2:$B$310,0)),"")</f>
        <v>Service A</v>
      </c>
      <c r="H1471" s="21" t="str">
        <f>IFERROR(INDEX(Users!$D$2:$D$310,MATCH(A1471,Users!$B$2:$B$310,0)),"")</f>
        <v>Band 5</v>
      </c>
      <c r="I1471" s="19" t="b">
        <f t="shared" si="67"/>
        <v>0</v>
      </c>
      <c r="J1471" s="33" t="str">
        <f t="shared" si="68"/>
        <v/>
      </c>
    </row>
    <row r="1472" spans="1:10">
      <c r="A1472" s="19" t="s">
        <v>236</v>
      </c>
      <c r="B1472" s="20">
        <v>45658</v>
      </c>
      <c r="C1472" s="21">
        <v>162.80000000000001</v>
      </c>
      <c r="D1472" s="21">
        <v>165</v>
      </c>
      <c r="E1472" s="21">
        <v>91</v>
      </c>
      <c r="F1472" s="27">
        <f t="shared" si="66"/>
        <v>1.0135135135135134</v>
      </c>
      <c r="G1472" s="21" t="str">
        <f>IFERROR(INDEX(Users!$A$2:$A$310,MATCH(A1472,Users!$B$2:$B$310,0)),"")</f>
        <v>Service D</v>
      </c>
      <c r="H1472" s="21" t="str">
        <f>IFERROR(INDEX(Users!$D$2:$D$310,MATCH(A1472,Users!$B$2:$B$310,0)),"")</f>
        <v>Band 3</v>
      </c>
      <c r="I1472" s="19" t="b">
        <f t="shared" si="67"/>
        <v>0</v>
      </c>
      <c r="J1472" s="33" t="str">
        <f t="shared" si="68"/>
        <v/>
      </c>
    </row>
    <row r="1473" spans="1:10">
      <c r="A1473" s="19" t="s">
        <v>236</v>
      </c>
      <c r="B1473" s="20">
        <v>45689</v>
      </c>
      <c r="C1473" s="21">
        <v>148</v>
      </c>
      <c r="D1473" s="21">
        <v>127.5</v>
      </c>
      <c r="E1473" s="21">
        <v>44.5</v>
      </c>
      <c r="F1473" s="27">
        <f t="shared" si="66"/>
        <v>0.86148648648648651</v>
      </c>
      <c r="G1473" s="21" t="str">
        <f>IFERROR(INDEX(Users!$A$2:$A$310,MATCH(A1473,Users!$B$2:$B$310,0)),"")</f>
        <v>Service D</v>
      </c>
      <c r="H1473" s="21" t="str">
        <f>IFERROR(INDEX(Users!$D$2:$D$310,MATCH(A1473,Users!$B$2:$B$310,0)),"")</f>
        <v>Band 3</v>
      </c>
      <c r="I1473" s="19" t="b">
        <f t="shared" si="67"/>
        <v>0</v>
      </c>
      <c r="J1473" s="33" t="str">
        <f t="shared" si="68"/>
        <v/>
      </c>
    </row>
    <row r="1474" spans="1:10">
      <c r="A1474" s="19" t="s">
        <v>236</v>
      </c>
      <c r="B1474" s="20">
        <v>45717</v>
      </c>
      <c r="C1474" s="21">
        <v>155.4</v>
      </c>
      <c r="D1474" s="21">
        <v>149.5</v>
      </c>
      <c r="E1474" s="21">
        <v>85</v>
      </c>
      <c r="F1474" s="27">
        <f t="shared" ref="F1474:F1537" si="69">IFERROR(IF(OR(C1474="",D1474="",C1474=0),"",D1474/C1474),"")</f>
        <v>0.96203346203346196</v>
      </c>
      <c r="G1474" s="21" t="str">
        <f>IFERROR(INDEX(Users!$A$2:$A$310,MATCH(A1474,Users!$B$2:$B$310,0)),"")</f>
        <v>Service D</v>
      </c>
      <c r="H1474" s="21" t="str">
        <f>IFERROR(INDEX(Users!$D$2:$D$310,MATCH(A1474,Users!$B$2:$B$310,0)),"")</f>
        <v>Band 3</v>
      </c>
      <c r="I1474" s="19" t="b">
        <f t="shared" ref="I1474:I1537" si="70">AND(G1474="Service A",H1474="Band 3")</f>
        <v>0</v>
      </c>
      <c r="J1474" s="33" t="str">
        <f t="shared" ref="J1474:J1537" si="71">IF(AND(B1474&gt;=DATE(2025,1,1),B1474&lt;DATE(2026,1,1),G1474="Service B",OR(H1474="Band 3",H1474="Band 5"),ISNUMBER(F1474)),F1474,"")</f>
        <v/>
      </c>
    </row>
    <row r="1475" spans="1:10">
      <c r="A1475" s="19" t="s">
        <v>236</v>
      </c>
      <c r="B1475" s="20">
        <v>45748</v>
      </c>
      <c r="C1475" s="21">
        <v>148</v>
      </c>
      <c r="D1475" s="21">
        <v>141.9</v>
      </c>
      <c r="E1475" s="21">
        <v>63.5</v>
      </c>
      <c r="F1475" s="27">
        <f t="shared" si="69"/>
        <v>0.95878378378378382</v>
      </c>
      <c r="G1475" s="21" t="str">
        <f>IFERROR(INDEX(Users!$A$2:$A$310,MATCH(A1475,Users!$B$2:$B$310,0)),"")</f>
        <v>Service D</v>
      </c>
      <c r="H1475" s="21" t="str">
        <f>IFERROR(INDEX(Users!$D$2:$D$310,MATCH(A1475,Users!$B$2:$B$310,0)),"")</f>
        <v>Band 3</v>
      </c>
      <c r="I1475" s="19" t="b">
        <f t="shared" si="70"/>
        <v>0</v>
      </c>
      <c r="J1475" s="33" t="str">
        <f t="shared" si="71"/>
        <v/>
      </c>
    </row>
    <row r="1476" spans="1:10">
      <c r="A1476" s="19" t="s">
        <v>236</v>
      </c>
      <c r="B1476" s="20">
        <v>45778</v>
      </c>
      <c r="C1476" s="21">
        <v>148</v>
      </c>
      <c r="D1476" s="21">
        <v>138</v>
      </c>
      <c r="E1476" s="21">
        <v>41.5</v>
      </c>
      <c r="F1476" s="27">
        <f t="shared" si="69"/>
        <v>0.93243243243243246</v>
      </c>
      <c r="G1476" s="21" t="str">
        <f>IFERROR(INDEX(Users!$A$2:$A$310,MATCH(A1476,Users!$B$2:$B$310,0)),"")</f>
        <v>Service D</v>
      </c>
      <c r="H1476" s="21" t="str">
        <f>IFERROR(INDEX(Users!$D$2:$D$310,MATCH(A1476,Users!$B$2:$B$310,0)),"")</f>
        <v>Band 3</v>
      </c>
      <c r="I1476" s="19" t="b">
        <f t="shared" si="70"/>
        <v>0</v>
      </c>
      <c r="J1476" s="33" t="str">
        <f t="shared" si="71"/>
        <v/>
      </c>
    </row>
    <row r="1477" spans="1:10">
      <c r="A1477" s="19" t="s">
        <v>236</v>
      </c>
      <c r="B1477" s="20">
        <v>45809</v>
      </c>
      <c r="C1477" s="21">
        <v>155.4</v>
      </c>
      <c r="D1477" s="21">
        <v>151</v>
      </c>
      <c r="E1477" s="21">
        <v>59.5</v>
      </c>
      <c r="F1477" s="27">
        <f t="shared" si="69"/>
        <v>0.97168597168597171</v>
      </c>
      <c r="G1477" s="21" t="str">
        <f>IFERROR(INDEX(Users!$A$2:$A$310,MATCH(A1477,Users!$B$2:$B$310,0)),"")</f>
        <v>Service D</v>
      </c>
      <c r="H1477" s="21" t="str">
        <f>IFERROR(INDEX(Users!$D$2:$D$310,MATCH(A1477,Users!$B$2:$B$310,0)),"")</f>
        <v>Band 3</v>
      </c>
      <c r="I1477" s="19" t="b">
        <f t="shared" si="70"/>
        <v>0</v>
      </c>
      <c r="J1477" s="33" t="str">
        <f t="shared" si="71"/>
        <v/>
      </c>
    </row>
    <row r="1478" spans="1:10">
      <c r="A1478" s="19" t="s">
        <v>236</v>
      </c>
      <c r="B1478" s="20">
        <v>45839</v>
      </c>
      <c r="C1478" s="21">
        <v>170.20000000000002</v>
      </c>
      <c r="D1478" s="21">
        <v>166</v>
      </c>
      <c r="E1478" s="21">
        <v>91.5</v>
      </c>
      <c r="F1478" s="27">
        <f t="shared" si="69"/>
        <v>0.97532314923619257</v>
      </c>
      <c r="G1478" s="21" t="str">
        <f>IFERROR(INDEX(Users!$A$2:$A$310,MATCH(A1478,Users!$B$2:$B$310,0)),"")</f>
        <v>Service D</v>
      </c>
      <c r="H1478" s="21" t="str">
        <f>IFERROR(INDEX(Users!$D$2:$D$310,MATCH(A1478,Users!$B$2:$B$310,0)),"")</f>
        <v>Band 3</v>
      </c>
      <c r="I1478" s="19" t="b">
        <f t="shared" si="70"/>
        <v>0</v>
      </c>
      <c r="J1478" s="33" t="str">
        <f t="shared" si="71"/>
        <v/>
      </c>
    </row>
    <row r="1479" spans="1:10">
      <c r="A1479" s="19" t="s">
        <v>236</v>
      </c>
      <c r="B1479" s="20">
        <v>45870</v>
      </c>
      <c r="C1479" s="21">
        <v>148</v>
      </c>
      <c r="D1479" s="21">
        <v>77</v>
      </c>
      <c r="E1479" s="21">
        <v>38.5</v>
      </c>
      <c r="F1479" s="27">
        <f t="shared" si="69"/>
        <v>0.52027027027027029</v>
      </c>
      <c r="G1479" s="21" t="str">
        <f>IFERROR(INDEX(Users!$A$2:$A$310,MATCH(A1479,Users!$B$2:$B$310,0)),"")</f>
        <v>Service D</v>
      </c>
      <c r="H1479" s="21" t="str">
        <f>IFERROR(INDEX(Users!$D$2:$D$310,MATCH(A1479,Users!$B$2:$B$310,0)),"")</f>
        <v>Band 3</v>
      </c>
      <c r="I1479" s="19" t="b">
        <f t="shared" si="70"/>
        <v>0</v>
      </c>
      <c r="J1479" s="33" t="str">
        <f t="shared" si="71"/>
        <v/>
      </c>
    </row>
    <row r="1480" spans="1:10">
      <c r="A1480" s="19" t="s">
        <v>236</v>
      </c>
      <c r="B1480" s="20">
        <v>45901</v>
      </c>
      <c r="C1480" s="21">
        <v>162.80000000000001</v>
      </c>
      <c r="D1480" s="21">
        <v>151.69999999999999</v>
      </c>
      <c r="E1480" s="21">
        <v>87</v>
      </c>
      <c r="F1480" s="27">
        <f t="shared" si="69"/>
        <v>0.93181818181818166</v>
      </c>
      <c r="G1480" s="21" t="str">
        <f>IFERROR(INDEX(Users!$A$2:$A$310,MATCH(A1480,Users!$B$2:$B$310,0)),"")</f>
        <v>Service D</v>
      </c>
      <c r="H1480" s="21" t="str">
        <f>IFERROR(INDEX(Users!$D$2:$D$310,MATCH(A1480,Users!$B$2:$B$310,0)),"")</f>
        <v>Band 3</v>
      </c>
      <c r="I1480" s="19" t="b">
        <f t="shared" si="70"/>
        <v>0</v>
      </c>
      <c r="J1480" s="33" t="str">
        <f t="shared" si="71"/>
        <v/>
      </c>
    </row>
    <row r="1481" spans="1:10">
      <c r="A1481" s="19" t="s">
        <v>236</v>
      </c>
      <c r="B1481" s="20">
        <v>45931</v>
      </c>
      <c r="C1481" s="21">
        <v>170.20000000000002</v>
      </c>
      <c r="D1481" s="21">
        <v>127.2</v>
      </c>
      <c r="E1481" s="21">
        <v>59</v>
      </c>
      <c r="F1481" s="27">
        <f t="shared" si="69"/>
        <v>0.74735605170387776</v>
      </c>
      <c r="G1481" s="21" t="str">
        <f>IFERROR(INDEX(Users!$A$2:$A$310,MATCH(A1481,Users!$B$2:$B$310,0)),"")</f>
        <v>Service D</v>
      </c>
      <c r="H1481" s="21" t="str">
        <f>IFERROR(INDEX(Users!$D$2:$D$310,MATCH(A1481,Users!$B$2:$B$310,0)),"")</f>
        <v>Band 3</v>
      </c>
      <c r="I1481" s="19" t="b">
        <f t="shared" si="70"/>
        <v>0</v>
      </c>
      <c r="J1481" s="33" t="str">
        <f t="shared" si="71"/>
        <v/>
      </c>
    </row>
    <row r="1482" spans="1:10">
      <c r="A1482" s="19" t="s">
        <v>236</v>
      </c>
      <c r="B1482" s="20">
        <v>45962</v>
      </c>
      <c r="C1482" s="21">
        <v>148</v>
      </c>
      <c r="D1482" s="21">
        <v>150</v>
      </c>
      <c r="E1482" s="21">
        <v>75.5</v>
      </c>
      <c r="F1482" s="27">
        <f t="shared" si="69"/>
        <v>1.0135135135135136</v>
      </c>
      <c r="G1482" s="21" t="str">
        <f>IFERROR(INDEX(Users!$A$2:$A$310,MATCH(A1482,Users!$B$2:$B$310,0)),"")</f>
        <v>Service D</v>
      </c>
      <c r="H1482" s="21" t="str">
        <f>IFERROR(INDEX(Users!$D$2:$D$310,MATCH(A1482,Users!$B$2:$B$310,0)),"")</f>
        <v>Band 3</v>
      </c>
      <c r="I1482" s="19" t="b">
        <f t="shared" si="70"/>
        <v>0</v>
      </c>
      <c r="J1482" s="33" t="str">
        <f t="shared" si="71"/>
        <v/>
      </c>
    </row>
    <row r="1483" spans="1:10">
      <c r="A1483" s="19" t="s">
        <v>236</v>
      </c>
      <c r="B1483" s="20">
        <v>45992</v>
      </c>
      <c r="C1483" s="21">
        <v>155.4</v>
      </c>
      <c r="D1483" s="21">
        <v>130.19999999999999</v>
      </c>
      <c r="E1483" s="21">
        <v>75</v>
      </c>
      <c r="F1483" s="27">
        <f t="shared" si="69"/>
        <v>0.83783783783783772</v>
      </c>
      <c r="G1483" s="21" t="str">
        <f>IFERROR(INDEX(Users!$A$2:$A$310,MATCH(A1483,Users!$B$2:$B$310,0)),"")</f>
        <v>Service D</v>
      </c>
      <c r="H1483" s="21" t="str">
        <f>IFERROR(INDEX(Users!$D$2:$D$310,MATCH(A1483,Users!$B$2:$B$310,0)),"")</f>
        <v>Band 3</v>
      </c>
      <c r="I1483" s="19" t="b">
        <f t="shared" si="70"/>
        <v>0</v>
      </c>
      <c r="J1483" s="33" t="str">
        <f t="shared" si="71"/>
        <v/>
      </c>
    </row>
    <row r="1484" spans="1:10">
      <c r="A1484" s="19" t="s">
        <v>236</v>
      </c>
      <c r="B1484" s="20">
        <v>46023</v>
      </c>
      <c r="C1484" s="21">
        <v>155.4</v>
      </c>
      <c r="D1484" s="21">
        <v>137</v>
      </c>
      <c r="E1484" s="21">
        <v>59.5</v>
      </c>
      <c r="F1484" s="27">
        <f t="shared" si="69"/>
        <v>0.88159588159588154</v>
      </c>
      <c r="G1484" s="21" t="str">
        <f>IFERROR(INDEX(Users!$A$2:$A$310,MATCH(A1484,Users!$B$2:$B$310,0)),"")</f>
        <v>Service D</v>
      </c>
      <c r="H1484" s="21" t="str">
        <f>IFERROR(INDEX(Users!$D$2:$D$310,MATCH(A1484,Users!$B$2:$B$310,0)),"")</f>
        <v>Band 3</v>
      </c>
      <c r="I1484" s="19" t="b">
        <f t="shared" si="70"/>
        <v>0</v>
      </c>
      <c r="J1484" s="33" t="str">
        <f t="shared" si="71"/>
        <v/>
      </c>
    </row>
    <row r="1485" spans="1:10">
      <c r="A1485" s="19" t="s">
        <v>237</v>
      </c>
      <c r="B1485" s="20">
        <v>45901</v>
      </c>
      <c r="C1485" s="21">
        <v>51.8</v>
      </c>
      <c r="D1485" s="21"/>
      <c r="E1485" s="21"/>
      <c r="F1485" s="27" t="str">
        <f t="shared" si="69"/>
        <v/>
      </c>
      <c r="G1485" s="21" t="str">
        <f>IFERROR(INDEX(Users!$A$2:$A$310,MATCH(A1485,Users!$B$2:$B$310,0)),"")</f>
        <v>Service B</v>
      </c>
      <c r="H1485" s="21" t="str">
        <f>IFERROR(INDEX(Users!$D$2:$D$310,MATCH(A1485,Users!$B$2:$B$310,0)),"")</f>
        <v>Band 5</v>
      </c>
      <c r="I1485" s="19" t="b">
        <f t="shared" si="70"/>
        <v>0</v>
      </c>
      <c r="J1485" s="33" t="str">
        <f t="shared" si="71"/>
        <v/>
      </c>
    </row>
    <row r="1486" spans="1:10">
      <c r="A1486" s="19" t="s">
        <v>237</v>
      </c>
      <c r="B1486" s="20">
        <v>45931</v>
      </c>
      <c r="C1486" s="21">
        <v>170.20000000000007</v>
      </c>
      <c r="D1486" s="21">
        <v>82.29</v>
      </c>
      <c r="E1486" s="21">
        <v>5.8900000000000006</v>
      </c>
      <c r="F1486" s="27">
        <f t="shared" si="69"/>
        <v>0.48349001175088113</v>
      </c>
      <c r="G1486" s="21" t="str">
        <f>IFERROR(INDEX(Users!$A$2:$A$310,MATCH(A1486,Users!$B$2:$B$310,0)),"")</f>
        <v>Service B</v>
      </c>
      <c r="H1486" s="21" t="str">
        <f>IFERROR(INDEX(Users!$D$2:$D$310,MATCH(A1486,Users!$B$2:$B$310,0)),"")</f>
        <v>Band 5</v>
      </c>
      <c r="I1486" s="19" t="b">
        <f t="shared" si="70"/>
        <v>0</v>
      </c>
      <c r="J1486" s="33">
        <f t="shared" si="71"/>
        <v>0.48349001175088113</v>
      </c>
    </row>
    <row r="1487" spans="1:10">
      <c r="A1487" s="19" t="s">
        <v>237</v>
      </c>
      <c r="B1487" s="20">
        <v>45962</v>
      </c>
      <c r="C1487" s="21">
        <v>148.00000000000006</v>
      </c>
      <c r="D1487" s="21">
        <v>139.7233333333333</v>
      </c>
      <c r="E1487" s="21">
        <v>19.939999999999998</v>
      </c>
      <c r="F1487" s="27">
        <f t="shared" si="69"/>
        <v>0.94407657657657595</v>
      </c>
      <c r="G1487" s="21" t="str">
        <f>IFERROR(INDEX(Users!$A$2:$A$310,MATCH(A1487,Users!$B$2:$B$310,0)),"")</f>
        <v>Service B</v>
      </c>
      <c r="H1487" s="21" t="str">
        <f>IFERROR(INDEX(Users!$D$2:$D$310,MATCH(A1487,Users!$B$2:$B$310,0)),"")</f>
        <v>Band 5</v>
      </c>
      <c r="I1487" s="19" t="b">
        <f t="shared" si="70"/>
        <v>0</v>
      </c>
      <c r="J1487" s="33">
        <f t="shared" si="71"/>
        <v>0.94407657657657595</v>
      </c>
    </row>
    <row r="1488" spans="1:10">
      <c r="A1488" s="19" t="s">
        <v>237</v>
      </c>
      <c r="B1488" s="20">
        <v>45992</v>
      </c>
      <c r="C1488" s="21">
        <v>155.40000000000006</v>
      </c>
      <c r="D1488" s="21">
        <v>148.11333333333334</v>
      </c>
      <c r="E1488" s="21">
        <v>33.730000000000004</v>
      </c>
      <c r="F1488" s="27">
        <f t="shared" si="69"/>
        <v>0.95311025311025277</v>
      </c>
      <c r="G1488" s="21" t="str">
        <f>IFERROR(INDEX(Users!$A$2:$A$310,MATCH(A1488,Users!$B$2:$B$310,0)),"")</f>
        <v>Service B</v>
      </c>
      <c r="H1488" s="21" t="str">
        <f>IFERROR(INDEX(Users!$D$2:$D$310,MATCH(A1488,Users!$B$2:$B$310,0)),"")</f>
        <v>Band 5</v>
      </c>
      <c r="I1488" s="19" t="b">
        <f t="shared" si="70"/>
        <v>0</v>
      </c>
      <c r="J1488" s="33">
        <f t="shared" si="71"/>
        <v>0.95311025311025277</v>
      </c>
    </row>
    <row r="1489" spans="1:10">
      <c r="A1489" s="19" t="s">
        <v>237</v>
      </c>
      <c r="B1489" s="20">
        <v>46023</v>
      </c>
      <c r="C1489" s="21">
        <v>155.40000000000006</v>
      </c>
      <c r="D1489" s="21">
        <v>154.7833333333333</v>
      </c>
      <c r="E1489" s="21">
        <v>20.05</v>
      </c>
      <c r="F1489" s="27">
        <f t="shared" si="69"/>
        <v>0.99603174603174549</v>
      </c>
      <c r="G1489" s="21" t="str">
        <f>IFERROR(INDEX(Users!$A$2:$A$310,MATCH(A1489,Users!$B$2:$B$310,0)),"")</f>
        <v>Service B</v>
      </c>
      <c r="H1489" s="21" t="str">
        <f>IFERROR(INDEX(Users!$D$2:$D$310,MATCH(A1489,Users!$B$2:$B$310,0)),"")</f>
        <v>Band 5</v>
      </c>
      <c r="I1489" s="19" t="b">
        <f t="shared" si="70"/>
        <v>0</v>
      </c>
      <c r="J1489" s="33" t="str">
        <f t="shared" si="71"/>
        <v/>
      </c>
    </row>
    <row r="1490" spans="1:10">
      <c r="A1490" s="19" t="s">
        <v>238</v>
      </c>
      <c r="B1490" s="20">
        <v>45901</v>
      </c>
      <c r="C1490" s="21">
        <v>51.8</v>
      </c>
      <c r="D1490" s="21">
        <v>46.499999999999993</v>
      </c>
      <c r="E1490" s="21"/>
      <c r="F1490" s="27">
        <f t="shared" si="69"/>
        <v>0.89768339768339755</v>
      </c>
      <c r="G1490" s="21" t="str">
        <f>IFERROR(INDEX(Users!$A$2:$A$310,MATCH(A1490,Users!$B$2:$B$310,0)),"")</f>
        <v>Service B</v>
      </c>
      <c r="H1490" s="21" t="str">
        <f>IFERROR(INDEX(Users!$D$2:$D$310,MATCH(A1490,Users!$B$2:$B$310,0)),"")</f>
        <v>Band 5</v>
      </c>
      <c r="I1490" s="19" t="b">
        <f t="shared" si="70"/>
        <v>0</v>
      </c>
      <c r="J1490" s="33">
        <f t="shared" si="71"/>
        <v>0.89768339768339755</v>
      </c>
    </row>
    <row r="1491" spans="1:10">
      <c r="A1491" s="19" t="s">
        <v>238</v>
      </c>
      <c r="B1491" s="20">
        <v>45931</v>
      </c>
      <c r="C1491" s="21">
        <v>170.20000000000007</v>
      </c>
      <c r="D1491" s="21">
        <v>147.53666666666672</v>
      </c>
      <c r="E1491" s="21">
        <v>28.57</v>
      </c>
      <c r="F1491" s="27">
        <f t="shared" si="69"/>
        <v>0.8668429298864081</v>
      </c>
      <c r="G1491" s="21" t="str">
        <f>IFERROR(INDEX(Users!$A$2:$A$310,MATCH(A1491,Users!$B$2:$B$310,0)),"")</f>
        <v>Service B</v>
      </c>
      <c r="H1491" s="21" t="str">
        <f>IFERROR(INDEX(Users!$D$2:$D$310,MATCH(A1491,Users!$B$2:$B$310,0)),"")</f>
        <v>Band 5</v>
      </c>
      <c r="I1491" s="19" t="b">
        <f t="shared" si="70"/>
        <v>0</v>
      </c>
      <c r="J1491" s="33">
        <f t="shared" si="71"/>
        <v>0.8668429298864081</v>
      </c>
    </row>
    <row r="1492" spans="1:10">
      <c r="A1492" s="19" t="s">
        <v>238</v>
      </c>
      <c r="B1492" s="20">
        <v>45962</v>
      </c>
      <c r="C1492" s="21">
        <v>148.00000000000006</v>
      </c>
      <c r="D1492" s="21">
        <v>136.49333333333337</v>
      </c>
      <c r="E1492" s="21">
        <v>79.260000000000019</v>
      </c>
      <c r="F1492" s="27">
        <f t="shared" si="69"/>
        <v>0.92225225225225216</v>
      </c>
      <c r="G1492" s="21" t="str">
        <f>IFERROR(INDEX(Users!$A$2:$A$310,MATCH(A1492,Users!$B$2:$B$310,0)),"")</f>
        <v>Service B</v>
      </c>
      <c r="H1492" s="21" t="str">
        <f>IFERROR(INDEX(Users!$D$2:$D$310,MATCH(A1492,Users!$B$2:$B$310,0)),"")</f>
        <v>Band 5</v>
      </c>
      <c r="I1492" s="19" t="b">
        <f t="shared" si="70"/>
        <v>0</v>
      </c>
      <c r="J1492" s="33">
        <f t="shared" si="71"/>
        <v>0.92225225225225216</v>
      </c>
    </row>
    <row r="1493" spans="1:10">
      <c r="A1493" s="19" t="s">
        <v>238</v>
      </c>
      <c r="B1493" s="20">
        <v>45992</v>
      </c>
      <c r="C1493" s="21">
        <v>155.40000000000006</v>
      </c>
      <c r="D1493" s="21">
        <v>123.33333333333334</v>
      </c>
      <c r="E1493" s="21">
        <v>84.5</v>
      </c>
      <c r="F1493" s="27">
        <f t="shared" si="69"/>
        <v>0.79365079365079338</v>
      </c>
      <c r="G1493" s="21" t="str">
        <f>IFERROR(INDEX(Users!$A$2:$A$310,MATCH(A1493,Users!$B$2:$B$310,0)),"")</f>
        <v>Service B</v>
      </c>
      <c r="H1493" s="21" t="str">
        <f>IFERROR(INDEX(Users!$D$2:$D$310,MATCH(A1493,Users!$B$2:$B$310,0)),"")</f>
        <v>Band 5</v>
      </c>
      <c r="I1493" s="19" t="b">
        <f t="shared" si="70"/>
        <v>0</v>
      </c>
      <c r="J1493" s="33">
        <f t="shared" si="71"/>
        <v>0.79365079365079338</v>
      </c>
    </row>
    <row r="1494" spans="1:10">
      <c r="A1494" s="19" t="s">
        <v>238</v>
      </c>
      <c r="B1494" s="20">
        <v>46023</v>
      </c>
      <c r="C1494" s="21">
        <v>155.40000000000006</v>
      </c>
      <c r="D1494" s="21">
        <v>146.47</v>
      </c>
      <c r="E1494" s="21">
        <v>92.97</v>
      </c>
      <c r="F1494" s="27">
        <f t="shared" si="69"/>
        <v>0.9425353925353922</v>
      </c>
      <c r="G1494" s="21" t="str">
        <f>IFERROR(INDEX(Users!$A$2:$A$310,MATCH(A1494,Users!$B$2:$B$310,0)),"")</f>
        <v>Service B</v>
      </c>
      <c r="H1494" s="21" t="str">
        <f>IFERROR(INDEX(Users!$D$2:$D$310,MATCH(A1494,Users!$B$2:$B$310,0)),"")</f>
        <v>Band 5</v>
      </c>
      <c r="I1494" s="19" t="b">
        <f t="shared" si="70"/>
        <v>0</v>
      </c>
      <c r="J1494" s="33" t="str">
        <f t="shared" si="71"/>
        <v/>
      </c>
    </row>
    <row r="1495" spans="1:10">
      <c r="A1495" s="19" t="s">
        <v>239</v>
      </c>
      <c r="B1495" s="20">
        <v>45658</v>
      </c>
      <c r="C1495" s="21">
        <v>162.80000000000001</v>
      </c>
      <c r="D1495" s="21">
        <v>138.21666666666673</v>
      </c>
      <c r="E1495" s="21">
        <v>77.550000000000054</v>
      </c>
      <c r="F1495" s="27">
        <f t="shared" si="69"/>
        <v>0.84899672399672432</v>
      </c>
      <c r="G1495" s="21" t="str">
        <f>IFERROR(INDEX(Users!$A$2:$A$310,MATCH(A1495,Users!$B$2:$B$310,0)),"")</f>
        <v>Service A</v>
      </c>
      <c r="H1495" s="21" t="str">
        <f>IFERROR(INDEX(Users!$D$2:$D$310,MATCH(A1495,Users!$B$2:$B$310,0)),"")</f>
        <v>Band 5</v>
      </c>
      <c r="I1495" s="19" t="b">
        <f t="shared" si="70"/>
        <v>0</v>
      </c>
      <c r="J1495" s="33" t="str">
        <f t="shared" si="71"/>
        <v/>
      </c>
    </row>
    <row r="1496" spans="1:10">
      <c r="A1496" s="19" t="s">
        <v>239</v>
      </c>
      <c r="B1496" s="20">
        <v>45689</v>
      </c>
      <c r="C1496" s="21">
        <v>148</v>
      </c>
      <c r="D1496" s="21">
        <v>113.71000000000006</v>
      </c>
      <c r="E1496" s="21">
        <v>53.960000000000072</v>
      </c>
      <c r="F1496" s="27">
        <f t="shared" si="69"/>
        <v>0.76831081081081121</v>
      </c>
      <c r="G1496" s="21" t="str">
        <f>IFERROR(INDEX(Users!$A$2:$A$310,MATCH(A1496,Users!$B$2:$B$310,0)),"")</f>
        <v>Service A</v>
      </c>
      <c r="H1496" s="21" t="str">
        <f>IFERROR(INDEX(Users!$D$2:$D$310,MATCH(A1496,Users!$B$2:$B$310,0)),"")</f>
        <v>Band 5</v>
      </c>
      <c r="I1496" s="19" t="b">
        <f t="shared" si="70"/>
        <v>0</v>
      </c>
      <c r="J1496" s="33" t="str">
        <f t="shared" si="71"/>
        <v/>
      </c>
    </row>
    <row r="1497" spans="1:10">
      <c r="A1497" s="19" t="s">
        <v>239</v>
      </c>
      <c r="B1497" s="20">
        <v>45717</v>
      </c>
      <c r="C1497" s="21">
        <v>155.4</v>
      </c>
      <c r="D1497" s="21">
        <v>113.57</v>
      </c>
      <c r="E1497" s="21">
        <v>71.069999999999993</v>
      </c>
      <c r="F1497" s="27">
        <f t="shared" si="69"/>
        <v>0.73082368082368077</v>
      </c>
      <c r="G1497" s="21" t="str">
        <f>IFERROR(INDEX(Users!$A$2:$A$310,MATCH(A1497,Users!$B$2:$B$310,0)),"")</f>
        <v>Service A</v>
      </c>
      <c r="H1497" s="21" t="str">
        <f>IFERROR(INDEX(Users!$D$2:$D$310,MATCH(A1497,Users!$B$2:$B$310,0)),"")</f>
        <v>Band 5</v>
      </c>
      <c r="I1497" s="19" t="b">
        <f t="shared" si="70"/>
        <v>0</v>
      </c>
      <c r="J1497" s="33" t="str">
        <f t="shared" si="71"/>
        <v/>
      </c>
    </row>
    <row r="1498" spans="1:10">
      <c r="A1498" s="19" t="s">
        <v>239</v>
      </c>
      <c r="B1498" s="20">
        <v>45748</v>
      </c>
      <c r="C1498" s="21">
        <v>148</v>
      </c>
      <c r="D1498" s="21">
        <v>12</v>
      </c>
      <c r="E1498" s="21">
        <v>1</v>
      </c>
      <c r="F1498" s="27">
        <f t="shared" si="69"/>
        <v>8.1081081081081086E-2</v>
      </c>
      <c r="G1498" s="21" t="str">
        <f>IFERROR(INDEX(Users!$A$2:$A$310,MATCH(A1498,Users!$B$2:$B$310,0)),"")</f>
        <v>Service A</v>
      </c>
      <c r="H1498" s="21" t="str">
        <f>IFERROR(INDEX(Users!$D$2:$D$310,MATCH(A1498,Users!$B$2:$B$310,0)),"")</f>
        <v>Band 5</v>
      </c>
      <c r="I1498" s="19" t="b">
        <f t="shared" si="70"/>
        <v>0</v>
      </c>
      <c r="J1498" s="33" t="str">
        <f t="shared" si="71"/>
        <v/>
      </c>
    </row>
    <row r="1499" spans="1:10">
      <c r="A1499" s="19" t="s">
        <v>239</v>
      </c>
      <c r="B1499" s="20">
        <v>45778</v>
      </c>
      <c r="C1499" s="21">
        <v>148</v>
      </c>
      <c r="D1499" s="21">
        <v>138.46333333333334</v>
      </c>
      <c r="E1499" s="21">
        <v>68.48</v>
      </c>
      <c r="F1499" s="27">
        <f t="shared" si="69"/>
        <v>0.93556306306306314</v>
      </c>
      <c r="G1499" s="21" t="str">
        <f>IFERROR(INDEX(Users!$A$2:$A$310,MATCH(A1499,Users!$B$2:$B$310,0)),"")</f>
        <v>Service A</v>
      </c>
      <c r="H1499" s="21" t="str">
        <f>IFERROR(INDEX(Users!$D$2:$D$310,MATCH(A1499,Users!$B$2:$B$310,0)),"")</f>
        <v>Band 5</v>
      </c>
      <c r="I1499" s="19" t="b">
        <f t="shared" si="70"/>
        <v>0</v>
      </c>
      <c r="J1499" s="33" t="str">
        <f t="shared" si="71"/>
        <v/>
      </c>
    </row>
    <row r="1500" spans="1:10">
      <c r="A1500" s="19" t="s">
        <v>239</v>
      </c>
      <c r="B1500" s="20">
        <v>45809</v>
      </c>
      <c r="C1500" s="21">
        <v>155.4</v>
      </c>
      <c r="D1500" s="21">
        <v>157.96333333333334</v>
      </c>
      <c r="E1500" s="21">
        <v>80.73</v>
      </c>
      <c r="F1500" s="27">
        <f t="shared" si="69"/>
        <v>1.0164950664950665</v>
      </c>
      <c r="G1500" s="21" t="str">
        <f>IFERROR(INDEX(Users!$A$2:$A$310,MATCH(A1500,Users!$B$2:$B$310,0)),"")</f>
        <v>Service A</v>
      </c>
      <c r="H1500" s="21" t="str">
        <f>IFERROR(INDEX(Users!$D$2:$D$310,MATCH(A1500,Users!$B$2:$B$310,0)),"")</f>
        <v>Band 5</v>
      </c>
      <c r="I1500" s="19" t="b">
        <f t="shared" si="70"/>
        <v>0</v>
      </c>
      <c r="J1500" s="33" t="str">
        <f t="shared" si="71"/>
        <v/>
      </c>
    </row>
    <row r="1501" spans="1:10">
      <c r="A1501" s="19" t="s">
        <v>239</v>
      </c>
      <c r="B1501" s="20">
        <v>45839</v>
      </c>
      <c r="C1501" s="21">
        <v>170.20000000000002</v>
      </c>
      <c r="D1501" s="21">
        <v>171.73333333333332</v>
      </c>
      <c r="E1501" s="21">
        <v>72.45</v>
      </c>
      <c r="F1501" s="27">
        <f t="shared" si="69"/>
        <v>1.0090090090090089</v>
      </c>
      <c r="G1501" s="21" t="str">
        <f>IFERROR(INDEX(Users!$A$2:$A$310,MATCH(A1501,Users!$B$2:$B$310,0)),"")</f>
        <v>Service A</v>
      </c>
      <c r="H1501" s="21" t="str">
        <f>IFERROR(INDEX(Users!$D$2:$D$310,MATCH(A1501,Users!$B$2:$B$310,0)),"")</f>
        <v>Band 5</v>
      </c>
      <c r="I1501" s="19" t="b">
        <f t="shared" si="70"/>
        <v>0</v>
      </c>
      <c r="J1501" s="33" t="str">
        <f t="shared" si="71"/>
        <v/>
      </c>
    </row>
    <row r="1502" spans="1:10">
      <c r="A1502" s="19" t="s">
        <v>239</v>
      </c>
      <c r="B1502" s="20">
        <v>45870</v>
      </c>
      <c r="C1502" s="21">
        <v>148</v>
      </c>
      <c r="D1502" s="21">
        <v>117.47333333333333</v>
      </c>
      <c r="E1502" s="21">
        <v>61.49</v>
      </c>
      <c r="F1502" s="27">
        <f t="shared" si="69"/>
        <v>0.79373873873873868</v>
      </c>
      <c r="G1502" s="21" t="str">
        <f>IFERROR(INDEX(Users!$A$2:$A$310,MATCH(A1502,Users!$B$2:$B$310,0)),"")</f>
        <v>Service A</v>
      </c>
      <c r="H1502" s="21" t="str">
        <f>IFERROR(INDEX(Users!$D$2:$D$310,MATCH(A1502,Users!$B$2:$B$310,0)),"")</f>
        <v>Band 5</v>
      </c>
      <c r="I1502" s="19" t="b">
        <f t="shared" si="70"/>
        <v>0</v>
      </c>
      <c r="J1502" s="33" t="str">
        <f t="shared" si="71"/>
        <v/>
      </c>
    </row>
    <row r="1503" spans="1:10">
      <c r="A1503" s="19" t="s">
        <v>239</v>
      </c>
      <c r="B1503" s="20">
        <v>45901</v>
      </c>
      <c r="C1503" s="21">
        <v>148</v>
      </c>
      <c r="D1503" s="21"/>
      <c r="E1503" s="21"/>
      <c r="F1503" s="27" t="str">
        <f t="shared" si="69"/>
        <v/>
      </c>
      <c r="G1503" s="21" t="str">
        <f>IFERROR(INDEX(Users!$A$2:$A$310,MATCH(A1503,Users!$B$2:$B$310,0)),"")</f>
        <v>Service A</v>
      </c>
      <c r="H1503" s="21" t="str">
        <f>IFERROR(INDEX(Users!$D$2:$D$310,MATCH(A1503,Users!$B$2:$B$310,0)),"")</f>
        <v>Band 5</v>
      </c>
      <c r="I1503" s="19" t="b">
        <f t="shared" si="70"/>
        <v>0</v>
      </c>
      <c r="J1503" s="33" t="str">
        <f t="shared" si="71"/>
        <v/>
      </c>
    </row>
    <row r="1504" spans="1:10">
      <c r="A1504" s="19" t="s">
        <v>241</v>
      </c>
      <c r="B1504" s="20">
        <v>45658</v>
      </c>
      <c r="C1504" s="21">
        <v>162.80000000000001</v>
      </c>
      <c r="D1504" s="21">
        <v>142.16333333333336</v>
      </c>
      <c r="E1504" s="21">
        <v>58.33</v>
      </c>
      <c r="F1504" s="27">
        <f t="shared" si="69"/>
        <v>0.87323914823914828</v>
      </c>
      <c r="G1504" s="21" t="str">
        <f>IFERROR(INDEX(Users!$A$2:$A$310,MATCH(A1504,Users!$B$2:$B$310,0)),"")</f>
        <v>Service A</v>
      </c>
      <c r="H1504" s="21" t="str">
        <f>IFERROR(INDEX(Users!$D$2:$D$310,MATCH(A1504,Users!$B$2:$B$310,0)),"")</f>
        <v>Band 3</v>
      </c>
      <c r="I1504" s="19" t="b">
        <f t="shared" si="70"/>
        <v>1</v>
      </c>
      <c r="J1504" s="33" t="str">
        <f t="shared" si="71"/>
        <v/>
      </c>
    </row>
    <row r="1505" spans="1:10">
      <c r="A1505" s="19" t="s">
        <v>241</v>
      </c>
      <c r="B1505" s="20">
        <v>45689</v>
      </c>
      <c r="C1505" s="21">
        <v>148</v>
      </c>
      <c r="D1505" s="21">
        <v>122.5</v>
      </c>
      <c r="E1505" s="21">
        <v>75</v>
      </c>
      <c r="F1505" s="27">
        <f t="shared" si="69"/>
        <v>0.82770270270270274</v>
      </c>
      <c r="G1505" s="21" t="str">
        <f>IFERROR(INDEX(Users!$A$2:$A$310,MATCH(A1505,Users!$B$2:$B$310,0)),"")</f>
        <v>Service A</v>
      </c>
      <c r="H1505" s="21" t="str">
        <f>IFERROR(INDEX(Users!$D$2:$D$310,MATCH(A1505,Users!$B$2:$B$310,0)),"")</f>
        <v>Band 3</v>
      </c>
      <c r="I1505" s="19" t="b">
        <f t="shared" si="70"/>
        <v>1</v>
      </c>
      <c r="J1505" s="33" t="str">
        <f t="shared" si="71"/>
        <v/>
      </c>
    </row>
    <row r="1506" spans="1:10">
      <c r="A1506" s="19" t="s">
        <v>241</v>
      </c>
      <c r="B1506" s="20">
        <v>45717</v>
      </c>
      <c r="C1506" s="21">
        <v>155.4</v>
      </c>
      <c r="D1506" s="21">
        <v>157.34</v>
      </c>
      <c r="E1506" s="21">
        <v>80.34</v>
      </c>
      <c r="F1506" s="27">
        <f t="shared" si="69"/>
        <v>1.0124839124839125</v>
      </c>
      <c r="G1506" s="21" t="str">
        <f>IFERROR(INDEX(Users!$A$2:$A$310,MATCH(A1506,Users!$B$2:$B$310,0)),"")</f>
        <v>Service A</v>
      </c>
      <c r="H1506" s="21" t="str">
        <f>IFERROR(INDEX(Users!$D$2:$D$310,MATCH(A1506,Users!$B$2:$B$310,0)),"")</f>
        <v>Band 3</v>
      </c>
      <c r="I1506" s="19" t="b">
        <f t="shared" si="70"/>
        <v>1</v>
      </c>
      <c r="J1506" s="33" t="str">
        <f t="shared" si="71"/>
        <v/>
      </c>
    </row>
    <row r="1507" spans="1:10">
      <c r="A1507" s="19" t="s">
        <v>241</v>
      </c>
      <c r="B1507" s="20">
        <v>45748</v>
      </c>
      <c r="C1507" s="21">
        <v>148</v>
      </c>
      <c r="D1507" s="21">
        <v>107.38666666666666</v>
      </c>
      <c r="E1507" s="21">
        <v>59.22</v>
      </c>
      <c r="F1507" s="27">
        <f t="shared" si="69"/>
        <v>0.7255855855855855</v>
      </c>
      <c r="G1507" s="21" t="str">
        <f>IFERROR(INDEX(Users!$A$2:$A$310,MATCH(A1507,Users!$B$2:$B$310,0)),"")</f>
        <v>Service A</v>
      </c>
      <c r="H1507" s="21" t="str">
        <f>IFERROR(INDEX(Users!$D$2:$D$310,MATCH(A1507,Users!$B$2:$B$310,0)),"")</f>
        <v>Band 3</v>
      </c>
      <c r="I1507" s="19" t="b">
        <f t="shared" si="70"/>
        <v>1</v>
      </c>
      <c r="J1507" s="33" t="str">
        <f t="shared" si="71"/>
        <v/>
      </c>
    </row>
    <row r="1508" spans="1:10">
      <c r="A1508" s="19" t="s">
        <v>241</v>
      </c>
      <c r="B1508" s="20">
        <v>45778</v>
      </c>
      <c r="C1508" s="21">
        <v>148</v>
      </c>
      <c r="D1508" s="21">
        <v>102.5</v>
      </c>
      <c r="E1508" s="21">
        <v>70.75</v>
      </c>
      <c r="F1508" s="27">
        <f t="shared" si="69"/>
        <v>0.69256756756756754</v>
      </c>
      <c r="G1508" s="21" t="str">
        <f>IFERROR(INDEX(Users!$A$2:$A$310,MATCH(A1508,Users!$B$2:$B$310,0)),"")</f>
        <v>Service A</v>
      </c>
      <c r="H1508" s="21" t="str">
        <f>IFERROR(INDEX(Users!$D$2:$D$310,MATCH(A1508,Users!$B$2:$B$310,0)),"")</f>
        <v>Band 3</v>
      </c>
      <c r="I1508" s="19" t="b">
        <f t="shared" si="70"/>
        <v>1</v>
      </c>
      <c r="J1508" s="33" t="str">
        <f t="shared" si="71"/>
        <v/>
      </c>
    </row>
    <row r="1509" spans="1:10">
      <c r="A1509" s="19" t="s">
        <v>241</v>
      </c>
      <c r="B1509" s="20">
        <v>45809</v>
      </c>
      <c r="C1509" s="21">
        <v>155.4</v>
      </c>
      <c r="D1509" s="21">
        <v>148</v>
      </c>
      <c r="E1509" s="21">
        <v>82.25</v>
      </c>
      <c r="F1509" s="27">
        <f t="shared" si="69"/>
        <v>0.95238095238095233</v>
      </c>
      <c r="G1509" s="21" t="str">
        <f>IFERROR(INDEX(Users!$A$2:$A$310,MATCH(A1509,Users!$B$2:$B$310,0)),"")</f>
        <v>Service A</v>
      </c>
      <c r="H1509" s="21" t="str">
        <f>IFERROR(INDEX(Users!$D$2:$D$310,MATCH(A1509,Users!$B$2:$B$310,0)),"")</f>
        <v>Band 3</v>
      </c>
      <c r="I1509" s="19" t="b">
        <f t="shared" si="70"/>
        <v>1</v>
      </c>
      <c r="J1509" s="33" t="str">
        <f t="shared" si="71"/>
        <v/>
      </c>
    </row>
    <row r="1510" spans="1:10">
      <c r="A1510" s="19" t="s">
        <v>241</v>
      </c>
      <c r="B1510" s="20">
        <v>45839</v>
      </c>
      <c r="C1510" s="21">
        <v>170.20000000000002</v>
      </c>
      <c r="D1510" s="21">
        <v>92.75</v>
      </c>
      <c r="E1510" s="21">
        <v>61.5</v>
      </c>
      <c r="F1510" s="27">
        <f t="shared" si="69"/>
        <v>0.5449471210340775</v>
      </c>
      <c r="G1510" s="21" t="str">
        <f>IFERROR(INDEX(Users!$A$2:$A$310,MATCH(A1510,Users!$B$2:$B$310,0)),"")</f>
        <v>Service A</v>
      </c>
      <c r="H1510" s="21" t="str">
        <f>IFERROR(INDEX(Users!$D$2:$D$310,MATCH(A1510,Users!$B$2:$B$310,0)),"")</f>
        <v>Band 3</v>
      </c>
      <c r="I1510" s="19" t="b">
        <f t="shared" si="70"/>
        <v>1</v>
      </c>
      <c r="J1510" s="33" t="str">
        <f t="shared" si="71"/>
        <v/>
      </c>
    </row>
    <row r="1511" spans="1:10">
      <c r="A1511" s="19" t="s">
        <v>241</v>
      </c>
      <c r="B1511" s="20">
        <v>45870</v>
      </c>
      <c r="C1511" s="21">
        <v>148</v>
      </c>
      <c r="D1511" s="21">
        <v>75.680000000000007</v>
      </c>
      <c r="E1511" s="21">
        <v>45.93</v>
      </c>
      <c r="F1511" s="27">
        <f t="shared" si="69"/>
        <v>0.51135135135135135</v>
      </c>
      <c r="G1511" s="21" t="str">
        <f>IFERROR(INDEX(Users!$A$2:$A$310,MATCH(A1511,Users!$B$2:$B$310,0)),"")</f>
        <v>Service A</v>
      </c>
      <c r="H1511" s="21" t="str">
        <f>IFERROR(INDEX(Users!$D$2:$D$310,MATCH(A1511,Users!$B$2:$B$310,0)),"")</f>
        <v>Band 3</v>
      </c>
      <c r="I1511" s="19" t="b">
        <f t="shared" si="70"/>
        <v>1</v>
      </c>
      <c r="J1511" s="33" t="str">
        <f t="shared" si="71"/>
        <v/>
      </c>
    </row>
    <row r="1512" spans="1:10">
      <c r="A1512" s="19" t="s">
        <v>241</v>
      </c>
      <c r="B1512" s="20">
        <v>45901</v>
      </c>
      <c r="C1512" s="21">
        <v>162.80000000000001</v>
      </c>
      <c r="D1512" s="21">
        <v>120.99000000000001</v>
      </c>
      <c r="E1512" s="21">
        <v>69.09</v>
      </c>
      <c r="F1512" s="27">
        <f t="shared" si="69"/>
        <v>0.74318181818181817</v>
      </c>
      <c r="G1512" s="21" t="str">
        <f>IFERROR(INDEX(Users!$A$2:$A$310,MATCH(A1512,Users!$B$2:$B$310,0)),"")</f>
        <v>Service A</v>
      </c>
      <c r="H1512" s="21" t="str">
        <f>IFERROR(INDEX(Users!$D$2:$D$310,MATCH(A1512,Users!$B$2:$B$310,0)),"")</f>
        <v>Band 3</v>
      </c>
      <c r="I1512" s="19" t="b">
        <f t="shared" si="70"/>
        <v>1</v>
      </c>
      <c r="J1512" s="33" t="str">
        <f t="shared" si="71"/>
        <v/>
      </c>
    </row>
    <row r="1513" spans="1:10">
      <c r="A1513" s="19" t="s">
        <v>241</v>
      </c>
      <c r="B1513" s="20">
        <v>45931</v>
      </c>
      <c r="C1513" s="21">
        <v>170.20000000000002</v>
      </c>
      <c r="D1513" s="21">
        <v>161.41</v>
      </c>
      <c r="E1513" s="21">
        <v>109.41</v>
      </c>
      <c r="F1513" s="27">
        <f t="shared" si="69"/>
        <v>0.94835487661574602</v>
      </c>
      <c r="G1513" s="21" t="str">
        <f>IFERROR(INDEX(Users!$A$2:$A$310,MATCH(A1513,Users!$B$2:$B$310,0)),"")</f>
        <v>Service A</v>
      </c>
      <c r="H1513" s="21" t="str">
        <f>IFERROR(INDEX(Users!$D$2:$D$310,MATCH(A1513,Users!$B$2:$B$310,0)),"")</f>
        <v>Band 3</v>
      </c>
      <c r="I1513" s="19" t="b">
        <f t="shared" si="70"/>
        <v>1</v>
      </c>
      <c r="J1513" s="33" t="str">
        <f t="shared" si="71"/>
        <v/>
      </c>
    </row>
    <row r="1514" spans="1:10">
      <c r="A1514" s="19" t="s">
        <v>241</v>
      </c>
      <c r="B1514" s="20">
        <v>45962</v>
      </c>
      <c r="C1514" s="21">
        <v>148</v>
      </c>
      <c r="D1514" s="21">
        <v>140</v>
      </c>
      <c r="E1514" s="21">
        <v>90.75</v>
      </c>
      <c r="F1514" s="27">
        <f t="shared" si="69"/>
        <v>0.94594594594594594</v>
      </c>
      <c r="G1514" s="21" t="str">
        <f>IFERROR(INDEX(Users!$A$2:$A$310,MATCH(A1514,Users!$B$2:$B$310,0)),"")</f>
        <v>Service A</v>
      </c>
      <c r="H1514" s="21" t="str">
        <f>IFERROR(INDEX(Users!$D$2:$D$310,MATCH(A1514,Users!$B$2:$B$310,0)),"")</f>
        <v>Band 3</v>
      </c>
      <c r="I1514" s="19" t="b">
        <f t="shared" si="70"/>
        <v>1</v>
      </c>
      <c r="J1514" s="33" t="str">
        <f t="shared" si="71"/>
        <v/>
      </c>
    </row>
    <row r="1515" spans="1:10">
      <c r="A1515" s="19" t="s">
        <v>241</v>
      </c>
      <c r="B1515" s="20">
        <v>45992</v>
      </c>
      <c r="C1515" s="21">
        <v>155.4</v>
      </c>
      <c r="D1515" s="21">
        <v>121.42</v>
      </c>
      <c r="E1515" s="21">
        <v>72.17</v>
      </c>
      <c r="F1515" s="27">
        <f t="shared" si="69"/>
        <v>0.78133848133848127</v>
      </c>
      <c r="G1515" s="21" t="str">
        <f>IFERROR(INDEX(Users!$A$2:$A$310,MATCH(A1515,Users!$B$2:$B$310,0)),"")</f>
        <v>Service A</v>
      </c>
      <c r="H1515" s="21" t="str">
        <f>IFERROR(INDEX(Users!$D$2:$D$310,MATCH(A1515,Users!$B$2:$B$310,0)),"")</f>
        <v>Band 3</v>
      </c>
      <c r="I1515" s="19" t="b">
        <f t="shared" si="70"/>
        <v>1</v>
      </c>
      <c r="J1515" s="33" t="str">
        <f t="shared" si="71"/>
        <v/>
      </c>
    </row>
    <row r="1516" spans="1:10">
      <c r="A1516" s="19" t="s">
        <v>241</v>
      </c>
      <c r="B1516" s="20">
        <v>46023</v>
      </c>
      <c r="C1516" s="21">
        <v>155.4</v>
      </c>
      <c r="D1516" s="21">
        <v>111</v>
      </c>
      <c r="E1516" s="21">
        <v>60</v>
      </c>
      <c r="F1516" s="27">
        <f t="shared" si="69"/>
        <v>0.7142857142857143</v>
      </c>
      <c r="G1516" s="21" t="str">
        <f>IFERROR(INDEX(Users!$A$2:$A$310,MATCH(A1516,Users!$B$2:$B$310,0)),"")</f>
        <v>Service A</v>
      </c>
      <c r="H1516" s="21" t="str">
        <f>IFERROR(INDEX(Users!$D$2:$D$310,MATCH(A1516,Users!$B$2:$B$310,0)),"")</f>
        <v>Band 3</v>
      </c>
      <c r="I1516" s="19" t="b">
        <f t="shared" si="70"/>
        <v>1</v>
      </c>
      <c r="J1516" s="33" t="str">
        <f t="shared" si="71"/>
        <v/>
      </c>
    </row>
    <row r="1517" spans="1:10">
      <c r="A1517" s="19" t="s">
        <v>242</v>
      </c>
      <c r="B1517" s="20">
        <v>45658</v>
      </c>
      <c r="C1517" s="21">
        <v>162.80000000000001</v>
      </c>
      <c r="D1517" s="21">
        <v>148.51</v>
      </c>
      <c r="E1517" s="21">
        <v>106.09</v>
      </c>
      <c r="F1517" s="27">
        <f t="shared" si="69"/>
        <v>0.9122235872235871</v>
      </c>
      <c r="G1517" s="21" t="str">
        <f>IFERROR(INDEX(Users!$A$2:$A$310,MATCH(A1517,Users!$B$2:$B$310,0)),"")</f>
        <v>Service C</v>
      </c>
      <c r="H1517" s="21" t="str">
        <f>IFERROR(INDEX(Users!$D$2:$D$310,MATCH(A1517,Users!$B$2:$B$310,0)),"")</f>
        <v>Band 4</v>
      </c>
      <c r="I1517" s="19" t="b">
        <f t="shared" si="70"/>
        <v>0</v>
      </c>
      <c r="J1517" s="33" t="str">
        <f t="shared" si="71"/>
        <v/>
      </c>
    </row>
    <row r="1518" spans="1:10">
      <c r="A1518" s="19" t="s">
        <v>242</v>
      </c>
      <c r="B1518" s="20">
        <v>45689</v>
      </c>
      <c r="C1518" s="21">
        <v>148</v>
      </c>
      <c r="D1518" s="21">
        <v>151.41444444444446</v>
      </c>
      <c r="E1518" s="21">
        <v>91.98</v>
      </c>
      <c r="F1518" s="27">
        <f t="shared" si="69"/>
        <v>1.0230705705705707</v>
      </c>
      <c r="G1518" s="21" t="str">
        <f>IFERROR(INDEX(Users!$A$2:$A$310,MATCH(A1518,Users!$B$2:$B$310,0)),"")</f>
        <v>Service C</v>
      </c>
      <c r="H1518" s="21" t="str">
        <f>IFERROR(INDEX(Users!$D$2:$D$310,MATCH(A1518,Users!$B$2:$B$310,0)),"")</f>
        <v>Band 4</v>
      </c>
      <c r="I1518" s="19" t="b">
        <f t="shared" si="70"/>
        <v>0</v>
      </c>
      <c r="J1518" s="33" t="str">
        <f t="shared" si="71"/>
        <v/>
      </c>
    </row>
    <row r="1519" spans="1:10">
      <c r="A1519" s="19" t="s">
        <v>242</v>
      </c>
      <c r="B1519" s="20">
        <v>45717</v>
      </c>
      <c r="C1519" s="21">
        <v>155.4</v>
      </c>
      <c r="D1519" s="21">
        <v>133.93694444444444</v>
      </c>
      <c r="E1519" s="21">
        <v>92.37</v>
      </c>
      <c r="F1519" s="27">
        <f t="shared" si="69"/>
        <v>0.86188509938509927</v>
      </c>
      <c r="G1519" s="21" t="str">
        <f>IFERROR(INDEX(Users!$A$2:$A$310,MATCH(A1519,Users!$B$2:$B$310,0)),"")</f>
        <v>Service C</v>
      </c>
      <c r="H1519" s="21" t="str">
        <f>IFERROR(INDEX(Users!$D$2:$D$310,MATCH(A1519,Users!$B$2:$B$310,0)),"")</f>
        <v>Band 4</v>
      </c>
      <c r="I1519" s="19" t="b">
        <f t="shared" si="70"/>
        <v>0</v>
      </c>
      <c r="J1519" s="33" t="str">
        <f t="shared" si="71"/>
        <v/>
      </c>
    </row>
    <row r="1520" spans="1:10">
      <c r="A1520" s="19" t="s">
        <v>242</v>
      </c>
      <c r="B1520" s="20">
        <v>45748</v>
      </c>
      <c r="C1520" s="21">
        <v>148</v>
      </c>
      <c r="D1520" s="21">
        <v>172.63694444444445</v>
      </c>
      <c r="E1520" s="21">
        <v>88.619999999999976</v>
      </c>
      <c r="F1520" s="27">
        <f t="shared" si="69"/>
        <v>1.1664658408408408</v>
      </c>
      <c r="G1520" s="21" t="str">
        <f>IFERROR(INDEX(Users!$A$2:$A$310,MATCH(A1520,Users!$B$2:$B$310,0)),"")</f>
        <v>Service C</v>
      </c>
      <c r="H1520" s="21" t="str">
        <f>IFERROR(INDEX(Users!$D$2:$D$310,MATCH(A1520,Users!$B$2:$B$310,0)),"")</f>
        <v>Band 4</v>
      </c>
      <c r="I1520" s="19" t="b">
        <f t="shared" si="70"/>
        <v>0</v>
      </c>
      <c r="J1520" s="33" t="str">
        <f t="shared" si="71"/>
        <v/>
      </c>
    </row>
    <row r="1521" spans="1:10">
      <c r="A1521" s="19" t="s">
        <v>242</v>
      </c>
      <c r="B1521" s="20">
        <v>45778</v>
      </c>
      <c r="C1521" s="21">
        <v>148</v>
      </c>
      <c r="D1521" s="21">
        <v>141.96916666666669</v>
      </c>
      <c r="E1521" s="21">
        <v>77.890000000000029</v>
      </c>
      <c r="F1521" s="27">
        <f t="shared" si="69"/>
        <v>0.95925112612612629</v>
      </c>
      <c r="G1521" s="21" t="str">
        <f>IFERROR(INDEX(Users!$A$2:$A$310,MATCH(A1521,Users!$B$2:$B$310,0)),"")</f>
        <v>Service C</v>
      </c>
      <c r="H1521" s="21" t="str">
        <f>IFERROR(INDEX(Users!$D$2:$D$310,MATCH(A1521,Users!$B$2:$B$310,0)),"")</f>
        <v>Band 4</v>
      </c>
      <c r="I1521" s="19" t="b">
        <f t="shared" si="70"/>
        <v>0</v>
      </c>
      <c r="J1521" s="33" t="str">
        <f t="shared" si="71"/>
        <v/>
      </c>
    </row>
    <row r="1522" spans="1:10">
      <c r="A1522" s="19" t="s">
        <v>242</v>
      </c>
      <c r="B1522" s="20">
        <v>45809</v>
      </c>
      <c r="C1522" s="21">
        <v>155.4</v>
      </c>
      <c r="D1522" s="21">
        <v>117.84</v>
      </c>
      <c r="E1522" s="21">
        <v>76.14</v>
      </c>
      <c r="F1522" s="27">
        <f t="shared" si="69"/>
        <v>0.7583011583011583</v>
      </c>
      <c r="G1522" s="21" t="str">
        <f>IFERROR(INDEX(Users!$A$2:$A$310,MATCH(A1522,Users!$B$2:$B$310,0)),"")</f>
        <v>Service C</v>
      </c>
      <c r="H1522" s="21" t="str">
        <f>IFERROR(INDEX(Users!$D$2:$D$310,MATCH(A1522,Users!$B$2:$B$310,0)),"")</f>
        <v>Band 4</v>
      </c>
      <c r="I1522" s="19" t="b">
        <f t="shared" si="70"/>
        <v>0</v>
      </c>
      <c r="J1522" s="33" t="str">
        <f t="shared" si="71"/>
        <v/>
      </c>
    </row>
    <row r="1523" spans="1:10">
      <c r="A1523" s="19" t="s">
        <v>242</v>
      </c>
      <c r="B1523" s="20">
        <v>45839</v>
      </c>
      <c r="C1523" s="21">
        <v>170.20000000000002</v>
      </c>
      <c r="D1523" s="21">
        <v>152.77666666666667</v>
      </c>
      <c r="E1523" s="21">
        <v>109.86</v>
      </c>
      <c r="F1523" s="27">
        <f t="shared" si="69"/>
        <v>0.89763023893458671</v>
      </c>
      <c r="G1523" s="21" t="str">
        <f>IFERROR(INDEX(Users!$A$2:$A$310,MATCH(A1523,Users!$B$2:$B$310,0)),"")</f>
        <v>Service C</v>
      </c>
      <c r="H1523" s="21" t="str">
        <f>IFERROR(INDEX(Users!$D$2:$D$310,MATCH(A1523,Users!$B$2:$B$310,0)),"")</f>
        <v>Band 4</v>
      </c>
      <c r="I1523" s="19" t="b">
        <f t="shared" si="70"/>
        <v>0</v>
      </c>
      <c r="J1523" s="33" t="str">
        <f t="shared" si="71"/>
        <v/>
      </c>
    </row>
    <row r="1524" spans="1:10">
      <c r="A1524" s="19" t="s">
        <v>242</v>
      </c>
      <c r="B1524" s="20">
        <v>45870</v>
      </c>
      <c r="C1524" s="21">
        <v>148</v>
      </c>
      <c r="D1524" s="21">
        <v>147.45333333333332</v>
      </c>
      <c r="E1524" s="21">
        <v>129.61999999999998</v>
      </c>
      <c r="F1524" s="27">
        <f t="shared" si="69"/>
        <v>0.99630630630630623</v>
      </c>
      <c r="G1524" s="21" t="str">
        <f>IFERROR(INDEX(Users!$A$2:$A$310,MATCH(A1524,Users!$B$2:$B$310,0)),"")</f>
        <v>Service C</v>
      </c>
      <c r="H1524" s="21" t="str">
        <f>IFERROR(INDEX(Users!$D$2:$D$310,MATCH(A1524,Users!$B$2:$B$310,0)),"")</f>
        <v>Band 4</v>
      </c>
      <c r="I1524" s="19" t="b">
        <f t="shared" si="70"/>
        <v>0</v>
      </c>
      <c r="J1524" s="33" t="str">
        <f t="shared" si="71"/>
        <v/>
      </c>
    </row>
    <row r="1525" spans="1:10">
      <c r="A1525" s="19" t="s">
        <v>242</v>
      </c>
      <c r="B1525" s="20">
        <v>45901</v>
      </c>
      <c r="C1525" s="21">
        <v>162.80000000000001</v>
      </c>
      <c r="D1525" s="21">
        <v>69.759999999999991</v>
      </c>
      <c r="E1525" s="21">
        <v>18.36</v>
      </c>
      <c r="F1525" s="27">
        <f t="shared" si="69"/>
        <v>0.4285012285012284</v>
      </c>
      <c r="G1525" s="21" t="str">
        <f>IFERROR(INDEX(Users!$A$2:$A$310,MATCH(A1525,Users!$B$2:$B$310,0)),"")</f>
        <v>Service C</v>
      </c>
      <c r="H1525" s="21" t="str">
        <f>IFERROR(INDEX(Users!$D$2:$D$310,MATCH(A1525,Users!$B$2:$B$310,0)),"")</f>
        <v>Band 4</v>
      </c>
      <c r="I1525" s="19" t="b">
        <f t="shared" si="70"/>
        <v>0</v>
      </c>
      <c r="J1525" s="33" t="str">
        <f t="shared" si="71"/>
        <v/>
      </c>
    </row>
    <row r="1526" spans="1:10">
      <c r="A1526" s="19" t="s">
        <v>242</v>
      </c>
      <c r="B1526" s="20">
        <v>45931</v>
      </c>
      <c r="C1526" s="21">
        <v>170.20000000000002</v>
      </c>
      <c r="D1526" s="21">
        <v>155.37</v>
      </c>
      <c r="E1526" s="21">
        <v>87.37</v>
      </c>
      <c r="F1526" s="27">
        <f t="shared" si="69"/>
        <v>0.912867215041128</v>
      </c>
      <c r="G1526" s="21" t="str">
        <f>IFERROR(INDEX(Users!$A$2:$A$310,MATCH(A1526,Users!$B$2:$B$310,0)),"")</f>
        <v>Service C</v>
      </c>
      <c r="H1526" s="21" t="str">
        <f>IFERROR(INDEX(Users!$D$2:$D$310,MATCH(A1526,Users!$B$2:$B$310,0)),"")</f>
        <v>Band 4</v>
      </c>
      <c r="I1526" s="19" t="b">
        <f t="shared" si="70"/>
        <v>0</v>
      </c>
      <c r="J1526" s="33" t="str">
        <f t="shared" si="71"/>
        <v/>
      </c>
    </row>
    <row r="1527" spans="1:10">
      <c r="A1527" s="19" t="s">
        <v>242</v>
      </c>
      <c r="B1527" s="20">
        <v>45962</v>
      </c>
      <c r="C1527" s="21">
        <v>148</v>
      </c>
      <c r="D1527" s="21">
        <v>110.86000000000001</v>
      </c>
      <c r="E1527" s="21">
        <v>69.36</v>
      </c>
      <c r="F1527" s="27">
        <f t="shared" si="69"/>
        <v>0.74905405405405412</v>
      </c>
      <c r="G1527" s="21" t="str">
        <f>IFERROR(INDEX(Users!$A$2:$A$310,MATCH(A1527,Users!$B$2:$B$310,0)),"")</f>
        <v>Service C</v>
      </c>
      <c r="H1527" s="21" t="str">
        <f>IFERROR(INDEX(Users!$D$2:$D$310,MATCH(A1527,Users!$B$2:$B$310,0)),"")</f>
        <v>Band 4</v>
      </c>
      <c r="I1527" s="19" t="b">
        <f t="shared" si="70"/>
        <v>0</v>
      </c>
      <c r="J1527" s="33" t="str">
        <f t="shared" si="71"/>
        <v/>
      </c>
    </row>
    <row r="1528" spans="1:10">
      <c r="A1528" s="19" t="s">
        <v>242</v>
      </c>
      <c r="B1528" s="20">
        <v>45992</v>
      </c>
      <c r="C1528" s="21">
        <v>155.4</v>
      </c>
      <c r="D1528" s="21">
        <v>123.83000000000001</v>
      </c>
      <c r="E1528" s="21">
        <v>72.330000000000013</v>
      </c>
      <c r="F1528" s="27">
        <f t="shared" si="69"/>
        <v>0.79684684684684692</v>
      </c>
      <c r="G1528" s="21" t="str">
        <f>IFERROR(INDEX(Users!$A$2:$A$310,MATCH(A1528,Users!$B$2:$B$310,0)),"")</f>
        <v>Service C</v>
      </c>
      <c r="H1528" s="21" t="str">
        <f>IFERROR(INDEX(Users!$D$2:$D$310,MATCH(A1528,Users!$B$2:$B$310,0)),"")</f>
        <v>Band 4</v>
      </c>
      <c r="I1528" s="19" t="b">
        <f t="shared" si="70"/>
        <v>0</v>
      </c>
      <c r="J1528" s="33" t="str">
        <f t="shared" si="71"/>
        <v/>
      </c>
    </row>
    <row r="1529" spans="1:10">
      <c r="A1529" s="19" t="s">
        <v>242</v>
      </c>
      <c r="B1529" s="20">
        <v>46023</v>
      </c>
      <c r="C1529" s="21">
        <v>155.4</v>
      </c>
      <c r="D1529" s="21">
        <v>152.02333333333331</v>
      </c>
      <c r="E1529" s="21">
        <v>86.19</v>
      </c>
      <c r="F1529" s="27">
        <f t="shared" si="69"/>
        <v>0.97827112827112805</v>
      </c>
      <c r="G1529" s="21" t="str">
        <f>IFERROR(INDEX(Users!$A$2:$A$310,MATCH(A1529,Users!$B$2:$B$310,0)),"")</f>
        <v>Service C</v>
      </c>
      <c r="H1529" s="21" t="str">
        <f>IFERROR(INDEX(Users!$D$2:$D$310,MATCH(A1529,Users!$B$2:$B$310,0)),"")</f>
        <v>Band 4</v>
      </c>
      <c r="I1529" s="19" t="b">
        <f t="shared" si="70"/>
        <v>0</v>
      </c>
      <c r="J1529" s="33" t="str">
        <f t="shared" si="71"/>
        <v/>
      </c>
    </row>
    <row r="1530" spans="1:10">
      <c r="A1530" s="19" t="s">
        <v>244</v>
      </c>
      <c r="B1530" s="20">
        <v>45839</v>
      </c>
      <c r="C1530" s="21">
        <v>66.600000000000009</v>
      </c>
      <c r="D1530" s="21">
        <v>64.154166666666669</v>
      </c>
      <c r="E1530" s="21">
        <v>2</v>
      </c>
      <c r="F1530" s="27">
        <f t="shared" si="69"/>
        <v>0.96327577577577572</v>
      </c>
      <c r="G1530" s="21" t="str">
        <f>IFERROR(INDEX(Users!$A$2:$A$310,MATCH(A1530,Users!$B$2:$B$310,0)),"")</f>
        <v>Service D</v>
      </c>
      <c r="H1530" s="21" t="str">
        <f>IFERROR(INDEX(Users!$D$2:$D$310,MATCH(A1530,Users!$B$2:$B$310,0)),"")</f>
        <v>Band 3</v>
      </c>
      <c r="I1530" s="19" t="b">
        <f t="shared" si="70"/>
        <v>0</v>
      </c>
      <c r="J1530" s="33" t="str">
        <f t="shared" si="71"/>
        <v/>
      </c>
    </row>
    <row r="1531" spans="1:10">
      <c r="A1531" s="19" t="s">
        <v>244</v>
      </c>
      <c r="B1531" s="20">
        <v>45870</v>
      </c>
      <c r="C1531" s="21">
        <v>148</v>
      </c>
      <c r="D1531" s="21">
        <v>128.54722222222225</v>
      </c>
      <c r="E1531" s="21">
        <v>12.16</v>
      </c>
      <c r="F1531" s="27">
        <f t="shared" si="69"/>
        <v>0.86856231231231251</v>
      </c>
      <c r="G1531" s="21" t="str">
        <f>IFERROR(INDEX(Users!$A$2:$A$310,MATCH(A1531,Users!$B$2:$B$310,0)),"")</f>
        <v>Service D</v>
      </c>
      <c r="H1531" s="21" t="str">
        <f>IFERROR(INDEX(Users!$D$2:$D$310,MATCH(A1531,Users!$B$2:$B$310,0)),"")</f>
        <v>Band 3</v>
      </c>
      <c r="I1531" s="19" t="b">
        <f t="shared" si="70"/>
        <v>0</v>
      </c>
      <c r="J1531" s="33" t="str">
        <f t="shared" si="71"/>
        <v/>
      </c>
    </row>
    <row r="1532" spans="1:10">
      <c r="A1532" s="19" t="s">
        <v>244</v>
      </c>
      <c r="B1532" s="20">
        <v>45901</v>
      </c>
      <c r="C1532" s="21">
        <v>162.80000000000001</v>
      </c>
      <c r="D1532" s="21">
        <v>115.15666666666668</v>
      </c>
      <c r="E1532" s="21">
        <v>35.83</v>
      </c>
      <c r="F1532" s="27">
        <f t="shared" si="69"/>
        <v>0.70735053235053236</v>
      </c>
      <c r="G1532" s="21" t="str">
        <f>IFERROR(INDEX(Users!$A$2:$A$310,MATCH(A1532,Users!$B$2:$B$310,0)),"")</f>
        <v>Service D</v>
      </c>
      <c r="H1532" s="21" t="str">
        <f>IFERROR(INDEX(Users!$D$2:$D$310,MATCH(A1532,Users!$B$2:$B$310,0)),"")</f>
        <v>Band 3</v>
      </c>
      <c r="I1532" s="19" t="b">
        <f t="shared" si="70"/>
        <v>0</v>
      </c>
      <c r="J1532" s="33" t="str">
        <f t="shared" si="71"/>
        <v/>
      </c>
    </row>
    <row r="1533" spans="1:10">
      <c r="A1533" s="19" t="s">
        <v>244</v>
      </c>
      <c r="B1533" s="20">
        <v>45931</v>
      </c>
      <c r="C1533" s="21">
        <v>170.20000000000002</v>
      </c>
      <c r="D1533" s="21">
        <v>105.22111111111111</v>
      </c>
      <c r="E1533" s="21">
        <v>8</v>
      </c>
      <c r="F1533" s="27">
        <f t="shared" si="69"/>
        <v>0.61822039430735076</v>
      </c>
      <c r="G1533" s="21" t="str">
        <f>IFERROR(INDEX(Users!$A$2:$A$310,MATCH(A1533,Users!$B$2:$B$310,0)),"")</f>
        <v>Service D</v>
      </c>
      <c r="H1533" s="21" t="str">
        <f>IFERROR(INDEX(Users!$D$2:$D$310,MATCH(A1533,Users!$B$2:$B$310,0)),"")</f>
        <v>Band 3</v>
      </c>
      <c r="I1533" s="19" t="b">
        <f t="shared" si="70"/>
        <v>0</v>
      </c>
      <c r="J1533" s="33" t="str">
        <f t="shared" si="71"/>
        <v/>
      </c>
    </row>
    <row r="1534" spans="1:10">
      <c r="A1534" s="19" t="s">
        <v>244</v>
      </c>
      <c r="B1534" s="20">
        <v>45962</v>
      </c>
      <c r="C1534" s="21">
        <v>148</v>
      </c>
      <c r="D1534" s="21">
        <v>59.449722222222221</v>
      </c>
      <c r="E1534" s="21">
        <v>3.5</v>
      </c>
      <c r="F1534" s="27">
        <f t="shared" si="69"/>
        <v>0.40168731231231231</v>
      </c>
      <c r="G1534" s="21" t="str">
        <f>IFERROR(INDEX(Users!$A$2:$A$310,MATCH(A1534,Users!$B$2:$B$310,0)),"")</f>
        <v>Service D</v>
      </c>
      <c r="H1534" s="21" t="str">
        <f>IFERROR(INDEX(Users!$D$2:$D$310,MATCH(A1534,Users!$B$2:$B$310,0)),"")</f>
        <v>Band 3</v>
      </c>
      <c r="I1534" s="19" t="b">
        <f t="shared" si="70"/>
        <v>0</v>
      </c>
      <c r="J1534" s="33" t="str">
        <f t="shared" si="71"/>
        <v/>
      </c>
    </row>
    <row r="1535" spans="1:10">
      <c r="A1535" s="19" t="s">
        <v>244</v>
      </c>
      <c r="B1535" s="20">
        <v>45992</v>
      </c>
      <c r="C1535" s="21">
        <v>155.4</v>
      </c>
      <c r="D1535" s="21">
        <v>101.88111111111112</v>
      </c>
      <c r="E1535" s="21">
        <v>10.33</v>
      </c>
      <c r="F1535" s="27">
        <f t="shared" si="69"/>
        <v>0.65560560560560566</v>
      </c>
      <c r="G1535" s="21" t="str">
        <f>IFERROR(INDEX(Users!$A$2:$A$310,MATCH(A1535,Users!$B$2:$B$310,0)),"")</f>
        <v>Service D</v>
      </c>
      <c r="H1535" s="21" t="str">
        <f>IFERROR(INDEX(Users!$D$2:$D$310,MATCH(A1535,Users!$B$2:$B$310,0)),"")</f>
        <v>Band 3</v>
      </c>
      <c r="I1535" s="19" t="b">
        <f t="shared" si="70"/>
        <v>0</v>
      </c>
      <c r="J1535" s="33" t="str">
        <f t="shared" si="71"/>
        <v/>
      </c>
    </row>
    <row r="1536" spans="1:10">
      <c r="A1536" s="19" t="s">
        <v>244</v>
      </c>
      <c r="B1536" s="20">
        <v>46023</v>
      </c>
      <c r="C1536" s="21">
        <v>155.4</v>
      </c>
      <c r="D1536" s="21">
        <v>112.9677777777778</v>
      </c>
      <c r="E1536" s="21">
        <v>10</v>
      </c>
      <c r="F1536" s="27">
        <f t="shared" si="69"/>
        <v>0.726948376948377</v>
      </c>
      <c r="G1536" s="21" t="str">
        <f>IFERROR(INDEX(Users!$A$2:$A$310,MATCH(A1536,Users!$B$2:$B$310,0)),"")</f>
        <v>Service D</v>
      </c>
      <c r="H1536" s="21" t="str">
        <f>IFERROR(INDEX(Users!$D$2:$D$310,MATCH(A1536,Users!$B$2:$B$310,0)),"")</f>
        <v>Band 3</v>
      </c>
      <c r="I1536" s="19" t="b">
        <f t="shared" si="70"/>
        <v>0</v>
      </c>
      <c r="J1536" s="33" t="str">
        <f t="shared" si="71"/>
        <v/>
      </c>
    </row>
    <row r="1537" spans="1:10">
      <c r="A1537" s="19" t="s">
        <v>247</v>
      </c>
      <c r="B1537" s="20">
        <v>45658</v>
      </c>
      <c r="C1537" s="21">
        <v>162.79999999999998</v>
      </c>
      <c r="D1537" s="21">
        <v>144.24000000000004</v>
      </c>
      <c r="E1537" s="21">
        <v>101.04000000000003</v>
      </c>
      <c r="F1537" s="27">
        <f t="shared" si="69"/>
        <v>0.88599508599508636</v>
      </c>
      <c r="G1537" s="21" t="str">
        <f>IFERROR(INDEX(Users!$A$2:$A$310,MATCH(A1537,Users!$B$2:$B$310,0)),"")</f>
        <v>Service B</v>
      </c>
      <c r="H1537" s="21" t="str">
        <f>IFERROR(INDEX(Users!$D$2:$D$310,MATCH(A1537,Users!$B$2:$B$310,0)),"")</f>
        <v>Band 5</v>
      </c>
      <c r="I1537" s="19" t="b">
        <f t="shared" si="70"/>
        <v>0</v>
      </c>
      <c r="J1537" s="33">
        <f t="shared" si="71"/>
        <v>0.88599508599508636</v>
      </c>
    </row>
    <row r="1538" spans="1:10">
      <c r="A1538" s="19" t="s">
        <v>247</v>
      </c>
      <c r="B1538" s="20">
        <v>45689</v>
      </c>
      <c r="C1538" s="21">
        <v>148</v>
      </c>
      <c r="D1538" s="21">
        <v>130.06666666666672</v>
      </c>
      <c r="E1538" s="21">
        <v>97.400000000000034</v>
      </c>
      <c r="F1538" s="27">
        <f t="shared" ref="F1538:F1601" si="72">IFERROR(IF(OR(C1538="",D1538="",C1538=0),"",D1538/C1538),"")</f>
        <v>0.87882882882882918</v>
      </c>
      <c r="G1538" s="21" t="str">
        <f>IFERROR(INDEX(Users!$A$2:$A$310,MATCH(A1538,Users!$B$2:$B$310,0)),"")</f>
        <v>Service B</v>
      </c>
      <c r="H1538" s="21" t="str">
        <f>IFERROR(INDEX(Users!$D$2:$D$310,MATCH(A1538,Users!$B$2:$B$310,0)),"")</f>
        <v>Band 5</v>
      </c>
      <c r="I1538" s="19" t="b">
        <f t="shared" ref="I1538:I1601" si="73">AND(G1538="Service A",H1538="Band 3")</f>
        <v>0</v>
      </c>
      <c r="J1538" s="33">
        <f t="shared" ref="J1538:J1601" si="74">IF(AND(B1538&gt;=DATE(2025,1,1),B1538&lt;DATE(2026,1,1),G1538="Service B",OR(H1538="Band 3",H1538="Band 5"),ISNUMBER(F1538)),F1538,"")</f>
        <v>0.87882882882882918</v>
      </c>
    </row>
    <row r="1539" spans="1:10">
      <c r="A1539" s="19" t="s">
        <v>247</v>
      </c>
      <c r="B1539" s="20">
        <v>45717</v>
      </c>
      <c r="C1539" s="21">
        <v>155.4</v>
      </c>
      <c r="D1539" s="21">
        <v>141.40000000000003</v>
      </c>
      <c r="E1539" s="21">
        <v>101.15000000000003</v>
      </c>
      <c r="F1539" s="27">
        <f t="shared" si="72"/>
        <v>0.90990990990991005</v>
      </c>
      <c r="G1539" s="21" t="str">
        <f>IFERROR(INDEX(Users!$A$2:$A$310,MATCH(A1539,Users!$B$2:$B$310,0)),"")</f>
        <v>Service B</v>
      </c>
      <c r="H1539" s="21" t="str">
        <f>IFERROR(INDEX(Users!$D$2:$D$310,MATCH(A1539,Users!$B$2:$B$310,0)),"")</f>
        <v>Band 5</v>
      </c>
      <c r="I1539" s="19" t="b">
        <f t="shared" si="73"/>
        <v>0</v>
      </c>
      <c r="J1539" s="33">
        <f t="shared" si="74"/>
        <v>0.90990990990991005</v>
      </c>
    </row>
    <row r="1540" spans="1:10">
      <c r="A1540" s="19" t="s">
        <v>247</v>
      </c>
      <c r="B1540" s="20">
        <v>45748</v>
      </c>
      <c r="C1540" s="21">
        <v>148</v>
      </c>
      <c r="D1540" s="21">
        <v>129.13333333333333</v>
      </c>
      <c r="E1540" s="21">
        <v>69.05</v>
      </c>
      <c r="F1540" s="27">
        <f t="shared" si="72"/>
        <v>0.87252252252252249</v>
      </c>
      <c r="G1540" s="21" t="str">
        <f>IFERROR(INDEX(Users!$A$2:$A$310,MATCH(A1540,Users!$B$2:$B$310,0)),"")</f>
        <v>Service B</v>
      </c>
      <c r="H1540" s="21" t="str">
        <f>IFERROR(INDEX(Users!$D$2:$D$310,MATCH(A1540,Users!$B$2:$B$310,0)),"")</f>
        <v>Band 5</v>
      </c>
      <c r="I1540" s="19" t="b">
        <f t="shared" si="73"/>
        <v>0</v>
      </c>
      <c r="J1540" s="33">
        <f t="shared" si="74"/>
        <v>0.87252252252252249</v>
      </c>
    </row>
    <row r="1541" spans="1:10">
      <c r="A1541" s="19" t="s">
        <v>247</v>
      </c>
      <c r="B1541" s="20">
        <v>45778</v>
      </c>
      <c r="C1541" s="21">
        <v>148</v>
      </c>
      <c r="D1541" s="21">
        <v>130.07666666666663</v>
      </c>
      <c r="E1541" s="21">
        <v>91.95999999999998</v>
      </c>
      <c r="F1541" s="27">
        <f t="shared" si="72"/>
        <v>0.87889639639639616</v>
      </c>
      <c r="G1541" s="21" t="str">
        <f>IFERROR(INDEX(Users!$A$2:$A$310,MATCH(A1541,Users!$B$2:$B$310,0)),"")</f>
        <v>Service B</v>
      </c>
      <c r="H1541" s="21" t="str">
        <f>IFERROR(INDEX(Users!$D$2:$D$310,MATCH(A1541,Users!$B$2:$B$310,0)),"")</f>
        <v>Band 5</v>
      </c>
      <c r="I1541" s="19" t="b">
        <f t="shared" si="73"/>
        <v>0</v>
      </c>
      <c r="J1541" s="33">
        <f t="shared" si="74"/>
        <v>0.87889639639639616</v>
      </c>
    </row>
    <row r="1542" spans="1:10">
      <c r="A1542" s="19" t="s">
        <v>247</v>
      </c>
      <c r="B1542" s="20">
        <v>45809</v>
      </c>
      <c r="C1542" s="21">
        <v>155.4</v>
      </c>
      <c r="D1542" s="21">
        <v>94.850000000000023</v>
      </c>
      <c r="E1542" s="21">
        <v>74.850000000000023</v>
      </c>
      <c r="F1542" s="27">
        <f t="shared" si="72"/>
        <v>0.61036036036036045</v>
      </c>
      <c r="G1542" s="21" t="str">
        <f>IFERROR(INDEX(Users!$A$2:$A$310,MATCH(A1542,Users!$B$2:$B$310,0)),"")</f>
        <v>Service B</v>
      </c>
      <c r="H1542" s="21" t="str">
        <f>IFERROR(INDEX(Users!$D$2:$D$310,MATCH(A1542,Users!$B$2:$B$310,0)),"")</f>
        <v>Band 5</v>
      </c>
      <c r="I1542" s="19" t="b">
        <f t="shared" si="73"/>
        <v>0</v>
      </c>
      <c r="J1542" s="33">
        <f t="shared" si="74"/>
        <v>0.61036036036036045</v>
      </c>
    </row>
    <row r="1543" spans="1:10">
      <c r="A1543" s="19" t="s">
        <v>247</v>
      </c>
      <c r="B1543" s="20">
        <v>45839</v>
      </c>
      <c r="C1543" s="21">
        <v>170.2</v>
      </c>
      <c r="D1543" s="21">
        <v>143.40333333333334</v>
      </c>
      <c r="E1543" s="21">
        <v>111.07000000000001</v>
      </c>
      <c r="F1543" s="27">
        <f t="shared" si="72"/>
        <v>0.8425577751664709</v>
      </c>
      <c r="G1543" s="21" t="str">
        <f>IFERROR(INDEX(Users!$A$2:$A$310,MATCH(A1543,Users!$B$2:$B$310,0)),"")</f>
        <v>Service B</v>
      </c>
      <c r="H1543" s="21" t="str">
        <f>IFERROR(INDEX(Users!$D$2:$D$310,MATCH(A1543,Users!$B$2:$B$310,0)),"")</f>
        <v>Band 5</v>
      </c>
      <c r="I1543" s="19" t="b">
        <f t="shared" si="73"/>
        <v>0</v>
      </c>
      <c r="J1543" s="33">
        <f t="shared" si="74"/>
        <v>0.8425577751664709</v>
      </c>
    </row>
    <row r="1544" spans="1:10">
      <c r="A1544" s="19" t="s">
        <v>247</v>
      </c>
      <c r="B1544" s="20">
        <v>45870</v>
      </c>
      <c r="C1544" s="21">
        <v>148</v>
      </c>
      <c r="D1544" s="21">
        <v>117.89333333333343</v>
      </c>
      <c r="E1544" s="21">
        <v>93.76000000000009</v>
      </c>
      <c r="F1544" s="27">
        <f t="shared" si="72"/>
        <v>0.79657657657657721</v>
      </c>
      <c r="G1544" s="21" t="str">
        <f>IFERROR(INDEX(Users!$A$2:$A$310,MATCH(A1544,Users!$B$2:$B$310,0)),"")</f>
        <v>Service B</v>
      </c>
      <c r="H1544" s="21" t="str">
        <f>IFERROR(INDEX(Users!$D$2:$D$310,MATCH(A1544,Users!$B$2:$B$310,0)),"")</f>
        <v>Band 5</v>
      </c>
      <c r="I1544" s="19" t="b">
        <f t="shared" si="73"/>
        <v>0</v>
      </c>
      <c r="J1544" s="33">
        <f t="shared" si="74"/>
        <v>0.79657657657657721</v>
      </c>
    </row>
    <row r="1545" spans="1:10">
      <c r="A1545" s="19" t="s">
        <v>247</v>
      </c>
      <c r="B1545" s="20">
        <v>45901</v>
      </c>
      <c r="C1545" s="21">
        <v>162.80000000000001</v>
      </c>
      <c r="D1545" s="21">
        <v>133.77333333333331</v>
      </c>
      <c r="E1545" s="21">
        <v>81.639999999999972</v>
      </c>
      <c r="F1545" s="27">
        <f t="shared" si="72"/>
        <v>0.82170352170352157</v>
      </c>
      <c r="G1545" s="21" t="str">
        <f>IFERROR(INDEX(Users!$A$2:$A$310,MATCH(A1545,Users!$B$2:$B$310,0)),"")</f>
        <v>Service B</v>
      </c>
      <c r="H1545" s="21" t="str">
        <f>IFERROR(INDEX(Users!$D$2:$D$310,MATCH(A1545,Users!$B$2:$B$310,0)),"")</f>
        <v>Band 5</v>
      </c>
      <c r="I1545" s="19" t="b">
        <f t="shared" si="73"/>
        <v>0</v>
      </c>
      <c r="J1545" s="33">
        <f t="shared" si="74"/>
        <v>0.82170352170352157</v>
      </c>
    </row>
    <row r="1546" spans="1:10">
      <c r="A1546" s="19" t="s">
        <v>247</v>
      </c>
      <c r="B1546" s="20">
        <v>45931</v>
      </c>
      <c r="C1546" s="21">
        <v>170.2</v>
      </c>
      <c r="D1546" s="21">
        <v>173.90333333333334</v>
      </c>
      <c r="E1546" s="21">
        <v>110.26999999999998</v>
      </c>
      <c r="F1546" s="27">
        <f t="shared" si="72"/>
        <v>1.0217587152369763</v>
      </c>
      <c r="G1546" s="21" t="str">
        <f>IFERROR(INDEX(Users!$A$2:$A$310,MATCH(A1546,Users!$B$2:$B$310,0)),"")</f>
        <v>Service B</v>
      </c>
      <c r="H1546" s="21" t="str">
        <f>IFERROR(INDEX(Users!$D$2:$D$310,MATCH(A1546,Users!$B$2:$B$310,0)),"")</f>
        <v>Band 5</v>
      </c>
      <c r="I1546" s="19" t="b">
        <f t="shared" si="73"/>
        <v>0</v>
      </c>
      <c r="J1546" s="33">
        <f t="shared" si="74"/>
        <v>1.0217587152369763</v>
      </c>
    </row>
    <row r="1547" spans="1:10">
      <c r="A1547" s="19" t="s">
        <v>247</v>
      </c>
      <c r="B1547" s="20">
        <v>45962</v>
      </c>
      <c r="C1547" s="21">
        <v>148</v>
      </c>
      <c r="D1547" s="21">
        <v>140.40333333333331</v>
      </c>
      <c r="E1547" s="21">
        <v>92.569999999999979</v>
      </c>
      <c r="F1547" s="27">
        <f t="shared" si="72"/>
        <v>0.94867117117117095</v>
      </c>
      <c r="G1547" s="21" t="str">
        <f>IFERROR(INDEX(Users!$A$2:$A$310,MATCH(A1547,Users!$B$2:$B$310,0)),"")</f>
        <v>Service B</v>
      </c>
      <c r="H1547" s="21" t="str">
        <f>IFERROR(INDEX(Users!$D$2:$D$310,MATCH(A1547,Users!$B$2:$B$310,0)),"")</f>
        <v>Band 5</v>
      </c>
      <c r="I1547" s="19" t="b">
        <f t="shared" si="73"/>
        <v>0</v>
      </c>
      <c r="J1547" s="33">
        <f t="shared" si="74"/>
        <v>0.94867117117117095</v>
      </c>
    </row>
    <row r="1548" spans="1:10">
      <c r="A1548" s="19" t="s">
        <v>247</v>
      </c>
      <c r="B1548" s="20">
        <v>45992</v>
      </c>
      <c r="C1548" s="21">
        <v>155.4</v>
      </c>
      <c r="D1548" s="21">
        <v>101.38999999999999</v>
      </c>
      <c r="E1548" s="21">
        <v>72.789999999999992</v>
      </c>
      <c r="F1548" s="27">
        <f t="shared" si="72"/>
        <v>0.6524453024453023</v>
      </c>
      <c r="G1548" s="21" t="str">
        <f>IFERROR(INDEX(Users!$A$2:$A$310,MATCH(A1548,Users!$B$2:$B$310,0)),"")</f>
        <v>Service B</v>
      </c>
      <c r="H1548" s="21" t="str">
        <f>IFERROR(INDEX(Users!$D$2:$D$310,MATCH(A1548,Users!$B$2:$B$310,0)),"")</f>
        <v>Band 5</v>
      </c>
      <c r="I1548" s="19" t="b">
        <f t="shared" si="73"/>
        <v>0</v>
      </c>
      <c r="J1548" s="33">
        <f t="shared" si="74"/>
        <v>0.6524453024453023</v>
      </c>
    </row>
    <row r="1549" spans="1:10">
      <c r="A1549" s="19" t="s">
        <v>247</v>
      </c>
      <c r="B1549" s="20">
        <v>46023</v>
      </c>
      <c r="C1549" s="21">
        <v>155.39999999999998</v>
      </c>
      <c r="D1549" s="21">
        <v>152.09666666666664</v>
      </c>
      <c r="E1549" s="21">
        <v>92.629999999999981</v>
      </c>
      <c r="F1549" s="27">
        <f t="shared" si="72"/>
        <v>0.97874302874302865</v>
      </c>
      <c r="G1549" s="21" t="str">
        <f>IFERROR(INDEX(Users!$A$2:$A$310,MATCH(A1549,Users!$B$2:$B$310,0)),"")</f>
        <v>Service B</v>
      </c>
      <c r="H1549" s="21" t="str">
        <f>IFERROR(INDEX(Users!$D$2:$D$310,MATCH(A1549,Users!$B$2:$B$310,0)),"")</f>
        <v>Band 5</v>
      </c>
      <c r="I1549" s="19" t="b">
        <f t="shared" si="73"/>
        <v>0</v>
      </c>
      <c r="J1549" s="33" t="str">
        <f t="shared" si="74"/>
        <v/>
      </c>
    </row>
    <row r="1550" spans="1:10">
      <c r="A1550" s="19" t="s">
        <v>248</v>
      </c>
      <c r="B1550" s="20">
        <v>45658</v>
      </c>
      <c r="C1550" s="21">
        <v>113.96</v>
      </c>
      <c r="D1550" s="21">
        <v>152.82</v>
      </c>
      <c r="E1550" s="21">
        <v>55.57</v>
      </c>
      <c r="F1550" s="27">
        <f t="shared" si="72"/>
        <v>1.3409968409968409</v>
      </c>
      <c r="G1550" s="21" t="str">
        <f>IFERROR(INDEX(Users!$A$2:$A$310,MATCH(A1550,Users!$B$2:$B$310,0)),"")</f>
        <v>Service A</v>
      </c>
      <c r="H1550" s="21" t="str">
        <f>IFERROR(INDEX(Users!$D$2:$D$310,MATCH(A1550,Users!$B$2:$B$310,0)),"")</f>
        <v>Band 5</v>
      </c>
      <c r="I1550" s="19" t="b">
        <f t="shared" si="73"/>
        <v>0</v>
      </c>
      <c r="J1550" s="33" t="str">
        <f t="shared" si="74"/>
        <v/>
      </c>
    </row>
    <row r="1551" spans="1:10">
      <c r="A1551" s="19" t="s">
        <v>248</v>
      </c>
      <c r="B1551" s="20">
        <v>45689</v>
      </c>
      <c r="C1551" s="21">
        <v>103.6</v>
      </c>
      <c r="D1551" s="21">
        <v>117.04666666666668</v>
      </c>
      <c r="E1551" s="21">
        <v>49.38000000000001</v>
      </c>
      <c r="F1551" s="27">
        <f t="shared" si="72"/>
        <v>1.12979407979408</v>
      </c>
      <c r="G1551" s="21" t="str">
        <f>IFERROR(INDEX(Users!$A$2:$A$310,MATCH(A1551,Users!$B$2:$B$310,0)),"")</f>
        <v>Service A</v>
      </c>
      <c r="H1551" s="21" t="str">
        <f>IFERROR(INDEX(Users!$D$2:$D$310,MATCH(A1551,Users!$B$2:$B$310,0)),"")</f>
        <v>Band 5</v>
      </c>
      <c r="I1551" s="19" t="b">
        <f t="shared" si="73"/>
        <v>0</v>
      </c>
      <c r="J1551" s="33" t="str">
        <f t="shared" si="74"/>
        <v/>
      </c>
    </row>
    <row r="1552" spans="1:10">
      <c r="A1552" s="19" t="s">
        <v>248</v>
      </c>
      <c r="B1552" s="20">
        <v>45717</v>
      </c>
      <c r="C1552" s="21">
        <v>108.78</v>
      </c>
      <c r="D1552" s="21">
        <v>111.45</v>
      </c>
      <c r="E1552" s="21">
        <v>44.7</v>
      </c>
      <c r="F1552" s="27">
        <f t="shared" si="72"/>
        <v>1.0245449531163817</v>
      </c>
      <c r="G1552" s="21" t="str">
        <f>IFERROR(INDEX(Users!$A$2:$A$310,MATCH(A1552,Users!$B$2:$B$310,0)),"")</f>
        <v>Service A</v>
      </c>
      <c r="H1552" s="21" t="str">
        <f>IFERROR(INDEX(Users!$D$2:$D$310,MATCH(A1552,Users!$B$2:$B$310,0)),"")</f>
        <v>Band 5</v>
      </c>
      <c r="I1552" s="19" t="b">
        <f t="shared" si="73"/>
        <v>0</v>
      </c>
      <c r="J1552" s="33" t="str">
        <f t="shared" si="74"/>
        <v/>
      </c>
    </row>
    <row r="1553" spans="1:10">
      <c r="A1553" s="19" t="s">
        <v>248</v>
      </c>
      <c r="B1553" s="20">
        <v>45748</v>
      </c>
      <c r="C1553" s="21">
        <v>103.6</v>
      </c>
      <c r="D1553" s="21">
        <v>69.400000000000006</v>
      </c>
      <c r="E1553" s="21">
        <v>30.15</v>
      </c>
      <c r="F1553" s="27">
        <f t="shared" si="72"/>
        <v>0.66988416988416999</v>
      </c>
      <c r="G1553" s="21" t="str">
        <f>IFERROR(INDEX(Users!$A$2:$A$310,MATCH(A1553,Users!$B$2:$B$310,0)),"")</f>
        <v>Service A</v>
      </c>
      <c r="H1553" s="21" t="str">
        <f>IFERROR(INDEX(Users!$D$2:$D$310,MATCH(A1553,Users!$B$2:$B$310,0)),"")</f>
        <v>Band 5</v>
      </c>
      <c r="I1553" s="19" t="b">
        <f t="shared" si="73"/>
        <v>0</v>
      </c>
      <c r="J1553" s="33" t="str">
        <f t="shared" si="74"/>
        <v/>
      </c>
    </row>
    <row r="1554" spans="1:10">
      <c r="A1554" s="19" t="s">
        <v>248</v>
      </c>
      <c r="B1554" s="20">
        <v>45778</v>
      </c>
      <c r="C1554" s="21">
        <v>103.6</v>
      </c>
      <c r="D1554" s="21">
        <v>83.473333333333329</v>
      </c>
      <c r="E1554" s="21">
        <v>49.64</v>
      </c>
      <c r="F1554" s="27">
        <f t="shared" si="72"/>
        <v>0.8057271557271557</v>
      </c>
      <c r="G1554" s="21" t="str">
        <f>IFERROR(INDEX(Users!$A$2:$A$310,MATCH(A1554,Users!$B$2:$B$310,0)),"")</f>
        <v>Service A</v>
      </c>
      <c r="H1554" s="21" t="str">
        <f>IFERROR(INDEX(Users!$D$2:$D$310,MATCH(A1554,Users!$B$2:$B$310,0)),"")</f>
        <v>Band 5</v>
      </c>
      <c r="I1554" s="19" t="b">
        <f t="shared" si="73"/>
        <v>0</v>
      </c>
      <c r="J1554" s="33" t="str">
        <f t="shared" si="74"/>
        <v/>
      </c>
    </row>
    <row r="1555" spans="1:10">
      <c r="A1555" s="19" t="s">
        <v>248</v>
      </c>
      <c r="B1555" s="20">
        <v>45809</v>
      </c>
      <c r="C1555" s="21">
        <v>108.78</v>
      </c>
      <c r="D1555" s="21">
        <v>120.56</v>
      </c>
      <c r="E1555" s="21">
        <v>46.06</v>
      </c>
      <c r="F1555" s="27">
        <f t="shared" si="72"/>
        <v>1.1082919654348227</v>
      </c>
      <c r="G1555" s="21" t="str">
        <f>IFERROR(INDEX(Users!$A$2:$A$310,MATCH(A1555,Users!$B$2:$B$310,0)),"")</f>
        <v>Service A</v>
      </c>
      <c r="H1555" s="21" t="str">
        <f>IFERROR(INDEX(Users!$D$2:$D$310,MATCH(A1555,Users!$B$2:$B$310,0)),"")</f>
        <v>Band 5</v>
      </c>
      <c r="I1555" s="19" t="b">
        <f t="shared" si="73"/>
        <v>0</v>
      </c>
      <c r="J1555" s="33" t="str">
        <f t="shared" si="74"/>
        <v/>
      </c>
    </row>
    <row r="1556" spans="1:10">
      <c r="A1556" s="19" t="s">
        <v>248</v>
      </c>
      <c r="B1556" s="20">
        <v>45839</v>
      </c>
      <c r="C1556" s="21">
        <v>119.13999999999999</v>
      </c>
      <c r="D1556" s="21">
        <v>98.57</v>
      </c>
      <c r="E1556" s="21">
        <v>46.07</v>
      </c>
      <c r="F1556" s="27">
        <f t="shared" si="72"/>
        <v>0.82734597951989264</v>
      </c>
      <c r="G1556" s="21" t="str">
        <f>IFERROR(INDEX(Users!$A$2:$A$310,MATCH(A1556,Users!$B$2:$B$310,0)),"")</f>
        <v>Service A</v>
      </c>
      <c r="H1556" s="21" t="str">
        <f>IFERROR(INDEX(Users!$D$2:$D$310,MATCH(A1556,Users!$B$2:$B$310,0)),"")</f>
        <v>Band 5</v>
      </c>
      <c r="I1556" s="19" t="b">
        <f t="shared" si="73"/>
        <v>0</v>
      </c>
      <c r="J1556" s="33" t="str">
        <f t="shared" si="74"/>
        <v/>
      </c>
    </row>
    <row r="1557" spans="1:10">
      <c r="A1557" s="19" t="s">
        <v>248</v>
      </c>
      <c r="B1557" s="20">
        <v>45870</v>
      </c>
      <c r="C1557" s="21">
        <v>103.6</v>
      </c>
      <c r="D1557" s="21"/>
      <c r="E1557" s="21"/>
      <c r="F1557" s="27" t="str">
        <f t="shared" si="72"/>
        <v/>
      </c>
      <c r="G1557" s="21" t="str">
        <f>IFERROR(INDEX(Users!$A$2:$A$310,MATCH(A1557,Users!$B$2:$B$310,0)),"")</f>
        <v>Service A</v>
      </c>
      <c r="H1557" s="21" t="str">
        <f>IFERROR(INDEX(Users!$D$2:$D$310,MATCH(A1557,Users!$B$2:$B$310,0)),"")</f>
        <v>Band 5</v>
      </c>
      <c r="I1557" s="19" t="b">
        <f t="shared" si="73"/>
        <v>0</v>
      </c>
      <c r="J1557" s="33" t="str">
        <f t="shared" si="74"/>
        <v/>
      </c>
    </row>
    <row r="1558" spans="1:10">
      <c r="A1558" s="19" t="s">
        <v>248</v>
      </c>
      <c r="B1558" s="20">
        <v>45901</v>
      </c>
      <c r="C1558" s="21">
        <v>113.96</v>
      </c>
      <c r="D1558" s="21">
        <v>150.22</v>
      </c>
      <c r="E1558" s="21">
        <v>65.72</v>
      </c>
      <c r="F1558" s="27">
        <f t="shared" si="72"/>
        <v>1.3181818181818183</v>
      </c>
      <c r="G1558" s="21" t="str">
        <f>IFERROR(INDEX(Users!$A$2:$A$310,MATCH(A1558,Users!$B$2:$B$310,0)),"")</f>
        <v>Service A</v>
      </c>
      <c r="H1558" s="21" t="str">
        <f>IFERROR(INDEX(Users!$D$2:$D$310,MATCH(A1558,Users!$B$2:$B$310,0)),"")</f>
        <v>Band 5</v>
      </c>
      <c r="I1558" s="19" t="b">
        <f t="shared" si="73"/>
        <v>0</v>
      </c>
      <c r="J1558" s="33" t="str">
        <f t="shared" si="74"/>
        <v/>
      </c>
    </row>
    <row r="1559" spans="1:10">
      <c r="A1559" s="19" t="s">
        <v>248</v>
      </c>
      <c r="B1559" s="20">
        <v>45931</v>
      </c>
      <c r="C1559" s="21">
        <v>119.13999999999999</v>
      </c>
      <c r="D1559" s="21">
        <v>88.25</v>
      </c>
      <c r="E1559" s="21">
        <v>40</v>
      </c>
      <c r="F1559" s="27">
        <f t="shared" si="72"/>
        <v>0.74072519724693642</v>
      </c>
      <c r="G1559" s="21" t="str">
        <f>IFERROR(INDEX(Users!$A$2:$A$310,MATCH(A1559,Users!$B$2:$B$310,0)),"")</f>
        <v>Service A</v>
      </c>
      <c r="H1559" s="21" t="str">
        <f>IFERROR(INDEX(Users!$D$2:$D$310,MATCH(A1559,Users!$B$2:$B$310,0)),"")</f>
        <v>Band 5</v>
      </c>
      <c r="I1559" s="19" t="b">
        <f t="shared" si="73"/>
        <v>0</v>
      </c>
      <c r="J1559" s="33" t="str">
        <f t="shared" si="74"/>
        <v/>
      </c>
    </row>
    <row r="1560" spans="1:10">
      <c r="A1560" s="19" t="s">
        <v>248</v>
      </c>
      <c r="B1560" s="20">
        <v>45962</v>
      </c>
      <c r="C1560" s="21">
        <v>103.6</v>
      </c>
      <c r="D1560" s="21">
        <v>87.740000000000009</v>
      </c>
      <c r="E1560" s="21">
        <v>21.740000000000002</v>
      </c>
      <c r="F1560" s="27">
        <f t="shared" si="72"/>
        <v>0.8469111969111971</v>
      </c>
      <c r="G1560" s="21" t="str">
        <f>IFERROR(INDEX(Users!$A$2:$A$310,MATCH(A1560,Users!$B$2:$B$310,0)),"")</f>
        <v>Service A</v>
      </c>
      <c r="H1560" s="21" t="str">
        <f>IFERROR(INDEX(Users!$D$2:$D$310,MATCH(A1560,Users!$B$2:$B$310,0)),"")</f>
        <v>Band 5</v>
      </c>
      <c r="I1560" s="19" t="b">
        <f t="shared" si="73"/>
        <v>0</v>
      </c>
      <c r="J1560" s="33" t="str">
        <f t="shared" si="74"/>
        <v/>
      </c>
    </row>
    <row r="1561" spans="1:10">
      <c r="A1561" s="19" t="s">
        <v>248</v>
      </c>
      <c r="B1561" s="20">
        <v>45992</v>
      </c>
      <c r="C1561" s="21">
        <v>108.78</v>
      </c>
      <c r="D1561" s="21">
        <v>105.75</v>
      </c>
      <c r="E1561" s="21"/>
      <c r="F1561" s="27">
        <f t="shared" si="72"/>
        <v>0.97214561500275787</v>
      </c>
      <c r="G1561" s="21" t="str">
        <f>IFERROR(INDEX(Users!$A$2:$A$310,MATCH(A1561,Users!$B$2:$B$310,0)),"")</f>
        <v>Service A</v>
      </c>
      <c r="H1561" s="21" t="str">
        <f>IFERROR(INDEX(Users!$D$2:$D$310,MATCH(A1561,Users!$B$2:$B$310,0)),"")</f>
        <v>Band 5</v>
      </c>
      <c r="I1561" s="19" t="b">
        <f t="shared" si="73"/>
        <v>0</v>
      </c>
      <c r="J1561" s="33" t="str">
        <f t="shared" si="74"/>
        <v/>
      </c>
    </row>
    <row r="1562" spans="1:10">
      <c r="A1562" s="19" t="s">
        <v>248</v>
      </c>
      <c r="B1562" s="20">
        <v>46023</v>
      </c>
      <c r="C1562" s="21">
        <v>108.78</v>
      </c>
      <c r="D1562" s="21">
        <v>139.08333333333331</v>
      </c>
      <c r="E1562" s="21"/>
      <c r="F1562" s="27">
        <f t="shared" si="72"/>
        <v>1.278574492860207</v>
      </c>
      <c r="G1562" s="21" t="str">
        <f>IFERROR(INDEX(Users!$A$2:$A$310,MATCH(A1562,Users!$B$2:$B$310,0)),"")</f>
        <v>Service A</v>
      </c>
      <c r="H1562" s="21" t="str">
        <f>IFERROR(INDEX(Users!$D$2:$D$310,MATCH(A1562,Users!$B$2:$B$310,0)),"")</f>
        <v>Band 5</v>
      </c>
      <c r="I1562" s="19" t="b">
        <f t="shared" si="73"/>
        <v>0</v>
      </c>
      <c r="J1562" s="33" t="str">
        <f t="shared" si="74"/>
        <v/>
      </c>
    </row>
    <row r="1563" spans="1:10">
      <c r="A1563" s="19" t="s">
        <v>249</v>
      </c>
      <c r="B1563" s="20">
        <v>45658</v>
      </c>
      <c r="C1563" s="21">
        <v>162.80000000000001</v>
      </c>
      <c r="D1563" s="21">
        <v>143.25</v>
      </c>
      <c r="E1563" s="21">
        <v>125.25</v>
      </c>
      <c r="F1563" s="27">
        <f t="shared" si="72"/>
        <v>0.87991400491400484</v>
      </c>
      <c r="G1563" s="21" t="str">
        <f>IFERROR(INDEX(Users!$A$2:$A$310,MATCH(A1563,Users!$B$2:$B$310,0)),"")</f>
        <v>Service A</v>
      </c>
      <c r="H1563" s="21" t="str">
        <f>IFERROR(INDEX(Users!$D$2:$D$310,MATCH(A1563,Users!$B$2:$B$310,0)),"")</f>
        <v>Band 3</v>
      </c>
      <c r="I1563" s="19" t="b">
        <f t="shared" si="73"/>
        <v>1</v>
      </c>
      <c r="J1563" s="33" t="str">
        <f t="shared" si="74"/>
        <v/>
      </c>
    </row>
    <row r="1564" spans="1:10">
      <c r="A1564" s="19" t="s">
        <v>249</v>
      </c>
      <c r="B1564" s="20">
        <v>45689</v>
      </c>
      <c r="C1564" s="21">
        <v>148</v>
      </c>
      <c r="D1564" s="21">
        <v>147.51000000000002</v>
      </c>
      <c r="E1564" s="21">
        <v>123.51</v>
      </c>
      <c r="F1564" s="27">
        <f t="shared" si="72"/>
        <v>0.99668918918918936</v>
      </c>
      <c r="G1564" s="21" t="str">
        <f>IFERROR(INDEX(Users!$A$2:$A$310,MATCH(A1564,Users!$B$2:$B$310,0)),"")</f>
        <v>Service A</v>
      </c>
      <c r="H1564" s="21" t="str">
        <f>IFERROR(INDEX(Users!$D$2:$D$310,MATCH(A1564,Users!$B$2:$B$310,0)),"")</f>
        <v>Band 3</v>
      </c>
      <c r="I1564" s="19" t="b">
        <f t="shared" si="73"/>
        <v>1</v>
      </c>
      <c r="J1564" s="33" t="str">
        <f t="shared" si="74"/>
        <v/>
      </c>
    </row>
    <row r="1565" spans="1:10">
      <c r="A1565" s="19" t="s">
        <v>249</v>
      </c>
      <c r="B1565" s="20">
        <v>45717</v>
      </c>
      <c r="C1565" s="21">
        <v>155.4</v>
      </c>
      <c r="D1565" s="21">
        <v>156.00333333333333</v>
      </c>
      <c r="E1565" s="21">
        <v>134.07</v>
      </c>
      <c r="F1565" s="27">
        <f t="shared" si="72"/>
        <v>1.0038824538824538</v>
      </c>
      <c r="G1565" s="21" t="str">
        <f>IFERROR(INDEX(Users!$A$2:$A$310,MATCH(A1565,Users!$B$2:$B$310,0)),"")</f>
        <v>Service A</v>
      </c>
      <c r="H1565" s="21" t="str">
        <f>IFERROR(INDEX(Users!$D$2:$D$310,MATCH(A1565,Users!$B$2:$B$310,0)),"")</f>
        <v>Band 3</v>
      </c>
      <c r="I1565" s="19" t="b">
        <f t="shared" si="73"/>
        <v>1</v>
      </c>
      <c r="J1565" s="33" t="str">
        <f t="shared" si="74"/>
        <v/>
      </c>
    </row>
    <row r="1566" spans="1:10">
      <c r="A1566" s="19" t="s">
        <v>249</v>
      </c>
      <c r="B1566" s="20">
        <v>45748</v>
      </c>
      <c r="C1566" s="21">
        <v>148</v>
      </c>
      <c r="D1566" s="21">
        <v>128.59333333333331</v>
      </c>
      <c r="E1566" s="21">
        <v>77.66</v>
      </c>
      <c r="F1566" s="27">
        <f t="shared" si="72"/>
        <v>0.86887387387387371</v>
      </c>
      <c r="G1566" s="21" t="str">
        <f>IFERROR(INDEX(Users!$A$2:$A$310,MATCH(A1566,Users!$B$2:$B$310,0)),"")</f>
        <v>Service A</v>
      </c>
      <c r="H1566" s="21" t="str">
        <f>IFERROR(INDEX(Users!$D$2:$D$310,MATCH(A1566,Users!$B$2:$B$310,0)),"")</f>
        <v>Band 3</v>
      </c>
      <c r="I1566" s="19" t="b">
        <f t="shared" si="73"/>
        <v>1</v>
      </c>
      <c r="J1566" s="33" t="str">
        <f t="shared" si="74"/>
        <v/>
      </c>
    </row>
    <row r="1567" spans="1:10">
      <c r="A1567" s="19" t="s">
        <v>249</v>
      </c>
      <c r="B1567" s="20">
        <v>45778</v>
      </c>
      <c r="C1567" s="21">
        <v>148</v>
      </c>
      <c r="D1567" s="21">
        <v>120.75</v>
      </c>
      <c r="E1567" s="21">
        <v>77.5</v>
      </c>
      <c r="F1567" s="27">
        <f t="shared" si="72"/>
        <v>0.8158783783783784</v>
      </c>
      <c r="G1567" s="21" t="str">
        <f>IFERROR(INDEX(Users!$A$2:$A$310,MATCH(A1567,Users!$B$2:$B$310,0)),"")</f>
        <v>Service A</v>
      </c>
      <c r="H1567" s="21" t="str">
        <f>IFERROR(INDEX(Users!$D$2:$D$310,MATCH(A1567,Users!$B$2:$B$310,0)),"")</f>
        <v>Band 3</v>
      </c>
      <c r="I1567" s="19" t="b">
        <f t="shared" si="73"/>
        <v>1</v>
      </c>
      <c r="J1567" s="33" t="str">
        <f t="shared" si="74"/>
        <v/>
      </c>
    </row>
    <row r="1568" spans="1:10">
      <c r="A1568" s="19" t="s">
        <v>249</v>
      </c>
      <c r="B1568" s="20">
        <v>45809</v>
      </c>
      <c r="C1568" s="21">
        <v>155.4</v>
      </c>
      <c r="D1568" s="21">
        <v>114.99666666666667</v>
      </c>
      <c r="E1568" s="21">
        <v>68.08</v>
      </c>
      <c r="F1568" s="27">
        <f t="shared" si="72"/>
        <v>0.74000429000429002</v>
      </c>
      <c r="G1568" s="21" t="str">
        <f>IFERROR(INDEX(Users!$A$2:$A$310,MATCH(A1568,Users!$B$2:$B$310,0)),"")</f>
        <v>Service A</v>
      </c>
      <c r="H1568" s="21" t="str">
        <f>IFERROR(INDEX(Users!$D$2:$D$310,MATCH(A1568,Users!$B$2:$B$310,0)),"")</f>
        <v>Band 3</v>
      </c>
      <c r="I1568" s="19" t="b">
        <f t="shared" si="73"/>
        <v>1</v>
      </c>
      <c r="J1568" s="33" t="str">
        <f t="shared" si="74"/>
        <v/>
      </c>
    </row>
    <row r="1569" spans="1:10">
      <c r="A1569" s="19" t="s">
        <v>249</v>
      </c>
      <c r="B1569" s="20">
        <v>45839</v>
      </c>
      <c r="C1569" s="21">
        <v>170.20000000000002</v>
      </c>
      <c r="D1569" s="21">
        <v>128.49333333333334</v>
      </c>
      <c r="E1569" s="21">
        <v>99.91</v>
      </c>
      <c r="F1569" s="27">
        <f t="shared" si="72"/>
        <v>0.7549549549549549</v>
      </c>
      <c r="G1569" s="21" t="str">
        <f>IFERROR(INDEX(Users!$A$2:$A$310,MATCH(A1569,Users!$B$2:$B$310,0)),"")</f>
        <v>Service A</v>
      </c>
      <c r="H1569" s="21" t="str">
        <f>IFERROR(INDEX(Users!$D$2:$D$310,MATCH(A1569,Users!$B$2:$B$310,0)),"")</f>
        <v>Band 3</v>
      </c>
      <c r="I1569" s="19" t="b">
        <f t="shared" si="73"/>
        <v>1</v>
      </c>
      <c r="J1569" s="33" t="str">
        <f t="shared" si="74"/>
        <v/>
      </c>
    </row>
    <row r="1570" spans="1:10">
      <c r="A1570" s="19" t="s">
        <v>249</v>
      </c>
      <c r="B1570" s="20">
        <v>45870</v>
      </c>
      <c r="C1570" s="21">
        <v>148</v>
      </c>
      <c r="D1570" s="21">
        <v>100.09</v>
      </c>
      <c r="E1570" s="21">
        <v>85.34</v>
      </c>
      <c r="F1570" s="27">
        <f t="shared" si="72"/>
        <v>0.67628378378378384</v>
      </c>
      <c r="G1570" s="21" t="str">
        <f>IFERROR(INDEX(Users!$A$2:$A$310,MATCH(A1570,Users!$B$2:$B$310,0)),"")</f>
        <v>Service A</v>
      </c>
      <c r="H1570" s="21" t="str">
        <f>IFERROR(INDEX(Users!$D$2:$D$310,MATCH(A1570,Users!$B$2:$B$310,0)),"")</f>
        <v>Band 3</v>
      </c>
      <c r="I1570" s="19" t="b">
        <f t="shared" si="73"/>
        <v>1</v>
      </c>
      <c r="J1570" s="33" t="str">
        <f t="shared" si="74"/>
        <v/>
      </c>
    </row>
    <row r="1571" spans="1:10">
      <c r="A1571" s="19" t="s">
        <v>249</v>
      </c>
      <c r="B1571" s="20">
        <v>45901</v>
      </c>
      <c r="C1571" s="21">
        <v>162.80000000000001</v>
      </c>
      <c r="D1571" s="21">
        <v>149.39333333333332</v>
      </c>
      <c r="E1571" s="21">
        <v>108.91</v>
      </c>
      <c r="F1571" s="27">
        <f t="shared" si="72"/>
        <v>0.91764946764946753</v>
      </c>
      <c r="G1571" s="21" t="str">
        <f>IFERROR(INDEX(Users!$A$2:$A$310,MATCH(A1571,Users!$B$2:$B$310,0)),"")</f>
        <v>Service A</v>
      </c>
      <c r="H1571" s="21" t="str">
        <f>IFERROR(INDEX(Users!$D$2:$D$310,MATCH(A1571,Users!$B$2:$B$310,0)),"")</f>
        <v>Band 3</v>
      </c>
      <c r="I1571" s="19" t="b">
        <f t="shared" si="73"/>
        <v>1</v>
      </c>
      <c r="J1571" s="33" t="str">
        <f t="shared" si="74"/>
        <v/>
      </c>
    </row>
    <row r="1572" spans="1:10">
      <c r="A1572" s="19" t="s">
        <v>249</v>
      </c>
      <c r="B1572" s="20">
        <v>45931</v>
      </c>
      <c r="C1572" s="21">
        <v>170.20000000000002</v>
      </c>
      <c r="D1572" s="21">
        <v>164.76</v>
      </c>
      <c r="E1572" s="21">
        <v>135.76</v>
      </c>
      <c r="F1572" s="27">
        <f t="shared" si="72"/>
        <v>0.96803760282021134</v>
      </c>
      <c r="G1572" s="21" t="str">
        <f>IFERROR(INDEX(Users!$A$2:$A$310,MATCH(A1572,Users!$B$2:$B$310,0)),"")</f>
        <v>Service A</v>
      </c>
      <c r="H1572" s="21" t="str">
        <f>IFERROR(INDEX(Users!$D$2:$D$310,MATCH(A1572,Users!$B$2:$B$310,0)),"")</f>
        <v>Band 3</v>
      </c>
      <c r="I1572" s="19" t="b">
        <f t="shared" si="73"/>
        <v>1</v>
      </c>
      <c r="J1572" s="33" t="str">
        <f t="shared" si="74"/>
        <v/>
      </c>
    </row>
    <row r="1573" spans="1:10">
      <c r="A1573" s="19" t="s">
        <v>249</v>
      </c>
      <c r="B1573" s="20">
        <v>45962</v>
      </c>
      <c r="C1573" s="21">
        <v>148</v>
      </c>
      <c r="D1573" s="21">
        <v>149.08333333333331</v>
      </c>
      <c r="E1573" s="21">
        <v>116.75</v>
      </c>
      <c r="F1573" s="27">
        <f t="shared" si="72"/>
        <v>1.0073198198198197</v>
      </c>
      <c r="G1573" s="21" t="str">
        <f>IFERROR(INDEX(Users!$A$2:$A$310,MATCH(A1573,Users!$B$2:$B$310,0)),"")</f>
        <v>Service A</v>
      </c>
      <c r="H1573" s="21" t="str">
        <f>IFERROR(INDEX(Users!$D$2:$D$310,MATCH(A1573,Users!$B$2:$B$310,0)),"")</f>
        <v>Band 3</v>
      </c>
      <c r="I1573" s="19" t="b">
        <f t="shared" si="73"/>
        <v>1</v>
      </c>
      <c r="J1573" s="33" t="str">
        <f t="shared" si="74"/>
        <v/>
      </c>
    </row>
    <row r="1574" spans="1:10">
      <c r="A1574" s="19" t="s">
        <v>249</v>
      </c>
      <c r="B1574" s="20">
        <v>45992</v>
      </c>
      <c r="C1574" s="21">
        <v>155.4</v>
      </c>
      <c r="D1574" s="21">
        <v>107.58666666666667</v>
      </c>
      <c r="E1574" s="21">
        <v>88.67</v>
      </c>
      <c r="F1574" s="27">
        <f t="shared" si="72"/>
        <v>0.69232089232089233</v>
      </c>
      <c r="G1574" s="21" t="str">
        <f>IFERROR(INDEX(Users!$A$2:$A$310,MATCH(A1574,Users!$B$2:$B$310,0)),"")</f>
        <v>Service A</v>
      </c>
      <c r="H1574" s="21" t="str">
        <f>IFERROR(INDEX(Users!$D$2:$D$310,MATCH(A1574,Users!$B$2:$B$310,0)),"")</f>
        <v>Band 3</v>
      </c>
      <c r="I1574" s="19" t="b">
        <f t="shared" si="73"/>
        <v>1</v>
      </c>
      <c r="J1574" s="33" t="str">
        <f t="shared" si="74"/>
        <v/>
      </c>
    </row>
    <row r="1575" spans="1:10">
      <c r="A1575" s="19" t="s">
        <v>249</v>
      </c>
      <c r="B1575" s="20">
        <v>46023</v>
      </c>
      <c r="C1575" s="21">
        <v>155.4</v>
      </c>
      <c r="D1575" s="21">
        <v>151.34333333333333</v>
      </c>
      <c r="E1575" s="21">
        <v>119.51</v>
      </c>
      <c r="F1575" s="27">
        <f t="shared" si="72"/>
        <v>0.97389532389532385</v>
      </c>
      <c r="G1575" s="21" t="str">
        <f>IFERROR(INDEX(Users!$A$2:$A$310,MATCH(A1575,Users!$B$2:$B$310,0)),"")</f>
        <v>Service A</v>
      </c>
      <c r="H1575" s="21" t="str">
        <f>IFERROR(INDEX(Users!$D$2:$D$310,MATCH(A1575,Users!$B$2:$B$310,0)),"")</f>
        <v>Band 3</v>
      </c>
      <c r="I1575" s="19" t="b">
        <f t="shared" si="73"/>
        <v>1</v>
      </c>
      <c r="J1575" s="33" t="str">
        <f t="shared" si="74"/>
        <v/>
      </c>
    </row>
    <row r="1576" spans="1:10">
      <c r="A1576" s="19" t="s">
        <v>251</v>
      </c>
      <c r="B1576" s="20">
        <v>45658</v>
      </c>
      <c r="C1576" s="21">
        <v>162.80000000000001</v>
      </c>
      <c r="D1576" s="21">
        <v>55.053333333333342</v>
      </c>
      <c r="E1576" s="21">
        <v>17.72</v>
      </c>
      <c r="F1576" s="27">
        <f t="shared" si="72"/>
        <v>0.3381654381654382</v>
      </c>
      <c r="G1576" s="21" t="str">
        <f>IFERROR(INDEX(Users!$A$2:$A$310,MATCH(A1576,Users!$B$2:$B$310,0)),"")</f>
        <v>Service B</v>
      </c>
      <c r="H1576" s="21" t="str">
        <f>IFERROR(INDEX(Users!$D$2:$D$310,MATCH(A1576,Users!$B$2:$B$310,0)),"")</f>
        <v>Band 3</v>
      </c>
      <c r="I1576" s="19" t="b">
        <f t="shared" si="73"/>
        <v>0</v>
      </c>
      <c r="J1576" s="33">
        <f t="shared" si="74"/>
        <v>0.3381654381654382</v>
      </c>
    </row>
    <row r="1577" spans="1:10">
      <c r="A1577" s="19" t="s">
        <v>251</v>
      </c>
      <c r="B1577" s="20">
        <v>45689</v>
      </c>
      <c r="C1577" s="21">
        <v>148</v>
      </c>
      <c r="D1577" s="21">
        <v>99.299999999999983</v>
      </c>
      <c r="E1577" s="21">
        <v>39.299999999999997</v>
      </c>
      <c r="F1577" s="27">
        <f t="shared" si="72"/>
        <v>0.67094594594594581</v>
      </c>
      <c r="G1577" s="21" t="str">
        <f>IFERROR(INDEX(Users!$A$2:$A$310,MATCH(A1577,Users!$B$2:$B$310,0)),"")</f>
        <v>Service B</v>
      </c>
      <c r="H1577" s="21" t="str">
        <f>IFERROR(INDEX(Users!$D$2:$D$310,MATCH(A1577,Users!$B$2:$B$310,0)),"")</f>
        <v>Band 3</v>
      </c>
      <c r="I1577" s="19" t="b">
        <f t="shared" si="73"/>
        <v>0</v>
      </c>
      <c r="J1577" s="33">
        <f t="shared" si="74"/>
        <v>0.67094594594594581</v>
      </c>
    </row>
    <row r="1578" spans="1:10">
      <c r="A1578" s="19" t="s">
        <v>251</v>
      </c>
      <c r="B1578" s="20">
        <v>45717</v>
      </c>
      <c r="C1578" s="21">
        <v>155.4</v>
      </c>
      <c r="D1578" s="21">
        <v>115.89666666666668</v>
      </c>
      <c r="E1578" s="21">
        <v>50.08</v>
      </c>
      <c r="F1578" s="27">
        <f t="shared" si="72"/>
        <v>0.7457957957957958</v>
      </c>
      <c r="G1578" s="21" t="str">
        <f>IFERROR(INDEX(Users!$A$2:$A$310,MATCH(A1578,Users!$B$2:$B$310,0)),"")</f>
        <v>Service B</v>
      </c>
      <c r="H1578" s="21" t="str">
        <f>IFERROR(INDEX(Users!$D$2:$D$310,MATCH(A1578,Users!$B$2:$B$310,0)),"")</f>
        <v>Band 3</v>
      </c>
      <c r="I1578" s="19" t="b">
        <f t="shared" si="73"/>
        <v>0</v>
      </c>
      <c r="J1578" s="33">
        <f t="shared" si="74"/>
        <v>0.7457957957957958</v>
      </c>
    </row>
    <row r="1579" spans="1:10">
      <c r="A1579" s="19" t="s">
        <v>251</v>
      </c>
      <c r="B1579" s="20">
        <v>45748</v>
      </c>
      <c r="C1579" s="21">
        <v>148</v>
      </c>
      <c r="D1579" s="21">
        <v>130.02333333333331</v>
      </c>
      <c r="E1579" s="21">
        <v>53.19</v>
      </c>
      <c r="F1579" s="27">
        <f t="shared" si="72"/>
        <v>0.87853603603603592</v>
      </c>
      <c r="G1579" s="21" t="str">
        <f>IFERROR(INDEX(Users!$A$2:$A$310,MATCH(A1579,Users!$B$2:$B$310,0)),"")</f>
        <v>Service B</v>
      </c>
      <c r="H1579" s="21" t="str">
        <f>IFERROR(INDEX(Users!$D$2:$D$310,MATCH(A1579,Users!$B$2:$B$310,0)),"")</f>
        <v>Band 3</v>
      </c>
      <c r="I1579" s="19" t="b">
        <f t="shared" si="73"/>
        <v>0</v>
      </c>
      <c r="J1579" s="33">
        <f t="shared" si="74"/>
        <v>0.87853603603603592</v>
      </c>
    </row>
    <row r="1580" spans="1:10">
      <c r="A1580" s="19" t="s">
        <v>251</v>
      </c>
      <c r="B1580" s="20">
        <v>45778</v>
      </c>
      <c r="C1580" s="21">
        <v>148</v>
      </c>
      <c r="D1580" s="21">
        <v>127.19333333333333</v>
      </c>
      <c r="E1580" s="21">
        <v>66.61</v>
      </c>
      <c r="F1580" s="27">
        <f t="shared" si="72"/>
        <v>0.85941441441441435</v>
      </c>
      <c r="G1580" s="21" t="str">
        <f>IFERROR(INDEX(Users!$A$2:$A$310,MATCH(A1580,Users!$B$2:$B$310,0)),"")</f>
        <v>Service B</v>
      </c>
      <c r="H1580" s="21" t="str">
        <f>IFERROR(INDEX(Users!$D$2:$D$310,MATCH(A1580,Users!$B$2:$B$310,0)),"")</f>
        <v>Band 3</v>
      </c>
      <c r="I1580" s="19" t="b">
        <f t="shared" si="73"/>
        <v>0</v>
      </c>
      <c r="J1580" s="33">
        <f t="shared" si="74"/>
        <v>0.85941441441441435</v>
      </c>
    </row>
    <row r="1581" spans="1:10">
      <c r="A1581" s="19" t="s">
        <v>251</v>
      </c>
      <c r="B1581" s="20">
        <v>45809</v>
      </c>
      <c r="C1581" s="21">
        <v>155.4</v>
      </c>
      <c r="D1581" s="21">
        <v>152.26666666666668</v>
      </c>
      <c r="E1581" s="21">
        <v>78.600000000000009</v>
      </c>
      <c r="F1581" s="27">
        <f t="shared" si="72"/>
        <v>0.97983697983697993</v>
      </c>
      <c r="G1581" s="21" t="str">
        <f>IFERROR(INDEX(Users!$A$2:$A$310,MATCH(A1581,Users!$B$2:$B$310,0)),"")</f>
        <v>Service B</v>
      </c>
      <c r="H1581" s="21" t="str">
        <f>IFERROR(INDEX(Users!$D$2:$D$310,MATCH(A1581,Users!$B$2:$B$310,0)),"")</f>
        <v>Band 3</v>
      </c>
      <c r="I1581" s="19" t="b">
        <f t="shared" si="73"/>
        <v>0</v>
      </c>
      <c r="J1581" s="33">
        <f t="shared" si="74"/>
        <v>0.97983697983697993</v>
      </c>
    </row>
    <row r="1582" spans="1:10">
      <c r="A1582" s="19" t="s">
        <v>251</v>
      </c>
      <c r="B1582" s="20">
        <v>45839</v>
      </c>
      <c r="C1582" s="21">
        <v>170.20000000000002</v>
      </c>
      <c r="D1582" s="21">
        <v>109.07333333333334</v>
      </c>
      <c r="E1582" s="21">
        <v>66.740000000000009</v>
      </c>
      <c r="F1582" s="27">
        <f t="shared" si="72"/>
        <v>0.64085389737563647</v>
      </c>
      <c r="G1582" s="21" t="str">
        <f>IFERROR(INDEX(Users!$A$2:$A$310,MATCH(A1582,Users!$B$2:$B$310,0)),"")</f>
        <v>Service B</v>
      </c>
      <c r="H1582" s="21" t="str">
        <f>IFERROR(INDEX(Users!$D$2:$D$310,MATCH(A1582,Users!$B$2:$B$310,0)),"")</f>
        <v>Band 3</v>
      </c>
      <c r="I1582" s="19" t="b">
        <f t="shared" si="73"/>
        <v>0</v>
      </c>
      <c r="J1582" s="33">
        <f t="shared" si="74"/>
        <v>0.64085389737563647</v>
      </c>
    </row>
    <row r="1583" spans="1:10">
      <c r="A1583" s="19" t="s">
        <v>251</v>
      </c>
      <c r="B1583" s="20">
        <v>45870</v>
      </c>
      <c r="C1583" s="21">
        <v>148</v>
      </c>
      <c r="D1583" s="21"/>
      <c r="E1583" s="21"/>
      <c r="F1583" s="27" t="str">
        <f t="shared" si="72"/>
        <v/>
      </c>
      <c r="G1583" s="21" t="str">
        <f>IFERROR(INDEX(Users!$A$2:$A$310,MATCH(A1583,Users!$B$2:$B$310,0)),"")</f>
        <v>Service B</v>
      </c>
      <c r="H1583" s="21" t="str">
        <f>IFERROR(INDEX(Users!$D$2:$D$310,MATCH(A1583,Users!$B$2:$B$310,0)),"")</f>
        <v>Band 3</v>
      </c>
      <c r="I1583" s="19" t="b">
        <f t="shared" si="73"/>
        <v>0</v>
      </c>
      <c r="J1583" s="33" t="str">
        <f t="shared" si="74"/>
        <v/>
      </c>
    </row>
    <row r="1584" spans="1:10">
      <c r="A1584" s="19" t="s">
        <v>251</v>
      </c>
      <c r="B1584" s="20">
        <v>45901</v>
      </c>
      <c r="C1584" s="21">
        <v>162.80000000000001</v>
      </c>
      <c r="D1584" s="21">
        <v>1.25</v>
      </c>
      <c r="E1584" s="21">
        <v>1.25</v>
      </c>
      <c r="F1584" s="27">
        <f t="shared" si="72"/>
        <v>7.6781326781326775E-3</v>
      </c>
      <c r="G1584" s="21" t="str">
        <f>IFERROR(INDEX(Users!$A$2:$A$310,MATCH(A1584,Users!$B$2:$B$310,0)),"")</f>
        <v>Service B</v>
      </c>
      <c r="H1584" s="21" t="str">
        <f>IFERROR(INDEX(Users!$D$2:$D$310,MATCH(A1584,Users!$B$2:$B$310,0)),"")</f>
        <v>Band 3</v>
      </c>
      <c r="I1584" s="19" t="b">
        <f t="shared" si="73"/>
        <v>0</v>
      </c>
      <c r="J1584" s="33">
        <f t="shared" si="74"/>
        <v>7.6781326781326775E-3</v>
      </c>
    </row>
    <row r="1585" spans="1:10">
      <c r="A1585" s="19" t="s">
        <v>251</v>
      </c>
      <c r="B1585" s="20">
        <v>45931</v>
      </c>
      <c r="C1585" s="21">
        <v>170.20000000000002</v>
      </c>
      <c r="D1585" s="21">
        <v>106.14999999999999</v>
      </c>
      <c r="E1585" s="21">
        <v>42</v>
      </c>
      <c r="F1585" s="27">
        <f t="shared" si="72"/>
        <v>0.62367802585193877</v>
      </c>
      <c r="G1585" s="21" t="str">
        <f>IFERROR(INDEX(Users!$A$2:$A$310,MATCH(A1585,Users!$B$2:$B$310,0)),"")</f>
        <v>Service B</v>
      </c>
      <c r="H1585" s="21" t="str">
        <f>IFERROR(INDEX(Users!$D$2:$D$310,MATCH(A1585,Users!$B$2:$B$310,0)),"")</f>
        <v>Band 3</v>
      </c>
      <c r="I1585" s="19" t="b">
        <f t="shared" si="73"/>
        <v>0</v>
      </c>
      <c r="J1585" s="33">
        <f t="shared" si="74"/>
        <v>0.62367802585193877</v>
      </c>
    </row>
    <row r="1586" spans="1:10">
      <c r="A1586" s="19" t="s">
        <v>251</v>
      </c>
      <c r="B1586" s="20">
        <v>45962</v>
      </c>
      <c r="C1586" s="21">
        <v>148</v>
      </c>
      <c r="D1586" s="21">
        <v>122.09333333333333</v>
      </c>
      <c r="E1586" s="21">
        <v>53.01</v>
      </c>
      <c r="F1586" s="27">
        <f t="shared" si="72"/>
        <v>0.82495495495495497</v>
      </c>
      <c r="G1586" s="21" t="str">
        <f>IFERROR(INDEX(Users!$A$2:$A$310,MATCH(A1586,Users!$B$2:$B$310,0)),"")</f>
        <v>Service B</v>
      </c>
      <c r="H1586" s="21" t="str">
        <f>IFERROR(INDEX(Users!$D$2:$D$310,MATCH(A1586,Users!$B$2:$B$310,0)),"")</f>
        <v>Band 3</v>
      </c>
      <c r="I1586" s="19" t="b">
        <f t="shared" si="73"/>
        <v>0</v>
      </c>
      <c r="J1586" s="33">
        <f t="shared" si="74"/>
        <v>0.82495495495495497</v>
      </c>
    </row>
    <row r="1587" spans="1:10">
      <c r="A1587" s="19" t="s">
        <v>251</v>
      </c>
      <c r="B1587" s="20">
        <v>45992</v>
      </c>
      <c r="C1587" s="21">
        <v>155.4</v>
      </c>
      <c r="D1587" s="21">
        <v>107.11000000000001</v>
      </c>
      <c r="E1587" s="21">
        <v>45.110000000000014</v>
      </c>
      <c r="F1587" s="27">
        <f t="shared" si="72"/>
        <v>0.68925353925353927</v>
      </c>
      <c r="G1587" s="21" t="str">
        <f>IFERROR(INDEX(Users!$A$2:$A$310,MATCH(A1587,Users!$B$2:$B$310,0)),"")</f>
        <v>Service B</v>
      </c>
      <c r="H1587" s="21" t="str">
        <f>IFERROR(INDEX(Users!$D$2:$D$310,MATCH(A1587,Users!$B$2:$B$310,0)),"")</f>
        <v>Band 3</v>
      </c>
      <c r="I1587" s="19" t="b">
        <f t="shared" si="73"/>
        <v>0</v>
      </c>
      <c r="J1587" s="33">
        <f t="shared" si="74"/>
        <v>0.68925353925353927</v>
      </c>
    </row>
    <row r="1588" spans="1:10">
      <c r="A1588" s="19" t="s">
        <v>251</v>
      </c>
      <c r="B1588" s="20">
        <v>46023</v>
      </c>
      <c r="C1588" s="21">
        <v>155.4</v>
      </c>
      <c r="D1588" s="21">
        <v>89.85</v>
      </c>
      <c r="E1588" s="21">
        <v>44.099999999999994</v>
      </c>
      <c r="F1588" s="27">
        <f t="shared" si="72"/>
        <v>0.57818532818532808</v>
      </c>
      <c r="G1588" s="21" t="str">
        <f>IFERROR(INDEX(Users!$A$2:$A$310,MATCH(A1588,Users!$B$2:$B$310,0)),"")</f>
        <v>Service B</v>
      </c>
      <c r="H1588" s="21" t="str">
        <f>IFERROR(INDEX(Users!$D$2:$D$310,MATCH(A1588,Users!$B$2:$B$310,0)),"")</f>
        <v>Band 3</v>
      </c>
      <c r="I1588" s="19" t="b">
        <f t="shared" si="73"/>
        <v>0</v>
      </c>
      <c r="J1588" s="33" t="str">
        <f t="shared" si="74"/>
        <v/>
      </c>
    </row>
    <row r="1589" spans="1:10">
      <c r="A1589" s="19" t="s">
        <v>252</v>
      </c>
      <c r="B1589" s="20">
        <v>45658</v>
      </c>
      <c r="C1589" s="21">
        <v>162.79999999999998</v>
      </c>
      <c r="D1589" s="21">
        <v>93.823333333333323</v>
      </c>
      <c r="E1589" s="21">
        <v>57.039999999999992</v>
      </c>
      <c r="F1589" s="27">
        <f t="shared" si="72"/>
        <v>0.57631040131040134</v>
      </c>
      <c r="G1589" s="21" t="str">
        <f>IFERROR(INDEX(Users!$A$2:$A$310,MATCH(A1589,Users!$B$2:$B$310,0)),"")</f>
        <v>Service B</v>
      </c>
      <c r="H1589" s="21" t="str">
        <f>IFERROR(INDEX(Users!$D$2:$D$310,MATCH(A1589,Users!$B$2:$B$310,0)),"")</f>
        <v>Band 3</v>
      </c>
      <c r="I1589" s="19" t="b">
        <f t="shared" si="73"/>
        <v>0</v>
      </c>
      <c r="J1589" s="33">
        <f t="shared" si="74"/>
        <v>0.57631040131040134</v>
      </c>
    </row>
    <row r="1590" spans="1:10">
      <c r="A1590" s="19" t="s">
        <v>252</v>
      </c>
      <c r="B1590" s="20">
        <v>45689</v>
      </c>
      <c r="C1590" s="21">
        <v>148</v>
      </c>
      <c r="D1590" s="21">
        <v>149.99666666666667</v>
      </c>
      <c r="E1590" s="21">
        <v>79.380000000000024</v>
      </c>
      <c r="F1590" s="27">
        <f t="shared" si="72"/>
        <v>1.013490990990991</v>
      </c>
      <c r="G1590" s="21" t="str">
        <f>IFERROR(INDEX(Users!$A$2:$A$310,MATCH(A1590,Users!$B$2:$B$310,0)),"")</f>
        <v>Service B</v>
      </c>
      <c r="H1590" s="21" t="str">
        <f>IFERROR(INDEX(Users!$D$2:$D$310,MATCH(A1590,Users!$B$2:$B$310,0)),"")</f>
        <v>Band 3</v>
      </c>
      <c r="I1590" s="19" t="b">
        <f t="shared" si="73"/>
        <v>0</v>
      </c>
      <c r="J1590" s="33">
        <f t="shared" si="74"/>
        <v>1.013490990990991</v>
      </c>
    </row>
    <row r="1591" spans="1:10">
      <c r="A1591" s="19" t="s">
        <v>252</v>
      </c>
      <c r="B1591" s="20">
        <v>45717</v>
      </c>
      <c r="C1591" s="21">
        <v>155.4</v>
      </c>
      <c r="D1591" s="21">
        <v>76.826666666666654</v>
      </c>
      <c r="E1591" s="21">
        <v>34.86</v>
      </c>
      <c r="F1591" s="27">
        <f t="shared" si="72"/>
        <v>0.49438009438009428</v>
      </c>
      <c r="G1591" s="21" t="str">
        <f>IFERROR(INDEX(Users!$A$2:$A$310,MATCH(A1591,Users!$B$2:$B$310,0)),"")</f>
        <v>Service B</v>
      </c>
      <c r="H1591" s="21" t="str">
        <f>IFERROR(INDEX(Users!$D$2:$D$310,MATCH(A1591,Users!$B$2:$B$310,0)),"")</f>
        <v>Band 3</v>
      </c>
      <c r="I1591" s="19" t="b">
        <f t="shared" si="73"/>
        <v>0</v>
      </c>
      <c r="J1591" s="33">
        <f t="shared" si="74"/>
        <v>0.49438009438009428</v>
      </c>
    </row>
    <row r="1592" spans="1:10">
      <c r="A1592" s="19" t="s">
        <v>252</v>
      </c>
      <c r="B1592" s="20">
        <v>45748</v>
      </c>
      <c r="C1592" s="21">
        <v>148</v>
      </c>
      <c r="D1592" s="21">
        <v>152.98000000000005</v>
      </c>
      <c r="E1592" s="21">
        <v>94.480000000000032</v>
      </c>
      <c r="F1592" s="27">
        <f t="shared" si="72"/>
        <v>1.0336486486486489</v>
      </c>
      <c r="G1592" s="21" t="str">
        <f>IFERROR(INDEX(Users!$A$2:$A$310,MATCH(A1592,Users!$B$2:$B$310,0)),"")</f>
        <v>Service B</v>
      </c>
      <c r="H1592" s="21" t="str">
        <f>IFERROR(INDEX(Users!$D$2:$D$310,MATCH(A1592,Users!$B$2:$B$310,0)),"")</f>
        <v>Band 3</v>
      </c>
      <c r="I1592" s="19" t="b">
        <f t="shared" si="73"/>
        <v>0</v>
      </c>
      <c r="J1592" s="33">
        <f t="shared" si="74"/>
        <v>1.0336486486486489</v>
      </c>
    </row>
    <row r="1593" spans="1:10">
      <c r="A1593" s="19" t="s">
        <v>252</v>
      </c>
      <c r="B1593" s="20">
        <v>45778</v>
      </c>
      <c r="C1593" s="21">
        <v>148</v>
      </c>
      <c r="D1593" s="21">
        <v>140.99</v>
      </c>
      <c r="E1593" s="21">
        <v>88.79</v>
      </c>
      <c r="F1593" s="27">
        <f t="shared" si="72"/>
        <v>0.9526351351351352</v>
      </c>
      <c r="G1593" s="21" t="str">
        <f>IFERROR(INDEX(Users!$A$2:$A$310,MATCH(A1593,Users!$B$2:$B$310,0)),"")</f>
        <v>Service B</v>
      </c>
      <c r="H1593" s="21" t="str">
        <f>IFERROR(INDEX(Users!$D$2:$D$310,MATCH(A1593,Users!$B$2:$B$310,0)),"")</f>
        <v>Band 3</v>
      </c>
      <c r="I1593" s="19" t="b">
        <f t="shared" si="73"/>
        <v>0</v>
      </c>
      <c r="J1593" s="33">
        <f t="shared" si="74"/>
        <v>0.9526351351351352</v>
      </c>
    </row>
    <row r="1594" spans="1:10">
      <c r="A1594" s="19" t="s">
        <v>252</v>
      </c>
      <c r="B1594" s="20">
        <v>45809</v>
      </c>
      <c r="C1594" s="21">
        <v>155.4</v>
      </c>
      <c r="D1594" s="21">
        <v>143.11000000000001</v>
      </c>
      <c r="E1594" s="21">
        <v>75.260000000000005</v>
      </c>
      <c r="F1594" s="27">
        <f t="shared" si="72"/>
        <v>0.92091377091377091</v>
      </c>
      <c r="G1594" s="21" t="str">
        <f>IFERROR(INDEX(Users!$A$2:$A$310,MATCH(A1594,Users!$B$2:$B$310,0)),"")</f>
        <v>Service B</v>
      </c>
      <c r="H1594" s="21" t="str">
        <f>IFERROR(INDEX(Users!$D$2:$D$310,MATCH(A1594,Users!$B$2:$B$310,0)),"")</f>
        <v>Band 3</v>
      </c>
      <c r="I1594" s="19" t="b">
        <f t="shared" si="73"/>
        <v>0</v>
      </c>
      <c r="J1594" s="33">
        <f t="shared" si="74"/>
        <v>0.92091377091377091</v>
      </c>
    </row>
    <row r="1595" spans="1:10">
      <c r="A1595" s="19" t="s">
        <v>252</v>
      </c>
      <c r="B1595" s="20">
        <v>45839</v>
      </c>
      <c r="C1595" s="21">
        <v>170.2</v>
      </c>
      <c r="D1595" s="21">
        <v>160.28333333333333</v>
      </c>
      <c r="E1595" s="21">
        <v>93.050000000000011</v>
      </c>
      <c r="F1595" s="27">
        <f t="shared" si="72"/>
        <v>0.94173521347434397</v>
      </c>
      <c r="G1595" s="21" t="str">
        <f>IFERROR(INDEX(Users!$A$2:$A$310,MATCH(A1595,Users!$B$2:$B$310,0)),"")</f>
        <v>Service B</v>
      </c>
      <c r="H1595" s="21" t="str">
        <f>IFERROR(INDEX(Users!$D$2:$D$310,MATCH(A1595,Users!$B$2:$B$310,0)),"")</f>
        <v>Band 3</v>
      </c>
      <c r="I1595" s="19" t="b">
        <f t="shared" si="73"/>
        <v>0</v>
      </c>
      <c r="J1595" s="33">
        <f t="shared" si="74"/>
        <v>0.94173521347434397</v>
      </c>
    </row>
    <row r="1596" spans="1:10">
      <c r="A1596" s="19" t="s">
        <v>252</v>
      </c>
      <c r="B1596" s="20">
        <v>45870</v>
      </c>
      <c r="C1596" s="21">
        <v>148</v>
      </c>
      <c r="D1596" s="21">
        <v>99.956666666666678</v>
      </c>
      <c r="E1596" s="21">
        <v>43.14</v>
      </c>
      <c r="F1596" s="27">
        <f t="shared" si="72"/>
        <v>0.67538288288288295</v>
      </c>
      <c r="G1596" s="21" t="str">
        <f>IFERROR(INDEX(Users!$A$2:$A$310,MATCH(A1596,Users!$B$2:$B$310,0)),"")</f>
        <v>Service B</v>
      </c>
      <c r="H1596" s="21" t="str">
        <f>IFERROR(INDEX(Users!$D$2:$D$310,MATCH(A1596,Users!$B$2:$B$310,0)),"")</f>
        <v>Band 3</v>
      </c>
      <c r="I1596" s="19" t="b">
        <f t="shared" si="73"/>
        <v>0</v>
      </c>
      <c r="J1596" s="33">
        <f t="shared" si="74"/>
        <v>0.67538288288288295</v>
      </c>
    </row>
    <row r="1597" spans="1:10">
      <c r="A1597" s="19" t="s">
        <v>252</v>
      </c>
      <c r="B1597" s="20">
        <v>45901</v>
      </c>
      <c r="C1597" s="21">
        <v>162.80000000000001</v>
      </c>
      <c r="D1597" s="21">
        <v>135.20666666666668</v>
      </c>
      <c r="E1597" s="21">
        <v>52.140000000000008</v>
      </c>
      <c r="F1597" s="27">
        <f t="shared" si="72"/>
        <v>0.83050778050778051</v>
      </c>
      <c r="G1597" s="21" t="str">
        <f>IFERROR(INDEX(Users!$A$2:$A$310,MATCH(A1597,Users!$B$2:$B$310,0)),"")</f>
        <v>Service B</v>
      </c>
      <c r="H1597" s="21" t="str">
        <f>IFERROR(INDEX(Users!$D$2:$D$310,MATCH(A1597,Users!$B$2:$B$310,0)),"")</f>
        <v>Band 3</v>
      </c>
      <c r="I1597" s="19" t="b">
        <f t="shared" si="73"/>
        <v>0</v>
      </c>
      <c r="J1597" s="33">
        <f t="shared" si="74"/>
        <v>0.83050778050778051</v>
      </c>
    </row>
    <row r="1598" spans="1:10">
      <c r="A1598" s="19" t="s">
        <v>252</v>
      </c>
      <c r="B1598" s="20">
        <v>45931</v>
      </c>
      <c r="C1598" s="21">
        <v>170.2</v>
      </c>
      <c r="D1598" s="21">
        <v>175.30666666666667</v>
      </c>
      <c r="E1598" s="21">
        <v>84.190000000000012</v>
      </c>
      <c r="F1598" s="27">
        <f t="shared" si="72"/>
        <v>1.0300039169604387</v>
      </c>
      <c r="G1598" s="21" t="str">
        <f>IFERROR(INDEX(Users!$A$2:$A$310,MATCH(A1598,Users!$B$2:$B$310,0)),"")</f>
        <v>Service B</v>
      </c>
      <c r="H1598" s="21" t="str">
        <f>IFERROR(INDEX(Users!$D$2:$D$310,MATCH(A1598,Users!$B$2:$B$310,0)),"")</f>
        <v>Band 3</v>
      </c>
      <c r="I1598" s="19" t="b">
        <f t="shared" si="73"/>
        <v>0</v>
      </c>
      <c r="J1598" s="33">
        <f t="shared" si="74"/>
        <v>1.0300039169604387</v>
      </c>
    </row>
    <row r="1599" spans="1:10">
      <c r="A1599" s="19" t="s">
        <v>252</v>
      </c>
      <c r="B1599" s="20">
        <v>45962</v>
      </c>
      <c r="C1599" s="21">
        <v>148</v>
      </c>
      <c r="D1599" s="21">
        <v>155.31999999999996</v>
      </c>
      <c r="E1599" s="21">
        <v>78.71999999999997</v>
      </c>
      <c r="F1599" s="27">
        <f t="shared" si="72"/>
        <v>1.0494594594594593</v>
      </c>
      <c r="G1599" s="21" t="str">
        <f>IFERROR(INDEX(Users!$A$2:$A$310,MATCH(A1599,Users!$B$2:$B$310,0)),"")</f>
        <v>Service B</v>
      </c>
      <c r="H1599" s="21" t="str">
        <f>IFERROR(INDEX(Users!$D$2:$D$310,MATCH(A1599,Users!$B$2:$B$310,0)),"")</f>
        <v>Band 3</v>
      </c>
      <c r="I1599" s="19" t="b">
        <f t="shared" si="73"/>
        <v>0</v>
      </c>
      <c r="J1599" s="33">
        <f t="shared" si="74"/>
        <v>1.0494594594594593</v>
      </c>
    </row>
    <row r="1600" spans="1:10">
      <c r="A1600" s="19" t="s">
        <v>252</v>
      </c>
      <c r="B1600" s="20">
        <v>45992</v>
      </c>
      <c r="C1600" s="21">
        <v>155.4</v>
      </c>
      <c r="D1600" s="21">
        <v>159.28000000000003</v>
      </c>
      <c r="E1600" s="21">
        <v>77.480000000000032</v>
      </c>
      <c r="F1600" s="27">
        <f t="shared" si="72"/>
        <v>1.0249678249678251</v>
      </c>
      <c r="G1600" s="21" t="str">
        <f>IFERROR(INDEX(Users!$A$2:$A$310,MATCH(A1600,Users!$B$2:$B$310,0)),"")</f>
        <v>Service B</v>
      </c>
      <c r="H1600" s="21" t="str">
        <f>IFERROR(INDEX(Users!$D$2:$D$310,MATCH(A1600,Users!$B$2:$B$310,0)),"")</f>
        <v>Band 3</v>
      </c>
      <c r="I1600" s="19" t="b">
        <f t="shared" si="73"/>
        <v>0</v>
      </c>
      <c r="J1600" s="33">
        <f t="shared" si="74"/>
        <v>1.0249678249678251</v>
      </c>
    </row>
    <row r="1601" spans="1:10">
      <c r="A1601" s="19" t="s">
        <v>252</v>
      </c>
      <c r="B1601" s="20">
        <v>46023</v>
      </c>
      <c r="C1601" s="21">
        <v>155.39999999999998</v>
      </c>
      <c r="D1601" s="21">
        <v>137.57333333333335</v>
      </c>
      <c r="E1601" s="21">
        <v>70.940000000000026</v>
      </c>
      <c r="F1601" s="27">
        <f t="shared" si="72"/>
        <v>0.88528528528528549</v>
      </c>
      <c r="G1601" s="21" t="str">
        <f>IFERROR(INDEX(Users!$A$2:$A$310,MATCH(A1601,Users!$B$2:$B$310,0)),"")</f>
        <v>Service B</v>
      </c>
      <c r="H1601" s="21" t="str">
        <f>IFERROR(INDEX(Users!$D$2:$D$310,MATCH(A1601,Users!$B$2:$B$310,0)),"")</f>
        <v>Band 3</v>
      </c>
      <c r="I1601" s="19" t="b">
        <f t="shared" si="73"/>
        <v>0</v>
      </c>
      <c r="J1601" s="33" t="str">
        <f t="shared" si="74"/>
        <v/>
      </c>
    </row>
    <row r="1602" spans="1:10">
      <c r="A1602" s="19" t="s">
        <v>253</v>
      </c>
      <c r="B1602" s="20">
        <v>45658</v>
      </c>
      <c r="C1602" s="21">
        <v>162.80000000000001</v>
      </c>
      <c r="D1602" s="21">
        <v>148.25</v>
      </c>
      <c r="E1602" s="21">
        <v>5.25</v>
      </c>
      <c r="F1602" s="27">
        <f t="shared" ref="F1602:F1665" si="75">IFERROR(IF(OR(C1602="",D1602="",C1602=0),"",D1602/C1602),"")</f>
        <v>0.91062653562653562</v>
      </c>
      <c r="G1602" s="21" t="str">
        <f>IFERROR(INDEX(Users!$A$2:$A$310,MATCH(A1602,Users!$B$2:$B$310,0)),"")</f>
        <v>Service B</v>
      </c>
      <c r="H1602" s="21" t="str">
        <f>IFERROR(INDEX(Users!$D$2:$D$310,MATCH(A1602,Users!$B$2:$B$310,0)),"")</f>
        <v>Band 3</v>
      </c>
      <c r="I1602" s="19" t="b">
        <f t="shared" ref="I1602:I1665" si="76">AND(G1602="Service A",H1602="Band 3")</f>
        <v>0</v>
      </c>
      <c r="J1602" s="33">
        <f t="shared" ref="J1602:J1665" si="77">IF(AND(B1602&gt;=DATE(2025,1,1),B1602&lt;DATE(2026,1,1),G1602="Service B",OR(H1602="Band 3",H1602="Band 5"),ISNUMBER(F1602)),F1602,"")</f>
        <v>0.91062653562653562</v>
      </c>
    </row>
    <row r="1603" spans="1:10">
      <c r="A1603" s="19" t="s">
        <v>253</v>
      </c>
      <c r="B1603" s="20">
        <v>45689</v>
      </c>
      <c r="C1603" s="21">
        <v>148</v>
      </c>
      <c r="D1603" s="21">
        <v>134.14333333333332</v>
      </c>
      <c r="E1603" s="21">
        <v>35.06</v>
      </c>
      <c r="F1603" s="27">
        <f t="shared" si="75"/>
        <v>0.9063738738738738</v>
      </c>
      <c r="G1603" s="21" t="str">
        <f>IFERROR(INDEX(Users!$A$2:$A$310,MATCH(A1603,Users!$B$2:$B$310,0)),"")</f>
        <v>Service B</v>
      </c>
      <c r="H1603" s="21" t="str">
        <f>IFERROR(INDEX(Users!$D$2:$D$310,MATCH(A1603,Users!$B$2:$B$310,0)),"")</f>
        <v>Band 3</v>
      </c>
      <c r="I1603" s="19" t="b">
        <f t="shared" si="76"/>
        <v>0</v>
      </c>
      <c r="J1603" s="33">
        <f t="shared" si="77"/>
        <v>0.9063738738738738</v>
      </c>
    </row>
    <row r="1604" spans="1:10">
      <c r="A1604" s="19" t="s">
        <v>253</v>
      </c>
      <c r="B1604" s="20">
        <v>45717</v>
      </c>
      <c r="C1604" s="21">
        <v>155.4</v>
      </c>
      <c r="D1604" s="21">
        <v>75.490000000000009</v>
      </c>
      <c r="E1604" s="21">
        <v>15.74</v>
      </c>
      <c r="F1604" s="27">
        <f t="shared" si="75"/>
        <v>0.48577863577863584</v>
      </c>
      <c r="G1604" s="21" t="str">
        <f>IFERROR(INDEX(Users!$A$2:$A$310,MATCH(A1604,Users!$B$2:$B$310,0)),"")</f>
        <v>Service B</v>
      </c>
      <c r="H1604" s="21" t="str">
        <f>IFERROR(INDEX(Users!$D$2:$D$310,MATCH(A1604,Users!$B$2:$B$310,0)),"")</f>
        <v>Band 3</v>
      </c>
      <c r="I1604" s="19" t="b">
        <f t="shared" si="76"/>
        <v>0</v>
      </c>
      <c r="J1604" s="33">
        <f t="shared" si="77"/>
        <v>0.48577863577863584</v>
      </c>
    </row>
    <row r="1605" spans="1:10">
      <c r="A1605" s="19" t="s">
        <v>253</v>
      </c>
      <c r="B1605" s="20">
        <v>45748</v>
      </c>
      <c r="C1605" s="21">
        <v>148</v>
      </c>
      <c r="D1605" s="21">
        <v>35.246666666666663</v>
      </c>
      <c r="E1605" s="21">
        <v>14.33</v>
      </c>
      <c r="F1605" s="27">
        <f t="shared" si="75"/>
        <v>0.23815315315315314</v>
      </c>
      <c r="G1605" s="21" t="str">
        <f>IFERROR(INDEX(Users!$A$2:$A$310,MATCH(A1605,Users!$B$2:$B$310,0)),"")</f>
        <v>Service B</v>
      </c>
      <c r="H1605" s="21" t="str">
        <f>IFERROR(INDEX(Users!$D$2:$D$310,MATCH(A1605,Users!$B$2:$B$310,0)),"")</f>
        <v>Band 3</v>
      </c>
      <c r="I1605" s="19" t="b">
        <f t="shared" si="76"/>
        <v>0</v>
      </c>
      <c r="J1605" s="33">
        <f t="shared" si="77"/>
        <v>0.23815315315315314</v>
      </c>
    </row>
    <row r="1606" spans="1:10">
      <c r="A1606" s="19" t="s">
        <v>253</v>
      </c>
      <c r="B1606" s="20">
        <v>45778</v>
      </c>
      <c r="C1606" s="21">
        <v>148</v>
      </c>
      <c r="D1606" s="21">
        <v>115.38666666666666</v>
      </c>
      <c r="E1606" s="21">
        <v>44.72</v>
      </c>
      <c r="F1606" s="27">
        <f t="shared" si="75"/>
        <v>0.77963963963963956</v>
      </c>
      <c r="G1606" s="21" t="str">
        <f>IFERROR(INDEX(Users!$A$2:$A$310,MATCH(A1606,Users!$B$2:$B$310,0)),"")</f>
        <v>Service B</v>
      </c>
      <c r="H1606" s="21" t="str">
        <f>IFERROR(INDEX(Users!$D$2:$D$310,MATCH(A1606,Users!$B$2:$B$310,0)),"")</f>
        <v>Band 3</v>
      </c>
      <c r="I1606" s="19" t="b">
        <f t="shared" si="76"/>
        <v>0</v>
      </c>
      <c r="J1606" s="33">
        <f t="shared" si="77"/>
        <v>0.77963963963963956</v>
      </c>
    </row>
    <row r="1607" spans="1:10">
      <c r="A1607" s="19" t="s">
        <v>253</v>
      </c>
      <c r="B1607" s="20">
        <v>45809</v>
      </c>
      <c r="C1607" s="21">
        <v>155.4</v>
      </c>
      <c r="D1607" s="21">
        <v>117.1</v>
      </c>
      <c r="E1607" s="21">
        <v>51.350000000000009</v>
      </c>
      <c r="F1607" s="27">
        <f t="shared" si="75"/>
        <v>0.75353925353925344</v>
      </c>
      <c r="G1607" s="21" t="str">
        <f>IFERROR(INDEX(Users!$A$2:$A$310,MATCH(A1607,Users!$B$2:$B$310,0)),"")</f>
        <v>Service B</v>
      </c>
      <c r="H1607" s="21" t="str">
        <f>IFERROR(INDEX(Users!$D$2:$D$310,MATCH(A1607,Users!$B$2:$B$310,0)),"")</f>
        <v>Band 3</v>
      </c>
      <c r="I1607" s="19" t="b">
        <f t="shared" si="76"/>
        <v>0</v>
      </c>
      <c r="J1607" s="33">
        <f t="shared" si="77"/>
        <v>0.75353925353925344</v>
      </c>
    </row>
    <row r="1608" spans="1:10">
      <c r="A1608" s="19" t="s">
        <v>253</v>
      </c>
      <c r="B1608" s="20">
        <v>45839</v>
      </c>
      <c r="C1608" s="21">
        <v>170.20000000000002</v>
      </c>
      <c r="D1608" s="21">
        <v>149.84666666666669</v>
      </c>
      <c r="E1608" s="21">
        <v>86.680000000000021</v>
      </c>
      <c r="F1608" s="27">
        <f t="shared" si="75"/>
        <v>0.88041519780650224</v>
      </c>
      <c r="G1608" s="21" t="str">
        <f>IFERROR(INDEX(Users!$A$2:$A$310,MATCH(A1608,Users!$B$2:$B$310,0)),"")</f>
        <v>Service B</v>
      </c>
      <c r="H1608" s="21" t="str">
        <f>IFERROR(INDEX(Users!$D$2:$D$310,MATCH(A1608,Users!$B$2:$B$310,0)),"")</f>
        <v>Band 3</v>
      </c>
      <c r="I1608" s="19" t="b">
        <f t="shared" si="76"/>
        <v>0</v>
      </c>
      <c r="J1608" s="33">
        <f t="shared" si="77"/>
        <v>0.88041519780650224</v>
      </c>
    </row>
    <row r="1609" spans="1:10">
      <c r="A1609" s="19" t="s">
        <v>253</v>
      </c>
      <c r="B1609" s="20">
        <v>45870</v>
      </c>
      <c r="C1609" s="21">
        <v>148</v>
      </c>
      <c r="D1609" s="21">
        <v>107.95666666666665</v>
      </c>
      <c r="E1609" s="21">
        <v>74.039999999999992</v>
      </c>
      <c r="F1609" s="27">
        <f t="shared" si="75"/>
        <v>0.72943693693693679</v>
      </c>
      <c r="G1609" s="21" t="str">
        <f>IFERROR(INDEX(Users!$A$2:$A$310,MATCH(A1609,Users!$B$2:$B$310,0)),"")</f>
        <v>Service B</v>
      </c>
      <c r="H1609" s="21" t="str">
        <f>IFERROR(INDEX(Users!$D$2:$D$310,MATCH(A1609,Users!$B$2:$B$310,0)),"")</f>
        <v>Band 3</v>
      </c>
      <c r="I1609" s="19" t="b">
        <f t="shared" si="76"/>
        <v>0</v>
      </c>
      <c r="J1609" s="33">
        <f t="shared" si="77"/>
        <v>0.72943693693693679</v>
      </c>
    </row>
    <row r="1610" spans="1:10">
      <c r="A1610" s="19" t="s">
        <v>253</v>
      </c>
      <c r="B1610" s="20">
        <v>45901</v>
      </c>
      <c r="C1610" s="21">
        <v>162.80000000000001</v>
      </c>
      <c r="D1610" s="21">
        <v>136.50666666666666</v>
      </c>
      <c r="E1610" s="21">
        <v>97.34</v>
      </c>
      <c r="F1610" s="27">
        <f t="shared" si="75"/>
        <v>0.83849303849303836</v>
      </c>
      <c r="G1610" s="21" t="str">
        <f>IFERROR(INDEX(Users!$A$2:$A$310,MATCH(A1610,Users!$B$2:$B$310,0)),"")</f>
        <v>Service B</v>
      </c>
      <c r="H1610" s="21" t="str">
        <f>IFERROR(INDEX(Users!$D$2:$D$310,MATCH(A1610,Users!$B$2:$B$310,0)),"")</f>
        <v>Band 3</v>
      </c>
      <c r="I1610" s="19" t="b">
        <f t="shared" si="76"/>
        <v>0</v>
      </c>
      <c r="J1610" s="33">
        <f t="shared" si="77"/>
        <v>0.83849303849303836</v>
      </c>
    </row>
    <row r="1611" spans="1:10">
      <c r="A1611" s="19" t="s">
        <v>253</v>
      </c>
      <c r="B1611" s="20">
        <v>45931</v>
      </c>
      <c r="C1611" s="21">
        <v>170.20000000000002</v>
      </c>
      <c r="D1611" s="21">
        <v>123.80333333333331</v>
      </c>
      <c r="E1611" s="21">
        <v>101.46999999999998</v>
      </c>
      <c r="F1611" s="27">
        <f t="shared" si="75"/>
        <v>0.72739913826870328</v>
      </c>
      <c r="G1611" s="21" t="str">
        <f>IFERROR(INDEX(Users!$A$2:$A$310,MATCH(A1611,Users!$B$2:$B$310,0)),"")</f>
        <v>Service B</v>
      </c>
      <c r="H1611" s="21" t="str">
        <f>IFERROR(INDEX(Users!$D$2:$D$310,MATCH(A1611,Users!$B$2:$B$310,0)),"")</f>
        <v>Band 3</v>
      </c>
      <c r="I1611" s="19" t="b">
        <f t="shared" si="76"/>
        <v>0</v>
      </c>
      <c r="J1611" s="33">
        <f t="shared" si="77"/>
        <v>0.72739913826870328</v>
      </c>
    </row>
    <row r="1612" spans="1:10">
      <c r="A1612" s="19" t="s">
        <v>253</v>
      </c>
      <c r="B1612" s="20">
        <v>45962</v>
      </c>
      <c r="C1612" s="21">
        <v>148</v>
      </c>
      <c r="D1612" s="21">
        <v>126.82</v>
      </c>
      <c r="E1612" s="21">
        <v>94.57</v>
      </c>
      <c r="F1612" s="27">
        <f t="shared" si="75"/>
        <v>0.85689189189189185</v>
      </c>
      <c r="G1612" s="21" t="str">
        <f>IFERROR(INDEX(Users!$A$2:$A$310,MATCH(A1612,Users!$B$2:$B$310,0)),"")</f>
        <v>Service B</v>
      </c>
      <c r="H1612" s="21" t="str">
        <f>IFERROR(INDEX(Users!$D$2:$D$310,MATCH(A1612,Users!$B$2:$B$310,0)),"")</f>
        <v>Band 3</v>
      </c>
      <c r="I1612" s="19" t="b">
        <f t="shared" si="76"/>
        <v>0</v>
      </c>
      <c r="J1612" s="33">
        <f t="shared" si="77"/>
        <v>0.85689189189189185</v>
      </c>
    </row>
    <row r="1613" spans="1:10">
      <c r="A1613" s="19" t="s">
        <v>253</v>
      </c>
      <c r="B1613" s="20">
        <v>45992</v>
      </c>
      <c r="C1613" s="21">
        <v>155.4</v>
      </c>
      <c r="D1613" s="21">
        <v>140.92666666666668</v>
      </c>
      <c r="E1613" s="21">
        <v>90.01</v>
      </c>
      <c r="F1613" s="27">
        <f t="shared" si="75"/>
        <v>0.90686400686400692</v>
      </c>
      <c r="G1613" s="21" t="str">
        <f>IFERROR(INDEX(Users!$A$2:$A$310,MATCH(A1613,Users!$B$2:$B$310,0)),"")</f>
        <v>Service B</v>
      </c>
      <c r="H1613" s="21" t="str">
        <f>IFERROR(INDEX(Users!$D$2:$D$310,MATCH(A1613,Users!$B$2:$B$310,0)),"")</f>
        <v>Band 3</v>
      </c>
      <c r="I1613" s="19" t="b">
        <f t="shared" si="76"/>
        <v>0</v>
      </c>
      <c r="J1613" s="33">
        <f t="shared" si="77"/>
        <v>0.90686400686400692</v>
      </c>
    </row>
    <row r="1614" spans="1:10">
      <c r="A1614" s="19" t="s">
        <v>253</v>
      </c>
      <c r="B1614" s="20">
        <v>46023</v>
      </c>
      <c r="C1614" s="21">
        <v>155.4</v>
      </c>
      <c r="D1614" s="21">
        <v>33.736666666666665</v>
      </c>
      <c r="E1614" s="21">
        <v>13.82</v>
      </c>
      <c r="F1614" s="27">
        <f t="shared" si="75"/>
        <v>0.21709566709566708</v>
      </c>
      <c r="G1614" s="21" t="str">
        <f>IFERROR(INDEX(Users!$A$2:$A$310,MATCH(A1614,Users!$B$2:$B$310,0)),"")</f>
        <v>Service B</v>
      </c>
      <c r="H1614" s="21" t="str">
        <f>IFERROR(INDEX(Users!$D$2:$D$310,MATCH(A1614,Users!$B$2:$B$310,0)),"")</f>
        <v>Band 3</v>
      </c>
      <c r="I1614" s="19" t="b">
        <f t="shared" si="76"/>
        <v>0</v>
      </c>
      <c r="J1614" s="33" t="str">
        <f t="shared" si="77"/>
        <v/>
      </c>
    </row>
    <row r="1615" spans="1:10">
      <c r="A1615" s="19" t="s">
        <v>254</v>
      </c>
      <c r="B1615" s="20">
        <v>45658</v>
      </c>
      <c r="C1615" s="21">
        <v>162.80000000000001</v>
      </c>
      <c r="D1615" s="21">
        <v>134.83333333333334</v>
      </c>
      <c r="E1615" s="21">
        <v>98.75</v>
      </c>
      <c r="F1615" s="27">
        <f t="shared" si="75"/>
        <v>0.82821457821457822</v>
      </c>
      <c r="G1615" s="21" t="str">
        <f>IFERROR(INDEX(Users!$A$2:$A$310,MATCH(A1615,Users!$B$2:$B$310,0)),"")</f>
        <v>Service A</v>
      </c>
      <c r="H1615" s="21" t="str">
        <f>IFERROR(INDEX(Users!$D$2:$D$310,MATCH(A1615,Users!$B$2:$B$310,0)),"")</f>
        <v>Band 3</v>
      </c>
      <c r="I1615" s="19" t="b">
        <f t="shared" si="76"/>
        <v>1</v>
      </c>
      <c r="J1615" s="33" t="str">
        <f t="shared" si="77"/>
        <v/>
      </c>
    </row>
    <row r="1616" spans="1:10">
      <c r="A1616" s="19" t="s">
        <v>254</v>
      </c>
      <c r="B1616" s="20">
        <v>45689</v>
      </c>
      <c r="C1616" s="21">
        <v>148</v>
      </c>
      <c r="D1616" s="21">
        <v>128.75</v>
      </c>
      <c r="E1616" s="21">
        <v>92.75</v>
      </c>
      <c r="F1616" s="27">
        <f t="shared" si="75"/>
        <v>0.86993243243243246</v>
      </c>
      <c r="G1616" s="21" t="str">
        <f>IFERROR(INDEX(Users!$A$2:$A$310,MATCH(A1616,Users!$B$2:$B$310,0)),"")</f>
        <v>Service A</v>
      </c>
      <c r="H1616" s="21" t="str">
        <f>IFERROR(INDEX(Users!$D$2:$D$310,MATCH(A1616,Users!$B$2:$B$310,0)),"")</f>
        <v>Band 3</v>
      </c>
      <c r="I1616" s="19" t="b">
        <f t="shared" si="76"/>
        <v>1</v>
      </c>
      <c r="J1616" s="33" t="str">
        <f t="shared" si="77"/>
        <v/>
      </c>
    </row>
    <row r="1617" spans="1:10">
      <c r="A1617" s="19" t="s">
        <v>254</v>
      </c>
      <c r="B1617" s="20">
        <v>45717</v>
      </c>
      <c r="C1617" s="21">
        <v>155.4</v>
      </c>
      <c r="D1617" s="21">
        <v>128.66333333333333</v>
      </c>
      <c r="E1617" s="21">
        <v>99.08</v>
      </c>
      <c r="F1617" s="27">
        <f t="shared" si="75"/>
        <v>0.82794937794937784</v>
      </c>
      <c r="G1617" s="21" t="str">
        <f>IFERROR(INDEX(Users!$A$2:$A$310,MATCH(A1617,Users!$B$2:$B$310,0)),"")</f>
        <v>Service A</v>
      </c>
      <c r="H1617" s="21" t="str">
        <f>IFERROR(INDEX(Users!$D$2:$D$310,MATCH(A1617,Users!$B$2:$B$310,0)),"")</f>
        <v>Band 3</v>
      </c>
      <c r="I1617" s="19" t="b">
        <f t="shared" si="76"/>
        <v>1</v>
      </c>
      <c r="J1617" s="33" t="str">
        <f t="shared" si="77"/>
        <v/>
      </c>
    </row>
    <row r="1618" spans="1:10">
      <c r="A1618" s="19" t="s">
        <v>254</v>
      </c>
      <c r="B1618" s="20">
        <v>45748</v>
      </c>
      <c r="C1618" s="21">
        <v>148</v>
      </c>
      <c r="D1618" s="21">
        <v>83.836666666666673</v>
      </c>
      <c r="E1618" s="21">
        <v>40.17</v>
      </c>
      <c r="F1618" s="27">
        <f t="shared" si="75"/>
        <v>0.56646396396396403</v>
      </c>
      <c r="G1618" s="21" t="str">
        <f>IFERROR(INDEX(Users!$A$2:$A$310,MATCH(A1618,Users!$B$2:$B$310,0)),"")</f>
        <v>Service A</v>
      </c>
      <c r="H1618" s="21" t="str">
        <f>IFERROR(INDEX(Users!$D$2:$D$310,MATCH(A1618,Users!$B$2:$B$310,0)),"")</f>
        <v>Band 3</v>
      </c>
      <c r="I1618" s="19" t="b">
        <f t="shared" si="76"/>
        <v>1</v>
      </c>
      <c r="J1618" s="33" t="str">
        <f t="shared" si="77"/>
        <v/>
      </c>
    </row>
    <row r="1619" spans="1:10">
      <c r="A1619" s="19" t="s">
        <v>254</v>
      </c>
      <c r="B1619" s="20">
        <v>45778</v>
      </c>
      <c r="C1619" s="21">
        <v>148</v>
      </c>
      <c r="D1619" s="21">
        <v>10</v>
      </c>
      <c r="E1619" s="21">
        <v>3.25</v>
      </c>
      <c r="F1619" s="27">
        <f t="shared" si="75"/>
        <v>6.7567567567567571E-2</v>
      </c>
      <c r="G1619" s="21" t="str">
        <f>IFERROR(INDEX(Users!$A$2:$A$310,MATCH(A1619,Users!$B$2:$B$310,0)),"")</f>
        <v>Service A</v>
      </c>
      <c r="H1619" s="21" t="str">
        <f>IFERROR(INDEX(Users!$D$2:$D$310,MATCH(A1619,Users!$B$2:$B$310,0)),"")</f>
        <v>Band 3</v>
      </c>
      <c r="I1619" s="19" t="b">
        <f t="shared" si="76"/>
        <v>1</v>
      </c>
      <c r="J1619" s="33" t="str">
        <f t="shared" si="77"/>
        <v/>
      </c>
    </row>
    <row r="1620" spans="1:10">
      <c r="A1620" s="19" t="s">
        <v>254</v>
      </c>
      <c r="B1620" s="20">
        <v>45809</v>
      </c>
      <c r="C1620" s="21">
        <v>155.4</v>
      </c>
      <c r="D1620" s="21"/>
      <c r="E1620" s="21"/>
      <c r="F1620" s="27" t="str">
        <f t="shared" si="75"/>
        <v/>
      </c>
      <c r="G1620" s="21" t="str">
        <f>IFERROR(INDEX(Users!$A$2:$A$310,MATCH(A1620,Users!$B$2:$B$310,0)),"")</f>
        <v>Service A</v>
      </c>
      <c r="H1620" s="21" t="str">
        <f>IFERROR(INDEX(Users!$D$2:$D$310,MATCH(A1620,Users!$B$2:$B$310,0)),"")</f>
        <v>Band 3</v>
      </c>
      <c r="I1620" s="19" t="b">
        <f t="shared" si="76"/>
        <v>1</v>
      </c>
      <c r="J1620" s="33" t="str">
        <f t="shared" si="77"/>
        <v/>
      </c>
    </row>
    <row r="1621" spans="1:10">
      <c r="A1621" s="19" t="s">
        <v>254</v>
      </c>
      <c r="B1621" s="20">
        <v>45839</v>
      </c>
      <c r="C1621" s="21">
        <v>170.20000000000002</v>
      </c>
      <c r="D1621" s="21"/>
      <c r="E1621" s="21"/>
      <c r="F1621" s="27" t="str">
        <f t="shared" si="75"/>
        <v/>
      </c>
      <c r="G1621" s="21" t="str">
        <f>IFERROR(INDEX(Users!$A$2:$A$310,MATCH(A1621,Users!$B$2:$B$310,0)),"")</f>
        <v>Service A</v>
      </c>
      <c r="H1621" s="21" t="str">
        <f>IFERROR(INDEX(Users!$D$2:$D$310,MATCH(A1621,Users!$B$2:$B$310,0)),"")</f>
        <v>Band 3</v>
      </c>
      <c r="I1621" s="19" t="b">
        <f t="shared" si="76"/>
        <v>1</v>
      </c>
      <c r="J1621" s="33" t="str">
        <f t="shared" si="77"/>
        <v/>
      </c>
    </row>
    <row r="1622" spans="1:10">
      <c r="A1622" s="19" t="s">
        <v>254</v>
      </c>
      <c r="B1622" s="20">
        <v>45870</v>
      </c>
      <c r="C1622" s="21">
        <v>148</v>
      </c>
      <c r="D1622" s="21"/>
      <c r="E1622" s="21"/>
      <c r="F1622" s="27" t="str">
        <f t="shared" si="75"/>
        <v/>
      </c>
      <c r="G1622" s="21" t="str">
        <f>IFERROR(INDEX(Users!$A$2:$A$310,MATCH(A1622,Users!$B$2:$B$310,0)),"")</f>
        <v>Service A</v>
      </c>
      <c r="H1622" s="21" t="str">
        <f>IFERROR(INDEX(Users!$D$2:$D$310,MATCH(A1622,Users!$B$2:$B$310,0)),"")</f>
        <v>Band 3</v>
      </c>
      <c r="I1622" s="19" t="b">
        <f t="shared" si="76"/>
        <v>1</v>
      </c>
      <c r="J1622" s="33" t="str">
        <f t="shared" si="77"/>
        <v/>
      </c>
    </row>
    <row r="1623" spans="1:10">
      <c r="A1623" s="19" t="s">
        <v>254</v>
      </c>
      <c r="B1623" s="20">
        <v>45901</v>
      </c>
      <c r="C1623" s="21">
        <v>162.80000000000001</v>
      </c>
      <c r="D1623" s="21"/>
      <c r="E1623" s="21"/>
      <c r="F1623" s="27" t="str">
        <f t="shared" si="75"/>
        <v/>
      </c>
      <c r="G1623" s="21" t="str">
        <f>IFERROR(INDEX(Users!$A$2:$A$310,MATCH(A1623,Users!$B$2:$B$310,0)),"")</f>
        <v>Service A</v>
      </c>
      <c r="H1623" s="21" t="str">
        <f>IFERROR(INDEX(Users!$D$2:$D$310,MATCH(A1623,Users!$B$2:$B$310,0)),"")</f>
        <v>Band 3</v>
      </c>
      <c r="I1623" s="19" t="b">
        <f t="shared" si="76"/>
        <v>1</v>
      </c>
      <c r="J1623" s="33" t="str">
        <f t="shared" si="77"/>
        <v/>
      </c>
    </row>
    <row r="1624" spans="1:10">
      <c r="A1624" s="19" t="s">
        <v>254</v>
      </c>
      <c r="B1624" s="20">
        <v>45931</v>
      </c>
      <c r="C1624" s="21">
        <v>103.60000000000001</v>
      </c>
      <c r="D1624" s="21"/>
      <c r="E1624" s="21"/>
      <c r="F1624" s="27" t="str">
        <f t="shared" si="75"/>
        <v/>
      </c>
      <c r="G1624" s="21" t="str">
        <f>IFERROR(INDEX(Users!$A$2:$A$310,MATCH(A1624,Users!$B$2:$B$310,0)),"")</f>
        <v>Service A</v>
      </c>
      <c r="H1624" s="21" t="str">
        <f>IFERROR(INDEX(Users!$D$2:$D$310,MATCH(A1624,Users!$B$2:$B$310,0)),"")</f>
        <v>Band 3</v>
      </c>
      <c r="I1624" s="19" t="b">
        <f t="shared" si="76"/>
        <v>1</v>
      </c>
      <c r="J1624" s="33" t="str">
        <f t="shared" si="77"/>
        <v/>
      </c>
    </row>
    <row r="1625" spans="1:10">
      <c r="A1625" s="19" t="s">
        <v>255</v>
      </c>
      <c r="B1625" s="20">
        <v>45658</v>
      </c>
      <c r="C1625" s="21">
        <v>162.80000000000001</v>
      </c>
      <c r="D1625" s="21">
        <v>148.47</v>
      </c>
      <c r="E1625" s="21">
        <v>32.97</v>
      </c>
      <c r="F1625" s="27">
        <f t="shared" si="75"/>
        <v>0.91197788697788695</v>
      </c>
      <c r="G1625" s="21" t="str">
        <f>IFERROR(INDEX(Users!$A$2:$A$310,MATCH(A1625,Users!$B$2:$B$310,0)),"")</f>
        <v>Service D</v>
      </c>
      <c r="H1625" s="21" t="str">
        <f>IFERROR(INDEX(Users!$D$2:$D$310,MATCH(A1625,Users!$B$2:$B$310,0)),"")</f>
        <v>Band 3</v>
      </c>
      <c r="I1625" s="19" t="b">
        <f t="shared" si="76"/>
        <v>0</v>
      </c>
      <c r="J1625" s="33" t="str">
        <f t="shared" si="77"/>
        <v/>
      </c>
    </row>
    <row r="1626" spans="1:10">
      <c r="A1626" s="19" t="s">
        <v>255</v>
      </c>
      <c r="B1626" s="20">
        <v>45689</v>
      </c>
      <c r="C1626" s="21">
        <v>148</v>
      </c>
      <c r="D1626" s="21">
        <v>145</v>
      </c>
      <c r="E1626" s="21">
        <v>32.5</v>
      </c>
      <c r="F1626" s="27">
        <f t="shared" si="75"/>
        <v>0.97972972972972971</v>
      </c>
      <c r="G1626" s="21" t="str">
        <f>IFERROR(INDEX(Users!$A$2:$A$310,MATCH(A1626,Users!$B$2:$B$310,0)),"")</f>
        <v>Service D</v>
      </c>
      <c r="H1626" s="21" t="str">
        <f>IFERROR(INDEX(Users!$D$2:$D$310,MATCH(A1626,Users!$B$2:$B$310,0)),"")</f>
        <v>Band 3</v>
      </c>
      <c r="I1626" s="19" t="b">
        <f t="shared" si="76"/>
        <v>0</v>
      </c>
      <c r="J1626" s="33" t="str">
        <f t="shared" si="77"/>
        <v/>
      </c>
    </row>
    <row r="1627" spans="1:10">
      <c r="A1627" s="19" t="s">
        <v>255</v>
      </c>
      <c r="B1627" s="20">
        <v>45717</v>
      </c>
      <c r="C1627" s="21">
        <v>155.4</v>
      </c>
      <c r="D1627" s="21">
        <v>152</v>
      </c>
      <c r="E1627" s="21">
        <v>61.5</v>
      </c>
      <c r="F1627" s="27">
        <f t="shared" si="75"/>
        <v>0.97812097812097809</v>
      </c>
      <c r="G1627" s="21" t="str">
        <f>IFERROR(INDEX(Users!$A$2:$A$310,MATCH(A1627,Users!$B$2:$B$310,0)),"")</f>
        <v>Service D</v>
      </c>
      <c r="H1627" s="21" t="str">
        <f>IFERROR(INDEX(Users!$D$2:$D$310,MATCH(A1627,Users!$B$2:$B$310,0)),"")</f>
        <v>Band 3</v>
      </c>
      <c r="I1627" s="19" t="b">
        <f t="shared" si="76"/>
        <v>0</v>
      </c>
      <c r="J1627" s="33" t="str">
        <f t="shared" si="77"/>
        <v/>
      </c>
    </row>
    <row r="1628" spans="1:10">
      <c r="A1628" s="19" t="s">
        <v>255</v>
      </c>
      <c r="B1628" s="20">
        <v>45748</v>
      </c>
      <c r="C1628" s="21">
        <v>148</v>
      </c>
      <c r="D1628" s="21">
        <v>148.07999999999998</v>
      </c>
      <c r="E1628" s="21">
        <v>74.58</v>
      </c>
      <c r="F1628" s="27">
        <f t="shared" si="75"/>
        <v>1.0005405405405405</v>
      </c>
      <c r="G1628" s="21" t="str">
        <f>IFERROR(INDEX(Users!$A$2:$A$310,MATCH(A1628,Users!$B$2:$B$310,0)),"")</f>
        <v>Service D</v>
      </c>
      <c r="H1628" s="21" t="str">
        <f>IFERROR(INDEX(Users!$D$2:$D$310,MATCH(A1628,Users!$B$2:$B$310,0)),"")</f>
        <v>Band 3</v>
      </c>
      <c r="I1628" s="19" t="b">
        <f t="shared" si="76"/>
        <v>0</v>
      </c>
      <c r="J1628" s="33" t="str">
        <f t="shared" si="77"/>
        <v/>
      </c>
    </row>
    <row r="1629" spans="1:10">
      <c r="A1629" s="19" t="s">
        <v>255</v>
      </c>
      <c r="B1629" s="20">
        <v>45778</v>
      </c>
      <c r="C1629" s="21">
        <v>148</v>
      </c>
      <c r="D1629" s="21">
        <v>111.75</v>
      </c>
      <c r="E1629" s="21">
        <v>41.25</v>
      </c>
      <c r="F1629" s="27">
        <f t="shared" si="75"/>
        <v>0.75506756756756754</v>
      </c>
      <c r="G1629" s="21" t="str">
        <f>IFERROR(INDEX(Users!$A$2:$A$310,MATCH(A1629,Users!$B$2:$B$310,0)),"")</f>
        <v>Service D</v>
      </c>
      <c r="H1629" s="21" t="str">
        <f>IFERROR(INDEX(Users!$D$2:$D$310,MATCH(A1629,Users!$B$2:$B$310,0)),"")</f>
        <v>Band 3</v>
      </c>
      <c r="I1629" s="19" t="b">
        <f t="shared" si="76"/>
        <v>0</v>
      </c>
      <c r="J1629" s="33" t="str">
        <f t="shared" si="77"/>
        <v/>
      </c>
    </row>
    <row r="1630" spans="1:10">
      <c r="A1630" s="19" t="s">
        <v>255</v>
      </c>
      <c r="B1630" s="20">
        <v>45809</v>
      </c>
      <c r="C1630" s="21">
        <v>155.4</v>
      </c>
      <c r="D1630" s="21">
        <v>94.25</v>
      </c>
      <c r="E1630" s="21">
        <v>31.25</v>
      </c>
      <c r="F1630" s="27">
        <f t="shared" si="75"/>
        <v>0.60649935649935649</v>
      </c>
      <c r="G1630" s="21" t="str">
        <f>IFERROR(INDEX(Users!$A$2:$A$310,MATCH(A1630,Users!$B$2:$B$310,0)),"")</f>
        <v>Service D</v>
      </c>
      <c r="H1630" s="21" t="str">
        <f>IFERROR(INDEX(Users!$D$2:$D$310,MATCH(A1630,Users!$B$2:$B$310,0)),"")</f>
        <v>Band 3</v>
      </c>
      <c r="I1630" s="19" t="b">
        <f t="shared" si="76"/>
        <v>0</v>
      </c>
      <c r="J1630" s="33" t="str">
        <f t="shared" si="77"/>
        <v/>
      </c>
    </row>
    <row r="1631" spans="1:10">
      <c r="A1631" s="19" t="s">
        <v>255</v>
      </c>
      <c r="B1631" s="20">
        <v>45839</v>
      </c>
      <c r="C1631" s="21">
        <v>170.20000000000002</v>
      </c>
      <c r="D1631" s="21">
        <v>157.49666666666667</v>
      </c>
      <c r="E1631" s="21">
        <v>86.58</v>
      </c>
      <c r="F1631" s="27">
        <f t="shared" si="75"/>
        <v>0.92536231884057962</v>
      </c>
      <c r="G1631" s="21" t="str">
        <f>IFERROR(INDEX(Users!$A$2:$A$310,MATCH(A1631,Users!$B$2:$B$310,0)),"")</f>
        <v>Service D</v>
      </c>
      <c r="H1631" s="21" t="str">
        <f>IFERROR(INDEX(Users!$D$2:$D$310,MATCH(A1631,Users!$B$2:$B$310,0)),"")</f>
        <v>Band 3</v>
      </c>
      <c r="I1631" s="19" t="b">
        <f t="shared" si="76"/>
        <v>0</v>
      </c>
      <c r="J1631" s="33" t="str">
        <f t="shared" si="77"/>
        <v/>
      </c>
    </row>
    <row r="1632" spans="1:10">
      <c r="A1632" s="19" t="s">
        <v>255</v>
      </c>
      <c r="B1632" s="20">
        <v>45870</v>
      </c>
      <c r="C1632" s="21">
        <v>148</v>
      </c>
      <c r="D1632" s="21">
        <v>119</v>
      </c>
      <c r="E1632" s="21">
        <v>57</v>
      </c>
      <c r="F1632" s="27">
        <f t="shared" si="75"/>
        <v>0.80405405405405406</v>
      </c>
      <c r="G1632" s="21" t="str">
        <f>IFERROR(INDEX(Users!$A$2:$A$310,MATCH(A1632,Users!$B$2:$B$310,0)),"")</f>
        <v>Service D</v>
      </c>
      <c r="H1632" s="21" t="str">
        <f>IFERROR(INDEX(Users!$D$2:$D$310,MATCH(A1632,Users!$B$2:$B$310,0)),"")</f>
        <v>Band 3</v>
      </c>
      <c r="I1632" s="19" t="b">
        <f t="shared" si="76"/>
        <v>0</v>
      </c>
      <c r="J1632" s="33" t="str">
        <f t="shared" si="77"/>
        <v/>
      </c>
    </row>
    <row r="1633" spans="1:10">
      <c r="A1633" s="19" t="s">
        <v>255</v>
      </c>
      <c r="B1633" s="20">
        <v>45901</v>
      </c>
      <c r="C1633" s="21">
        <v>162.80000000000001</v>
      </c>
      <c r="D1633" s="21">
        <v>128.75</v>
      </c>
      <c r="E1633" s="21">
        <v>54</v>
      </c>
      <c r="F1633" s="27">
        <f t="shared" si="75"/>
        <v>0.79084766584766575</v>
      </c>
      <c r="G1633" s="21" t="str">
        <f>IFERROR(INDEX(Users!$A$2:$A$310,MATCH(A1633,Users!$B$2:$B$310,0)),"")</f>
        <v>Service D</v>
      </c>
      <c r="H1633" s="21" t="str">
        <f>IFERROR(INDEX(Users!$D$2:$D$310,MATCH(A1633,Users!$B$2:$B$310,0)),"")</f>
        <v>Band 3</v>
      </c>
      <c r="I1633" s="19" t="b">
        <f t="shared" si="76"/>
        <v>0</v>
      </c>
      <c r="J1633" s="33" t="str">
        <f t="shared" si="77"/>
        <v/>
      </c>
    </row>
    <row r="1634" spans="1:10">
      <c r="A1634" s="19" t="s">
        <v>255</v>
      </c>
      <c r="B1634" s="20">
        <v>45931</v>
      </c>
      <c r="C1634" s="21">
        <v>170.20000000000002</v>
      </c>
      <c r="D1634" s="21">
        <v>124</v>
      </c>
      <c r="E1634" s="21">
        <v>47</v>
      </c>
      <c r="F1634" s="27">
        <f t="shared" si="75"/>
        <v>0.72855464159811978</v>
      </c>
      <c r="G1634" s="21" t="str">
        <f>IFERROR(INDEX(Users!$A$2:$A$310,MATCH(A1634,Users!$B$2:$B$310,0)),"")</f>
        <v>Service D</v>
      </c>
      <c r="H1634" s="21" t="str">
        <f>IFERROR(INDEX(Users!$D$2:$D$310,MATCH(A1634,Users!$B$2:$B$310,0)),"")</f>
        <v>Band 3</v>
      </c>
      <c r="I1634" s="19" t="b">
        <f t="shared" si="76"/>
        <v>0</v>
      </c>
      <c r="J1634" s="33" t="str">
        <f t="shared" si="77"/>
        <v/>
      </c>
    </row>
    <row r="1635" spans="1:10">
      <c r="A1635" s="19" t="s">
        <v>255</v>
      </c>
      <c r="B1635" s="20">
        <v>45962</v>
      </c>
      <c r="C1635" s="21">
        <v>148</v>
      </c>
      <c r="D1635" s="21">
        <v>120.75333333333333</v>
      </c>
      <c r="E1635" s="21">
        <v>33.42</v>
      </c>
      <c r="F1635" s="27">
        <f t="shared" si="75"/>
        <v>0.81590090090090084</v>
      </c>
      <c r="G1635" s="21" t="str">
        <f>IFERROR(INDEX(Users!$A$2:$A$310,MATCH(A1635,Users!$B$2:$B$310,0)),"")</f>
        <v>Service D</v>
      </c>
      <c r="H1635" s="21" t="str">
        <f>IFERROR(INDEX(Users!$D$2:$D$310,MATCH(A1635,Users!$B$2:$B$310,0)),"")</f>
        <v>Band 3</v>
      </c>
      <c r="I1635" s="19" t="b">
        <f t="shared" si="76"/>
        <v>0</v>
      </c>
      <c r="J1635" s="33" t="str">
        <f t="shared" si="77"/>
        <v/>
      </c>
    </row>
    <row r="1636" spans="1:10">
      <c r="A1636" s="19" t="s">
        <v>255</v>
      </c>
      <c r="B1636" s="20">
        <v>45992</v>
      </c>
      <c r="C1636" s="21">
        <v>155.4</v>
      </c>
      <c r="D1636" s="21">
        <v>114</v>
      </c>
      <c r="E1636" s="21">
        <v>40</v>
      </c>
      <c r="F1636" s="27">
        <f t="shared" si="75"/>
        <v>0.73359073359073357</v>
      </c>
      <c r="G1636" s="21" t="str">
        <f>IFERROR(INDEX(Users!$A$2:$A$310,MATCH(A1636,Users!$B$2:$B$310,0)),"")</f>
        <v>Service D</v>
      </c>
      <c r="H1636" s="21" t="str">
        <f>IFERROR(INDEX(Users!$D$2:$D$310,MATCH(A1636,Users!$B$2:$B$310,0)),"")</f>
        <v>Band 3</v>
      </c>
      <c r="I1636" s="19" t="b">
        <f t="shared" si="76"/>
        <v>0</v>
      </c>
      <c r="J1636" s="33" t="str">
        <f t="shared" si="77"/>
        <v/>
      </c>
    </row>
    <row r="1637" spans="1:10">
      <c r="A1637" s="19" t="s">
        <v>255</v>
      </c>
      <c r="B1637" s="20">
        <v>46023</v>
      </c>
      <c r="C1637" s="21">
        <v>155.4</v>
      </c>
      <c r="D1637" s="21">
        <v>113.75</v>
      </c>
      <c r="E1637" s="21">
        <v>47.75</v>
      </c>
      <c r="F1637" s="27">
        <f t="shared" si="75"/>
        <v>0.73198198198198194</v>
      </c>
      <c r="G1637" s="21" t="str">
        <f>IFERROR(INDEX(Users!$A$2:$A$310,MATCH(A1637,Users!$B$2:$B$310,0)),"")</f>
        <v>Service D</v>
      </c>
      <c r="H1637" s="21" t="str">
        <f>IFERROR(INDEX(Users!$D$2:$D$310,MATCH(A1637,Users!$B$2:$B$310,0)),"")</f>
        <v>Band 3</v>
      </c>
      <c r="I1637" s="19" t="b">
        <f t="shared" si="76"/>
        <v>0</v>
      </c>
      <c r="J1637" s="33" t="str">
        <f t="shared" si="77"/>
        <v/>
      </c>
    </row>
    <row r="1638" spans="1:10">
      <c r="A1638" s="19" t="s">
        <v>256</v>
      </c>
      <c r="B1638" s="20">
        <v>45658</v>
      </c>
      <c r="C1638" s="21">
        <v>162.80000000000001</v>
      </c>
      <c r="D1638" s="21">
        <v>162.10999999999999</v>
      </c>
      <c r="E1638" s="21">
        <v>34.56</v>
      </c>
      <c r="F1638" s="27">
        <f t="shared" si="75"/>
        <v>0.99576167076167055</v>
      </c>
      <c r="G1638" s="21" t="str">
        <f>IFERROR(INDEX(Users!$A$2:$A$310,MATCH(A1638,Users!$B$2:$B$310,0)),"")</f>
        <v>Service B</v>
      </c>
      <c r="H1638" s="21" t="str">
        <f>IFERROR(INDEX(Users!$D$2:$D$310,MATCH(A1638,Users!$B$2:$B$310,0)),"")</f>
        <v>Band 3</v>
      </c>
      <c r="I1638" s="19" t="b">
        <f t="shared" si="76"/>
        <v>0</v>
      </c>
      <c r="J1638" s="33">
        <f t="shared" si="77"/>
        <v>0.99576167076167055</v>
      </c>
    </row>
    <row r="1639" spans="1:10">
      <c r="A1639" s="19" t="s">
        <v>256</v>
      </c>
      <c r="B1639" s="20">
        <v>45689</v>
      </c>
      <c r="C1639" s="21">
        <v>148</v>
      </c>
      <c r="D1639" s="21">
        <v>116.52000000000001</v>
      </c>
      <c r="E1639" s="21">
        <v>49.27000000000001</v>
      </c>
      <c r="F1639" s="27">
        <f t="shared" si="75"/>
        <v>0.78729729729729736</v>
      </c>
      <c r="G1639" s="21" t="str">
        <f>IFERROR(INDEX(Users!$A$2:$A$310,MATCH(A1639,Users!$B$2:$B$310,0)),"")</f>
        <v>Service B</v>
      </c>
      <c r="H1639" s="21" t="str">
        <f>IFERROR(INDEX(Users!$D$2:$D$310,MATCH(A1639,Users!$B$2:$B$310,0)),"")</f>
        <v>Band 3</v>
      </c>
      <c r="I1639" s="19" t="b">
        <f t="shared" si="76"/>
        <v>0</v>
      </c>
      <c r="J1639" s="33">
        <f t="shared" si="77"/>
        <v>0.78729729729729736</v>
      </c>
    </row>
    <row r="1640" spans="1:10">
      <c r="A1640" s="19" t="s">
        <v>256</v>
      </c>
      <c r="B1640" s="20">
        <v>45717</v>
      </c>
      <c r="C1640" s="21">
        <v>155.4</v>
      </c>
      <c r="D1640" s="21">
        <v>144.56666666666666</v>
      </c>
      <c r="E1640" s="21">
        <v>84.149999999999991</v>
      </c>
      <c r="F1640" s="27">
        <f t="shared" si="75"/>
        <v>0.93028743028743022</v>
      </c>
      <c r="G1640" s="21" t="str">
        <f>IFERROR(INDEX(Users!$A$2:$A$310,MATCH(A1640,Users!$B$2:$B$310,0)),"")</f>
        <v>Service B</v>
      </c>
      <c r="H1640" s="21" t="str">
        <f>IFERROR(INDEX(Users!$D$2:$D$310,MATCH(A1640,Users!$B$2:$B$310,0)),"")</f>
        <v>Band 3</v>
      </c>
      <c r="I1640" s="19" t="b">
        <f t="shared" si="76"/>
        <v>0</v>
      </c>
      <c r="J1640" s="33">
        <f t="shared" si="77"/>
        <v>0.93028743028743022</v>
      </c>
    </row>
    <row r="1641" spans="1:10">
      <c r="A1641" s="19" t="s">
        <v>256</v>
      </c>
      <c r="B1641" s="20">
        <v>45748</v>
      </c>
      <c r="C1641" s="21">
        <v>148</v>
      </c>
      <c r="D1641" s="21">
        <v>135.64333333333335</v>
      </c>
      <c r="E1641" s="21">
        <v>92.060000000000016</v>
      </c>
      <c r="F1641" s="27">
        <f t="shared" si="75"/>
        <v>0.91650900900900911</v>
      </c>
      <c r="G1641" s="21" t="str">
        <f>IFERROR(INDEX(Users!$A$2:$A$310,MATCH(A1641,Users!$B$2:$B$310,0)),"")</f>
        <v>Service B</v>
      </c>
      <c r="H1641" s="21" t="str">
        <f>IFERROR(INDEX(Users!$D$2:$D$310,MATCH(A1641,Users!$B$2:$B$310,0)),"")</f>
        <v>Band 3</v>
      </c>
      <c r="I1641" s="19" t="b">
        <f t="shared" si="76"/>
        <v>0</v>
      </c>
      <c r="J1641" s="33">
        <f t="shared" si="77"/>
        <v>0.91650900900900911</v>
      </c>
    </row>
    <row r="1642" spans="1:10">
      <c r="A1642" s="19" t="s">
        <v>256</v>
      </c>
      <c r="B1642" s="20">
        <v>45778</v>
      </c>
      <c r="C1642" s="21">
        <v>148</v>
      </c>
      <c r="D1642" s="21">
        <v>116.81666666666666</v>
      </c>
      <c r="E1642" s="21">
        <v>78.149999999999991</v>
      </c>
      <c r="F1642" s="27">
        <f t="shared" si="75"/>
        <v>0.78930180180180176</v>
      </c>
      <c r="G1642" s="21" t="str">
        <f>IFERROR(INDEX(Users!$A$2:$A$310,MATCH(A1642,Users!$B$2:$B$310,0)),"")</f>
        <v>Service B</v>
      </c>
      <c r="H1642" s="21" t="str">
        <f>IFERROR(INDEX(Users!$D$2:$D$310,MATCH(A1642,Users!$B$2:$B$310,0)),"")</f>
        <v>Band 3</v>
      </c>
      <c r="I1642" s="19" t="b">
        <f t="shared" si="76"/>
        <v>0</v>
      </c>
      <c r="J1642" s="33">
        <f t="shared" si="77"/>
        <v>0.78930180180180176</v>
      </c>
    </row>
    <row r="1643" spans="1:10">
      <c r="A1643" s="19" t="s">
        <v>256</v>
      </c>
      <c r="B1643" s="20">
        <v>45809</v>
      </c>
      <c r="C1643" s="21">
        <v>155.4</v>
      </c>
      <c r="D1643" s="21">
        <v>122.04333333333338</v>
      </c>
      <c r="E1643" s="21">
        <v>88.210000000000051</v>
      </c>
      <c r="F1643" s="27">
        <f t="shared" si="75"/>
        <v>0.78534963534963564</v>
      </c>
      <c r="G1643" s="21" t="str">
        <f>IFERROR(INDEX(Users!$A$2:$A$310,MATCH(A1643,Users!$B$2:$B$310,0)),"")</f>
        <v>Service B</v>
      </c>
      <c r="H1643" s="21" t="str">
        <f>IFERROR(INDEX(Users!$D$2:$D$310,MATCH(A1643,Users!$B$2:$B$310,0)),"")</f>
        <v>Band 3</v>
      </c>
      <c r="I1643" s="19" t="b">
        <f t="shared" si="76"/>
        <v>0</v>
      </c>
      <c r="J1643" s="33">
        <f t="shared" si="77"/>
        <v>0.78534963534963564</v>
      </c>
    </row>
    <row r="1644" spans="1:10">
      <c r="A1644" s="19" t="s">
        <v>256</v>
      </c>
      <c r="B1644" s="20">
        <v>45839</v>
      </c>
      <c r="C1644" s="21">
        <v>170.20000000000002</v>
      </c>
      <c r="D1644" s="21">
        <v>175.44000000000005</v>
      </c>
      <c r="E1644" s="21">
        <v>128.69000000000005</v>
      </c>
      <c r="F1644" s="27">
        <f t="shared" si="75"/>
        <v>1.0307873090481787</v>
      </c>
      <c r="G1644" s="21" t="str">
        <f>IFERROR(INDEX(Users!$A$2:$A$310,MATCH(A1644,Users!$B$2:$B$310,0)),"")</f>
        <v>Service B</v>
      </c>
      <c r="H1644" s="21" t="str">
        <f>IFERROR(INDEX(Users!$D$2:$D$310,MATCH(A1644,Users!$B$2:$B$310,0)),"")</f>
        <v>Band 3</v>
      </c>
      <c r="I1644" s="19" t="b">
        <f t="shared" si="76"/>
        <v>0</v>
      </c>
      <c r="J1644" s="33">
        <f t="shared" si="77"/>
        <v>1.0307873090481787</v>
      </c>
    </row>
    <row r="1645" spans="1:10">
      <c r="A1645" s="19" t="s">
        <v>256</v>
      </c>
      <c r="B1645" s="20">
        <v>45870</v>
      </c>
      <c r="C1645" s="21">
        <v>148</v>
      </c>
      <c r="D1645" s="21">
        <v>129.84000000000003</v>
      </c>
      <c r="E1645" s="21">
        <v>97.090000000000018</v>
      </c>
      <c r="F1645" s="27">
        <f t="shared" si="75"/>
        <v>0.87729729729729755</v>
      </c>
      <c r="G1645" s="21" t="str">
        <f>IFERROR(INDEX(Users!$A$2:$A$310,MATCH(A1645,Users!$B$2:$B$310,0)),"")</f>
        <v>Service B</v>
      </c>
      <c r="H1645" s="21" t="str">
        <f>IFERROR(INDEX(Users!$D$2:$D$310,MATCH(A1645,Users!$B$2:$B$310,0)),"")</f>
        <v>Band 3</v>
      </c>
      <c r="I1645" s="19" t="b">
        <f t="shared" si="76"/>
        <v>0</v>
      </c>
      <c r="J1645" s="33">
        <f t="shared" si="77"/>
        <v>0.87729729729729755</v>
      </c>
    </row>
    <row r="1646" spans="1:10">
      <c r="A1646" s="19" t="s">
        <v>256</v>
      </c>
      <c r="B1646" s="20">
        <v>45901</v>
      </c>
      <c r="C1646" s="21">
        <v>162.80000000000001</v>
      </c>
      <c r="D1646" s="21">
        <v>179.26000000000005</v>
      </c>
      <c r="E1646" s="21">
        <v>141.01000000000005</v>
      </c>
      <c r="F1646" s="27">
        <f t="shared" si="75"/>
        <v>1.1011056511056514</v>
      </c>
      <c r="G1646" s="21" t="str">
        <f>IFERROR(INDEX(Users!$A$2:$A$310,MATCH(A1646,Users!$B$2:$B$310,0)),"")</f>
        <v>Service B</v>
      </c>
      <c r="H1646" s="21" t="str">
        <f>IFERROR(INDEX(Users!$D$2:$D$310,MATCH(A1646,Users!$B$2:$B$310,0)),"")</f>
        <v>Band 3</v>
      </c>
      <c r="I1646" s="19" t="b">
        <f t="shared" si="76"/>
        <v>0</v>
      </c>
      <c r="J1646" s="33">
        <f t="shared" si="77"/>
        <v>1.1011056511056514</v>
      </c>
    </row>
    <row r="1647" spans="1:10">
      <c r="A1647" s="19" t="s">
        <v>256</v>
      </c>
      <c r="B1647" s="20">
        <v>45931</v>
      </c>
      <c r="C1647" s="21">
        <v>170.20000000000002</v>
      </c>
      <c r="D1647" s="21">
        <v>144.12333333333336</v>
      </c>
      <c r="E1647" s="21">
        <v>108.29000000000003</v>
      </c>
      <c r="F1647" s="27">
        <f t="shared" si="75"/>
        <v>0.84678809244026643</v>
      </c>
      <c r="G1647" s="21" t="str">
        <f>IFERROR(INDEX(Users!$A$2:$A$310,MATCH(A1647,Users!$B$2:$B$310,0)),"")</f>
        <v>Service B</v>
      </c>
      <c r="H1647" s="21" t="str">
        <f>IFERROR(INDEX(Users!$D$2:$D$310,MATCH(A1647,Users!$B$2:$B$310,0)),"")</f>
        <v>Band 3</v>
      </c>
      <c r="I1647" s="19" t="b">
        <f t="shared" si="76"/>
        <v>0</v>
      </c>
      <c r="J1647" s="33">
        <f t="shared" si="77"/>
        <v>0.84678809244026643</v>
      </c>
    </row>
    <row r="1648" spans="1:10">
      <c r="A1648" s="19" t="s">
        <v>256</v>
      </c>
      <c r="B1648" s="20">
        <v>45962</v>
      </c>
      <c r="C1648" s="21">
        <v>148</v>
      </c>
      <c r="D1648" s="21">
        <v>170.03000000000003</v>
      </c>
      <c r="E1648" s="21">
        <v>128.53000000000003</v>
      </c>
      <c r="F1648" s="27">
        <f t="shared" si="75"/>
        <v>1.1488513513513516</v>
      </c>
      <c r="G1648" s="21" t="str">
        <f>IFERROR(INDEX(Users!$A$2:$A$310,MATCH(A1648,Users!$B$2:$B$310,0)),"")</f>
        <v>Service B</v>
      </c>
      <c r="H1648" s="21" t="str">
        <f>IFERROR(INDEX(Users!$D$2:$D$310,MATCH(A1648,Users!$B$2:$B$310,0)),"")</f>
        <v>Band 3</v>
      </c>
      <c r="I1648" s="19" t="b">
        <f t="shared" si="76"/>
        <v>0</v>
      </c>
      <c r="J1648" s="33">
        <f t="shared" si="77"/>
        <v>1.1488513513513516</v>
      </c>
    </row>
    <row r="1649" spans="1:10">
      <c r="A1649" s="19" t="s">
        <v>256</v>
      </c>
      <c r="B1649" s="20">
        <v>45992</v>
      </c>
      <c r="C1649" s="21">
        <v>155.4</v>
      </c>
      <c r="D1649" s="21">
        <v>147.46333333333334</v>
      </c>
      <c r="E1649" s="21">
        <v>110.13000000000001</v>
      </c>
      <c r="F1649" s="27">
        <f t="shared" si="75"/>
        <v>0.94892749892749895</v>
      </c>
      <c r="G1649" s="21" t="str">
        <f>IFERROR(INDEX(Users!$A$2:$A$310,MATCH(A1649,Users!$B$2:$B$310,0)),"")</f>
        <v>Service B</v>
      </c>
      <c r="H1649" s="21" t="str">
        <f>IFERROR(INDEX(Users!$D$2:$D$310,MATCH(A1649,Users!$B$2:$B$310,0)),"")</f>
        <v>Band 3</v>
      </c>
      <c r="I1649" s="19" t="b">
        <f t="shared" si="76"/>
        <v>0</v>
      </c>
      <c r="J1649" s="33">
        <f t="shared" si="77"/>
        <v>0.94892749892749895</v>
      </c>
    </row>
    <row r="1650" spans="1:10">
      <c r="A1650" s="19" t="s">
        <v>257</v>
      </c>
      <c r="B1650" s="20">
        <v>45658</v>
      </c>
      <c r="C1650" s="21">
        <v>162.80000000000001</v>
      </c>
      <c r="D1650" s="21">
        <v>146.05000000000001</v>
      </c>
      <c r="E1650" s="21">
        <v>79.95</v>
      </c>
      <c r="F1650" s="27">
        <f t="shared" si="75"/>
        <v>0.89711302211302213</v>
      </c>
      <c r="G1650" s="21" t="str">
        <f>IFERROR(INDEX(Users!$A$2:$A$310,MATCH(A1650,Users!$B$2:$B$310,0)),"")</f>
        <v>Service A</v>
      </c>
      <c r="H1650" s="21" t="str">
        <f>IFERROR(INDEX(Users!$D$2:$D$310,MATCH(A1650,Users!$B$2:$B$310,0)),"")</f>
        <v>Band 3</v>
      </c>
      <c r="I1650" s="19" t="b">
        <f t="shared" si="76"/>
        <v>1</v>
      </c>
      <c r="J1650" s="33" t="str">
        <f t="shared" si="77"/>
        <v/>
      </c>
    </row>
    <row r="1651" spans="1:10">
      <c r="A1651" s="19" t="s">
        <v>257</v>
      </c>
      <c r="B1651" s="20">
        <v>45689</v>
      </c>
      <c r="C1651" s="21">
        <v>148</v>
      </c>
      <c r="D1651" s="21">
        <v>112.00666666666666</v>
      </c>
      <c r="E1651" s="21">
        <v>51.140000000000008</v>
      </c>
      <c r="F1651" s="27">
        <f t="shared" si="75"/>
        <v>0.75680180180180179</v>
      </c>
      <c r="G1651" s="21" t="str">
        <f>IFERROR(INDEX(Users!$A$2:$A$310,MATCH(A1651,Users!$B$2:$B$310,0)),"")</f>
        <v>Service A</v>
      </c>
      <c r="H1651" s="21" t="str">
        <f>IFERROR(INDEX(Users!$D$2:$D$310,MATCH(A1651,Users!$B$2:$B$310,0)),"")</f>
        <v>Band 3</v>
      </c>
      <c r="I1651" s="19" t="b">
        <f t="shared" si="76"/>
        <v>1</v>
      </c>
      <c r="J1651" s="33" t="str">
        <f t="shared" si="77"/>
        <v/>
      </c>
    </row>
    <row r="1652" spans="1:10">
      <c r="A1652" s="19" t="s">
        <v>257</v>
      </c>
      <c r="B1652" s="20">
        <v>45717</v>
      </c>
      <c r="C1652" s="21">
        <v>155.4</v>
      </c>
      <c r="D1652" s="21">
        <v>156.04666666666668</v>
      </c>
      <c r="E1652" s="21">
        <v>93.18</v>
      </c>
      <c r="F1652" s="27">
        <f t="shared" si="75"/>
        <v>1.0041613041613042</v>
      </c>
      <c r="G1652" s="21" t="str">
        <f>IFERROR(INDEX(Users!$A$2:$A$310,MATCH(A1652,Users!$B$2:$B$310,0)),"")</f>
        <v>Service A</v>
      </c>
      <c r="H1652" s="21" t="str">
        <f>IFERROR(INDEX(Users!$D$2:$D$310,MATCH(A1652,Users!$B$2:$B$310,0)),"")</f>
        <v>Band 3</v>
      </c>
      <c r="I1652" s="19" t="b">
        <f t="shared" si="76"/>
        <v>1</v>
      </c>
      <c r="J1652" s="33" t="str">
        <f t="shared" si="77"/>
        <v/>
      </c>
    </row>
    <row r="1653" spans="1:10">
      <c r="A1653" s="19" t="s">
        <v>257</v>
      </c>
      <c r="B1653" s="20">
        <v>45748</v>
      </c>
      <c r="C1653" s="21">
        <v>148</v>
      </c>
      <c r="D1653" s="21">
        <v>89.126666666666651</v>
      </c>
      <c r="E1653" s="21">
        <v>50.01</v>
      </c>
      <c r="F1653" s="27">
        <f t="shared" si="75"/>
        <v>0.60220720720720711</v>
      </c>
      <c r="G1653" s="21" t="str">
        <f>IFERROR(INDEX(Users!$A$2:$A$310,MATCH(A1653,Users!$B$2:$B$310,0)),"")</f>
        <v>Service A</v>
      </c>
      <c r="H1653" s="21" t="str">
        <f>IFERROR(INDEX(Users!$D$2:$D$310,MATCH(A1653,Users!$B$2:$B$310,0)),"")</f>
        <v>Band 3</v>
      </c>
      <c r="I1653" s="19" t="b">
        <f t="shared" si="76"/>
        <v>1</v>
      </c>
      <c r="J1653" s="33" t="str">
        <f t="shared" si="77"/>
        <v/>
      </c>
    </row>
    <row r="1654" spans="1:10">
      <c r="A1654" s="19" t="s">
        <v>257</v>
      </c>
      <c r="B1654" s="20">
        <v>45778</v>
      </c>
      <c r="C1654" s="21">
        <v>148</v>
      </c>
      <c r="D1654" s="21">
        <v>148.16666666666669</v>
      </c>
      <c r="E1654" s="21">
        <v>88.750000000000014</v>
      </c>
      <c r="F1654" s="27">
        <f t="shared" si="75"/>
        <v>1.0011261261261262</v>
      </c>
      <c r="G1654" s="21" t="str">
        <f>IFERROR(INDEX(Users!$A$2:$A$310,MATCH(A1654,Users!$B$2:$B$310,0)),"")</f>
        <v>Service A</v>
      </c>
      <c r="H1654" s="21" t="str">
        <f>IFERROR(INDEX(Users!$D$2:$D$310,MATCH(A1654,Users!$B$2:$B$310,0)),"")</f>
        <v>Band 3</v>
      </c>
      <c r="I1654" s="19" t="b">
        <f t="shared" si="76"/>
        <v>1</v>
      </c>
      <c r="J1654" s="33" t="str">
        <f t="shared" si="77"/>
        <v/>
      </c>
    </row>
    <row r="1655" spans="1:10">
      <c r="A1655" s="19" t="s">
        <v>257</v>
      </c>
      <c r="B1655" s="20">
        <v>45809</v>
      </c>
      <c r="C1655" s="21">
        <v>155.4</v>
      </c>
      <c r="D1655" s="21">
        <v>135.45666666666668</v>
      </c>
      <c r="E1655" s="21">
        <v>72.040000000000006</v>
      </c>
      <c r="F1655" s="27">
        <f t="shared" si="75"/>
        <v>0.87166452166452169</v>
      </c>
      <c r="G1655" s="21" t="str">
        <f>IFERROR(INDEX(Users!$A$2:$A$310,MATCH(A1655,Users!$B$2:$B$310,0)),"")</f>
        <v>Service A</v>
      </c>
      <c r="H1655" s="21" t="str">
        <f>IFERROR(INDEX(Users!$D$2:$D$310,MATCH(A1655,Users!$B$2:$B$310,0)),"")</f>
        <v>Band 3</v>
      </c>
      <c r="I1655" s="19" t="b">
        <f t="shared" si="76"/>
        <v>1</v>
      </c>
      <c r="J1655" s="33" t="str">
        <f t="shared" si="77"/>
        <v/>
      </c>
    </row>
    <row r="1656" spans="1:10">
      <c r="A1656" s="19" t="s">
        <v>257</v>
      </c>
      <c r="B1656" s="20">
        <v>45839</v>
      </c>
      <c r="C1656" s="21">
        <v>170.20000000000002</v>
      </c>
      <c r="D1656" s="21">
        <v>123.21333333333334</v>
      </c>
      <c r="E1656" s="21">
        <v>63.629999999999995</v>
      </c>
      <c r="F1656" s="27">
        <f t="shared" si="75"/>
        <v>0.72393262828045435</v>
      </c>
      <c r="G1656" s="21" t="str">
        <f>IFERROR(INDEX(Users!$A$2:$A$310,MATCH(A1656,Users!$B$2:$B$310,0)),"")</f>
        <v>Service A</v>
      </c>
      <c r="H1656" s="21" t="str">
        <f>IFERROR(INDEX(Users!$D$2:$D$310,MATCH(A1656,Users!$B$2:$B$310,0)),"")</f>
        <v>Band 3</v>
      </c>
      <c r="I1656" s="19" t="b">
        <f t="shared" si="76"/>
        <v>1</v>
      </c>
      <c r="J1656" s="33" t="str">
        <f t="shared" si="77"/>
        <v/>
      </c>
    </row>
    <row r="1657" spans="1:10">
      <c r="A1657" s="19" t="s">
        <v>257</v>
      </c>
      <c r="B1657" s="20">
        <v>45870</v>
      </c>
      <c r="C1657" s="21">
        <v>148</v>
      </c>
      <c r="D1657" s="21">
        <v>133.08333333333334</v>
      </c>
      <c r="E1657" s="21">
        <v>74.25</v>
      </c>
      <c r="F1657" s="27">
        <f t="shared" si="75"/>
        <v>0.89921171171171177</v>
      </c>
      <c r="G1657" s="21" t="str">
        <f>IFERROR(INDEX(Users!$A$2:$A$310,MATCH(A1657,Users!$B$2:$B$310,0)),"")</f>
        <v>Service A</v>
      </c>
      <c r="H1657" s="21" t="str">
        <f>IFERROR(INDEX(Users!$D$2:$D$310,MATCH(A1657,Users!$B$2:$B$310,0)),"")</f>
        <v>Band 3</v>
      </c>
      <c r="I1657" s="19" t="b">
        <f t="shared" si="76"/>
        <v>1</v>
      </c>
      <c r="J1657" s="33" t="str">
        <f t="shared" si="77"/>
        <v/>
      </c>
    </row>
    <row r="1658" spans="1:10">
      <c r="A1658" s="19" t="s">
        <v>257</v>
      </c>
      <c r="B1658" s="20">
        <v>45901</v>
      </c>
      <c r="C1658" s="21">
        <v>162.80000000000001</v>
      </c>
      <c r="D1658" s="21">
        <v>122.69666666666666</v>
      </c>
      <c r="E1658" s="21">
        <v>66.13</v>
      </c>
      <c r="F1658" s="27">
        <f t="shared" si="75"/>
        <v>0.7536650286650286</v>
      </c>
      <c r="G1658" s="21" t="str">
        <f>IFERROR(INDEX(Users!$A$2:$A$310,MATCH(A1658,Users!$B$2:$B$310,0)),"")</f>
        <v>Service A</v>
      </c>
      <c r="H1658" s="21" t="str">
        <f>IFERROR(INDEX(Users!$D$2:$D$310,MATCH(A1658,Users!$B$2:$B$310,0)),"")</f>
        <v>Band 3</v>
      </c>
      <c r="I1658" s="19" t="b">
        <f t="shared" si="76"/>
        <v>1</v>
      </c>
      <c r="J1658" s="33" t="str">
        <f t="shared" si="77"/>
        <v/>
      </c>
    </row>
    <row r="1659" spans="1:10">
      <c r="A1659" s="19" t="s">
        <v>257</v>
      </c>
      <c r="B1659" s="20">
        <v>45931</v>
      </c>
      <c r="C1659" s="21">
        <v>170.20000000000002</v>
      </c>
      <c r="D1659" s="21">
        <v>132.32666666666665</v>
      </c>
      <c r="E1659" s="21">
        <v>73.41</v>
      </c>
      <c r="F1659" s="27">
        <f t="shared" si="75"/>
        <v>0.77747747747747731</v>
      </c>
      <c r="G1659" s="21" t="str">
        <f>IFERROR(INDEX(Users!$A$2:$A$310,MATCH(A1659,Users!$B$2:$B$310,0)),"")</f>
        <v>Service A</v>
      </c>
      <c r="H1659" s="21" t="str">
        <f>IFERROR(INDEX(Users!$D$2:$D$310,MATCH(A1659,Users!$B$2:$B$310,0)),"")</f>
        <v>Band 3</v>
      </c>
      <c r="I1659" s="19" t="b">
        <f t="shared" si="76"/>
        <v>1</v>
      </c>
      <c r="J1659" s="33" t="str">
        <f t="shared" si="77"/>
        <v/>
      </c>
    </row>
    <row r="1660" spans="1:10">
      <c r="A1660" s="19" t="s">
        <v>257</v>
      </c>
      <c r="B1660" s="20">
        <v>45962</v>
      </c>
      <c r="C1660" s="21">
        <v>148</v>
      </c>
      <c r="D1660" s="21">
        <v>150.65</v>
      </c>
      <c r="E1660" s="21">
        <v>84.100000000000009</v>
      </c>
      <c r="F1660" s="27">
        <f t="shared" si="75"/>
        <v>1.0179054054054055</v>
      </c>
      <c r="G1660" s="21" t="str">
        <f>IFERROR(INDEX(Users!$A$2:$A$310,MATCH(A1660,Users!$B$2:$B$310,0)),"")</f>
        <v>Service A</v>
      </c>
      <c r="H1660" s="21" t="str">
        <f>IFERROR(INDEX(Users!$D$2:$D$310,MATCH(A1660,Users!$B$2:$B$310,0)),"")</f>
        <v>Band 3</v>
      </c>
      <c r="I1660" s="19" t="b">
        <f t="shared" si="76"/>
        <v>1</v>
      </c>
      <c r="J1660" s="33" t="str">
        <f t="shared" si="77"/>
        <v/>
      </c>
    </row>
    <row r="1661" spans="1:10">
      <c r="A1661" s="19" t="s">
        <v>257</v>
      </c>
      <c r="B1661" s="20">
        <v>45992</v>
      </c>
      <c r="C1661" s="21">
        <v>155.4</v>
      </c>
      <c r="D1661" s="21">
        <v>122.73666666666668</v>
      </c>
      <c r="E1661" s="21">
        <v>66.569999999999993</v>
      </c>
      <c r="F1661" s="27">
        <f t="shared" si="75"/>
        <v>0.78981123981123991</v>
      </c>
      <c r="G1661" s="21" t="str">
        <f>IFERROR(INDEX(Users!$A$2:$A$310,MATCH(A1661,Users!$B$2:$B$310,0)),"")</f>
        <v>Service A</v>
      </c>
      <c r="H1661" s="21" t="str">
        <f>IFERROR(INDEX(Users!$D$2:$D$310,MATCH(A1661,Users!$B$2:$B$310,0)),"")</f>
        <v>Band 3</v>
      </c>
      <c r="I1661" s="19" t="b">
        <f t="shared" si="76"/>
        <v>1</v>
      </c>
      <c r="J1661" s="33" t="str">
        <f t="shared" si="77"/>
        <v/>
      </c>
    </row>
    <row r="1662" spans="1:10">
      <c r="A1662" s="19" t="s">
        <v>257</v>
      </c>
      <c r="B1662" s="20">
        <v>46023</v>
      </c>
      <c r="C1662" s="21">
        <v>155.4</v>
      </c>
      <c r="D1662" s="21">
        <v>162.62</v>
      </c>
      <c r="E1662" s="21">
        <v>87.12</v>
      </c>
      <c r="F1662" s="27">
        <f t="shared" si="75"/>
        <v>1.0464607464607465</v>
      </c>
      <c r="G1662" s="21" t="str">
        <f>IFERROR(INDEX(Users!$A$2:$A$310,MATCH(A1662,Users!$B$2:$B$310,0)),"")</f>
        <v>Service A</v>
      </c>
      <c r="H1662" s="21" t="str">
        <f>IFERROR(INDEX(Users!$D$2:$D$310,MATCH(A1662,Users!$B$2:$B$310,0)),"")</f>
        <v>Band 3</v>
      </c>
      <c r="I1662" s="19" t="b">
        <f t="shared" si="76"/>
        <v>1</v>
      </c>
      <c r="J1662" s="33" t="str">
        <f t="shared" si="77"/>
        <v/>
      </c>
    </row>
    <row r="1663" spans="1:10">
      <c r="A1663" s="19" t="s">
        <v>259</v>
      </c>
      <c r="B1663" s="20">
        <v>45658</v>
      </c>
      <c r="C1663" s="21">
        <v>162.80000000000001</v>
      </c>
      <c r="D1663" s="21">
        <v>137.04999999999998</v>
      </c>
      <c r="E1663" s="21">
        <v>83.049999999999983</v>
      </c>
      <c r="F1663" s="27">
        <f t="shared" si="75"/>
        <v>0.84183046683046669</v>
      </c>
      <c r="G1663" s="21" t="str">
        <f>IFERROR(INDEX(Users!$A$2:$A$310,MATCH(A1663,Users!$B$2:$B$310,0)),"")</f>
        <v>Service B</v>
      </c>
      <c r="H1663" s="21" t="str">
        <f>IFERROR(INDEX(Users!$D$2:$D$310,MATCH(A1663,Users!$B$2:$B$310,0)),"")</f>
        <v>Band 3</v>
      </c>
      <c r="I1663" s="19" t="b">
        <f t="shared" si="76"/>
        <v>0</v>
      </c>
      <c r="J1663" s="33">
        <f t="shared" si="77"/>
        <v>0.84183046683046669</v>
      </c>
    </row>
    <row r="1664" spans="1:10">
      <c r="A1664" s="19" t="s">
        <v>259</v>
      </c>
      <c r="B1664" s="20">
        <v>45689</v>
      </c>
      <c r="C1664" s="21">
        <v>148</v>
      </c>
      <c r="D1664" s="21">
        <v>142.99333333333334</v>
      </c>
      <c r="E1664" s="21">
        <v>83.910000000000011</v>
      </c>
      <c r="F1664" s="27">
        <f t="shared" si="75"/>
        <v>0.96617117117117124</v>
      </c>
      <c r="G1664" s="21" t="str">
        <f>IFERROR(INDEX(Users!$A$2:$A$310,MATCH(A1664,Users!$B$2:$B$310,0)),"")</f>
        <v>Service B</v>
      </c>
      <c r="H1664" s="21" t="str">
        <f>IFERROR(INDEX(Users!$D$2:$D$310,MATCH(A1664,Users!$B$2:$B$310,0)),"")</f>
        <v>Band 3</v>
      </c>
      <c r="I1664" s="19" t="b">
        <f t="shared" si="76"/>
        <v>0</v>
      </c>
      <c r="J1664" s="33">
        <f t="shared" si="77"/>
        <v>0.96617117117117124</v>
      </c>
    </row>
    <row r="1665" spans="1:10">
      <c r="A1665" s="19" t="s">
        <v>259</v>
      </c>
      <c r="B1665" s="20">
        <v>45717</v>
      </c>
      <c r="C1665" s="21">
        <v>155.4</v>
      </c>
      <c r="D1665" s="21">
        <v>153.96333333333331</v>
      </c>
      <c r="E1665" s="21">
        <v>100.88</v>
      </c>
      <c r="F1665" s="27">
        <f t="shared" si="75"/>
        <v>0.99075504075504062</v>
      </c>
      <c r="G1665" s="21" t="str">
        <f>IFERROR(INDEX(Users!$A$2:$A$310,MATCH(A1665,Users!$B$2:$B$310,0)),"")</f>
        <v>Service B</v>
      </c>
      <c r="H1665" s="21" t="str">
        <f>IFERROR(INDEX(Users!$D$2:$D$310,MATCH(A1665,Users!$B$2:$B$310,0)),"")</f>
        <v>Band 3</v>
      </c>
      <c r="I1665" s="19" t="b">
        <f t="shared" si="76"/>
        <v>0</v>
      </c>
      <c r="J1665" s="33">
        <f t="shared" si="77"/>
        <v>0.99075504075504062</v>
      </c>
    </row>
    <row r="1666" spans="1:10">
      <c r="A1666" s="19" t="s">
        <v>259</v>
      </c>
      <c r="B1666" s="20">
        <v>45748</v>
      </c>
      <c r="C1666" s="21">
        <v>148</v>
      </c>
      <c r="D1666" s="21">
        <v>145.33666666666667</v>
      </c>
      <c r="E1666" s="21">
        <v>102.67</v>
      </c>
      <c r="F1666" s="27">
        <f t="shared" ref="F1666:F1729" si="78">IFERROR(IF(OR(C1666="",D1666="",C1666=0),"",D1666/C1666),"")</f>
        <v>0.98200450450450449</v>
      </c>
      <c r="G1666" s="21" t="str">
        <f>IFERROR(INDEX(Users!$A$2:$A$310,MATCH(A1666,Users!$B$2:$B$310,0)),"")</f>
        <v>Service B</v>
      </c>
      <c r="H1666" s="21" t="str">
        <f>IFERROR(INDEX(Users!$D$2:$D$310,MATCH(A1666,Users!$B$2:$B$310,0)),"")</f>
        <v>Band 3</v>
      </c>
      <c r="I1666" s="19" t="b">
        <f t="shared" ref="I1666:I1729" si="79">AND(G1666="Service A",H1666="Band 3")</f>
        <v>0</v>
      </c>
      <c r="J1666" s="33">
        <f t="shared" ref="J1666:J1729" si="80">IF(AND(B1666&gt;=DATE(2025,1,1),B1666&lt;DATE(2026,1,1),G1666="Service B",OR(H1666="Band 3",H1666="Band 5"),ISNUMBER(F1666)),F1666,"")</f>
        <v>0.98200450450450449</v>
      </c>
    </row>
    <row r="1667" spans="1:10">
      <c r="A1667" s="19" t="s">
        <v>259</v>
      </c>
      <c r="B1667" s="20">
        <v>45778</v>
      </c>
      <c r="C1667" s="21">
        <v>148</v>
      </c>
      <c r="D1667" s="21">
        <v>142.68333333333334</v>
      </c>
      <c r="E1667" s="21">
        <v>103.35000000000001</v>
      </c>
      <c r="F1667" s="27">
        <f t="shared" si="78"/>
        <v>0.96407657657657664</v>
      </c>
      <c r="G1667" s="21" t="str">
        <f>IFERROR(INDEX(Users!$A$2:$A$310,MATCH(A1667,Users!$B$2:$B$310,0)),"")</f>
        <v>Service B</v>
      </c>
      <c r="H1667" s="21" t="str">
        <f>IFERROR(INDEX(Users!$D$2:$D$310,MATCH(A1667,Users!$B$2:$B$310,0)),"")</f>
        <v>Band 3</v>
      </c>
      <c r="I1667" s="19" t="b">
        <f t="shared" si="79"/>
        <v>0</v>
      </c>
      <c r="J1667" s="33">
        <f t="shared" si="80"/>
        <v>0.96407657657657664</v>
      </c>
    </row>
    <row r="1668" spans="1:10">
      <c r="A1668" s="19" t="s">
        <v>259</v>
      </c>
      <c r="B1668" s="20">
        <v>45809</v>
      </c>
      <c r="C1668" s="21">
        <v>155.4</v>
      </c>
      <c r="D1668" s="21">
        <v>121.41999999999999</v>
      </c>
      <c r="E1668" s="21">
        <v>89.169999999999987</v>
      </c>
      <c r="F1668" s="27">
        <f t="shared" si="78"/>
        <v>0.78133848133848127</v>
      </c>
      <c r="G1668" s="21" t="str">
        <f>IFERROR(INDEX(Users!$A$2:$A$310,MATCH(A1668,Users!$B$2:$B$310,0)),"")</f>
        <v>Service B</v>
      </c>
      <c r="H1668" s="21" t="str">
        <f>IFERROR(INDEX(Users!$D$2:$D$310,MATCH(A1668,Users!$B$2:$B$310,0)),"")</f>
        <v>Band 3</v>
      </c>
      <c r="I1668" s="19" t="b">
        <f t="shared" si="79"/>
        <v>0</v>
      </c>
      <c r="J1668" s="33">
        <f t="shared" si="80"/>
        <v>0.78133848133848127</v>
      </c>
    </row>
    <row r="1669" spans="1:10">
      <c r="A1669" s="19" t="s">
        <v>259</v>
      </c>
      <c r="B1669" s="20">
        <v>45839</v>
      </c>
      <c r="C1669" s="21">
        <v>66.600000000000009</v>
      </c>
      <c r="D1669" s="21">
        <v>26.823333333333338</v>
      </c>
      <c r="E1669" s="21">
        <v>16.990000000000002</v>
      </c>
      <c r="F1669" s="27">
        <f t="shared" si="78"/>
        <v>0.40275275275275274</v>
      </c>
      <c r="G1669" s="21" t="str">
        <f>IFERROR(INDEX(Users!$A$2:$A$310,MATCH(A1669,Users!$B$2:$B$310,0)),"")</f>
        <v>Service B</v>
      </c>
      <c r="H1669" s="21" t="str">
        <f>IFERROR(INDEX(Users!$D$2:$D$310,MATCH(A1669,Users!$B$2:$B$310,0)),"")</f>
        <v>Band 3</v>
      </c>
      <c r="I1669" s="19" t="b">
        <f t="shared" si="79"/>
        <v>0</v>
      </c>
      <c r="J1669" s="33">
        <f t="shared" si="80"/>
        <v>0.40275275275275274</v>
      </c>
    </row>
    <row r="1670" spans="1:10">
      <c r="A1670" s="19" t="s">
        <v>260</v>
      </c>
      <c r="B1670" s="20">
        <v>45658</v>
      </c>
      <c r="C1670" s="21">
        <v>157.25</v>
      </c>
      <c r="D1670" s="21"/>
      <c r="E1670" s="21"/>
      <c r="F1670" s="27" t="str">
        <f t="shared" si="78"/>
        <v/>
      </c>
      <c r="G1670" s="21" t="str">
        <f>IFERROR(INDEX(Users!$A$2:$A$310,MATCH(A1670,Users!$B$2:$B$310,0)),"")</f>
        <v>Service D</v>
      </c>
      <c r="H1670" s="21" t="str">
        <f>IFERROR(INDEX(Users!$D$2:$D$310,MATCH(A1670,Users!$B$2:$B$310,0)),"")</f>
        <v>Band 3</v>
      </c>
      <c r="I1670" s="19" t="b">
        <f t="shared" si="79"/>
        <v>0</v>
      </c>
      <c r="J1670" s="33" t="str">
        <f t="shared" si="80"/>
        <v/>
      </c>
    </row>
    <row r="1671" spans="1:10">
      <c r="A1671" s="19" t="s">
        <v>260</v>
      </c>
      <c r="B1671" s="20">
        <v>45689</v>
      </c>
      <c r="C1671" s="21">
        <v>148</v>
      </c>
      <c r="D1671" s="21">
        <v>63.5</v>
      </c>
      <c r="E1671" s="21">
        <v>2.25</v>
      </c>
      <c r="F1671" s="27">
        <f t="shared" si="78"/>
        <v>0.42905405405405406</v>
      </c>
      <c r="G1671" s="21" t="str">
        <f>IFERROR(INDEX(Users!$A$2:$A$310,MATCH(A1671,Users!$B$2:$B$310,0)),"")</f>
        <v>Service D</v>
      </c>
      <c r="H1671" s="21" t="str">
        <f>IFERROR(INDEX(Users!$D$2:$D$310,MATCH(A1671,Users!$B$2:$B$310,0)),"")</f>
        <v>Band 3</v>
      </c>
      <c r="I1671" s="19" t="b">
        <f t="shared" si="79"/>
        <v>0</v>
      </c>
      <c r="J1671" s="33" t="str">
        <f t="shared" si="80"/>
        <v/>
      </c>
    </row>
    <row r="1672" spans="1:10">
      <c r="A1672" s="19" t="s">
        <v>260</v>
      </c>
      <c r="B1672" s="20">
        <v>45717</v>
      </c>
      <c r="C1672" s="21">
        <v>157.25</v>
      </c>
      <c r="D1672" s="21">
        <v>129.99333333333334</v>
      </c>
      <c r="E1672" s="21">
        <v>29.41</v>
      </c>
      <c r="F1672" s="27">
        <f t="shared" si="78"/>
        <v>0.82666666666666666</v>
      </c>
      <c r="G1672" s="21" t="str">
        <f>IFERROR(INDEX(Users!$A$2:$A$310,MATCH(A1672,Users!$B$2:$B$310,0)),"")</f>
        <v>Service D</v>
      </c>
      <c r="H1672" s="21" t="str">
        <f>IFERROR(INDEX(Users!$D$2:$D$310,MATCH(A1672,Users!$B$2:$B$310,0)),"")</f>
        <v>Band 3</v>
      </c>
      <c r="I1672" s="19" t="b">
        <f t="shared" si="79"/>
        <v>0</v>
      </c>
      <c r="J1672" s="33" t="str">
        <f t="shared" si="80"/>
        <v/>
      </c>
    </row>
    <row r="1673" spans="1:10">
      <c r="A1673" s="19" t="s">
        <v>260</v>
      </c>
      <c r="B1673" s="20">
        <v>45748</v>
      </c>
      <c r="C1673" s="21">
        <v>157.25</v>
      </c>
      <c r="D1673" s="21">
        <v>107.93</v>
      </c>
      <c r="E1673" s="21">
        <v>41.43</v>
      </c>
      <c r="F1673" s="27">
        <f t="shared" si="78"/>
        <v>0.6863593004769476</v>
      </c>
      <c r="G1673" s="21" t="str">
        <f>IFERROR(INDEX(Users!$A$2:$A$310,MATCH(A1673,Users!$B$2:$B$310,0)),"")</f>
        <v>Service D</v>
      </c>
      <c r="H1673" s="21" t="str">
        <f>IFERROR(INDEX(Users!$D$2:$D$310,MATCH(A1673,Users!$B$2:$B$310,0)),"")</f>
        <v>Band 3</v>
      </c>
      <c r="I1673" s="19" t="b">
        <f t="shared" si="79"/>
        <v>0</v>
      </c>
      <c r="J1673" s="33" t="str">
        <f t="shared" si="80"/>
        <v/>
      </c>
    </row>
    <row r="1674" spans="1:10">
      <c r="A1674" s="19" t="s">
        <v>260</v>
      </c>
      <c r="B1674" s="20">
        <v>45778</v>
      </c>
      <c r="C1674" s="21">
        <v>138.75</v>
      </c>
      <c r="D1674" s="21">
        <v>118.08666666666667</v>
      </c>
      <c r="E1674" s="21">
        <v>29.17</v>
      </c>
      <c r="F1674" s="27">
        <f t="shared" si="78"/>
        <v>0.85107507507507507</v>
      </c>
      <c r="G1674" s="21" t="str">
        <f>IFERROR(INDEX(Users!$A$2:$A$310,MATCH(A1674,Users!$B$2:$B$310,0)),"")</f>
        <v>Service D</v>
      </c>
      <c r="H1674" s="21" t="str">
        <f>IFERROR(INDEX(Users!$D$2:$D$310,MATCH(A1674,Users!$B$2:$B$310,0)),"")</f>
        <v>Band 3</v>
      </c>
      <c r="I1674" s="19" t="b">
        <f t="shared" si="79"/>
        <v>0</v>
      </c>
      <c r="J1674" s="33" t="str">
        <f t="shared" si="80"/>
        <v/>
      </c>
    </row>
    <row r="1675" spans="1:10">
      <c r="A1675" s="19" t="s">
        <v>260</v>
      </c>
      <c r="B1675" s="20">
        <v>45809</v>
      </c>
      <c r="C1675" s="21">
        <v>157.25</v>
      </c>
      <c r="D1675" s="21">
        <v>140.66666666666666</v>
      </c>
      <c r="E1675" s="21">
        <v>43.5</v>
      </c>
      <c r="F1675" s="27">
        <f t="shared" si="78"/>
        <v>0.89454160042395325</v>
      </c>
      <c r="G1675" s="21" t="str">
        <f>IFERROR(INDEX(Users!$A$2:$A$310,MATCH(A1675,Users!$B$2:$B$310,0)),"")</f>
        <v>Service D</v>
      </c>
      <c r="H1675" s="21" t="str">
        <f>IFERROR(INDEX(Users!$D$2:$D$310,MATCH(A1675,Users!$B$2:$B$310,0)),"")</f>
        <v>Band 3</v>
      </c>
      <c r="I1675" s="19" t="b">
        <f t="shared" si="79"/>
        <v>0</v>
      </c>
      <c r="J1675" s="33" t="str">
        <f t="shared" si="80"/>
        <v/>
      </c>
    </row>
    <row r="1676" spans="1:10">
      <c r="A1676" s="19" t="s">
        <v>260</v>
      </c>
      <c r="B1676" s="20">
        <v>45839</v>
      </c>
      <c r="C1676" s="21">
        <v>101.75</v>
      </c>
      <c r="D1676" s="21">
        <v>100.67</v>
      </c>
      <c r="E1676" s="21">
        <v>3.92</v>
      </c>
      <c r="F1676" s="27">
        <f t="shared" si="78"/>
        <v>0.98938574938574941</v>
      </c>
      <c r="G1676" s="21" t="str">
        <f>IFERROR(INDEX(Users!$A$2:$A$310,MATCH(A1676,Users!$B$2:$B$310,0)),"")</f>
        <v>Service D</v>
      </c>
      <c r="H1676" s="21" t="str">
        <f>IFERROR(INDEX(Users!$D$2:$D$310,MATCH(A1676,Users!$B$2:$B$310,0)),"")</f>
        <v>Band 3</v>
      </c>
      <c r="I1676" s="19" t="b">
        <f t="shared" si="79"/>
        <v>0</v>
      </c>
      <c r="J1676" s="33" t="str">
        <f t="shared" si="80"/>
        <v/>
      </c>
    </row>
    <row r="1677" spans="1:10">
      <c r="A1677" s="19" t="s">
        <v>261</v>
      </c>
      <c r="B1677" s="20">
        <v>45658</v>
      </c>
      <c r="C1677" s="21">
        <v>162.80000000000001</v>
      </c>
      <c r="D1677" s="21">
        <v>156.62</v>
      </c>
      <c r="E1677" s="21">
        <v>13.42</v>
      </c>
      <c r="F1677" s="27">
        <f t="shared" si="78"/>
        <v>0.96203931203931203</v>
      </c>
      <c r="G1677" s="21" t="str">
        <f>IFERROR(INDEX(Users!$A$2:$A$310,MATCH(A1677,Users!$B$2:$B$310,0)),"")</f>
        <v>Service B</v>
      </c>
      <c r="H1677" s="21" t="str">
        <f>IFERROR(INDEX(Users!$D$2:$D$310,MATCH(A1677,Users!$B$2:$B$310,0)),"")</f>
        <v>Band 3</v>
      </c>
      <c r="I1677" s="19" t="b">
        <f t="shared" si="79"/>
        <v>0</v>
      </c>
      <c r="J1677" s="33">
        <f t="shared" si="80"/>
        <v>0.96203931203931203</v>
      </c>
    </row>
    <row r="1678" spans="1:10">
      <c r="A1678" s="19" t="s">
        <v>261</v>
      </c>
      <c r="B1678" s="20">
        <v>45689</v>
      </c>
      <c r="C1678" s="21">
        <v>148</v>
      </c>
      <c r="D1678" s="21">
        <v>153.58944444444444</v>
      </c>
      <c r="E1678" s="21">
        <v>69.13</v>
      </c>
      <c r="F1678" s="27">
        <f t="shared" si="78"/>
        <v>1.0377665165165164</v>
      </c>
      <c r="G1678" s="21" t="str">
        <f>IFERROR(INDEX(Users!$A$2:$A$310,MATCH(A1678,Users!$B$2:$B$310,0)),"")</f>
        <v>Service B</v>
      </c>
      <c r="H1678" s="21" t="str">
        <f>IFERROR(INDEX(Users!$D$2:$D$310,MATCH(A1678,Users!$B$2:$B$310,0)),"")</f>
        <v>Band 3</v>
      </c>
      <c r="I1678" s="19" t="b">
        <f t="shared" si="79"/>
        <v>0</v>
      </c>
      <c r="J1678" s="33">
        <f t="shared" si="80"/>
        <v>1.0377665165165164</v>
      </c>
    </row>
    <row r="1679" spans="1:10">
      <c r="A1679" s="19" t="s">
        <v>261</v>
      </c>
      <c r="B1679" s="20">
        <v>45717</v>
      </c>
      <c r="C1679" s="21">
        <v>155.4</v>
      </c>
      <c r="D1679" s="21">
        <v>154.98333333333335</v>
      </c>
      <c r="E1679" s="21">
        <v>82.2</v>
      </c>
      <c r="F1679" s="27">
        <f t="shared" si="78"/>
        <v>0.99731874731874737</v>
      </c>
      <c r="G1679" s="21" t="str">
        <f>IFERROR(INDEX(Users!$A$2:$A$310,MATCH(A1679,Users!$B$2:$B$310,0)),"")</f>
        <v>Service B</v>
      </c>
      <c r="H1679" s="21" t="str">
        <f>IFERROR(INDEX(Users!$D$2:$D$310,MATCH(A1679,Users!$B$2:$B$310,0)),"")</f>
        <v>Band 3</v>
      </c>
      <c r="I1679" s="19" t="b">
        <f t="shared" si="79"/>
        <v>0</v>
      </c>
      <c r="J1679" s="33">
        <f t="shared" si="80"/>
        <v>0.99731874731874737</v>
      </c>
    </row>
    <row r="1680" spans="1:10">
      <c r="A1680" s="19" t="s">
        <v>261</v>
      </c>
      <c r="B1680" s="20">
        <v>45748</v>
      </c>
      <c r="C1680" s="21">
        <v>148</v>
      </c>
      <c r="D1680" s="21">
        <v>131.03666666666669</v>
      </c>
      <c r="E1680" s="21">
        <v>86.270000000000024</v>
      </c>
      <c r="F1680" s="27">
        <f t="shared" si="78"/>
        <v>0.88538288288288303</v>
      </c>
      <c r="G1680" s="21" t="str">
        <f>IFERROR(INDEX(Users!$A$2:$A$310,MATCH(A1680,Users!$B$2:$B$310,0)),"")</f>
        <v>Service B</v>
      </c>
      <c r="H1680" s="21" t="str">
        <f>IFERROR(INDEX(Users!$D$2:$D$310,MATCH(A1680,Users!$B$2:$B$310,0)),"")</f>
        <v>Band 3</v>
      </c>
      <c r="I1680" s="19" t="b">
        <f t="shared" si="79"/>
        <v>0</v>
      </c>
      <c r="J1680" s="33">
        <f t="shared" si="80"/>
        <v>0.88538288288288303</v>
      </c>
    </row>
    <row r="1681" spans="1:10">
      <c r="A1681" s="19" t="s">
        <v>261</v>
      </c>
      <c r="B1681" s="20">
        <v>45778</v>
      </c>
      <c r="C1681" s="21">
        <v>148</v>
      </c>
      <c r="D1681" s="21">
        <v>134.05000000000001</v>
      </c>
      <c r="E1681" s="21">
        <v>55.90000000000002</v>
      </c>
      <c r="F1681" s="27">
        <f t="shared" si="78"/>
        <v>0.90574324324324329</v>
      </c>
      <c r="G1681" s="21" t="str">
        <f>IFERROR(INDEX(Users!$A$2:$A$310,MATCH(A1681,Users!$B$2:$B$310,0)),"")</f>
        <v>Service B</v>
      </c>
      <c r="H1681" s="21" t="str">
        <f>IFERROR(INDEX(Users!$D$2:$D$310,MATCH(A1681,Users!$B$2:$B$310,0)),"")</f>
        <v>Band 3</v>
      </c>
      <c r="I1681" s="19" t="b">
        <f t="shared" si="79"/>
        <v>0</v>
      </c>
      <c r="J1681" s="33">
        <f t="shared" si="80"/>
        <v>0.90574324324324329</v>
      </c>
    </row>
    <row r="1682" spans="1:10">
      <c r="A1682" s="19" t="s">
        <v>261</v>
      </c>
      <c r="B1682" s="20">
        <v>45809</v>
      </c>
      <c r="C1682" s="21">
        <v>155.4</v>
      </c>
      <c r="D1682" s="21">
        <v>144.67000000000002</v>
      </c>
      <c r="E1682" s="21">
        <v>64.020000000000024</v>
      </c>
      <c r="F1682" s="27">
        <f t="shared" si="78"/>
        <v>0.93095238095238098</v>
      </c>
      <c r="G1682" s="21" t="str">
        <f>IFERROR(INDEX(Users!$A$2:$A$310,MATCH(A1682,Users!$B$2:$B$310,0)),"")</f>
        <v>Service B</v>
      </c>
      <c r="H1682" s="21" t="str">
        <f>IFERROR(INDEX(Users!$D$2:$D$310,MATCH(A1682,Users!$B$2:$B$310,0)),"")</f>
        <v>Band 3</v>
      </c>
      <c r="I1682" s="19" t="b">
        <f t="shared" si="79"/>
        <v>0</v>
      </c>
      <c r="J1682" s="33">
        <f t="shared" si="80"/>
        <v>0.93095238095238098</v>
      </c>
    </row>
    <row r="1683" spans="1:10">
      <c r="A1683" s="19" t="s">
        <v>261</v>
      </c>
      <c r="B1683" s="20">
        <v>45839</v>
      </c>
      <c r="C1683" s="21">
        <v>170.20000000000002</v>
      </c>
      <c r="D1683" s="21">
        <v>165.15333333333336</v>
      </c>
      <c r="E1683" s="21">
        <v>81.170000000000016</v>
      </c>
      <c r="F1683" s="27">
        <f t="shared" si="78"/>
        <v>0.97034860947904433</v>
      </c>
      <c r="G1683" s="21" t="str">
        <f>IFERROR(INDEX(Users!$A$2:$A$310,MATCH(A1683,Users!$B$2:$B$310,0)),"")</f>
        <v>Service B</v>
      </c>
      <c r="H1683" s="21" t="str">
        <f>IFERROR(INDEX(Users!$D$2:$D$310,MATCH(A1683,Users!$B$2:$B$310,0)),"")</f>
        <v>Band 3</v>
      </c>
      <c r="I1683" s="19" t="b">
        <f t="shared" si="79"/>
        <v>0</v>
      </c>
      <c r="J1683" s="33">
        <f t="shared" si="80"/>
        <v>0.97034860947904433</v>
      </c>
    </row>
    <row r="1684" spans="1:10">
      <c r="A1684" s="19" t="s">
        <v>261</v>
      </c>
      <c r="B1684" s="20">
        <v>45870</v>
      </c>
      <c r="C1684" s="21">
        <v>148</v>
      </c>
      <c r="D1684" s="21">
        <v>54.596666666666678</v>
      </c>
      <c r="E1684" s="21">
        <v>32.080000000000005</v>
      </c>
      <c r="F1684" s="27">
        <f t="shared" si="78"/>
        <v>0.36889639639639649</v>
      </c>
      <c r="G1684" s="21" t="str">
        <f>IFERROR(INDEX(Users!$A$2:$A$310,MATCH(A1684,Users!$B$2:$B$310,0)),"")</f>
        <v>Service B</v>
      </c>
      <c r="H1684" s="21" t="str">
        <f>IFERROR(INDEX(Users!$D$2:$D$310,MATCH(A1684,Users!$B$2:$B$310,0)),"")</f>
        <v>Band 3</v>
      </c>
      <c r="I1684" s="19" t="b">
        <f t="shared" si="79"/>
        <v>0</v>
      </c>
      <c r="J1684" s="33">
        <f t="shared" si="80"/>
        <v>0.36889639639639649</v>
      </c>
    </row>
    <row r="1685" spans="1:10">
      <c r="A1685" s="19" t="s">
        <v>261</v>
      </c>
      <c r="B1685" s="20">
        <v>45901</v>
      </c>
      <c r="C1685" s="21">
        <v>162.80000000000001</v>
      </c>
      <c r="D1685" s="21">
        <v>169.62333333333328</v>
      </c>
      <c r="E1685" s="21">
        <v>115.03999999999994</v>
      </c>
      <c r="F1685" s="27">
        <f t="shared" si="78"/>
        <v>1.0419123669123664</v>
      </c>
      <c r="G1685" s="21" t="str">
        <f>IFERROR(INDEX(Users!$A$2:$A$310,MATCH(A1685,Users!$B$2:$B$310,0)),"")</f>
        <v>Service B</v>
      </c>
      <c r="H1685" s="21" t="str">
        <f>IFERROR(INDEX(Users!$D$2:$D$310,MATCH(A1685,Users!$B$2:$B$310,0)),"")</f>
        <v>Band 3</v>
      </c>
      <c r="I1685" s="19" t="b">
        <f t="shared" si="79"/>
        <v>0</v>
      </c>
      <c r="J1685" s="33">
        <f t="shared" si="80"/>
        <v>1.0419123669123664</v>
      </c>
    </row>
    <row r="1686" spans="1:10">
      <c r="A1686" s="19" t="s">
        <v>261</v>
      </c>
      <c r="B1686" s="20">
        <v>45931</v>
      </c>
      <c r="C1686" s="21">
        <v>170.20000000000002</v>
      </c>
      <c r="D1686" s="21">
        <v>208.85999999999987</v>
      </c>
      <c r="E1686" s="21">
        <v>176.60999999999987</v>
      </c>
      <c r="F1686" s="27">
        <f t="shared" si="78"/>
        <v>1.2271445358401871</v>
      </c>
      <c r="G1686" s="21" t="str">
        <f>IFERROR(INDEX(Users!$A$2:$A$310,MATCH(A1686,Users!$B$2:$B$310,0)),"")</f>
        <v>Service B</v>
      </c>
      <c r="H1686" s="21" t="str">
        <f>IFERROR(INDEX(Users!$D$2:$D$310,MATCH(A1686,Users!$B$2:$B$310,0)),"")</f>
        <v>Band 3</v>
      </c>
      <c r="I1686" s="19" t="b">
        <f t="shared" si="79"/>
        <v>0</v>
      </c>
      <c r="J1686" s="33">
        <f t="shared" si="80"/>
        <v>1.2271445358401871</v>
      </c>
    </row>
    <row r="1687" spans="1:10">
      <c r="A1687" s="19" t="s">
        <v>261</v>
      </c>
      <c r="B1687" s="20">
        <v>45962</v>
      </c>
      <c r="C1687" s="21">
        <v>148</v>
      </c>
      <c r="D1687" s="21">
        <v>168.53666666666669</v>
      </c>
      <c r="E1687" s="21">
        <v>149.67000000000004</v>
      </c>
      <c r="F1687" s="27">
        <f t="shared" si="78"/>
        <v>1.1387612612612614</v>
      </c>
      <c r="G1687" s="21" t="str">
        <f>IFERROR(INDEX(Users!$A$2:$A$310,MATCH(A1687,Users!$B$2:$B$310,0)),"")</f>
        <v>Service B</v>
      </c>
      <c r="H1687" s="21" t="str">
        <f>IFERROR(INDEX(Users!$D$2:$D$310,MATCH(A1687,Users!$B$2:$B$310,0)),"")</f>
        <v>Band 3</v>
      </c>
      <c r="I1687" s="19" t="b">
        <f t="shared" si="79"/>
        <v>0</v>
      </c>
      <c r="J1687" s="33">
        <f t="shared" si="80"/>
        <v>1.1387612612612614</v>
      </c>
    </row>
    <row r="1688" spans="1:10">
      <c r="A1688" s="19" t="s">
        <v>261</v>
      </c>
      <c r="B1688" s="20">
        <v>45992</v>
      </c>
      <c r="C1688" s="21">
        <v>155.4</v>
      </c>
      <c r="D1688" s="21">
        <v>164.59666666666669</v>
      </c>
      <c r="E1688" s="21">
        <v>142.33000000000004</v>
      </c>
      <c r="F1688" s="27">
        <f t="shared" si="78"/>
        <v>1.0591806091806093</v>
      </c>
      <c r="G1688" s="21" t="str">
        <f>IFERROR(INDEX(Users!$A$2:$A$310,MATCH(A1688,Users!$B$2:$B$310,0)),"")</f>
        <v>Service B</v>
      </c>
      <c r="H1688" s="21" t="str">
        <f>IFERROR(INDEX(Users!$D$2:$D$310,MATCH(A1688,Users!$B$2:$B$310,0)),"")</f>
        <v>Band 3</v>
      </c>
      <c r="I1688" s="19" t="b">
        <f t="shared" si="79"/>
        <v>0</v>
      </c>
      <c r="J1688" s="33">
        <f t="shared" si="80"/>
        <v>1.0591806091806093</v>
      </c>
    </row>
    <row r="1689" spans="1:10">
      <c r="A1689" s="19" t="s">
        <v>261</v>
      </c>
      <c r="B1689" s="20">
        <v>46023</v>
      </c>
      <c r="C1689" s="21">
        <v>155.4</v>
      </c>
      <c r="D1689" s="21">
        <v>137.59</v>
      </c>
      <c r="E1689" s="21">
        <v>107.04</v>
      </c>
      <c r="F1689" s="27">
        <f t="shared" si="78"/>
        <v>0.88539253539253537</v>
      </c>
      <c r="G1689" s="21" t="str">
        <f>IFERROR(INDEX(Users!$A$2:$A$310,MATCH(A1689,Users!$B$2:$B$310,0)),"")</f>
        <v>Service B</v>
      </c>
      <c r="H1689" s="21" t="str">
        <f>IFERROR(INDEX(Users!$D$2:$D$310,MATCH(A1689,Users!$B$2:$B$310,0)),"")</f>
        <v>Band 3</v>
      </c>
      <c r="I1689" s="19" t="b">
        <f t="shared" si="79"/>
        <v>0</v>
      </c>
      <c r="J1689" s="33" t="str">
        <f t="shared" si="80"/>
        <v/>
      </c>
    </row>
    <row r="1690" spans="1:10">
      <c r="A1690" s="19" t="s">
        <v>262</v>
      </c>
      <c r="B1690" s="20">
        <v>45658</v>
      </c>
      <c r="C1690" s="21">
        <v>162.79999999999998</v>
      </c>
      <c r="D1690" s="21">
        <v>178.06333333333333</v>
      </c>
      <c r="E1690" s="21">
        <v>53.34</v>
      </c>
      <c r="F1690" s="27">
        <f t="shared" si="78"/>
        <v>1.0937551187551189</v>
      </c>
      <c r="G1690" s="21" t="str">
        <f>IFERROR(INDEX(Users!$A$2:$A$310,MATCH(A1690,Users!$B$2:$B$310,0)),"")</f>
        <v>Service B</v>
      </c>
      <c r="H1690" s="21" t="str">
        <f>IFERROR(INDEX(Users!$D$2:$D$310,MATCH(A1690,Users!$B$2:$B$310,0)),"")</f>
        <v>Band 5</v>
      </c>
      <c r="I1690" s="19" t="b">
        <f t="shared" si="79"/>
        <v>0</v>
      </c>
      <c r="J1690" s="33">
        <f t="shared" si="80"/>
        <v>1.0937551187551189</v>
      </c>
    </row>
    <row r="1691" spans="1:10">
      <c r="A1691" s="19" t="s">
        <v>262</v>
      </c>
      <c r="B1691" s="20">
        <v>45689</v>
      </c>
      <c r="C1691" s="21">
        <v>148</v>
      </c>
      <c r="D1691" s="21">
        <v>146.08333333333334</v>
      </c>
      <c r="E1691" s="21">
        <v>60.67</v>
      </c>
      <c r="F1691" s="27">
        <f t="shared" si="78"/>
        <v>0.9870495495495496</v>
      </c>
      <c r="G1691" s="21" t="str">
        <f>IFERROR(INDEX(Users!$A$2:$A$310,MATCH(A1691,Users!$B$2:$B$310,0)),"")</f>
        <v>Service B</v>
      </c>
      <c r="H1691" s="21" t="str">
        <f>IFERROR(INDEX(Users!$D$2:$D$310,MATCH(A1691,Users!$B$2:$B$310,0)),"")</f>
        <v>Band 5</v>
      </c>
      <c r="I1691" s="19" t="b">
        <f t="shared" si="79"/>
        <v>0</v>
      </c>
      <c r="J1691" s="33">
        <f t="shared" si="80"/>
        <v>0.9870495495495496</v>
      </c>
    </row>
    <row r="1692" spans="1:10">
      <c r="A1692" s="19" t="s">
        <v>262</v>
      </c>
      <c r="B1692" s="20">
        <v>45717</v>
      </c>
      <c r="C1692" s="21">
        <v>155.4</v>
      </c>
      <c r="D1692" s="21">
        <v>37.5</v>
      </c>
      <c r="E1692" s="21">
        <v>17</v>
      </c>
      <c r="F1692" s="27">
        <f t="shared" si="78"/>
        <v>0.2413127413127413</v>
      </c>
      <c r="G1692" s="21" t="str">
        <f>IFERROR(INDEX(Users!$A$2:$A$310,MATCH(A1692,Users!$B$2:$B$310,0)),"")</f>
        <v>Service B</v>
      </c>
      <c r="H1692" s="21" t="str">
        <f>IFERROR(INDEX(Users!$D$2:$D$310,MATCH(A1692,Users!$B$2:$B$310,0)),"")</f>
        <v>Band 5</v>
      </c>
      <c r="I1692" s="19" t="b">
        <f t="shared" si="79"/>
        <v>0</v>
      </c>
      <c r="J1692" s="33">
        <f t="shared" si="80"/>
        <v>0.2413127413127413</v>
      </c>
    </row>
    <row r="1693" spans="1:10">
      <c r="A1693" s="19" t="s">
        <v>262</v>
      </c>
      <c r="B1693" s="20">
        <v>45748</v>
      </c>
      <c r="C1693" s="21">
        <v>148</v>
      </c>
      <c r="D1693" s="21">
        <v>45</v>
      </c>
      <c r="E1693" s="21">
        <v>11</v>
      </c>
      <c r="F1693" s="27">
        <f t="shared" si="78"/>
        <v>0.30405405405405406</v>
      </c>
      <c r="G1693" s="21" t="str">
        <f>IFERROR(INDEX(Users!$A$2:$A$310,MATCH(A1693,Users!$B$2:$B$310,0)),"")</f>
        <v>Service B</v>
      </c>
      <c r="H1693" s="21" t="str">
        <f>IFERROR(INDEX(Users!$D$2:$D$310,MATCH(A1693,Users!$B$2:$B$310,0)),"")</f>
        <v>Band 5</v>
      </c>
      <c r="I1693" s="19" t="b">
        <f t="shared" si="79"/>
        <v>0</v>
      </c>
      <c r="J1693" s="33">
        <f t="shared" si="80"/>
        <v>0.30405405405405406</v>
      </c>
    </row>
    <row r="1694" spans="1:10">
      <c r="A1694" s="19" t="s">
        <v>262</v>
      </c>
      <c r="B1694" s="20">
        <v>45778</v>
      </c>
      <c r="C1694" s="21">
        <v>148</v>
      </c>
      <c r="D1694" s="21">
        <v>6</v>
      </c>
      <c r="E1694" s="21">
        <v>6</v>
      </c>
      <c r="F1694" s="27">
        <f t="shared" si="78"/>
        <v>4.0540540540540543E-2</v>
      </c>
      <c r="G1694" s="21" t="str">
        <f>IFERROR(INDEX(Users!$A$2:$A$310,MATCH(A1694,Users!$B$2:$B$310,0)),"")</f>
        <v>Service B</v>
      </c>
      <c r="H1694" s="21" t="str">
        <f>IFERROR(INDEX(Users!$D$2:$D$310,MATCH(A1694,Users!$B$2:$B$310,0)),"")</f>
        <v>Band 5</v>
      </c>
      <c r="I1694" s="19" t="b">
        <f t="shared" si="79"/>
        <v>0</v>
      </c>
      <c r="J1694" s="33">
        <f t="shared" si="80"/>
        <v>4.0540540540540543E-2</v>
      </c>
    </row>
    <row r="1695" spans="1:10">
      <c r="A1695" s="19" t="s">
        <v>262</v>
      </c>
      <c r="B1695" s="20">
        <v>45809</v>
      </c>
      <c r="C1695" s="21">
        <v>155.4</v>
      </c>
      <c r="D1695" s="21">
        <v>115.03194444444443</v>
      </c>
      <c r="E1695" s="21">
        <v>43.029999999999973</v>
      </c>
      <c r="F1695" s="27">
        <f t="shared" si="78"/>
        <v>0.74023130273130266</v>
      </c>
      <c r="G1695" s="21" t="str">
        <f>IFERROR(INDEX(Users!$A$2:$A$310,MATCH(A1695,Users!$B$2:$B$310,0)),"")</f>
        <v>Service B</v>
      </c>
      <c r="H1695" s="21" t="str">
        <f>IFERROR(INDEX(Users!$D$2:$D$310,MATCH(A1695,Users!$B$2:$B$310,0)),"")</f>
        <v>Band 5</v>
      </c>
      <c r="I1695" s="19" t="b">
        <f t="shared" si="79"/>
        <v>0</v>
      </c>
      <c r="J1695" s="33">
        <f t="shared" si="80"/>
        <v>0.74023130273130266</v>
      </c>
    </row>
    <row r="1696" spans="1:10">
      <c r="A1696" s="19" t="s">
        <v>262</v>
      </c>
      <c r="B1696" s="20">
        <v>45839</v>
      </c>
      <c r="C1696" s="21">
        <v>170.2</v>
      </c>
      <c r="D1696" s="21">
        <v>150.42333333333332</v>
      </c>
      <c r="E1696" s="21">
        <v>87.09</v>
      </c>
      <c r="F1696" s="27">
        <f t="shared" si="78"/>
        <v>0.8838033685859773</v>
      </c>
      <c r="G1696" s="21" t="str">
        <f>IFERROR(INDEX(Users!$A$2:$A$310,MATCH(A1696,Users!$B$2:$B$310,0)),"")</f>
        <v>Service B</v>
      </c>
      <c r="H1696" s="21" t="str">
        <f>IFERROR(INDEX(Users!$D$2:$D$310,MATCH(A1696,Users!$B$2:$B$310,0)),"")</f>
        <v>Band 5</v>
      </c>
      <c r="I1696" s="19" t="b">
        <f t="shared" si="79"/>
        <v>0</v>
      </c>
      <c r="J1696" s="33">
        <f t="shared" si="80"/>
        <v>0.8838033685859773</v>
      </c>
    </row>
    <row r="1697" spans="1:10">
      <c r="A1697" s="19" t="s">
        <v>262</v>
      </c>
      <c r="B1697" s="20">
        <v>45870</v>
      </c>
      <c r="C1697" s="21">
        <v>148</v>
      </c>
      <c r="D1697" s="21">
        <v>118.57666666666665</v>
      </c>
      <c r="E1697" s="21">
        <v>75.91</v>
      </c>
      <c r="F1697" s="27">
        <f t="shared" si="78"/>
        <v>0.80119369369369364</v>
      </c>
      <c r="G1697" s="21" t="str">
        <f>IFERROR(INDEX(Users!$A$2:$A$310,MATCH(A1697,Users!$B$2:$B$310,0)),"")</f>
        <v>Service B</v>
      </c>
      <c r="H1697" s="21" t="str">
        <f>IFERROR(INDEX(Users!$D$2:$D$310,MATCH(A1697,Users!$B$2:$B$310,0)),"")</f>
        <v>Band 5</v>
      </c>
      <c r="I1697" s="19" t="b">
        <f t="shared" si="79"/>
        <v>0</v>
      </c>
      <c r="J1697" s="33">
        <f t="shared" si="80"/>
        <v>0.80119369369369364</v>
      </c>
    </row>
    <row r="1698" spans="1:10">
      <c r="A1698" s="19" t="s">
        <v>262</v>
      </c>
      <c r="B1698" s="20">
        <v>45901</v>
      </c>
      <c r="C1698" s="21">
        <v>162.80000000000001</v>
      </c>
      <c r="D1698" s="21">
        <v>141.92138888888888</v>
      </c>
      <c r="E1698" s="21">
        <v>65.27</v>
      </c>
      <c r="F1698" s="27">
        <f t="shared" si="78"/>
        <v>0.87175300300300296</v>
      </c>
      <c r="G1698" s="21" t="str">
        <f>IFERROR(INDEX(Users!$A$2:$A$310,MATCH(A1698,Users!$B$2:$B$310,0)),"")</f>
        <v>Service B</v>
      </c>
      <c r="H1698" s="21" t="str">
        <f>IFERROR(INDEX(Users!$D$2:$D$310,MATCH(A1698,Users!$B$2:$B$310,0)),"")</f>
        <v>Band 5</v>
      </c>
      <c r="I1698" s="19" t="b">
        <f t="shared" si="79"/>
        <v>0</v>
      </c>
      <c r="J1698" s="33">
        <f t="shared" si="80"/>
        <v>0.87175300300300296</v>
      </c>
    </row>
    <row r="1699" spans="1:10">
      <c r="A1699" s="19" t="s">
        <v>262</v>
      </c>
      <c r="B1699" s="20">
        <v>45931</v>
      </c>
      <c r="C1699" s="21">
        <v>170.2</v>
      </c>
      <c r="D1699" s="21">
        <v>113.09</v>
      </c>
      <c r="E1699" s="21">
        <v>70.59</v>
      </c>
      <c r="F1699" s="27">
        <f t="shared" si="78"/>
        <v>0.6644535840188015</v>
      </c>
      <c r="G1699" s="21" t="str">
        <f>IFERROR(INDEX(Users!$A$2:$A$310,MATCH(A1699,Users!$B$2:$B$310,0)),"")</f>
        <v>Service B</v>
      </c>
      <c r="H1699" s="21" t="str">
        <f>IFERROR(INDEX(Users!$D$2:$D$310,MATCH(A1699,Users!$B$2:$B$310,0)),"")</f>
        <v>Band 5</v>
      </c>
      <c r="I1699" s="19" t="b">
        <f t="shared" si="79"/>
        <v>0</v>
      </c>
      <c r="J1699" s="33">
        <f t="shared" si="80"/>
        <v>0.6644535840188015</v>
      </c>
    </row>
    <row r="1700" spans="1:10">
      <c r="A1700" s="19" t="s">
        <v>262</v>
      </c>
      <c r="B1700" s="20">
        <v>45962</v>
      </c>
      <c r="C1700" s="21">
        <v>148</v>
      </c>
      <c r="D1700" s="21">
        <v>36.243333333333332</v>
      </c>
      <c r="E1700" s="21">
        <v>6.16</v>
      </c>
      <c r="F1700" s="27">
        <f t="shared" si="78"/>
        <v>0.24488738738738738</v>
      </c>
      <c r="G1700" s="21" t="str">
        <f>IFERROR(INDEX(Users!$A$2:$A$310,MATCH(A1700,Users!$B$2:$B$310,0)),"")</f>
        <v>Service B</v>
      </c>
      <c r="H1700" s="21" t="str">
        <f>IFERROR(INDEX(Users!$D$2:$D$310,MATCH(A1700,Users!$B$2:$B$310,0)),"")</f>
        <v>Band 5</v>
      </c>
      <c r="I1700" s="19" t="b">
        <f t="shared" si="79"/>
        <v>0</v>
      </c>
      <c r="J1700" s="33">
        <f t="shared" si="80"/>
        <v>0.24488738738738738</v>
      </c>
    </row>
    <row r="1701" spans="1:10">
      <c r="A1701" s="19" t="s">
        <v>262</v>
      </c>
      <c r="B1701" s="20">
        <v>45992</v>
      </c>
      <c r="C1701" s="21">
        <v>155.4</v>
      </c>
      <c r="D1701" s="21">
        <v>137.09333333333331</v>
      </c>
      <c r="E1701" s="21">
        <v>54.259999999999984</v>
      </c>
      <c r="F1701" s="27">
        <f t="shared" si="78"/>
        <v>0.88219648219648195</v>
      </c>
      <c r="G1701" s="21" t="str">
        <f>IFERROR(INDEX(Users!$A$2:$A$310,MATCH(A1701,Users!$B$2:$B$310,0)),"")</f>
        <v>Service B</v>
      </c>
      <c r="H1701" s="21" t="str">
        <f>IFERROR(INDEX(Users!$D$2:$D$310,MATCH(A1701,Users!$B$2:$B$310,0)),"")</f>
        <v>Band 5</v>
      </c>
      <c r="I1701" s="19" t="b">
        <f t="shared" si="79"/>
        <v>0</v>
      </c>
      <c r="J1701" s="33">
        <f t="shared" si="80"/>
        <v>0.88219648219648195</v>
      </c>
    </row>
    <row r="1702" spans="1:10">
      <c r="A1702" s="19" t="s">
        <v>262</v>
      </c>
      <c r="B1702" s="20">
        <v>46023</v>
      </c>
      <c r="C1702" s="21">
        <v>155.39999999999998</v>
      </c>
      <c r="D1702" s="21">
        <v>147.45666666666665</v>
      </c>
      <c r="E1702" s="21">
        <v>72.789999999999992</v>
      </c>
      <c r="F1702" s="27">
        <f t="shared" si="78"/>
        <v>0.94888459888459886</v>
      </c>
      <c r="G1702" s="21" t="str">
        <f>IFERROR(INDEX(Users!$A$2:$A$310,MATCH(A1702,Users!$B$2:$B$310,0)),"")</f>
        <v>Service B</v>
      </c>
      <c r="H1702" s="21" t="str">
        <f>IFERROR(INDEX(Users!$D$2:$D$310,MATCH(A1702,Users!$B$2:$B$310,0)),"")</f>
        <v>Band 5</v>
      </c>
      <c r="I1702" s="19" t="b">
        <f t="shared" si="79"/>
        <v>0</v>
      </c>
      <c r="J1702" s="33" t="str">
        <f t="shared" si="80"/>
        <v/>
      </c>
    </row>
    <row r="1703" spans="1:10">
      <c r="A1703" s="19" t="s">
        <v>263</v>
      </c>
      <c r="B1703" s="20">
        <v>45901</v>
      </c>
      <c r="C1703" s="21">
        <v>51.8</v>
      </c>
      <c r="D1703" s="21"/>
      <c r="E1703" s="21"/>
      <c r="F1703" s="27" t="str">
        <f t="shared" si="78"/>
        <v/>
      </c>
      <c r="G1703" s="21" t="str">
        <f>IFERROR(INDEX(Users!$A$2:$A$310,MATCH(A1703,Users!$B$2:$B$310,0)),"")</f>
        <v>Service B</v>
      </c>
      <c r="H1703" s="21" t="str">
        <f>IFERROR(INDEX(Users!$D$2:$D$310,MATCH(A1703,Users!$B$2:$B$310,0)),"")</f>
        <v>Band 5</v>
      </c>
      <c r="I1703" s="19" t="b">
        <f t="shared" si="79"/>
        <v>0</v>
      </c>
      <c r="J1703" s="33" t="str">
        <f t="shared" si="80"/>
        <v/>
      </c>
    </row>
    <row r="1704" spans="1:10">
      <c r="A1704" s="19" t="s">
        <v>263</v>
      </c>
      <c r="B1704" s="20">
        <v>45931</v>
      </c>
      <c r="C1704" s="21">
        <v>170.20000000000007</v>
      </c>
      <c r="D1704" s="21">
        <v>151.80333333333337</v>
      </c>
      <c r="E1704" s="21">
        <v>22.52</v>
      </c>
      <c r="F1704" s="27">
        <f t="shared" si="78"/>
        <v>0.89191147669408521</v>
      </c>
      <c r="G1704" s="21" t="str">
        <f>IFERROR(INDEX(Users!$A$2:$A$310,MATCH(A1704,Users!$B$2:$B$310,0)),"")</f>
        <v>Service B</v>
      </c>
      <c r="H1704" s="21" t="str">
        <f>IFERROR(INDEX(Users!$D$2:$D$310,MATCH(A1704,Users!$B$2:$B$310,0)),"")</f>
        <v>Band 5</v>
      </c>
      <c r="I1704" s="19" t="b">
        <f t="shared" si="79"/>
        <v>0</v>
      </c>
      <c r="J1704" s="33">
        <f t="shared" si="80"/>
        <v>0.89191147669408521</v>
      </c>
    </row>
    <row r="1705" spans="1:10">
      <c r="A1705" s="19" t="s">
        <v>263</v>
      </c>
      <c r="B1705" s="20">
        <v>45962</v>
      </c>
      <c r="C1705" s="21">
        <v>148.00000000000006</v>
      </c>
      <c r="D1705" s="21">
        <v>153.86333333333334</v>
      </c>
      <c r="E1705" s="21">
        <v>82.47999999999999</v>
      </c>
      <c r="F1705" s="27">
        <f t="shared" si="78"/>
        <v>1.0396171171171167</v>
      </c>
      <c r="G1705" s="21" t="str">
        <f>IFERROR(INDEX(Users!$A$2:$A$310,MATCH(A1705,Users!$B$2:$B$310,0)),"")</f>
        <v>Service B</v>
      </c>
      <c r="H1705" s="21" t="str">
        <f>IFERROR(INDEX(Users!$D$2:$D$310,MATCH(A1705,Users!$B$2:$B$310,0)),"")</f>
        <v>Band 5</v>
      </c>
      <c r="I1705" s="19" t="b">
        <f t="shared" si="79"/>
        <v>0</v>
      </c>
      <c r="J1705" s="33">
        <f t="shared" si="80"/>
        <v>1.0396171171171167</v>
      </c>
    </row>
    <row r="1706" spans="1:10">
      <c r="A1706" s="19" t="s">
        <v>263</v>
      </c>
      <c r="B1706" s="20">
        <v>45992</v>
      </c>
      <c r="C1706" s="21">
        <v>155.40000000000006</v>
      </c>
      <c r="D1706" s="21">
        <v>161.98666666666668</v>
      </c>
      <c r="E1706" s="21">
        <v>86.52000000000001</v>
      </c>
      <c r="F1706" s="27">
        <f t="shared" si="78"/>
        <v>1.042385242385242</v>
      </c>
      <c r="G1706" s="21" t="str">
        <f>IFERROR(INDEX(Users!$A$2:$A$310,MATCH(A1706,Users!$B$2:$B$310,0)),"")</f>
        <v>Service B</v>
      </c>
      <c r="H1706" s="21" t="str">
        <f>IFERROR(INDEX(Users!$D$2:$D$310,MATCH(A1706,Users!$B$2:$B$310,0)),"")</f>
        <v>Band 5</v>
      </c>
      <c r="I1706" s="19" t="b">
        <f t="shared" si="79"/>
        <v>0</v>
      </c>
      <c r="J1706" s="33">
        <f t="shared" si="80"/>
        <v>1.042385242385242</v>
      </c>
    </row>
    <row r="1707" spans="1:10">
      <c r="A1707" s="19" t="s">
        <v>263</v>
      </c>
      <c r="B1707" s="20">
        <v>46023</v>
      </c>
      <c r="C1707" s="21">
        <v>155.40000000000006</v>
      </c>
      <c r="D1707" s="21">
        <v>45.243333333333339</v>
      </c>
      <c r="E1707" s="21">
        <v>25.910000000000004</v>
      </c>
      <c r="F1707" s="27">
        <f t="shared" si="78"/>
        <v>0.29114114114114104</v>
      </c>
      <c r="G1707" s="21" t="str">
        <f>IFERROR(INDEX(Users!$A$2:$A$310,MATCH(A1707,Users!$B$2:$B$310,0)),"")</f>
        <v>Service B</v>
      </c>
      <c r="H1707" s="21" t="str">
        <f>IFERROR(INDEX(Users!$D$2:$D$310,MATCH(A1707,Users!$B$2:$B$310,0)),"")</f>
        <v>Band 5</v>
      </c>
      <c r="I1707" s="19" t="b">
        <f t="shared" si="79"/>
        <v>0</v>
      </c>
      <c r="J1707" s="33" t="str">
        <f t="shared" si="80"/>
        <v/>
      </c>
    </row>
    <row r="1708" spans="1:10">
      <c r="A1708" s="19" t="s">
        <v>264</v>
      </c>
      <c r="B1708" s="20">
        <v>45658</v>
      </c>
      <c r="C1708" s="21">
        <v>162.80000000000001</v>
      </c>
      <c r="D1708" s="21">
        <v>148.05666666666664</v>
      </c>
      <c r="E1708" s="21">
        <v>129.88999999999999</v>
      </c>
      <c r="F1708" s="27">
        <f t="shared" si="78"/>
        <v>0.90943898443898419</v>
      </c>
      <c r="G1708" s="21" t="str">
        <f>IFERROR(INDEX(Users!$A$2:$A$310,MATCH(A1708,Users!$B$2:$B$310,0)),"")</f>
        <v>Service A</v>
      </c>
      <c r="H1708" s="21" t="str">
        <f>IFERROR(INDEX(Users!$D$2:$D$310,MATCH(A1708,Users!$B$2:$B$310,0)),"")</f>
        <v>Band 3</v>
      </c>
      <c r="I1708" s="19" t="b">
        <f t="shared" si="79"/>
        <v>1</v>
      </c>
      <c r="J1708" s="33" t="str">
        <f t="shared" si="80"/>
        <v/>
      </c>
    </row>
    <row r="1709" spans="1:10">
      <c r="A1709" s="19" t="s">
        <v>264</v>
      </c>
      <c r="B1709" s="20">
        <v>45689</v>
      </c>
      <c r="C1709" s="21">
        <v>148</v>
      </c>
      <c r="D1709" s="21">
        <v>129.15333333333331</v>
      </c>
      <c r="E1709" s="21">
        <v>91.32</v>
      </c>
      <c r="F1709" s="27">
        <f t="shared" si="78"/>
        <v>0.87265765765765746</v>
      </c>
      <c r="G1709" s="21" t="str">
        <f>IFERROR(INDEX(Users!$A$2:$A$310,MATCH(A1709,Users!$B$2:$B$310,0)),"")</f>
        <v>Service A</v>
      </c>
      <c r="H1709" s="21" t="str">
        <f>IFERROR(INDEX(Users!$D$2:$D$310,MATCH(A1709,Users!$B$2:$B$310,0)),"")</f>
        <v>Band 3</v>
      </c>
      <c r="I1709" s="19" t="b">
        <f t="shared" si="79"/>
        <v>1</v>
      </c>
      <c r="J1709" s="33" t="str">
        <f t="shared" si="80"/>
        <v/>
      </c>
    </row>
    <row r="1710" spans="1:10">
      <c r="A1710" s="19" t="s">
        <v>264</v>
      </c>
      <c r="B1710" s="20">
        <v>45717</v>
      </c>
      <c r="C1710" s="21">
        <v>155.4</v>
      </c>
      <c r="D1710" s="21">
        <v>143.94666666666666</v>
      </c>
      <c r="E1710" s="21">
        <v>113.97999999999999</v>
      </c>
      <c r="F1710" s="27">
        <f t="shared" si="78"/>
        <v>0.92629772629772622</v>
      </c>
      <c r="G1710" s="21" t="str">
        <f>IFERROR(INDEX(Users!$A$2:$A$310,MATCH(A1710,Users!$B$2:$B$310,0)),"")</f>
        <v>Service A</v>
      </c>
      <c r="H1710" s="21" t="str">
        <f>IFERROR(INDEX(Users!$D$2:$D$310,MATCH(A1710,Users!$B$2:$B$310,0)),"")</f>
        <v>Band 3</v>
      </c>
      <c r="I1710" s="19" t="b">
        <f t="shared" si="79"/>
        <v>1</v>
      </c>
      <c r="J1710" s="33" t="str">
        <f t="shared" si="80"/>
        <v/>
      </c>
    </row>
    <row r="1711" spans="1:10">
      <c r="A1711" s="19" t="s">
        <v>264</v>
      </c>
      <c r="B1711" s="20">
        <v>45748</v>
      </c>
      <c r="C1711" s="21">
        <v>148</v>
      </c>
      <c r="D1711" s="21">
        <v>144.27333333333334</v>
      </c>
      <c r="E1711" s="21">
        <v>107.44</v>
      </c>
      <c r="F1711" s="27">
        <f t="shared" si="78"/>
        <v>0.97481981981981991</v>
      </c>
      <c r="G1711" s="21" t="str">
        <f>IFERROR(INDEX(Users!$A$2:$A$310,MATCH(A1711,Users!$B$2:$B$310,0)),"")</f>
        <v>Service A</v>
      </c>
      <c r="H1711" s="21" t="str">
        <f>IFERROR(INDEX(Users!$D$2:$D$310,MATCH(A1711,Users!$B$2:$B$310,0)),"")</f>
        <v>Band 3</v>
      </c>
      <c r="I1711" s="19" t="b">
        <f t="shared" si="79"/>
        <v>1</v>
      </c>
      <c r="J1711" s="33" t="str">
        <f t="shared" si="80"/>
        <v/>
      </c>
    </row>
    <row r="1712" spans="1:10">
      <c r="A1712" s="19" t="s">
        <v>264</v>
      </c>
      <c r="B1712" s="20">
        <v>45778</v>
      </c>
      <c r="C1712" s="21">
        <v>148</v>
      </c>
      <c r="D1712" s="21">
        <v>109.56</v>
      </c>
      <c r="E1712" s="21">
        <v>85.759999999999991</v>
      </c>
      <c r="F1712" s="27">
        <f t="shared" si="78"/>
        <v>0.74027027027027026</v>
      </c>
      <c r="G1712" s="21" t="str">
        <f>IFERROR(INDEX(Users!$A$2:$A$310,MATCH(A1712,Users!$B$2:$B$310,0)),"")</f>
        <v>Service A</v>
      </c>
      <c r="H1712" s="21" t="str">
        <f>IFERROR(INDEX(Users!$D$2:$D$310,MATCH(A1712,Users!$B$2:$B$310,0)),"")</f>
        <v>Band 3</v>
      </c>
      <c r="I1712" s="19" t="b">
        <f t="shared" si="79"/>
        <v>1</v>
      </c>
      <c r="J1712" s="33" t="str">
        <f t="shared" si="80"/>
        <v/>
      </c>
    </row>
    <row r="1713" spans="1:10">
      <c r="A1713" s="19" t="s">
        <v>264</v>
      </c>
      <c r="B1713" s="20">
        <v>45809</v>
      </c>
      <c r="C1713" s="21">
        <v>155.4</v>
      </c>
      <c r="D1713" s="21">
        <v>146.67999999999998</v>
      </c>
      <c r="E1713" s="21">
        <v>113.92999999999999</v>
      </c>
      <c r="F1713" s="27">
        <f t="shared" si="78"/>
        <v>0.94388674388674376</v>
      </c>
      <c r="G1713" s="21" t="str">
        <f>IFERROR(INDEX(Users!$A$2:$A$310,MATCH(A1713,Users!$B$2:$B$310,0)),"")</f>
        <v>Service A</v>
      </c>
      <c r="H1713" s="21" t="str">
        <f>IFERROR(INDEX(Users!$D$2:$D$310,MATCH(A1713,Users!$B$2:$B$310,0)),"")</f>
        <v>Band 3</v>
      </c>
      <c r="I1713" s="19" t="b">
        <f t="shared" si="79"/>
        <v>1</v>
      </c>
      <c r="J1713" s="33" t="str">
        <f t="shared" si="80"/>
        <v/>
      </c>
    </row>
    <row r="1714" spans="1:10">
      <c r="A1714" s="19" t="s">
        <v>264</v>
      </c>
      <c r="B1714" s="20">
        <v>45839</v>
      </c>
      <c r="C1714" s="21">
        <v>170.20000000000002</v>
      </c>
      <c r="D1714" s="21">
        <v>143.99333333333331</v>
      </c>
      <c r="E1714" s="21">
        <v>126.91</v>
      </c>
      <c r="F1714" s="27">
        <f t="shared" si="78"/>
        <v>0.84602428515471972</v>
      </c>
      <c r="G1714" s="21" t="str">
        <f>IFERROR(INDEX(Users!$A$2:$A$310,MATCH(A1714,Users!$B$2:$B$310,0)),"")</f>
        <v>Service A</v>
      </c>
      <c r="H1714" s="21" t="str">
        <f>IFERROR(INDEX(Users!$D$2:$D$310,MATCH(A1714,Users!$B$2:$B$310,0)),"")</f>
        <v>Band 3</v>
      </c>
      <c r="I1714" s="19" t="b">
        <f t="shared" si="79"/>
        <v>1</v>
      </c>
      <c r="J1714" s="33" t="str">
        <f t="shared" si="80"/>
        <v/>
      </c>
    </row>
    <row r="1715" spans="1:10">
      <c r="A1715" s="19" t="s">
        <v>264</v>
      </c>
      <c r="B1715" s="20">
        <v>45870</v>
      </c>
      <c r="C1715" s="21">
        <v>148</v>
      </c>
      <c r="D1715" s="21">
        <v>142.63666666666666</v>
      </c>
      <c r="E1715" s="21">
        <v>114.22</v>
      </c>
      <c r="F1715" s="27">
        <f t="shared" si="78"/>
        <v>0.96376126126126116</v>
      </c>
      <c r="G1715" s="21" t="str">
        <f>IFERROR(INDEX(Users!$A$2:$A$310,MATCH(A1715,Users!$B$2:$B$310,0)),"")</f>
        <v>Service A</v>
      </c>
      <c r="H1715" s="21" t="str">
        <f>IFERROR(INDEX(Users!$D$2:$D$310,MATCH(A1715,Users!$B$2:$B$310,0)),"")</f>
        <v>Band 3</v>
      </c>
      <c r="I1715" s="19" t="b">
        <f t="shared" si="79"/>
        <v>1</v>
      </c>
      <c r="J1715" s="33" t="str">
        <f t="shared" si="80"/>
        <v/>
      </c>
    </row>
    <row r="1716" spans="1:10">
      <c r="A1716" s="19" t="s">
        <v>264</v>
      </c>
      <c r="B1716" s="20">
        <v>45901</v>
      </c>
      <c r="C1716" s="21">
        <v>162.80000000000001</v>
      </c>
      <c r="D1716" s="21">
        <v>175.82999999999998</v>
      </c>
      <c r="E1716" s="21">
        <v>139.32999999999998</v>
      </c>
      <c r="F1716" s="27">
        <f t="shared" si="78"/>
        <v>1.0800368550368549</v>
      </c>
      <c r="G1716" s="21" t="str">
        <f>IFERROR(INDEX(Users!$A$2:$A$310,MATCH(A1716,Users!$B$2:$B$310,0)),"")</f>
        <v>Service A</v>
      </c>
      <c r="H1716" s="21" t="str">
        <f>IFERROR(INDEX(Users!$D$2:$D$310,MATCH(A1716,Users!$B$2:$B$310,0)),"")</f>
        <v>Band 3</v>
      </c>
      <c r="I1716" s="19" t="b">
        <f t="shared" si="79"/>
        <v>1</v>
      </c>
      <c r="J1716" s="33" t="str">
        <f t="shared" si="80"/>
        <v/>
      </c>
    </row>
    <row r="1717" spans="1:10">
      <c r="A1717" s="19" t="s">
        <v>264</v>
      </c>
      <c r="B1717" s="20">
        <v>45931</v>
      </c>
      <c r="C1717" s="21">
        <v>170.20000000000002</v>
      </c>
      <c r="D1717" s="21">
        <v>114.16</v>
      </c>
      <c r="E1717" s="21">
        <v>83.16</v>
      </c>
      <c r="F1717" s="27">
        <f t="shared" si="78"/>
        <v>0.67074030552291408</v>
      </c>
      <c r="G1717" s="21" t="str">
        <f>IFERROR(INDEX(Users!$A$2:$A$310,MATCH(A1717,Users!$B$2:$B$310,0)),"")</f>
        <v>Service A</v>
      </c>
      <c r="H1717" s="21" t="str">
        <f>IFERROR(INDEX(Users!$D$2:$D$310,MATCH(A1717,Users!$B$2:$B$310,0)),"")</f>
        <v>Band 3</v>
      </c>
      <c r="I1717" s="19" t="b">
        <f t="shared" si="79"/>
        <v>1</v>
      </c>
      <c r="J1717" s="33" t="str">
        <f t="shared" si="80"/>
        <v/>
      </c>
    </row>
    <row r="1718" spans="1:10">
      <c r="A1718" s="19" t="s">
        <v>264</v>
      </c>
      <c r="B1718" s="20">
        <v>45962</v>
      </c>
      <c r="C1718" s="21">
        <v>148</v>
      </c>
      <c r="D1718" s="21">
        <v>75.91</v>
      </c>
      <c r="E1718" s="21">
        <v>63.66</v>
      </c>
      <c r="F1718" s="27">
        <f t="shared" si="78"/>
        <v>0.51290540540540541</v>
      </c>
      <c r="G1718" s="21" t="str">
        <f>IFERROR(INDEX(Users!$A$2:$A$310,MATCH(A1718,Users!$B$2:$B$310,0)),"")</f>
        <v>Service A</v>
      </c>
      <c r="H1718" s="21" t="str">
        <f>IFERROR(INDEX(Users!$D$2:$D$310,MATCH(A1718,Users!$B$2:$B$310,0)),"")</f>
        <v>Band 3</v>
      </c>
      <c r="I1718" s="19" t="b">
        <f t="shared" si="79"/>
        <v>1</v>
      </c>
      <c r="J1718" s="33" t="str">
        <f t="shared" si="80"/>
        <v/>
      </c>
    </row>
    <row r="1719" spans="1:10">
      <c r="A1719" s="19" t="s">
        <v>264</v>
      </c>
      <c r="B1719" s="20">
        <v>45992</v>
      </c>
      <c r="C1719" s="21">
        <v>155.4</v>
      </c>
      <c r="D1719" s="21">
        <v>102.51333333333334</v>
      </c>
      <c r="E1719" s="21">
        <v>69.180000000000007</v>
      </c>
      <c r="F1719" s="27">
        <f t="shared" si="78"/>
        <v>0.6596739596739597</v>
      </c>
      <c r="G1719" s="21" t="str">
        <f>IFERROR(INDEX(Users!$A$2:$A$310,MATCH(A1719,Users!$B$2:$B$310,0)),"")</f>
        <v>Service A</v>
      </c>
      <c r="H1719" s="21" t="str">
        <f>IFERROR(INDEX(Users!$D$2:$D$310,MATCH(A1719,Users!$B$2:$B$310,0)),"")</f>
        <v>Band 3</v>
      </c>
      <c r="I1719" s="19" t="b">
        <f t="shared" si="79"/>
        <v>1</v>
      </c>
      <c r="J1719" s="33" t="str">
        <f t="shared" si="80"/>
        <v/>
      </c>
    </row>
    <row r="1720" spans="1:10">
      <c r="A1720" s="19" t="s">
        <v>264</v>
      </c>
      <c r="B1720" s="20">
        <v>46023</v>
      </c>
      <c r="C1720" s="21">
        <v>155.4</v>
      </c>
      <c r="D1720" s="21">
        <v>142.19666666666669</v>
      </c>
      <c r="E1720" s="21">
        <v>105.98</v>
      </c>
      <c r="F1720" s="27">
        <f t="shared" si="78"/>
        <v>0.91503646503646519</v>
      </c>
      <c r="G1720" s="21" t="str">
        <f>IFERROR(INDEX(Users!$A$2:$A$310,MATCH(A1720,Users!$B$2:$B$310,0)),"")</f>
        <v>Service A</v>
      </c>
      <c r="H1720" s="21" t="str">
        <f>IFERROR(INDEX(Users!$D$2:$D$310,MATCH(A1720,Users!$B$2:$B$310,0)),"")</f>
        <v>Band 3</v>
      </c>
      <c r="I1720" s="19" t="b">
        <f t="shared" si="79"/>
        <v>1</v>
      </c>
      <c r="J1720" s="33" t="str">
        <f t="shared" si="80"/>
        <v/>
      </c>
    </row>
    <row r="1721" spans="1:10">
      <c r="A1721" s="19" t="s">
        <v>265</v>
      </c>
      <c r="B1721" s="20">
        <v>45658</v>
      </c>
      <c r="C1721" s="21">
        <v>162.80000000000001</v>
      </c>
      <c r="D1721" s="21">
        <v>142.96</v>
      </c>
      <c r="E1721" s="21">
        <v>105.31</v>
      </c>
      <c r="F1721" s="27">
        <f t="shared" si="78"/>
        <v>0.87813267813267815</v>
      </c>
      <c r="G1721" s="21" t="str">
        <f>IFERROR(INDEX(Users!$A$2:$A$310,MATCH(A1721,Users!$B$2:$B$310,0)),"")</f>
        <v>Service A</v>
      </c>
      <c r="H1721" s="21" t="str">
        <f>IFERROR(INDEX(Users!$D$2:$D$310,MATCH(A1721,Users!$B$2:$B$310,0)),"")</f>
        <v>Band 3</v>
      </c>
      <c r="I1721" s="19" t="b">
        <f t="shared" si="79"/>
        <v>1</v>
      </c>
      <c r="J1721" s="33" t="str">
        <f t="shared" si="80"/>
        <v/>
      </c>
    </row>
    <row r="1722" spans="1:10">
      <c r="A1722" s="19" t="s">
        <v>265</v>
      </c>
      <c r="B1722" s="20">
        <v>45689</v>
      </c>
      <c r="C1722" s="21">
        <v>148</v>
      </c>
      <c r="D1722" s="21">
        <v>143.12666666666667</v>
      </c>
      <c r="E1722" s="21">
        <v>119.46000000000001</v>
      </c>
      <c r="F1722" s="27">
        <f t="shared" si="78"/>
        <v>0.96707207207207202</v>
      </c>
      <c r="G1722" s="21" t="str">
        <f>IFERROR(INDEX(Users!$A$2:$A$310,MATCH(A1722,Users!$B$2:$B$310,0)),"")</f>
        <v>Service A</v>
      </c>
      <c r="H1722" s="21" t="str">
        <f>IFERROR(INDEX(Users!$D$2:$D$310,MATCH(A1722,Users!$B$2:$B$310,0)),"")</f>
        <v>Band 3</v>
      </c>
      <c r="I1722" s="19" t="b">
        <f t="shared" si="79"/>
        <v>1</v>
      </c>
      <c r="J1722" s="33" t="str">
        <f t="shared" si="80"/>
        <v/>
      </c>
    </row>
    <row r="1723" spans="1:10">
      <c r="A1723" s="19" t="s">
        <v>265</v>
      </c>
      <c r="B1723" s="20">
        <v>45717</v>
      </c>
      <c r="C1723" s="21">
        <v>155.4</v>
      </c>
      <c r="D1723" s="21">
        <v>164.54333333333335</v>
      </c>
      <c r="E1723" s="21">
        <v>63.210000000000022</v>
      </c>
      <c r="F1723" s="27">
        <f t="shared" si="78"/>
        <v>1.0588374088374088</v>
      </c>
      <c r="G1723" s="21" t="str">
        <f>IFERROR(INDEX(Users!$A$2:$A$310,MATCH(A1723,Users!$B$2:$B$310,0)),"")</f>
        <v>Service A</v>
      </c>
      <c r="H1723" s="21" t="str">
        <f>IFERROR(INDEX(Users!$D$2:$D$310,MATCH(A1723,Users!$B$2:$B$310,0)),"")</f>
        <v>Band 3</v>
      </c>
      <c r="I1723" s="19" t="b">
        <f t="shared" si="79"/>
        <v>1</v>
      </c>
      <c r="J1723" s="33" t="str">
        <f t="shared" si="80"/>
        <v/>
      </c>
    </row>
    <row r="1724" spans="1:10">
      <c r="A1724" s="19" t="s">
        <v>266</v>
      </c>
      <c r="B1724" s="20">
        <v>45658</v>
      </c>
      <c r="C1724" s="21">
        <v>162.79999999999998</v>
      </c>
      <c r="D1724" s="21">
        <v>124.63333333333328</v>
      </c>
      <c r="E1724" s="21">
        <v>8.5500000000000007</v>
      </c>
      <c r="F1724" s="27">
        <f t="shared" si="78"/>
        <v>0.7655610155610153</v>
      </c>
      <c r="G1724" s="21" t="str">
        <f>IFERROR(INDEX(Users!$A$2:$A$310,MATCH(A1724,Users!$B$2:$B$310,0)),"")</f>
        <v>Service B</v>
      </c>
      <c r="H1724" s="21" t="str">
        <f>IFERROR(INDEX(Users!$D$2:$D$310,MATCH(A1724,Users!$B$2:$B$310,0)),"")</f>
        <v>Band 3</v>
      </c>
      <c r="I1724" s="19" t="b">
        <f t="shared" si="79"/>
        <v>0</v>
      </c>
      <c r="J1724" s="33">
        <f t="shared" si="80"/>
        <v>0.7655610155610153</v>
      </c>
    </row>
    <row r="1725" spans="1:10">
      <c r="A1725" s="19" t="s">
        <v>266</v>
      </c>
      <c r="B1725" s="20">
        <v>45689</v>
      </c>
      <c r="C1725" s="21">
        <v>148</v>
      </c>
      <c r="D1725" s="21">
        <v>85.443333333333328</v>
      </c>
      <c r="E1725" s="21">
        <v>18.559999999999999</v>
      </c>
      <c r="F1725" s="27">
        <f t="shared" si="78"/>
        <v>0.57731981981981983</v>
      </c>
      <c r="G1725" s="21" t="str">
        <f>IFERROR(INDEX(Users!$A$2:$A$310,MATCH(A1725,Users!$B$2:$B$310,0)),"")</f>
        <v>Service B</v>
      </c>
      <c r="H1725" s="21" t="str">
        <f>IFERROR(INDEX(Users!$D$2:$D$310,MATCH(A1725,Users!$B$2:$B$310,0)),"")</f>
        <v>Band 3</v>
      </c>
      <c r="I1725" s="19" t="b">
        <f t="shared" si="79"/>
        <v>0</v>
      </c>
      <c r="J1725" s="33">
        <f t="shared" si="80"/>
        <v>0.57731981981981983</v>
      </c>
    </row>
    <row r="1726" spans="1:10">
      <c r="A1726" s="19" t="s">
        <v>266</v>
      </c>
      <c r="B1726" s="20">
        <v>45717</v>
      </c>
      <c r="C1726" s="21">
        <v>155.4</v>
      </c>
      <c r="D1726" s="21">
        <v>72.933333333333337</v>
      </c>
      <c r="E1726" s="21">
        <v>23.85</v>
      </c>
      <c r="F1726" s="27">
        <f t="shared" si="78"/>
        <v>0.46932646932646932</v>
      </c>
      <c r="G1726" s="21" t="str">
        <f>IFERROR(INDEX(Users!$A$2:$A$310,MATCH(A1726,Users!$B$2:$B$310,0)),"")</f>
        <v>Service B</v>
      </c>
      <c r="H1726" s="21" t="str">
        <f>IFERROR(INDEX(Users!$D$2:$D$310,MATCH(A1726,Users!$B$2:$B$310,0)),"")</f>
        <v>Band 3</v>
      </c>
      <c r="I1726" s="19" t="b">
        <f t="shared" si="79"/>
        <v>0</v>
      </c>
      <c r="J1726" s="33">
        <f t="shared" si="80"/>
        <v>0.46932646932646932</v>
      </c>
    </row>
    <row r="1727" spans="1:10">
      <c r="A1727" s="19" t="s">
        <v>266</v>
      </c>
      <c r="B1727" s="20">
        <v>45748</v>
      </c>
      <c r="C1727" s="21">
        <v>148</v>
      </c>
      <c r="D1727" s="21">
        <v>52.603333333333325</v>
      </c>
      <c r="E1727" s="21">
        <v>24.019999999999996</v>
      </c>
      <c r="F1727" s="27">
        <f t="shared" si="78"/>
        <v>0.35542792792792788</v>
      </c>
      <c r="G1727" s="21" t="str">
        <f>IFERROR(INDEX(Users!$A$2:$A$310,MATCH(A1727,Users!$B$2:$B$310,0)),"")</f>
        <v>Service B</v>
      </c>
      <c r="H1727" s="21" t="str">
        <f>IFERROR(INDEX(Users!$D$2:$D$310,MATCH(A1727,Users!$B$2:$B$310,0)),"")</f>
        <v>Band 3</v>
      </c>
      <c r="I1727" s="19" t="b">
        <f t="shared" si="79"/>
        <v>0</v>
      </c>
      <c r="J1727" s="33">
        <f t="shared" si="80"/>
        <v>0.35542792792792788</v>
      </c>
    </row>
    <row r="1728" spans="1:10">
      <c r="A1728" s="19" t="s">
        <v>266</v>
      </c>
      <c r="B1728" s="20">
        <v>45778</v>
      </c>
      <c r="C1728" s="21">
        <v>148</v>
      </c>
      <c r="D1728" s="21">
        <v>99.69</v>
      </c>
      <c r="E1728" s="21">
        <v>46.19</v>
      </c>
      <c r="F1728" s="27">
        <f t="shared" si="78"/>
        <v>0.67358108108108106</v>
      </c>
      <c r="G1728" s="21" t="str">
        <f>IFERROR(INDEX(Users!$A$2:$A$310,MATCH(A1728,Users!$B$2:$B$310,0)),"")</f>
        <v>Service B</v>
      </c>
      <c r="H1728" s="21" t="str">
        <f>IFERROR(INDEX(Users!$D$2:$D$310,MATCH(A1728,Users!$B$2:$B$310,0)),"")</f>
        <v>Band 3</v>
      </c>
      <c r="I1728" s="19" t="b">
        <f t="shared" si="79"/>
        <v>0</v>
      </c>
      <c r="J1728" s="33">
        <f t="shared" si="80"/>
        <v>0.67358108108108106</v>
      </c>
    </row>
    <row r="1729" spans="1:10">
      <c r="A1729" s="19" t="s">
        <v>266</v>
      </c>
      <c r="B1729" s="20">
        <v>45809</v>
      </c>
      <c r="C1729" s="21">
        <v>155.4</v>
      </c>
      <c r="D1729" s="21">
        <v>117.29666666666668</v>
      </c>
      <c r="E1729" s="21">
        <v>48.38000000000001</v>
      </c>
      <c r="F1729" s="27">
        <f t="shared" si="78"/>
        <v>0.75480480480480483</v>
      </c>
      <c r="G1729" s="21" t="str">
        <f>IFERROR(INDEX(Users!$A$2:$A$310,MATCH(A1729,Users!$B$2:$B$310,0)),"")</f>
        <v>Service B</v>
      </c>
      <c r="H1729" s="21" t="str">
        <f>IFERROR(INDEX(Users!$D$2:$D$310,MATCH(A1729,Users!$B$2:$B$310,0)),"")</f>
        <v>Band 3</v>
      </c>
      <c r="I1729" s="19" t="b">
        <f t="shared" si="79"/>
        <v>0</v>
      </c>
      <c r="J1729" s="33">
        <f t="shared" si="80"/>
        <v>0.75480480480480483</v>
      </c>
    </row>
    <row r="1730" spans="1:10">
      <c r="A1730" s="19" t="s">
        <v>266</v>
      </c>
      <c r="B1730" s="20">
        <v>45839</v>
      </c>
      <c r="C1730" s="21">
        <v>170.2</v>
      </c>
      <c r="D1730" s="21">
        <v>129.49999999999997</v>
      </c>
      <c r="E1730" s="21">
        <v>73.749999999999986</v>
      </c>
      <c r="F1730" s="27">
        <f t="shared" ref="F1730:F1793" si="81">IFERROR(IF(OR(C1730="",D1730="",C1730=0),"",D1730/C1730),"")</f>
        <v>0.76086956521739124</v>
      </c>
      <c r="G1730" s="21" t="str">
        <f>IFERROR(INDEX(Users!$A$2:$A$310,MATCH(A1730,Users!$B$2:$B$310,0)),"")</f>
        <v>Service B</v>
      </c>
      <c r="H1730" s="21" t="str">
        <f>IFERROR(INDEX(Users!$D$2:$D$310,MATCH(A1730,Users!$B$2:$B$310,0)),"")</f>
        <v>Band 3</v>
      </c>
      <c r="I1730" s="19" t="b">
        <f t="shared" ref="I1730:I1793" si="82">AND(G1730="Service A",H1730="Band 3")</f>
        <v>0</v>
      </c>
      <c r="J1730" s="33">
        <f t="shared" ref="J1730:J1793" si="83">IF(AND(B1730&gt;=DATE(2025,1,1),B1730&lt;DATE(2026,1,1),G1730="Service B",OR(H1730="Band 3",H1730="Band 5"),ISNUMBER(F1730)),F1730,"")</f>
        <v>0.76086956521739124</v>
      </c>
    </row>
    <row r="1731" spans="1:10">
      <c r="A1731" s="19" t="s">
        <v>266</v>
      </c>
      <c r="B1731" s="20">
        <v>45870</v>
      </c>
      <c r="C1731" s="21">
        <v>148</v>
      </c>
      <c r="D1731" s="21">
        <v>108.89666666666666</v>
      </c>
      <c r="E1731" s="21">
        <v>64.72999999999999</v>
      </c>
      <c r="F1731" s="27">
        <f t="shared" si="81"/>
        <v>0.73578828828828824</v>
      </c>
      <c r="G1731" s="21" t="str">
        <f>IFERROR(INDEX(Users!$A$2:$A$310,MATCH(A1731,Users!$B$2:$B$310,0)),"")</f>
        <v>Service B</v>
      </c>
      <c r="H1731" s="21" t="str">
        <f>IFERROR(INDEX(Users!$D$2:$D$310,MATCH(A1731,Users!$B$2:$B$310,0)),"")</f>
        <v>Band 3</v>
      </c>
      <c r="I1731" s="19" t="b">
        <f t="shared" si="82"/>
        <v>0</v>
      </c>
      <c r="J1731" s="33">
        <f t="shared" si="83"/>
        <v>0.73578828828828824</v>
      </c>
    </row>
    <row r="1732" spans="1:10">
      <c r="A1732" s="19" t="s">
        <v>266</v>
      </c>
      <c r="B1732" s="20">
        <v>45901</v>
      </c>
      <c r="C1732" s="21">
        <v>162.80000000000001</v>
      </c>
      <c r="D1732" s="21">
        <v>114.26666666666665</v>
      </c>
      <c r="E1732" s="21">
        <v>68.099999999999966</v>
      </c>
      <c r="F1732" s="27">
        <f t="shared" si="81"/>
        <v>0.70188370188370175</v>
      </c>
      <c r="G1732" s="21" t="str">
        <f>IFERROR(INDEX(Users!$A$2:$A$310,MATCH(A1732,Users!$B$2:$B$310,0)),"")</f>
        <v>Service B</v>
      </c>
      <c r="H1732" s="21" t="str">
        <f>IFERROR(INDEX(Users!$D$2:$D$310,MATCH(A1732,Users!$B$2:$B$310,0)),"")</f>
        <v>Band 3</v>
      </c>
      <c r="I1732" s="19" t="b">
        <f t="shared" si="82"/>
        <v>0</v>
      </c>
      <c r="J1732" s="33">
        <f t="shared" si="83"/>
        <v>0.70188370188370175</v>
      </c>
    </row>
    <row r="1733" spans="1:10">
      <c r="A1733" s="19" t="s">
        <v>266</v>
      </c>
      <c r="B1733" s="20">
        <v>45931</v>
      </c>
      <c r="C1733" s="21">
        <v>170.2</v>
      </c>
      <c r="D1733" s="21">
        <v>137.89666666666662</v>
      </c>
      <c r="E1733" s="21">
        <v>83.479999999999961</v>
      </c>
      <c r="F1733" s="27">
        <f t="shared" si="81"/>
        <v>0.81020368194281212</v>
      </c>
      <c r="G1733" s="21" t="str">
        <f>IFERROR(INDEX(Users!$A$2:$A$310,MATCH(A1733,Users!$B$2:$B$310,0)),"")</f>
        <v>Service B</v>
      </c>
      <c r="H1733" s="21" t="str">
        <f>IFERROR(INDEX(Users!$D$2:$D$310,MATCH(A1733,Users!$B$2:$B$310,0)),"")</f>
        <v>Band 3</v>
      </c>
      <c r="I1733" s="19" t="b">
        <f t="shared" si="82"/>
        <v>0</v>
      </c>
      <c r="J1733" s="33">
        <f t="shared" si="83"/>
        <v>0.81020368194281212</v>
      </c>
    </row>
    <row r="1734" spans="1:10">
      <c r="A1734" s="19" t="s">
        <v>266</v>
      </c>
      <c r="B1734" s="20">
        <v>45962</v>
      </c>
      <c r="C1734" s="21">
        <v>148</v>
      </c>
      <c r="D1734" s="21">
        <v>102.42000000000002</v>
      </c>
      <c r="E1734" s="21">
        <v>58.170000000000009</v>
      </c>
      <c r="F1734" s="27">
        <f t="shared" si="81"/>
        <v>0.69202702702702712</v>
      </c>
      <c r="G1734" s="21" t="str">
        <f>IFERROR(INDEX(Users!$A$2:$A$310,MATCH(A1734,Users!$B$2:$B$310,0)),"")</f>
        <v>Service B</v>
      </c>
      <c r="H1734" s="21" t="str">
        <f>IFERROR(INDEX(Users!$D$2:$D$310,MATCH(A1734,Users!$B$2:$B$310,0)),"")</f>
        <v>Band 3</v>
      </c>
      <c r="I1734" s="19" t="b">
        <f t="shared" si="82"/>
        <v>0</v>
      </c>
      <c r="J1734" s="33">
        <f t="shared" si="83"/>
        <v>0.69202702702702712</v>
      </c>
    </row>
    <row r="1735" spans="1:10">
      <c r="A1735" s="19" t="s">
        <v>266</v>
      </c>
      <c r="B1735" s="20">
        <v>45992</v>
      </c>
      <c r="C1735" s="21">
        <v>155.4</v>
      </c>
      <c r="D1735" s="21">
        <v>119.18</v>
      </c>
      <c r="E1735" s="21">
        <v>65.930000000000007</v>
      </c>
      <c r="F1735" s="27">
        <f t="shared" si="81"/>
        <v>0.76692406692406689</v>
      </c>
      <c r="G1735" s="21" t="str">
        <f>IFERROR(INDEX(Users!$A$2:$A$310,MATCH(A1735,Users!$B$2:$B$310,0)),"")</f>
        <v>Service B</v>
      </c>
      <c r="H1735" s="21" t="str">
        <f>IFERROR(INDEX(Users!$D$2:$D$310,MATCH(A1735,Users!$B$2:$B$310,0)),"")</f>
        <v>Band 3</v>
      </c>
      <c r="I1735" s="19" t="b">
        <f t="shared" si="82"/>
        <v>0</v>
      </c>
      <c r="J1735" s="33">
        <f t="shared" si="83"/>
        <v>0.76692406692406689</v>
      </c>
    </row>
    <row r="1736" spans="1:10">
      <c r="A1736" s="19" t="s">
        <v>266</v>
      </c>
      <c r="B1736" s="20">
        <v>46023</v>
      </c>
      <c r="C1736" s="21">
        <v>155.39999999999998</v>
      </c>
      <c r="D1736" s="21">
        <v>114.88666666666666</v>
      </c>
      <c r="E1736" s="21">
        <v>51.97</v>
      </c>
      <c r="F1736" s="27">
        <f t="shared" si="81"/>
        <v>0.73929643929643929</v>
      </c>
      <c r="G1736" s="21" t="str">
        <f>IFERROR(INDEX(Users!$A$2:$A$310,MATCH(A1736,Users!$B$2:$B$310,0)),"")</f>
        <v>Service B</v>
      </c>
      <c r="H1736" s="21" t="str">
        <f>IFERROR(INDEX(Users!$D$2:$D$310,MATCH(A1736,Users!$B$2:$B$310,0)),"")</f>
        <v>Band 3</v>
      </c>
      <c r="I1736" s="19" t="b">
        <f t="shared" si="82"/>
        <v>0</v>
      </c>
      <c r="J1736" s="33" t="str">
        <f t="shared" si="83"/>
        <v/>
      </c>
    </row>
    <row r="1737" spans="1:10">
      <c r="A1737" s="19" t="s">
        <v>268</v>
      </c>
      <c r="B1737" s="20">
        <v>45689</v>
      </c>
      <c r="C1737" s="21">
        <v>37</v>
      </c>
      <c r="D1737" s="21"/>
      <c r="E1737" s="21"/>
      <c r="F1737" s="27" t="str">
        <f t="shared" si="81"/>
        <v/>
      </c>
      <c r="G1737" s="21" t="str">
        <f>IFERROR(INDEX(Users!$A$2:$A$310,MATCH(A1737,Users!$B$2:$B$310,0)),"")</f>
        <v>Service B</v>
      </c>
      <c r="H1737" s="21" t="str">
        <f>IFERROR(INDEX(Users!$D$2:$D$310,MATCH(A1737,Users!$B$2:$B$310,0)),"")</f>
        <v>Band 3</v>
      </c>
      <c r="I1737" s="19" t="b">
        <f t="shared" si="82"/>
        <v>0</v>
      </c>
      <c r="J1737" s="33" t="str">
        <f t="shared" si="83"/>
        <v/>
      </c>
    </row>
    <row r="1738" spans="1:10">
      <c r="A1738" s="19" t="s">
        <v>268</v>
      </c>
      <c r="B1738" s="20">
        <v>45717</v>
      </c>
      <c r="C1738" s="21">
        <v>155.40000000000006</v>
      </c>
      <c r="D1738" s="21">
        <v>43.42</v>
      </c>
      <c r="E1738" s="21">
        <v>2.92</v>
      </c>
      <c r="F1738" s="27">
        <f t="shared" si="81"/>
        <v>0.27940797940797929</v>
      </c>
      <c r="G1738" s="21" t="str">
        <f>IFERROR(INDEX(Users!$A$2:$A$310,MATCH(A1738,Users!$B$2:$B$310,0)),"")</f>
        <v>Service B</v>
      </c>
      <c r="H1738" s="21" t="str">
        <f>IFERROR(INDEX(Users!$D$2:$D$310,MATCH(A1738,Users!$B$2:$B$310,0)),"")</f>
        <v>Band 3</v>
      </c>
      <c r="I1738" s="19" t="b">
        <f t="shared" si="82"/>
        <v>0</v>
      </c>
      <c r="J1738" s="33">
        <f t="shared" si="83"/>
        <v>0.27940797940797929</v>
      </c>
    </row>
    <row r="1739" spans="1:10">
      <c r="A1739" s="19" t="s">
        <v>268</v>
      </c>
      <c r="B1739" s="20">
        <v>45748</v>
      </c>
      <c r="C1739" s="21">
        <v>148.00000000000006</v>
      </c>
      <c r="D1739" s="21">
        <v>54.33</v>
      </c>
      <c r="E1739" s="21">
        <v>5.58</v>
      </c>
      <c r="F1739" s="27">
        <f t="shared" si="81"/>
        <v>0.36709459459459443</v>
      </c>
      <c r="G1739" s="21" t="str">
        <f>IFERROR(INDEX(Users!$A$2:$A$310,MATCH(A1739,Users!$B$2:$B$310,0)),"")</f>
        <v>Service B</v>
      </c>
      <c r="H1739" s="21" t="str">
        <f>IFERROR(INDEX(Users!$D$2:$D$310,MATCH(A1739,Users!$B$2:$B$310,0)),"")</f>
        <v>Band 3</v>
      </c>
      <c r="I1739" s="19" t="b">
        <f t="shared" si="82"/>
        <v>0</v>
      </c>
      <c r="J1739" s="33">
        <f t="shared" si="83"/>
        <v>0.36709459459459443</v>
      </c>
    </row>
    <row r="1740" spans="1:10">
      <c r="A1740" s="19" t="s">
        <v>268</v>
      </c>
      <c r="B1740" s="20">
        <v>45778</v>
      </c>
      <c r="C1740" s="21">
        <v>148.00000000000006</v>
      </c>
      <c r="D1740" s="21">
        <v>37.14</v>
      </c>
      <c r="E1740" s="21">
        <v>16.14</v>
      </c>
      <c r="F1740" s="27">
        <f t="shared" si="81"/>
        <v>0.25094594594594588</v>
      </c>
      <c r="G1740" s="21" t="str">
        <f>IFERROR(INDEX(Users!$A$2:$A$310,MATCH(A1740,Users!$B$2:$B$310,0)),"")</f>
        <v>Service B</v>
      </c>
      <c r="H1740" s="21" t="str">
        <f>IFERROR(INDEX(Users!$D$2:$D$310,MATCH(A1740,Users!$B$2:$B$310,0)),"")</f>
        <v>Band 3</v>
      </c>
      <c r="I1740" s="19" t="b">
        <f t="shared" si="82"/>
        <v>0</v>
      </c>
      <c r="J1740" s="33">
        <f t="shared" si="83"/>
        <v>0.25094594594594588</v>
      </c>
    </row>
    <row r="1741" spans="1:10">
      <c r="A1741" s="19" t="s">
        <v>268</v>
      </c>
      <c r="B1741" s="20">
        <v>45809</v>
      </c>
      <c r="C1741" s="21">
        <v>155.40000000000006</v>
      </c>
      <c r="D1741" s="21">
        <v>115.91333333333331</v>
      </c>
      <c r="E1741" s="21">
        <v>88.329999999999984</v>
      </c>
      <c r="F1741" s="27">
        <f t="shared" si="81"/>
        <v>0.74590304590304546</v>
      </c>
      <c r="G1741" s="21" t="str">
        <f>IFERROR(INDEX(Users!$A$2:$A$310,MATCH(A1741,Users!$B$2:$B$310,0)),"")</f>
        <v>Service B</v>
      </c>
      <c r="H1741" s="21" t="str">
        <f>IFERROR(INDEX(Users!$D$2:$D$310,MATCH(A1741,Users!$B$2:$B$310,0)),"")</f>
        <v>Band 3</v>
      </c>
      <c r="I1741" s="19" t="b">
        <f t="shared" si="82"/>
        <v>0</v>
      </c>
      <c r="J1741" s="33">
        <f t="shared" si="83"/>
        <v>0.74590304590304546</v>
      </c>
    </row>
    <row r="1742" spans="1:10">
      <c r="A1742" s="19" t="s">
        <v>268</v>
      </c>
      <c r="B1742" s="20">
        <v>45839</v>
      </c>
      <c r="C1742" s="21">
        <v>170.20000000000007</v>
      </c>
      <c r="D1742" s="21">
        <v>170.78000000000003</v>
      </c>
      <c r="E1742" s="21">
        <v>128.53000000000003</v>
      </c>
      <c r="F1742" s="27">
        <f t="shared" si="81"/>
        <v>1.0034077555816683</v>
      </c>
      <c r="G1742" s="21" t="str">
        <f>IFERROR(INDEX(Users!$A$2:$A$310,MATCH(A1742,Users!$B$2:$B$310,0)),"")</f>
        <v>Service B</v>
      </c>
      <c r="H1742" s="21" t="str">
        <f>IFERROR(INDEX(Users!$D$2:$D$310,MATCH(A1742,Users!$B$2:$B$310,0)),"")</f>
        <v>Band 3</v>
      </c>
      <c r="I1742" s="19" t="b">
        <f t="shared" si="82"/>
        <v>0</v>
      </c>
      <c r="J1742" s="33">
        <f t="shared" si="83"/>
        <v>1.0034077555816683</v>
      </c>
    </row>
    <row r="1743" spans="1:10">
      <c r="A1743" s="19" t="s">
        <v>268</v>
      </c>
      <c r="B1743" s="20">
        <v>45870</v>
      </c>
      <c r="C1743" s="21">
        <v>148.00000000000006</v>
      </c>
      <c r="D1743" s="21">
        <v>138.79000000000002</v>
      </c>
      <c r="E1743" s="21">
        <v>111.39000000000001</v>
      </c>
      <c r="F1743" s="27">
        <f t="shared" si="81"/>
        <v>0.93777027027027005</v>
      </c>
      <c r="G1743" s="21" t="str">
        <f>IFERROR(INDEX(Users!$A$2:$A$310,MATCH(A1743,Users!$B$2:$B$310,0)),"")</f>
        <v>Service B</v>
      </c>
      <c r="H1743" s="21" t="str">
        <f>IFERROR(INDEX(Users!$D$2:$D$310,MATCH(A1743,Users!$B$2:$B$310,0)),"")</f>
        <v>Band 3</v>
      </c>
      <c r="I1743" s="19" t="b">
        <f t="shared" si="82"/>
        <v>0</v>
      </c>
      <c r="J1743" s="33">
        <f t="shared" si="83"/>
        <v>0.93777027027027005</v>
      </c>
    </row>
    <row r="1744" spans="1:10">
      <c r="A1744" s="19" t="s">
        <v>268</v>
      </c>
      <c r="B1744" s="20">
        <v>45901</v>
      </c>
      <c r="C1744" s="21">
        <v>162.80000000000007</v>
      </c>
      <c r="D1744" s="21">
        <v>160.76000000000002</v>
      </c>
      <c r="E1744" s="21">
        <v>132.26000000000002</v>
      </c>
      <c r="F1744" s="27">
        <f t="shared" si="81"/>
        <v>0.98746928746928719</v>
      </c>
      <c r="G1744" s="21" t="str">
        <f>IFERROR(INDEX(Users!$A$2:$A$310,MATCH(A1744,Users!$B$2:$B$310,0)),"")</f>
        <v>Service B</v>
      </c>
      <c r="H1744" s="21" t="str">
        <f>IFERROR(INDEX(Users!$D$2:$D$310,MATCH(A1744,Users!$B$2:$B$310,0)),"")</f>
        <v>Band 3</v>
      </c>
      <c r="I1744" s="19" t="b">
        <f t="shared" si="82"/>
        <v>0</v>
      </c>
      <c r="J1744" s="33">
        <f t="shared" si="83"/>
        <v>0.98746928746928719</v>
      </c>
    </row>
    <row r="1745" spans="1:10">
      <c r="A1745" s="19" t="s">
        <v>268</v>
      </c>
      <c r="B1745" s="20">
        <v>45931</v>
      </c>
      <c r="C1745" s="21">
        <v>170.20000000000007</v>
      </c>
      <c r="D1745" s="21">
        <v>165.34</v>
      </c>
      <c r="E1745" s="21">
        <v>126.59</v>
      </c>
      <c r="F1745" s="27">
        <f t="shared" si="81"/>
        <v>0.97144535840187973</v>
      </c>
      <c r="G1745" s="21" t="str">
        <f>IFERROR(INDEX(Users!$A$2:$A$310,MATCH(A1745,Users!$B$2:$B$310,0)),"")</f>
        <v>Service B</v>
      </c>
      <c r="H1745" s="21" t="str">
        <f>IFERROR(INDEX(Users!$D$2:$D$310,MATCH(A1745,Users!$B$2:$B$310,0)),"")</f>
        <v>Band 3</v>
      </c>
      <c r="I1745" s="19" t="b">
        <f t="shared" si="82"/>
        <v>0</v>
      </c>
      <c r="J1745" s="33">
        <f t="shared" si="83"/>
        <v>0.97144535840187973</v>
      </c>
    </row>
    <row r="1746" spans="1:10">
      <c r="A1746" s="19" t="s">
        <v>268</v>
      </c>
      <c r="B1746" s="20">
        <v>45962</v>
      </c>
      <c r="C1746" s="21">
        <v>148.00000000000006</v>
      </c>
      <c r="D1746" s="21">
        <v>92.35</v>
      </c>
      <c r="E1746" s="21">
        <v>66.849999999999994</v>
      </c>
      <c r="F1746" s="27">
        <f t="shared" si="81"/>
        <v>0.62398648648648625</v>
      </c>
      <c r="G1746" s="21" t="str">
        <f>IFERROR(INDEX(Users!$A$2:$A$310,MATCH(A1746,Users!$B$2:$B$310,0)),"")</f>
        <v>Service B</v>
      </c>
      <c r="H1746" s="21" t="str">
        <f>IFERROR(INDEX(Users!$D$2:$D$310,MATCH(A1746,Users!$B$2:$B$310,0)),"")</f>
        <v>Band 3</v>
      </c>
      <c r="I1746" s="19" t="b">
        <f t="shared" si="82"/>
        <v>0</v>
      </c>
      <c r="J1746" s="33">
        <f t="shared" si="83"/>
        <v>0.62398648648648625</v>
      </c>
    </row>
    <row r="1747" spans="1:10">
      <c r="A1747" s="19" t="s">
        <v>268</v>
      </c>
      <c r="B1747" s="20">
        <v>45992</v>
      </c>
      <c r="C1747" s="21">
        <v>155.40000000000006</v>
      </c>
      <c r="D1747" s="21">
        <v>81.5</v>
      </c>
      <c r="E1747" s="21">
        <v>60</v>
      </c>
      <c r="F1747" s="27">
        <f t="shared" si="81"/>
        <v>0.52445302445302422</v>
      </c>
      <c r="G1747" s="21" t="str">
        <f>IFERROR(INDEX(Users!$A$2:$A$310,MATCH(A1747,Users!$B$2:$B$310,0)),"")</f>
        <v>Service B</v>
      </c>
      <c r="H1747" s="21" t="str">
        <f>IFERROR(INDEX(Users!$D$2:$D$310,MATCH(A1747,Users!$B$2:$B$310,0)),"")</f>
        <v>Band 3</v>
      </c>
      <c r="I1747" s="19" t="b">
        <f t="shared" si="82"/>
        <v>0</v>
      </c>
      <c r="J1747" s="33">
        <f t="shared" si="83"/>
        <v>0.52445302445302422</v>
      </c>
    </row>
    <row r="1748" spans="1:10">
      <c r="A1748" s="19" t="s">
        <v>268</v>
      </c>
      <c r="B1748" s="20">
        <v>46023</v>
      </c>
      <c r="C1748" s="21">
        <v>155.40000000000006</v>
      </c>
      <c r="D1748" s="21">
        <v>151.09333333333333</v>
      </c>
      <c r="E1748" s="21">
        <v>102.26000000000002</v>
      </c>
      <c r="F1748" s="27">
        <f t="shared" si="81"/>
        <v>0.97228657228657189</v>
      </c>
      <c r="G1748" s="21" t="str">
        <f>IFERROR(INDEX(Users!$A$2:$A$310,MATCH(A1748,Users!$B$2:$B$310,0)),"")</f>
        <v>Service B</v>
      </c>
      <c r="H1748" s="21" t="str">
        <f>IFERROR(INDEX(Users!$D$2:$D$310,MATCH(A1748,Users!$B$2:$B$310,0)),"")</f>
        <v>Band 3</v>
      </c>
      <c r="I1748" s="19" t="b">
        <f t="shared" si="82"/>
        <v>0</v>
      </c>
      <c r="J1748" s="33" t="str">
        <f t="shared" si="83"/>
        <v/>
      </c>
    </row>
    <row r="1749" spans="1:10">
      <c r="A1749" s="19" t="s">
        <v>269</v>
      </c>
      <c r="B1749" s="20">
        <v>45809</v>
      </c>
      <c r="C1749" s="21">
        <v>155.4</v>
      </c>
      <c r="D1749" s="21">
        <v>141.15333333333331</v>
      </c>
      <c r="E1749" s="21">
        <v>3.870000000000001</v>
      </c>
      <c r="F1749" s="27">
        <f t="shared" si="81"/>
        <v>0.90832260832260814</v>
      </c>
      <c r="G1749" s="21" t="str">
        <f>IFERROR(INDEX(Users!$A$2:$A$310,MATCH(A1749,Users!$B$2:$B$310,0)),"")</f>
        <v>Service C</v>
      </c>
      <c r="H1749" s="21" t="str">
        <f>IFERROR(INDEX(Users!$D$2:$D$310,MATCH(A1749,Users!$B$2:$B$310,0)),"")</f>
        <v>Band 3</v>
      </c>
      <c r="I1749" s="19" t="b">
        <f t="shared" si="82"/>
        <v>0</v>
      </c>
      <c r="J1749" s="33" t="str">
        <f t="shared" si="83"/>
        <v/>
      </c>
    </row>
    <row r="1750" spans="1:10">
      <c r="A1750" s="19" t="s">
        <v>269</v>
      </c>
      <c r="B1750" s="20">
        <v>45839</v>
      </c>
      <c r="C1750" s="21">
        <v>170.20000000000002</v>
      </c>
      <c r="D1750" s="21">
        <v>118.62666666666668</v>
      </c>
      <c r="E1750" s="21">
        <v>10.559999999999999</v>
      </c>
      <c r="F1750" s="27">
        <f t="shared" si="81"/>
        <v>0.69698394046220136</v>
      </c>
      <c r="G1750" s="21" t="str">
        <f>IFERROR(INDEX(Users!$A$2:$A$310,MATCH(A1750,Users!$B$2:$B$310,0)),"")</f>
        <v>Service C</v>
      </c>
      <c r="H1750" s="21" t="str">
        <f>IFERROR(INDEX(Users!$D$2:$D$310,MATCH(A1750,Users!$B$2:$B$310,0)),"")</f>
        <v>Band 3</v>
      </c>
      <c r="I1750" s="19" t="b">
        <f t="shared" si="82"/>
        <v>0</v>
      </c>
      <c r="J1750" s="33" t="str">
        <f t="shared" si="83"/>
        <v/>
      </c>
    </row>
    <row r="1751" spans="1:10">
      <c r="A1751" s="19" t="s">
        <v>269</v>
      </c>
      <c r="B1751" s="20">
        <v>45870</v>
      </c>
      <c r="C1751" s="21">
        <v>148</v>
      </c>
      <c r="D1751" s="21">
        <v>135.04999999999998</v>
      </c>
      <c r="E1751" s="21">
        <v>29.949999999999996</v>
      </c>
      <c r="F1751" s="27">
        <f t="shared" si="81"/>
        <v>0.91249999999999987</v>
      </c>
      <c r="G1751" s="21" t="str">
        <f>IFERROR(INDEX(Users!$A$2:$A$310,MATCH(A1751,Users!$B$2:$B$310,0)),"")</f>
        <v>Service C</v>
      </c>
      <c r="H1751" s="21" t="str">
        <f>IFERROR(INDEX(Users!$D$2:$D$310,MATCH(A1751,Users!$B$2:$B$310,0)),"")</f>
        <v>Band 3</v>
      </c>
      <c r="I1751" s="19" t="b">
        <f t="shared" si="82"/>
        <v>0</v>
      </c>
      <c r="J1751" s="33" t="str">
        <f t="shared" si="83"/>
        <v/>
      </c>
    </row>
    <row r="1752" spans="1:10">
      <c r="A1752" s="19" t="s">
        <v>269</v>
      </c>
      <c r="B1752" s="20">
        <v>45901</v>
      </c>
      <c r="C1752" s="21">
        <v>162.80000000000001</v>
      </c>
      <c r="D1752" s="21">
        <v>114.55</v>
      </c>
      <c r="E1752" s="21">
        <v>19.3</v>
      </c>
      <c r="F1752" s="27">
        <f t="shared" si="81"/>
        <v>0.70362407862407861</v>
      </c>
      <c r="G1752" s="21" t="str">
        <f>IFERROR(INDEX(Users!$A$2:$A$310,MATCH(A1752,Users!$B$2:$B$310,0)),"")</f>
        <v>Service C</v>
      </c>
      <c r="H1752" s="21" t="str">
        <f>IFERROR(INDEX(Users!$D$2:$D$310,MATCH(A1752,Users!$B$2:$B$310,0)),"")</f>
        <v>Band 3</v>
      </c>
      <c r="I1752" s="19" t="b">
        <f t="shared" si="82"/>
        <v>0</v>
      </c>
      <c r="J1752" s="33" t="str">
        <f t="shared" si="83"/>
        <v/>
      </c>
    </row>
    <row r="1753" spans="1:10">
      <c r="A1753" s="19" t="s">
        <v>269</v>
      </c>
      <c r="B1753" s="20">
        <v>45931</v>
      </c>
      <c r="C1753" s="21">
        <v>170.20000000000002</v>
      </c>
      <c r="D1753" s="21">
        <v>126.18333333333334</v>
      </c>
      <c r="E1753" s="21">
        <v>14.6</v>
      </c>
      <c r="F1753" s="27">
        <f t="shared" si="81"/>
        <v>0.74138268703486088</v>
      </c>
      <c r="G1753" s="21" t="str">
        <f>IFERROR(INDEX(Users!$A$2:$A$310,MATCH(A1753,Users!$B$2:$B$310,0)),"")</f>
        <v>Service C</v>
      </c>
      <c r="H1753" s="21" t="str">
        <f>IFERROR(INDEX(Users!$D$2:$D$310,MATCH(A1753,Users!$B$2:$B$310,0)),"")</f>
        <v>Band 3</v>
      </c>
      <c r="I1753" s="19" t="b">
        <f t="shared" si="82"/>
        <v>0</v>
      </c>
      <c r="J1753" s="33" t="str">
        <f t="shared" si="83"/>
        <v/>
      </c>
    </row>
    <row r="1754" spans="1:10">
      <c r="A1754" s="19" t="s">
        <v>269</v>
      </c>
      <c r="B1754" s="20">
        <v>45962</v>
      </c>
      <c r="C1754" s="21">
        <v>148</v>
      </c>
      <c r="D1754" s="21">
        <v>124.12333333333333</v>
      </c>
      <c r="E1754" s="21">
        <v>3.59</v>
      </c>
      <c r="F1754" s="27">
        <f t="shared" si="81"/>
        <v>0.83867117117117118</v>
      </c>
      <c r="G1754" s="21" t="str">
        <f>IFERROR(INDEX(Users!$A$2:$A$310,MATCH(A1754,Users!$B$2:$B$310,0)),"")</f>
        <v>Service C</v>
      </c>
      <c r="H1754" s="21" t="str">
        <f>IFERROR(INDEX(Users!$D$2:$D$310,MATCH(A1754,Users!$B$2:$B$310,0)),"")</f>
        <v>Band 3</v>
      </c>
      <c r="I1754" s="19" t="b">
        <f t="shared" si="82"/>
        <v>0</v>
      </c>
      <c r="J1754" s="33" t="str">
        <f t="shared" si="83"/>
        <v/>
      </c>
    </row>
    <row r="1755" spans="1:10">
      <c r="A1755" s="19" t="s">
        <v>269</v>
      </c>
      <c r="B1755" s="20">
        <v>45992</v>
      </c>
      <c r="C1755" s="21">
        <v>155.4</v>
      </c>
      <c r="D1755" s="21">
        <v>128.60999999999999</v>
      </c>
      <c r="E1755" s="21">
        <v>8.01</v>
      </c>
      <c r="F1755" s="27">
        <f t="shared" si="81"/>
        <v>0.8276061776061775</v>
      </c>
      <c r="G1755" s="21" t="str">
        <f>IFERROR(INDEX(Users!$A$2:$A$310,MATCH(A1755,Users!$B$2:$B$310,0)),"")</f>
        <v>Service C</v>
      </c>
      <c r="H1755" s="21" t="str">
        <f>IFERROR(INDEX(Users!$D$2:$D$310,MATCH(A1755,Users!$B$2:$B$310,0)),"")</f>
        <v>Band 3</v>
      </c>
      <c r="I1755" s="19" t="b">
        <f t="shared" si="82"/>
        <v>0</v>
      </c>
      <c r="J1755" s="33" t="str">
        <f t="shared" si="83"/>
        <v/>
      </c>
    </row>
    <row r="1756" spans="1:10">
      <c r="A1756" s="19" t="s">
        <v>269</v>
      </c>
      <c r="B1756" s="20">
        <v>46023</v>
      </c>
      <c r="C1756" s="21">
        <v>155.4</v>
      </c>
      <c r="D1756" s="21">
        <v>140.92333333333332</v>
      </c>
      <c r="E1756" s="21">
        <v>3.69</v>
      </c>
      <c r="F1756" s="27">
        <f t="shared" si="81"/>
        <v>0.90684255684255666</v>
      </c>
      <c r="G1756" s="21" t="str">
        <f>IFERROR(INDEX(Users!$A$2:$A$310,MATCH(A1756,Users!$B$2:$B$310,0)),"")</f>
        <v>Service C</v>
      </c>
      <c r="H1756" s="21" t="str">
        <f>IFERROR(INDEX(Users!$D$2:$D$310,MATCH(A1756,Users!$B$2:$B$310,0)),"")</f>
        <v>Band 3</v>
      </c>
      <c r="I1756" s="19" t="b">
        <f t="shared" si="82"/>
        <v>0</v>
      </c>
      <c r="J1756" s="33" t="str">
        <f t="shared" si="83"/>
        <v/>
      </c>
    </row>
    <row r="1757" spans="1:10">
      <c r="A1757" s="19" t="s">
        <v>270</v>
      </c>
      <c r="B1757" s="20">
        <v>45931</v>
      </c>
      <c r="C1757" s="21">
        <v>148</v>
      </c>
      <c r="D1757" s="21">
        <v>103.49166666666666</v>
      </c>
      <c r="E1757" s="21"/>
      <c r="F1757" s="27">
        <f t="shared" si="81"/>
        <v>0.69926801801801797</v>
      </c>
      <c r="G1757" s="21" t="str">
        <f>IFERROR(INDEX(Users!$A$2:$A$310,MATCH(A1757,Users!$B$2:$B$310,0)),"")</f>
        <v>Service C</v>
      </c>
      <c r="H1757" s="21" t="str">
        <f>IFERROR(INDEX(Users!$D$2:$D$310,MATCH(A1757,Users!$B$2:$B$310,0)),"")</f>
        <v>Band 4</v>
      </c>
      <c r="I1757" s="19" t="b">
        <f t="shared" si="82"/>
        <v>0</v>
      </c>
      <c r="J1757" s="33" t="str">
        <f t="shared" si="83"/>
        <v/>
      </c>
    </row>
    <row r="1758" spans="1:10">
      <c r="A1758" s="19" t="s">
        <v>270</v>
      </c>
      <c r="B1758" s="20">
        <v>45962</v>
      </c>
      <c r="C1758" s="21">
        <v>148</v>
      </c>
      <c r="D1758" s="21">
        <v>133.95416666666665</v>
      </c>
      <c r="E1758" s="21"/>
      <c r="F1758" s="27">
        <f t="shared" si="81"/>
        <v>0.90509572072072064</v>
      </c>
      <c r="G1758" s="21" t="str">
        <f>IFERROR(INDEX(Users!$A$2:$A$310,MATCH(A1758,Users!$B$2:$B$310,0)),"")</f>
        <v>Service C</v>
      </c>
      <c r="H1758" s="21" t="str">
        <f>IFERROR(INDEX(Users!$D$2:$D$310,MATCH(A1758,Users!$B$2:$B$310,0)),"")</f>
        <v>Band 4</v>
      </c>
      <c r="I1758" s="19" t="b">
        <f t="shared" si="82"/>
        <v>0</v>
      </c>
      <c r="J1758" s="33" t="str">
        <f t="shared" si="83"/>
        <v/>
      </c>
    </row>
    <row r="1759" spans="1:10">
      <c r="A1759" s="19" t="s">
        <v>270</v>
      </c>
      <c r="B1759" s="20">
        <v>45992</v>
      </c>
      <c r="C1759" s="21">
        <v>155.4</v>
      </c>
      <c r="D1759" s="21">
        <v>54.5</v>
      </c>
      <c r="E1759" s="21"/>
      <c r="F1759" s="27">
        <f t="shared" si="81"/>
        <v>0.35070785070785071</v>
      </c>
      <c r="G1759" s="21" t="str">
        <f>IFERROR(INDEX(Users!$A$2:$A$310,MATCH(A1759,Users!$B$2:$B$310,0)),"")</f>
        <v>Service C</v>
      </c>
      <c r="H1759" s="21" t="str">
        <f>IFERROR(INDEX(Users!$D$2:$D$310,MATCH(A1759,Users!$B$2:$B$310,0)),"")</f>
        <v>Band 4</v>
      </c>
      <c r="I1759" s="19" t="b">
        <f t="shared" si="82"/>
        <v>0</v>
      </c>
      <c r="J1759" s="33" t="str">
        <f t="shared" si="83"/>
        <v/>
      </c>
    </row>
    <row r="1760" spans="1:10">
      <c r="A1760" s="19" t="s">
        <v>270</v>
      </c>
      <c r="B1760" s="20">
        <v>46023</v>
      </c>
      <c r="C1760" s="21">
        <v>155.4</v>
      </c>
      <c r="D1760" s="21">
        <v>120</v>
      </c>
      <c r="E1760" s="21"/>
      <c r="F1760" s="27">
        <f t="shared" si="81"/>
        <v>0.77220077220077221</v>
      </c>
      <c r="G1760" s="21" t="str">
        <f>IFERROR(INDEX(Users!$A$2:$A$310,MATCH(A1760,Users!$B$2:$B$310,0)),"")</f>
        <v>Service C</v>
      </c>
      <c r="H1760" s="21" t="str">
        <f>IFERROR(INDEX(Users!$D$2:$D$310,MATCH(A1760,Users!$B$2:$B$310,0)),"")</f>
        <v>Band 4</v>
      </c>
      <c r="I1760" s="19" t="b">
        <f t="shared" si="82"/>
        <v>0</v>
      </c>
      <c r="J1760" s="33" t="str">
        <f t="shared" si="83"/>
        <v/>
      </c>
    </row>
    <row r="1761" spans="1:10">
      <c r="A1761" s="19" t="s">
        <v>271</v>
      </c>
      <c r="B1761" s="20">
        <v>45658</v>
      </c>
      <c r="C1761" s="21">
        <v>162.80000000000001</v>
      </c>
      <c r="D1761" s="21">
        <v>148.05666666666667</v>
      </c>
      <c r="E1761" s="21">
        <v>105.74000000000001</v>
      </c>
      <c r="F1761" s="27">
        <f t="shared" si="81"/>
        <v>0.90943898443898441</v>
      </c>
      <c r="G1761" s="21" t="str">
        <f>IFERROR(INDEX(Users!$A$2:$A$310,MATCH(A1761,Users!$B$2:$B$310,0)),"")</f>
        <v>Service A</v>
      </c>
      <c r="H1761" s="21" t="str">
        <f>IFERROR(INDEX(Users!$D$2:$D$310,MATCH(A1761,Users!$B$2:$B$310,0)),"")</f>
        <v>Band 3</v>
      </c>
      <c r="I1761" s="19" t="b">
        <f t="shared" si="82"/>
        <v>1</v>
      </c>
      <c r="J1761" s="33" t="str">
        <f t="shared" si="83"/>
        <v/>
      </c>
    </row>
    <row r="1762" spans="1:10">
      <c r="A1762" s="19" t="s">
        <v>271</v>
      </c>
      <c r="B1762" s="20">
        <v>45689</v>
      </c>
      <c r="C1762" s="21">
        <v>148</v>
      </c>
      <c r="D1762" s="21">
        <v>128.58333333333334</v>
      </c>
      <c r="E1762" s="21">
        <v>89.5</v>
      </c>
      <c r="F1762" s="27">
        <f t="shared" si="81"/>
        <v>0.8688063063063064</v>
      </c>
      <c r="G1762" s="21" t="str">
        <f>IFERROR(INDEX(Users!$A$2:$A$310,MATCH(A1762,Users!$B$2:$B$310,0)),"")</f>
        <v>Service A</v>
      </c>
      <c r="H1762" s="21" t="str">
        <f>IFERROR(INDEX(Users!$D$2:$D$310,MATCH(A1762,Users!$B$2:$B$310,0)),"")</f>
        <v>Band 3</v>
      </c>
      <c r="I1762" s="19" t="b">
        <f t="shared" si="82"/>
        <v>1</v>
      </c>
      <c r="J1762" s="33" t="str">
        <f t="shared" si="83"/>
        <v/>
      </c>
    </row>
    <row r="1763" spans="1:10">
      <c r="A1763" s="19" t="s">
        <v>271</v>
      </c>
      <c r="B1763" s="20">
        <v>45717</v>
      </c>
      <c r="C1763" s="21">
        <v>155.4</v>
      </c>
      <c r="D1763" s="21">
        <v>144.25333333333333</v>
      </c>
      <c r="E1763" s="21">
        <v>104.42</v>
      </c>
      <c r="F1763" s="27">
        <f t="shared" si="81"/>
        <v>0.92827112827112823</v>
      </c>
      <c r="G1763" s="21" t="str">
        <f>IFERROR(INDEX(Users!$A$2:$A$310,MATCH(A1763,Users!$B$2:$B$310,0)),"")</f>
        <v>Service A</v>
      </c>
      <c r="H1763" s="21" t="str">
        <f>IFERROR(INDEX(Users!$D$2:$D$310,MATCH(A1763,Users!$B$2:$B$310,0)),"")</f>
        <v>Band 3</v>
      </c>
      <c r="I1763" s="19" t="b">
        <f t="shared" si="82"/>
        <v>1</v>
      </c>
      <c r="J1763" s="33" t="str">
        <f t="shared" si="83"/>
        <v/>
      </c>
    </row>
    <row r="1764" spans="1:10">
      <c r="A1764" s="19" t="s">
        <v>271</v>
      </c>
      <c r="B1764" s="20">
        <v>45748</v>
      </c>
      <c r="C1764" s="21">
        <v>148</v>
      </c>
      <c r="D1764" s="21">
        <v>112.22</v>
      </c>
      <c r="E1764" s="21">
        <v>85.97</v>
      </c>
      <c r="F1764" s="27">
        <f t="shared" si="81"/>
        <v>0.75824324324324321</v>
      </c>
      <c r="G1764" s="21" t="str">
        <f>IFERROR(INDEX(Users!$A$2:$A$310,MATCH(A1764,Users!$B$2:$B$310,0)),"")</f>
        <v>Service A</v>
      </c>
      <c r="H1764" s="21" t="str">
        <f>IFERROR(INDEX(Users!$D$2:$D$310,MATCH(A1764,Users!$B$2:$B$310,0)),"")</f>
        <v>Band 3</v>
      </c>
      <c r="I1764" s="19" t="b">
        <f t="shared" si="82"/>
        <v>1</v>
      </c>
      <c r="J1764" s="33" t="str">
        <f t="shared" si="83"/>
        <v/>
      </c>
    </row>
    <row r="1765" spans="1:10">
      <c r="A1765" s="19" t="s">
        <v>271</v>
      </c>
      <c r="B1765" s="20">
        <v>45778</v>
      </c>
      <c r="C1765" s="21">
        <v>148</v>
      </c>
      <c r="D1765" s="21">
        <v>67.99666666666667</v>
      </c>
      <c r="E1765" s="21">
        <v>43.83</v>
      </c>
      <c r="F1765" s="27">
        <f t="shared" si="81"/>
        <v>0.45943693693693693</v>
      </c>
      <c r="G1765" s="21" t="str">
        <f>IFERROR(INDEX(Users!$A$2:$A$310,MATCH(A1765,Users!$B$2:$B$310,0)),"")</f>
        <v>Service A</v>
      </c>
      <c r="H1765" s="21" t="str">
        <f>IFERROR(INDEX(Users!$D$2:$D$310,MATCH(A1765,Users!$B$2:$B$310,0)),"")</f>
        <v>Band 3</v>
      </c>
      <c r="I1765" s="19" t="b">
        <f t="shared" si="82"/>
        <v>1</v>
      </c>
      <c r="J1765" s="33" t="str">
        <f t="shared" si="83"/>
        <v/>
      </c>
    </row>
    <row r="1766" spans="1:10">
      <c r="A1766" s="19" t="s">
        <v>271</v>
      </c>
      <c r="B1766" s="20">
        <v>45809</v>
      </c>
      <c r="C1766" s="21">
        <v>155.4</v>
      </c>
      <c r="D1766" s="21">
        <v>148.91666666666666</v>
      </c>
      <c r="E1766" s="21">
        <v>99</v>
      </c>
      <c r="F1766" s="27">
        <f t="shared" si="81"/>
        <v>0.95827970827970821</v>
      </c>
      <c r="G1766" s="21" t="str">
        <f>IFERROR(INDEX(Users!$A$2:$A$310,MATCH(A1766,Users!$B$2:$B$310,0)),"")</f>
        <v>Service A</v>
      </c>
      <c r="H1766" s="21" t="str">
        <f>IFERROR(INDEX(Users!$D$2:$D$310,MATCH(A1766,Users!$B$2:$B$310,0)),"")</f>
        <v>Band 3</v>
      </c>
      <c r="I1766" s="19" t="b">
        <f t="shared" si="82"/>
        <v>1</v>
      </c>
      <c r="J1766" s="33" t="str">
        <f t="shared" si="83"/>
        <v/>
      </c>
    </row>
    <row r="1767" spans="1:10">
      <c r="A1767" s="19" t="s">
        <v>271</v>
      </c>
      <c r="B1767" s="20">
        <v>45839</v>
      </c>
      <c r="C1767" s="21">
        <v>29.6</v>
      </c>
      <c r="D1767" s="21"/>
      <c r="E1767" s="21"/>
      <c r="F1767" s="27" t="str">
        <f t="shared" si="81"/>
        <v/>
      </c>
      <c r="G1767" s="21" t="str">
        <f>IFERROR(INDEX(Users!$A$2:$A$310,MATCH(A1767,Users!$B$2:$B$310,0)),"")</f>
        <v>Service A</v>
      </c>
      <c r="H1767" s="21" t="str">
        <f>IFERROR(INDEX(Users!$D$2:$D$310,MATCH(A1767,Users!$B$2:$B$310,0)),"")</f>
        <v>Band 3</v>
      </c>
      <c r="I1767" s="19" t="b">
        <f t="shared" si="82"/>
        <v>1</v>
      </c>
      <c r="J1767" s="33" t="str">
        <f t="shared" si="83"/>
        <v/>
      </c>
    </row>
    <row r="1768" spans="1:10">
      <c r="A1768" s="19" t="s">
        <v>272</v>
      </c>
      <c r="B1768" s="20">
        <v>45658</v>
      </c>
      <c r="C1768" s="21">
        <v>162.80000000000001</v>
      </c>
      <c r="D1768" s="21">
        <v>131.20361111111112</v>
      </c>
      <c r="E1768" s="21">
        <v>42.510000000000005</v>
      </c>
      <c r="F1768" s="27">
        <f t="shared" si="81"/>
        <v>0.80591898716898713</v>
      </c>
      <c r="G1768" s="21" t="str">
        <f>IFERROR(INDEX(Users!$A$2:$A$310,MATCH(A1768,Users!$B$2:$B$310,0)),"")</f>
        <v>Service A</v>
      </c>
      <c r="H1768" s="21" t="str">
        <f>IFERROR(INDEX(Users!$D$2:$D$310,MATCH(A1768,Users!$B$2:$B$310,0)),"")</f>
        <v>Band 5</v>
      </c>
      <c r="I1768" s="19" t="b">
        <f t="shared" si="82"/>
        <v>0</v>
      </c>
      <c r="J1768" s="33" t="str">
        <f t="shared" si="83"/>
        <v/>
      </c>
    </row>
    <row r="1769" spans="1:10">
      <c r="A1769" s="19" t="s">
        <v>272</v>
      </c>
      <c r="B1769" s="20">
        <v>45689</v>
      </c>
      <c r="C1769" s="21">
        <v>148</v>
      </c>
      <c r="D1769" s="21">
        <v>113.09416666666667</v>
      </c>
      <c r="E1769" s="21">
        <v>47.99</v>
      </c>
      <c r="F1769" s="27">
        <f t="shared" si="81"/>
        <v>0.76414977477477475</v>
      </c>
      <c r="G1769" s="21" t="str">
        <f>IFERROR(INDEX(Users!$A$2:$A$310,MATCH(A1769,Users!$B$2:$B$310,0)),"")</f>
        <v>Service A</v>
      </c>
      <c r="H1769" s="21" t="str">
        <f>IFERROR(INDEX(Users!$D$2:$D$310,MATCH(A1769,Users!$B$2:$B$310,0)),"")</f>
        <v>Band 5</v>
      </c>
      <c r="I1769" s="19" t="b">
        <f t="shared" si="82"/>
        <v>0</v>
      </c>
      <c r="J1769" s="33" t="str">
        <f t="shared" si="83"/>
        <v/>
      </c>
    </row>
    <row r="1770" spans="1:10">
      <c r="A1770" s="19" t="s">
        <v>272</v>
      </c>
      <c r="B1770" s="20">
        <v>45717</v>
      </c>
      <c r="C1770" s="21">
        <v>155.4</v>
      </c>
      <c r="D1770" s="21">
        <v>144.28666666666669</v>
      </c>
      <c r="E1770" s="21">
        <v>69.510000000000005</v>
      </c>
      <c r="F1770" s="27">
        <f t="shared" si="81"/>
        <v>0.92848562848562866</v>
      </c>
      <c r="G1770" s="21" t="str">
        <f>IFERROR(INDEX(Users!$A$2:$A$310,MATCH(A1770,Users!$B$2:$B$310,0)),"")</f>
        <v>Service A</v>
      </c>
      <c r="H1770" s="21" t="str">
        <f>IFERROR(INDEX(Users!$D$2:$D$310,MATCH(A1770,Users!$B$2:$B$310,0)),"")</f>
        <v>Band 5</v>
      </c>
      <c r="I1770" s="19" t="b">
        <f t="shared" si="82"/>
        <v>0</v>
      </c>
      <c r="J1770" s="33" t="str">
        <f t="shared" si="83"/>
        <v/>
      </c>
    </row>
    <row r="1771" spans="1:10">
      <c r="A1771" s="19" t="s">
        <v>272</v>
      </c>
      <c r="B1771" s="20">
        <v>45748</v>
      </c>
      <c r="C1771" s="21">
        <v>148</v>
      </c>
      <c r="D1771" s="21">
        <v>140.91611111111109</v>
      </c>
      <c r="E1771" s="21">
        <v>78.23</v>
      </c>
      <c r="F1771" s="27">
        <f t="shared" si="81"/>
        <v>0.95213588588588571</v>
      </c>
      <c r="G1771" s="21" t="str">
        <f>IFERROR(INDEX(Users!$A$2:$A$310,MATCH(A1771,Users!$B$2:$B$310,0)),"")</f>
        <v>Service A</v>
      </c>
      <c r="H1771" s="21" t="str">
        <f>IFERROR(INDEX(Users!$D$2:$D$310,MATCH(A1771,Users!$B$2:$B$310,0)),"")</f>
        <v>Band 5</v>
      </c>
      <c r="I1771" s="19" t="b">
        <f t="shared" si="82"/>
        <v>0</v>
      </c>
      <c r="J1771" s="33" t="str">
        <f t="shared" si="83"/>
        <v/>
      </c>
    </row>
    <row r="1772" spans="1:10">
      <c r="A1772" s="19" t="s">
        <v>272</v>
      </c>
      <c r="B1772" s="20">
        <v>45778</v>
      </c>
      <c r="C1772" s="21">
        <v>148</v>
      </c>
      <c r="D1772" s="21">
        <v>150.9986111111111</v>
      </c>
      <c r="E1772" s="21">
        <v>98.81</v>
      </c>
      <c r="F1772" s="27">
        <f t="shared" si="81"/>
        <v>1.0202608858858859</v>
      </c>
      <c r="G1772" s="21" t="str">
        <f>IFERROR(INDEX(Users!$A$2:$A$310,MATCH(A1772,Users!$B$2:$B$310,0)),"")</f>
        <v>Service A</v>
      </c>
      <c r="H1772" s="21" t="str">
        <f>IFERROR(INDEX(Users!$D$2:$D$310,MATCH(A1772,Users!$B$2:$B$310,0)),"")</f>
        <v>Band 5</v>
      </c>
      <c r="I1772" s="19" t="b">
        <f t="shared" si="82"/>
        <v>0</v>
      </c>
      <c r="J1772" s="33" t="str">
        <f t="shared" si="83"/>
        <v/>
      </c>
    </row>
    <row r="1773" spans="1:10">
      <c r="A1773" s="19" t="s">
        <v>272</v>
      </c>
      <c r="B1773" s="20">
        <v>45809</v>
      </c>
      <c r="C1773" s="21">
        <v>155.4</v>
      </c>
      <c r="D1773" s="21">
        <v>120.14888888888889</v>
      </c>
      <c r="E1773" s="21">
        <v>71.48</v>
      </c>
      <c r="F1773" s="27">
        <f t="shared" si="81"/>
        <v>0.77315887315887311</v>
      </c>
      <c r="G1773" s="21" t="str">
        <f>IFERROR(INDEX(Users!$A$2:$A$310,MATCH(A1773,Users!$B$2:$B$310,0)),"")</f>
        <v>Service A</v>
      </c>
      <c r="H1773" s="21" t="str">
        <f>IFERROR(INDEX(Users!$D$2:$D$310,MATCH(A1773,Users!$B$2:$B$310,0)),"")</f>
        <v>Band 5</v>
      </c>
      <c r="I1773" s="19" t="b">
        <f t="shared" si="82"/>
        <v>0</v>
      </c>
      <c r="J1773" s="33" t="str">
        <f t="shared" si="83"/>
        <v/>
      </c>
    </row>
    <row r="1774" spans="1:10">
      <c r="A1774" s="19" t="s">
        <v>272</v>
      </c>
      <c r="B1774" s="20">
        <v>45839</v>
      </c>
      <c r="C1774" s="21">
        <v>170.20000000000002</v>
      </c>
      <c r="D1774" s="21">
        <v>162.06472222222223</v>
      </c>
      <c r="E1774" s="21">
        <v>108.13000000000001</v>
      </c>
      <c r="F1774" s="27">
        <f t="shared" si="81"/>
        <v>0.95220165817991897</v>
      </c>
      <c r="G1774" s="21" t="str">
        <f>IFERROR(INDEX(Users!$A$2:$A$310,MATCH(A1774,Users!$B$2:$B$310,0)),"")</f>
        <v>Service A</v>
      </c>
      <c r="H1774" s="21" t="str">
        <f>IFERROR(INDEX(Users!$D$2:$D$310,MATCH(A1774,Users!$B$2:$B$310,0)),"")</f>
        <v>Band 5</v>
      </c>
      <c r="I1774" s="19" t="b">
        <f t="shared" si="82"/>
        <v>0</v>
      </c>
      <c r="J1774" s="33" t="str">
        <f t="shared" si="83"/>
        <v/>
      </c>
    </row>
    <row r="1775" spans="1:10">
      <c r="A1775" s="19" t="s">
        <v>272</v>
      </c>
      <c r="B1775" s="20">
        <v>45870</v>
      </c>
      <c r="C1775" s="21">
        <v>148</v>
      </c>
      <c r="D1775" s="21">
        <v>150.17472222222221</v>
      </c>
      <c r="E1775" s="21">
        <v>109.99</v>
      </c>
      <c r="F1775" s="27">
        <f t="shared" si="81"/>
        <v>1.0146940690690691</v>
      </c>
      <c r="G1775" s="21" t="str">
        <f>IFERROR(INDEX(Users!$A$2:$A$310,MATCH(A1775,Users!$B$2:$B$310,0)),"")</f>
        <v>Service A</v>
      </c>
      <c r="H1775" s="21" t="str">
        <f>IFERROR(INDEX(Users!$D$2:$D$310,MATCH(A1775,Users!$B$2:$B$310,0)),"")</f>
        <v>Band 5</v>
      </c>
      <c r="I1775" s="19" t="b">
        <f t="shared" si="82"/>
        <v>0</v>
      </c>
      <c r="J1775" s="33" t="str">
        <f t="shared" si="83"/>
        <v/>
      </c>
    </row>
    <row r="1776" spans="1:10">
      <c r="A1776" s="19" t="s">
        <v>272</v>
      </c>
      <c r="B1776" s="20">
        <v>45901</v>
      </c>
      <c r="C1776" s="21">
        <v>162.80000000000001</v>
      </c>
      <c r="D1776" s="21">
        <v>140.50305555555553</v>
      </c>
      <c r="E1776" s="21">
        <v>105.89999999999999</v>
      </c>
      <c r="F1776" s="27">
        <f t="shared" si="81"/>
        <v>0.86304088179088156</v>
      </c>
      <c r="G1776" s="21" t="str">
        <f>IFERROR(INDEX(Users!$A$2:$A$310,MATCH(A1776,Users!$B$2:$B$310,0)),"")</f>
        <v>Service A</v>
      </c>
      <c r="H1776" s="21" t="str">
        <f>IFERROR(INDEX(Users!$D$2:$D$310,MATCH(A1776,Users!$B$2:$B$310,0)),"")</f>
        <v>Band 5</v>
      </c>
      <c r="I1776" s="19" t="b">
        <f t="shared" si="82"/>
        <v>0</v>
      </c>
      <c r="J1776" s="33" t="str">
        <f t="shared" si="83"/>
        <v/>
      </c>
    </row>
    <row r="1777" spans="1:10">
      <c r="A1777" s="19" t="s">
        <v>272</v>
      </c>
      <c r="B1777" s="20">
        <v>45931</v>
      </c>
      <c r="C1777" s="21">
        <v>170.20000000000002</v>
      </c>
      <c r="D1777" s="21">
        <v>134.20277777777778</v>
      </c>
      <c r="E1777" s="21">
        <v>115.1</v>
      </c>
      <c r="F1777" s="27">
        <f t="shared" si="81"/>
        <v>0.78850045697871785</v>
      </c>
      <c r="G1777" s="21" t="str">
        <f>IFERROR(INDEX(Users!$A$2:$A$310,MATCH(A1777,Users!$B$2:$B$310,0)),"")</f>
        <v>Service A</v>
      </c>
      <c r="H1777" s="21" t="str">
        <f>IFERROR(INDEX(Users!$D$2:$D$310,MATCH(A1777,Users!$B$2:$B$310,0)),"")</f>
        <v>Band 5</v>
      </c>
      <c r="I1777" s="19" t="b">
        <f t="shared" si="82"/>
        <v>0</v>
      </c>
      <c r="J1777" s="33" t="str">
        <f t="shared" si="83"/>
        <v/>
      </c>
    </row>
    <row r="1778" spans="1:10">
      <c r="A1778" s="19" t="s">
        <v>272</v>
      </c>
      <c r="B1778" s="20">
        <v>45962</v>
      </c>
      <c r="C1778" s="21">
        <v>148</v>
      </c>
      <c r="D1778" s="21">
        <v>146.49222222222221</v>
      </c>
      <c r="E1778" s="21">
        <v>123.14</v>
      </c>
      <c r="F1778" s="27">
        <f t="shared" si="81"/>
        <v>0.98981231231231226</v>
      </c>
      <c r="G1778" s="21" t="str">
        <f>IFERROR(INDEX(Users!$A$2:$A$310,MATCH(A1778,Users!$B$2:$B$310,0)),"")</f>
        <v>Service A</v>
      </c>
      <c r="H1778" s="21" t="str">
        <f>IFERROR(INDEX(Users!$D$2:$D$310,MATCH(A1778,Users!$B$2:$B$310,0)),"")</f>
        <v>Band 5</v>
      </c>
      <c r="I1778" s="19" t="b">
        <f t="shared" si="82"/>
        <v>0</v>
      </c>
      <c r="J1778" s="33" t="str">
        <f t="shared" si="83"/>
        <v/>
      </c>
    </row>
    <row r="1779" spans="1:10">
      <c r="A1779" s="19" t="s">
        <v>272</v>
      </c>
      <c r="B1779" s="20">
        <v>45992</v>
      </c>
      <c r="C1779" s="21">
        <v>155.4</v>
      </c>
      <c r="D1779" s="21">
        <v>89.827500000000001</v>
      </c>
      <c r="E1779" s="21">
        <v>76.150000000000006</v>
      </c>
      <c r="F1779" s="27">
        <f t="shared" si="81"/>
        <v>0.57804054054054055</v>
      </c>
      <c r="G1779" s="21" t="str">
        <f>IFERROR(INDEX(Users!$A$2:$A$310,MATCH(A1779,Users!$B$2:$B$310,0)),"")</f>
        <v>Service A</v>
      </c>
      <c r="H1779" s="21" t="str">
        <f>IFERROR(INDEX(Users!$D$2:$D$310,MATCH(A1779,Users!$B$2:$B$310,0)),"")</f>
        <v>Band 5</v>
      </c>
      <c r="I1779" s="19" t="b">
        <f t="shared" si="82"/>
        <v>0</v>
      </c>
      <c r="J1779" s="33" t="str">
        <f t="shared" si="83"/>
        <v/>
      </c>
    </row>
    <row r="1780" spans="1:10">
      <c r="A1780" s="19" t="s">
        <v>272</v>
      </c>
      <c r="B1780" s="20">
        <v>46023</v>
      </c>
      <c r="C1780" s="21">
        <v>155.4</v>
      </c>
      <c r="D1780" s="21">
        <v>143.85249999999999</v>
      </c>
      <c r="E1780" s="21">
        <v>113.25</v>
      </c>
      <c r="F1780" s="27">
        <f t="shared" si="81"/>
        <v>0.92569176319176316</v>
      </c>
      <c r="G1780" s="21" t="str">
        <f>IFERROR(INDEX(Users!$A$2:$A$310,MATCH(A1780,Users!$B$2:$B$310,0)),"")</f>
        <v>Service A</v>
      </c>
      <c r="H1780" s="21" t="str">
        <f>IFERROR(INDEX(Users!$D$2:$D$310,MATCH(A1780,Users!$B$2:$B$310,0)),"")</f>
        <v>Band 5</v>
      </c>
      <c r="I1780" s="19" t="b">
        <f t="shared" si="82"/>
        <v>0</v>
      </c>
      <c r="J1780" s="33" t="str">
        <f t="shared" si="83"/>
        <v/>
      </c>
    </row>
    <row r="1781" spans="1:10">
      <c r="A1781" s="19" t="s">
        <v>273</v>
      </c>
      <c r="B1781" s="20">
        <v>45658</v>
      </c>
      <c r="C1781" s="21">
        <v>162.80000000000001</v>
      </c>
      <c r="D1781" s="21">
        <v>166.25333333333333</v>
      </c>
      <c r="E1781" s="21">
        <v>101.16999999999999</v>
      </c>
      <c r="F1781" s="27">
        <f t="shared" si="81"/>
        <v>1.021212121212121</v>
      </c>
      <c r="G1781" s="21" t="str">
        <f>IFERROR(INDEX(Users!$A$2:$A$310,MATCH(A1781,Users!$B$2:$B$310,0)),"")</f>
        <v>Service A</v>
      </c>
      <c r="H1781" s="21" t="str">
        <f>IFERROR(INDEX(Users!$D$2:$D$310,MATCH(A1781,Users!$B$2:$B$310,0)),"")</f>
        <v>Band 3</v>
      </c>
      <c r="I1781" s="19" t="b">
        <f t="shared" si="82"/>
        <v>1</v>
      </c>
      <c r="J1781" s="33" t="str">
        <f t="shared" si="83"/>
        <v/>
      </c>
    </row>
    <row r="1782" spans="1:10">
      <c r="A1782" s="19" t="s">
        <v>273</v>
      </c>
      <c r="B1782" s="20">
        <v>45689</v>
      </c>
      <c r="C1782" s="21">
        <v>148</v>
      </c>
      <c r="D1782" s="21">
        <v>155.13666666666666</v>
      </c>
      <c r="E1782" s="21">
        <v>91.67</v>
      </c>
      <c r="F1782" s="27">
        <f t="shared" si="81"/>
        <v>1.0482207207207206</v>
      </c>
      <c r="G1782" s="21" t="str">
        <f>IFERROR(INDEX(Users!$A$2:$A$310,MATCH(A1782,Users!$B$2:$B$310,0)),"")</f>
        <v>Service A</v>
      </c>
      <c r="H1782" s="21" t="str">
        <f>IFERROR(INDEX(Users!$D$2:$D$310,MATCH(A1782,Users!$B$2:$B$310,0)),"")</f>
        <v>Band 3</v>
      </c>
      <c r="I1782" s="19" t="b">
        <f t="shared" si="82"/>
        <v>1</v>
      </c>
      <c r="J1782" s="33" t="str">
        <f t="shared" si="83"/>
        <v/>
      </c>
    </row>
    <row r="1783" spans="1:10">
      <c r="A1783" s="19" t="s">
        <v>273</v>
      </c>
      <c r="B1783" s="20">
        <v>45717</v>
      </c>
      <c r="C1783" s="21">
        <v>155.4</v>
      </c>
      <c r="D1783" s="21">
        <v>117.93666666666667</v>
      </c>
      <c r="E1783" s="21">
        <v>78.319999999999993</v>
      </c>
      <c r="F1783" s="27">
        <f t="shared" si="81"/>
        <v>0.75892320892320886</v>
      </c>
      <c r="G1783" s="21" t="str">
        <f>IFERROR(INDEX(Users!$A$2:$A$310,MATCH(A1783,Users!$B$2:$B$310,0)),"")</f>
        <v>Service A</v>
      </c>
      <c r="H1783" s="21" t="str">
        <f>IFERROR(INDEX(Users!$D$2:$D$310,MATCH(A1783,Users!$B$2:$B$310,0)),"")</f>
        <v>Band 3</v>
      </c>
      <c r="I1783" s="19" t="b">
        <f t="shared" si="82"/>
        <v>1</v>
      </c>
      <c r="J1783" s="33" t="str">
        <f t="shared" si="83"/>
        <v/>
      </c>
    </row>
    <row r="1784" spans="1:10">
      <c r="A1784" s="19" t="s">
        <v>273</v>
      </c>
      <c r="B1784" s="20">
        <v>45748</v>
      </c>
      <c r="C1784" s="21">
        <v>148</v>
      </c>
      <c r="D1784" s="21">
        <v>105.82</v>
      </c>
      <c r="E1784" s="21">
        <v>60.77</v>
      </c>
      <c r="F1784" s="27">
        <f t="shared" si="81"/>
        <v>0.71499999999999997</v>
      </c>
      <c r="G1784" s="21" t="str">
        <f>IFERROR(INDEX(Users!$A$2:$A$310,MATCH(A1784,Users!$B$2:$B$310,0)),"")</f>
        <v>Service A</v>
      </c>
      <c r="H1784" s="21" t="str">
        <f>IFERROR(INDEX(Users!$D$2:$D$310,MATCH(A1784,Users!$B$2:$B$310,0)),"")</f>
        <v>Band 3</v>
      </c>
      <c r="I1784" s="19" t="b">
        <f t="shared" si="82"/>
        <v>1</v>
      </c>
      <c r="J1784" s="33" t="str">
        <f t="shared" si="83"/>
        <v/>
      </c>
    </row>
    <row r="1785" spans="1:10">
      <c r="A1785" s="19" t="s">
        <v>273</v>
      </c>
      <c r="B1785" s="20">
        <v>45778</v>
      </c>
      <c r="C1785" s="21">
        <v>148</v>
      </c>
      <c r="D1785" s="21">
        <v>142.88666666666666</v>
      </c>
      <c r="E1785" s="21">
        <v>108.67</v>
      </c>
      <c r="F1785" s="27">
        <f t="shared" si="81"/>
        <v>0.96545045045045041</v>
      </c>
      <c r="G1785" s="21" t="str">
        <f>IFERROR(INDEX(Users!$A$2:$A$310,MATCH(A1785,Users!$B$2:$B$310,0)),"")</f>
        <v>Service A</v>
      </c>
      <c r="H1785" s="21" t="str">
        <f>IFERROR(INDEX(Users!$D$2:$D$310,MATCH(A1785,Users!$B$2:$B$310,0)),"")</f>
        <v>Band 3</v>
      </c>
      <c r="I1785" s="19" t="b">
        <f t="shared" si="82"/>
        <v>1</v>
      </c>
      <c r="J1785" s="33" t="str">
        <f t="shared" si="83"/>
        <v/>
      </c>
    </row>
    <row r="1786" spans="1:10">
      <c r="A1786" s="19" t="s">
        <v>273</v>
      </c>
      <c r="B1786" s="20">
        <v>45809</v>
      </c>
      <c r="C1786" s="21">
        <v>155.4</v>
      </c>
      <c r="D1786" s="21">
        <v>134.33666666666667</v>
      </c>
      <c r="E1786" s="21">
        <v>77.92</v>
      </c>
      <c r="F1786" s="27">
        <f t="shared" si="81"/>
        <v>0.86445731445731444</v>
      </c>
      <c r="G1786" s="21" t="str">
        <f>IFERROR(INDEX(Users!$A$2:$A$310,MATCH(A1786,Users!$B$2:$B$310,0)),"")</f>
        <v>Service A</v>
      </c>
      <c r="H1786" s="21" t="str">
        <f>IFERROR(INDEX(Users!$D$2:$D$310,MATCH(A1786,Users!$B$2:$B$310,0)),"")</f>
        <v>Band 3</v>
      </c>
      <c r="I1786" s="19" t="b">
        <f t="shared" si="82"/>
        <v>1</v>
      </c>
      <c r="J1786" s="33" t="str">
        <f t="shared" si="83"/>
        <v/>
      </c>
    </row>
    <row r="1787" spans="1:10">
      <c r="A1787" s="19" t="s">
        <v>273</v>
      </c>
      <c r="B1787" s="20">
        <v>45839</v>
      </c>
      <c r="C1787" s="21">
        <v>170.20000000000002</v>
      </c>
      <c r="D1787" s="21">
        <v>104.08666666666667</v>
      </c>
      <c r="E1787" s="21">
        <v>73.17</v>
      </c>
      <c r="F1787" s="27">
        <f t="shared" si="81"/>
        <v>0.61155503329416372</v>
      </c>
      <c r="G1787" s="21" t="str">
        <f>IFERROR(INDEX(Users!$A$2:$A$310,MATCH(A1787,Users!$B$2:$B$310,0)),"")</f>
        <v>Service A</v>
      </c>
      <c r="H1787" s="21" t="str">
        <f>IFERROR(INDEX(Users!$D$2:$D$310,MATCH(A1787,Users!$B$2:$B$310,0)),"")</f>
        <v>Band 3</v>
      </c>
      <c r="I1787" s="19" t="b">
        <f t="shared" si="82"/>
        <v>1</v>
      </c>
      <c r="J1787" s="33" t="str">
        <f t="shared" si="83"/>
        <v/>
      </c>
    </row>
    <row r="1788" spans="1:10">
      <c r="A1788" s="19" t="s">
        <v>273</v>
      </c>
      <c r="B1788" s="20">
        <v>45870</v>
      </c>
      <c r="C1788" s="21">
        <v>148</v>
      </c>
      <c r="D1788" s="21">
        <v>78.336666666666673</v>
      </c>
      <c r="E1788" s="21">
        <v>56.17</v>
      </c>
      <c r="F1788" s="27">
        <f t="shared" si="81"/>
        <v>0.52930180180180186</v>
      </c>
      <c r="G1788" s="21" t="str">
        <f>IFERROR(INDEX(Users!$A$2:$A$310,MATCH(A1788,Users!$B$2:$B$310,0)),"")</f>
        <v>Service A</v>
      </c>
      <c r="H1788" s="21" t="str">
        <f>IFERROR(INDEX(Users!$D$2:$D$310,MATCH(A1788,Users!$B$2:$B$310,0)),"")</f>
        <v>Band 3</v>
      </c>
      <c r="I1788" s="19" t="b">
        <f t="shared" si="82"/>
        <v>1</v>
      </c>
      <c r="J1788" s="33" t="str">
        <f t="shared" si="83"/>
        <v/>
      </c>
    </row>
    <row r="1789" spans="1:10">
      <c r="A1789" s="19" t="s">
        <v>273</v>
      </c>
      <c r="B1789" s="20">
        <v>45901</v>
      </c>
      <c r="C1789" s="21">
        <v>162.80000000000001</v>
      </c>
      <c r="D1789" s="21">
        <v>110.41</v>
      </c>
      <c r="E1789" s="21">
        <v>81.91</v>
      </c>
      <c r="F1789" s="27">
        <f t="shared" si="81"/>
        <v>0.67819410319410312</v>
      </c>
      <c r="G1789" s="21" t="str">
        <f>IFERROR(INDEX(Users!$A$2:$A$310,MATCH(A1789,Users!$B$2:$B$310,0)),"")</f>
        <v>Service A</v>
      </c>
      <c r="H1789" s="21" t="str">
        <f>IFERROR(INDEX(Users!$D$2:$D$310,MATCH(A1789,Users!$B$2:$B$310,0)),"")</f>
        <v>Band 3</v>
      </c>
      <c r="I1789" s="19" t="b">
        <f t="shared" si="82"/>
        <v>1</v>
      </c>
      <c r="J1789" s="33" t="str">
        <f t="shared" si="83"/>
        <v/>
      </c>
    </row>
    <row r="1790" spans="1:10">
      <c r="A1790" s="19" t="s">
        <v>273</v>
      </c>
      <c r="B1790" s="20">
        <v>45931</v>
      </c>
      <c r="C1790" s="21">
        <v>170.20000000000002</v>
      </c>
      <c r="D1790" s="21">
        <v>160.74333333333331</v>
      </c>
      <c r="E1790" s="21">
        <v>113.16</v>
      </c>
      <c r="F1790" s="27">
        <f t="shared" si="81"/>
        <v>0.94443791617704642</v>
      </c>
      <c r="G1790" s="21" t="str">
        <f>IFERROR(INDEX(Users!$A$2:$A$310,MATCH(A1790,Users!$B$2:$B$310,0)),"")</f>
        <v>Service A</v>
      </c>
      <c r="H1790" s="21" t="str">
        <f>IFERROR(INDEX(Users!$D$2:$D$310,MATCH(A1790,Users!$B$2:$B$310,0)),"")</f>
        <v>Band 3</v>
      </c>
      <c r="I1790" s="19" t="b">
        <f t="shared" si="82"/>
        <v>1</v>
      </c>
      <c r="J1790" s="33" t="str">
        <f t="shared" si="83"/>
        <v/>
      </c>
    </row>
    <row r="1791" spans="1:10">
      <c r="A1791" s="19" t="s">
        <v>273</v>
      </c>
      <c r="B1791" s="20">
        <v>45962</v>
      </c>
      <c r="C1791" s="21">
        <v>148</v>
      </c>
      <c r="D1791" s="21">
        <v>108.41666666666666</v>
      </c>
      <c r="E1791" s="21">
        <v>69.5</v>
      </c>
      <c r="F1791" s="27">
        <f t="shared" si="81"/>
        <v>0.73254504504504503</v>
      </c>
      <c r="G1791" s="21" t="str">
        <f>IFERROR(INDEX(Users!$A$2:$A$310,MATCH(A1791,Users!$B$2:$B$310,0)),"")</f>
        <v>Service A</v>
      </c>
      <c r="H1791" s="21" t="str">
        <f>IFERROR(INDEX(Users!$D$2:$D$310,MATCH(A1791,Users!$B$2:$B$310,0)),"")</f>
        <v>Band 3</v>
      </c>
      <c r="I1791" s="19" t="b">
        <f t="shared" si="82"/>
        <v>1</v>
      </c>
      <c r="J1791" s="33" t="str">
        <f t="shared" si="83"/>
        <v/>
      </c>
    </row>
    <row r="1792" spans="1:10">
      <c r="A1792" s="19" t="s">
        <v>273</v>
      </c>
      <c r="B1792" s="20">
        <v>45992</v>
      </c>
      <c r="C1792" s="21">
        <v>155.4</v>
      </c>
      <c r="D1792" s="21">
        <v>97.476666666666659</v>
      </c>
      <c r="E1792" s="21">
        <v>61.41</v>
      </c>
      <c r="F1792" s="27">
        <f t="shared" si="81"/>
        <v>0.62726297726297719</v>
      </c>
      <c r="G1792" s="21" t="str">
        <f>IFERROR(INDEX(Users!$A$2:$A$310,MATCH(A1792,Users!$B$2:$B$310,0)),"")</f>
        <v>Service A</v>
      </c>
      <c r="H1792" s="21" t="str">
        <f>IFERROR(INDEX(Users!$D$2:$D$310,MATCH(A1792,Users!$B$2:$B$310,0)),"")</f>
        <v>Band 3</v>
      </c>
      <c r="I1792" s="19" t="b">
        <f t="shared" si="82"/>
        <v>1</v>
      </c>
      <c r="J1792" s="33" t="str">
        <f t="shared" si="83"/>
        <v/>
      </c>
    </row>
    <row r="1793" spans="1:10">
      <c r="A1793" s="19" t="s">
        <v>273</v>
      </c>
      <c r="B1793" s="20">
        <v>46023</v>
      </c>
      <c r="C1793" s="21">
        <v>155.4</v>
      </c>
      <c r="D1793" s="21">
        <v>145.16333333333333</v>
      </c>
      <c r="E1793" s="21">
        <v>101.58</v>
      </c>
      <c r="F1793" s="27">
        <f t="shared" si="81"/>
        <v>0.93412698412698403</v>
      </c>
      <c r="G1793" s="21" t="str">
        <f>IFERROR(INDEX(Users!$A$2:$A$310,MATCH(A1793,Users!$B$2:$B$310,0)),"")</f>
        <v>Service A</v>
      </c>
      <c r="H1793" s="21" t="str">
        <f>IFERROR(INDEX(Users!$D$2:$D$310,MATCH(A1793,Users!$B$2:$B$310,0)),"")</f>
        <v>Band 3</v>
      </c>
      <c r="I1793" s="19" t="b">
        <f t="shared" si="82"/>
        <v>1</v>
      </c>
      <c r="J1793" s="33" t="str">
        <f t="shared" si="83"/>
        <v/>
      </c>
    </row>
    <row r="1794" spans="1:10">
      <c r="A1794" s="19" t="s">
        <v>274</v>
      </c>
      <c r="B1794" s="20">
        <v>45658</v>
      </c>
      <c r="C1794" s="21">
        <v>162.80000000000001</v>
      </c>
      <c r="D1794" s="21">
        <v>144.99333333333334</v>
      </c>
      <c r="E1794" s="21">
        <v>64.16</v>
      </c>
      <c r="F1794" s="27">
        <f t="shared" ref="F1794:F1857" si="84">IFERROR(IF(OR(C1794="",D1794="",C1794=0),"",D1794/C1794),"")</f>
        <v>0.89062244062244056</v>
      </c>
      <c r="G1794" s="21" t="str">
        <f>IFERROR(INDEX(Users!$A$2:$A$310,MATCH(A1794,Users!$B$2:$B$310,0)),"")</f>
        <v>Service D</v>
      </c>
      <c r="H1794" s="21" t="str">
        <f>IFERROR(INDEX(Users!$D$2:$D$310,MATCH(A1794,Users!$B$2:$B$310,0)),"")</f>
        <v>Band 3</v>
      </c>
      <c r="I1794" s="19" t="b">
        <f t="shared" ref="I1794:I1857" si="85">AND(G1794="Service A",H1794="Band 3")</f>
        <v>0</v>
      </c>
      <c r="J1794" s="33" t="str">
        <f t="shared" ref="J1794:J1857" si="86">IF(AND(B1794&gt;=DATE(2025,1,1),B1794&lt;DATE(2026,1,1),G1794="Service B",OR(H1794="Band 3",H1794="Band 5"),ISNUMBER(F1794)),F1794,"")</f>
        <v/>
      </c>
    </row>
    <row r="1795" spans="1:10">
      <c r="A1795" s="19" t="s">
        <v>274</v>
      </c>
      <c r="B1795" s="20">
        <v>45689</v>
      </c>
      <c r="C1795" s="21">
        <v>148</v>
      </c>
      <c r="D1795" s="21">
        <v>120.42</v>
      </c>
      <c r="E1795" s="21">
        <v>59.92</v>
      </c>
      <c r="F1795" s="27">
        <f t="shared" si="84"/>
        <v>0.81364864864864861</v>
      </c>
      <c r="G1795" s="21" t="str">
        <f>IFERROR(INDEX(Users!$A$2:$A$310,MATCH(A1795,Users!$B$2:$B$310,0)),"")</f>
        <v>Service D</v>
      </c>
      <c r="H1795" s="21" t="str">
        <f>IFERROR(INDEX(Users!$D$2:$D$310,MATCH(A1795,Users!$B$2:$B$310,0)),"")</f>
        <v>Band 3</v>
      </c>
      <c r="I1795" s="19" t="b">
        <f t="shared" si="85"/>
        <v>0</v>
      </c>
      <c r="J1795" s="33" t="str">
        <f t="shared" si="86"/>
        <v/>
      </c>
    </row>
    <row r="1796" spans="1:10">
      <c r="A1796" s="19" t="s">
        <v>274</v>
      </c>
      <c r="B1796" s="20">
        <v>45717</v>
      </c>
      <c r="C1796" s="21">
        <v>155.4</v>
      </c>
      <c r="D1796" s="21">
        <v>155.16666666666669</v>
      </c>
      <c r="E1796" s="21">
        <v>54</v>
      </c>
      <c r="F1796" s="27">
        <f t="shared" si="84"/>
        <v>0.99849849849849859</v>
      </c>
      <c r="G1796" s="21" t="str">
        <f>IFERROR(INDEX(Users!$A$2:$A$310,MATCH(A1796,Users!$B$2:$B$310,0)),"")</f>
        <v>Service D</v>
      </c>
      <c r="H1796" s="21" t="str">
        <f>IFERROR(INDEX(Users!$D$2:$D$310,MATCH(A1796,Users!$B$2:$B$310,0)),"")</f>
        <v>Band 3</v>
      </c>
      <c r="I1796" s="19" t="b">
        <f t="shared" si="85"/>
        <v>0</v>
      </c>
      <c r="J1796" s="33" t="str">
        <f t="shared" si="86"/>
        <v/>
      </c>
    </row>
    <row r="1797" spans="1:10">
      <c r="A1797" s="19" t="s">
        <v>274</v>
      </c>
      <c r="B1797" s="20">
        <v>45748</v>
      </c>
      <c r="C1797" s="21">
        <v>148</v>
      </c>
      <c r="D1797" s="21">
        <v>122.33</v>
      </c>
      <c r="E1797" s="21">
        <v>35.33</v>
      </c>
      <c r="F1797" s="27">
        <f t="shared" si="84"/>
        <v>0.82655405405405402</v>
      </c>
      <c r="G1797" s="21" t="str">
        <f>IFERROR(INDEX(Users!$A$2:$A$310,MATCH(A1797,Users!$B$2:$B$310,0)),"")</f>
        <v>Service D</v>
      </c>
      <c r="H1797" s="21" t="str">
        <f>IFERROR(INDEX(Users!$D$2:$D$310,MATCH(A1797,Users!$B$2:$B$310,0)),"")</f>
        <v>Band 3</v>
      </c>
      <c r="I1797" s="19" t="b">
        <f t="shared" si="85"/>
        <v>0</v>
      </c>
      <c r="J1797" s="33" t="str">
        <f t="shared" si="86"/>
        <v/>
      </c>
    </row>
    <row r="1798" spans="1:10">
      <c r="A1798" s="19" t="s">
        <v>274</v>
      </c>
      <c r="B1798" s="20">
        <v>45778</v>
      </c>
      <c r="C1798" s="21">
        <v>148</v>
      </c>
      <c r="D1798" s="21">
        <v>125.66666666666666</v>
      </c>
      <c r="E1798" s="21">
        <v>48.5</v>
      </c>
      <c r="F1798" s="27">
        <f t="shared" si="84"/>
        <v>0.84909909909909909</v>
      </c>
      <c r="G1798" s="21" t="str">
        <f>IFERROR(INDEX(Users!$A$2:$A$310,MATCH(A1798,Users!$B$2:$B$310,0)),"")</f>
        <v>Service D</v>
      </c>
      <c r="H1798" s="21" t="str">
        <f>IFERROR(INDEX(Users!$D$2:$D$310,MATCH(A1798,Users!$B$2:$B$310,0)),"")</f>
        <v>Band 3</v>
      </c>
      <c r="I1798" s="19" t="b">
        <f t="shared" si="85"/>
        <v>0</v>
      </c>
      <c r="J1798" s="33" t="str">
        <f t="shared" si="86"/>
        <v/>
      </c>
    </row>
    <row r="1799" spans="1:10">
      <c r="A1799" s="19" t="s">
        <v>274</v>
      </c>
      <c r="B1799" s="20">
        <v>45809</v>
      </c>
      <c r="C1799" s="21">
        <v>155.4</v>
      </c>
      <c r="D1799" s="21">
        <v>156</v>
      </c>
      <c r="E1799" s="21">
        <v>60</v>
      </c>
      <c r="F1799" s="27">
        <f t="shared" si="84"/>
        <v>1.0038610038610039</v>
      </c>
      <c r="G1799" s="21" t="str">
        <f>IFERROR(INDEX(Users!$A$2:$A$310,MATCH(A1799,Users!$B$2:$B$310,0)),"")</f>
        <v>Service D</v>
      </c>
      <c r="H1799" s="21" t="str">
        <f>IFERROR(INDEX(Users!$D$2:$D$310,MATCH(A1799,Users!$B$2:$B$310,0)),"")</f>
        <v>Band 3</v>
      </c>
      <c r="I1799" s="19" t="b">
        <f t="shared" si="85"/>
        <v>0</v>
      </c>
      <c r="J1799" s="33" t="str">
        <f t="shared" si="86"/>
        <v/>
      </c>
    </row>
    <row r="1800" spans="1:10">
      <c r="A1800" s="19" t="s">
        <v>274</v>
      </c>
      <c r="B1800" s="20">
        <v>45839</v>
      </c>
      <c r="C1800" s="21">
        <v>170.20000000000002</v>
      </c>
      <c r="D1800" s="21">
        <v>170.32999999999998</v>
      </c>
      <c r="E1800" s="21">
        <v>86.83</v>
      </c>
      <c r="F1800" s="27">
        <f t="shared" si="84"/>
        <v>1.0007638072855463</v>
      </c>
      <c r="G1800" s="21" t="str">
        <f>IFERROR(INDEX(Users!$A$2:$A$310,MATCH(A1800,Users!$B$2:$B$310,0)),"")</f>
        <v>Service D</v>
      </c>
      <c r="H1800" s="21" t="str">
        <f>IFERROR(INDEX(Users!$D$2:$D$310,MATCH(A1800,Users!$B$2:$B$310,0)),"")</f>
        <v>Band 3</v>
      </c>
      <c r="I1800" s="19" t="b">
        <f t="shared" si="85"/>
        <v>0</v>
      </c>
      <c r="J1800" s="33" t="str">
        <f t="shared" si="86"/>
        <v/>
      </c>
    </row>
    <row r="1801" spans="1:10">
      <c r="A1801" s="19" t="s">
        <v>274</v>
      </c>
      <c r="B1801" s="20">
        <v>45870</v>
      </c>
      <c r="C1801" s="21">
        <v>148</v>
      </c>
      <c r="D1801" s="21">
        <v>69.326666666666668</v>
      </c>
      <c r="E1801" s="21">
        <v>23.66</v>
      </c>
      <c r="F1801" s="27">
        <f t="shared" si="84"/>
        <v>0.46842342342342341</v>
      </c>
      <c r="G1801" s="21" t="str">
        <f>IFERROR(INDEX(Users!$A$2:$A$310,MATCH(A1801,Users!$B$2:$B$310,0)),"")</f>
        <v>Service D</v>
      </c>
      <c r="H1801" s="21" t="str">
        <f>IFERROR(INDEX(Users!$D$2:$D$310,MATCH(A1801,Users!$B$2:$B$310,0)),"")</f>
        <v>Band 3</v>
      </c>
      <c r="I1801" s="19" t="b">
        <f t="shared" si="85"/>
        <v>0</v>
      </c>
      <c r="J1801" s="33" t="str">
        <f t="shared" si="86"/>
        <v/>
      </c>
    </row>
    <row r="1802" spans="1:10">
      <c r="A1802" s="19" t="s">
        <v>274</v>
      </c>
      <c r="B1802" s="20">
        <v>45901</v>
      </c>
      <c r="C1802" s="21">
        <v>162.80000000000001</v>
      </c>
      <c r="D1802" s="21">
        <v>94.833333333333329</v>
      </c>
      <c r="E1802" s="21">
        <v>48</v>
      </c>
      <c r="F1802" s="27">
        <f t="shared" si="84"/>
        <v>0.58251433251433249</v>
      </c>
      <c r="G1802" s="21" t="str">
        <f>IFERROR(INDEX(Users!$A$2:$A$310,MATCH(A1802,Users!$B$2:$B$310,0)),"")</f>
        <v>Service D</v>
      </c>
      <c r="H1802" s="21" t="str">
        <f>IFERROR(INDEX(Users!$D$2:$D$310,MATCH(A1802,Users!$B$2:$B$310,0)),"")</f>
        <v>Band 3</v>
      </c>
      <c r="I1802" s="19" t="b">
        <f t="shared" si="85"/>
        <v>0</v>
      </c>
      <c r="J1802" s="33" t="str">
        <f t="shared" si="86"/>
        <v/>
      </c>
    </row>
    <row r="1803" spans="1:10">
      <c r="A1803" s="19" t="s">
        <v>274</v>
      </c>
      <c r="B1803" s="20">
        <v>45931</v>
      </c>
      <c r="C1803" s="21">
        <v>170.20000000000002</v>
      </c>
      <c r="D1803" s="21">
        <v>115</v>
      </c>
      <c r="E1803" s="21">
        <v>38.5</v>
      </c>
      <c r="F1803" s="27">
        <f t="shared" si="84"/>
        <v>0.67567567567567566</v>
      </c>
      <c r="G1803" s="21" t="str">
        <f>IFERROR(INDEX(Users!$A$2:$A$310,MATCH(A1803,Users!$B$2:$B$310,0)),"")</f>
        <v>Service D</v>
      </c>
      <c r="H1803" s="21" t="str">
        <f>IFERROR(INDEX(Users!$D$2:$D$310,MATCH(A1803,Users!$B$2:$B$310,0)),"")</f>
        <v>Band 3</v>
      </c>
      <c r="I1803" s="19" t="b">
        <f t="shared" si="85"/>
        <v>0</v>
      </c>
      <c r="J1803" s="33" t="str">
        <f t="shared" si="86"/>
        <v/>
      </c>
    </row>
    <row r="1804" spans="1:10">
      <c r="A1804" s="19" t="s">
        <v>274</v>
      </c>
      <c r="B1804" s="20">
        <v>45962</v>
      </c>
      <c r="C1804" s="21">
        <v>148</v>
      </c>
      <c r="D1804" s="21">
        <v>143.09</v>
      </c>
      <c r="E1804" s="21">
        <v>68.09</v>
      </c>
      <c r="F1804" s="27">
        <f t="shared" si="84"/>
        <v>0.9668243243243243</v>
      </c>
      <c r="G1804" s="21" t="str">
        <f>IFERROR(INDEX(Users!$A$2:$A$310,MATCH(A1804,Users!$B$2:$B$310,0)),"")</f>
        <v>Service D</v>
      </c>
      <c r="H1804" s="21" t="str">
        <f>IFERROR(INDEX(Users!$D$2:$D$310,MATCH(A1804,Users!$B$2:$B$310,0)),"")</f>
        <v>Band 3</v>
      </c>
      <c r="I1804" s="19" t="b">
        <f t="shared" si="85"/>
        <v>0</v>
      </c>
      <c r="J1804" s="33" t="str">
        <f t="shared" si="86"/>
        <v/>
      </c>
    </row>
    <row r="1805" spans="1:10">
      <c r="A1805" s="19" t="s">
        <v>274</v>
      </c>
      <c r="B1805" s="20">
        <v>45992</v>
      </c>
      <c r="C1805" s="21">
        <v>155.4</v>
      </c>
      <c r="D1805" s="21">
        <v>128.72</v>
      </c>
      <c r="E1805" s="21">
        <v>42.22</v>
      </c>
      <c r="F1805" s="27">
        <f t="shared" si="84"/>
        <v>0.82831402831402823</v>
      </c>
      <c r="G1805" s="21" t="str">
        <f>IFERROR(INDEX(Users!$A$2:$A$310,MATCH(A1805,Users!$B$2:$B$310,0)),"")</f>
        <v>Service D</v>
      </c>
      <c r="H1805" s="21" t="str">
        <f>IFERROR(INDEX(Users!$D$2:$D$310,MATCH(A1805,Users!$B$2:$B$310,0)),"")</f>
        <v>Band 3</v>
      </c>
      <c r="I1805" s="19" t="b">
        <f t="shared" si="85"/>
        <v>0</v>
      </c>
      <c r="J1805" s="33" t="str">
        <f t="shared" si="86"/>
        <v/>
      </c>
    </row>
    <row r="1806" spans="1:10">
      <c r="A1806" s="19" t="s">
        <v>274</v>
      </c>
      <c r="B1806" s="20">
        <v>46023</v>
      </c>
      <c r="C1806" s="21">
        <v>155.4</v>
      </c>
      <c r="D1806" s="21">
        <v>154.83333333333334</v>
      </c>
      <c r="E1806" s="21">
        <v>64.5</v>
      </c>
      <c r="F1806" s="27">
        <f t="shared" si="84"/>
        <v>0.99635349635349635</v>
      </c>
      <c r="G1806" s="21" t="str">
        <f>IFERROR(INDEX(Users!$A$2:$A$310,MATCH(A1806,Users!$B$2:$B$310,0)),"")</f>
        <v>Service D</v>
      </c>
      <c r="H1806" s="21" t="str">
        <f>IFERROR(INDEX(Users!$D$2:$D$310,MATCH(A1806,Users!$B$2:$B$310,0)),"")</f>
        <v>Band 3</v>
      </c>
      <c r="I1806" s="19" t="b">
        <f t="shared" si="85"/>
        <v>0</v>
      </c>
      <c r="J1806" s="33" t="str">
        <f t="shared" si="86"/>
        <v/>
      </c>
    </row>
    <row r="1807" spans="1:10">
      <c r="A1807" s="19" t="s">
        <v>275</v>
      </c>
      <c r="B1807" s="20">
        <v>45658</v>
      </c>
      <c r="C1807" s="21">
        <v>132</v>
      </c>
      <c r="D1807" s="21">
        <v>143.23138888888892</v>
      </c>
      <c r="E1807" s="21">
        <v>69.570000000000022</v>
      </c>
      <c r="F1807" s="27">
        <f t="shared" si="84"/>
        <v>1.0850862794612797</v>
      </c>
      <c r="G1807" s="21" t="str">
        <f>IFERROR(INDEX(Users!$A$2:$A$310,MATCH(A1807,Users!$B$2:$B$310,0)),"")</f>
        <v>Service C</v>
      </c>
      <c r="H1807" s="21" t="str">
        <f>IFERROR(INDEX(Users!$D$2:$D$310,MATCH(A1807,Users!$B$2:$B$310,0)),"")</f>
        <v>Band 4</v>
      </c>
      <c r="I1807" s="19" t="b">
        <f t="shared" si="85"/>
        <v>0</v>
      </c>
      <c r="J1807" s="33" t="str">
        <f t="shared" si="86"/>
        <v/>
      </c>
    </row>
    <row r="1808" spans="1:10">
      <c r="A1808" s="19" t="s">
        <v>275</v>
      </c>
      <c r="B1808" s="20">
        <v>45689</v>
      </c>
      <c r="C1808" s="21">
        <v>120</v>
      </c>
      <c r="D1808" s="21">
        <v>109.54333333333335</v>
      </c>
      <c r="E1808" s="21">
        <v>38.660000000000011</v>
      </c>
      <c r="F1808" s="27">
        <f t="shared" si="84"/>
        <v>0.91286111111111123</v>
      </c>
      <c r="G1808" s="21" t="str">
        <f>IFERROR(INDEX(Users!$A$2:$A$310,MATCH(A1808,Users!$B$2:$B$310,0)),"")</f>
        <v>Service C</v>
      </c>
      <c r="H1808" s="21" t="str">
        <f>IFERROR(INDEX(Users!$D$2:$D$310,MATCH(A1808,Users!$B$2:$B$310,0)),"")</f>
        <v>Band 4</v>
      </c>
      <c r="I1808" s="19" t="b">
        <f t="shared" si="85"/>
        <v>0</v>
      </c>
      <c r="J1808" s="33" t="str">
        <f t="shared" si="86"/>
        <v/>
      </c>
    </row>
    <row r="1809" spans="1:10">
      <c r="A1809" s="19" t="s">
        <v>275</v>
      </c>
      <c r="B1809" s="20">
        <v>45717</v>
      </c>
      <c r="C1809" s="21">
        <v>126</v>
      </c>
      <c r="D1809" s="21">
        <v>114.17333333333335</v>
      </c>
      <c r="E1809" s="21">
        <v>43.34</v>
      </c>
      <c r="F1809" s="27">
        <f t="shared" si="84"/>
        <v>0.90613756613756624</v>
      </c>
      <c r="G1809" s="21" t="str">
        <f>IFERROR(INDEX(Users!$A$2:$A$310,MATCH(A1809,Users!$B$2:$B$310,0)),"")</f>
        <v>Service C</v>
      </c>
      <c r="H1809" s="21" t="str">
        <f>IFERROR(INDEX(Users!$D$2:$D$310,MATCH(A1809,Users!$B$2:$B$310,0)),"")</f>
        <v>Band 4</v>
      </c>
      <c r="I1809" s="19" t="b">
        <f t="shared" si="85"/>
        <v>0</v>
      </c>
      <c r="J1809" s="33" t="str">
        <f t="shared" si="86"/>
        <v/>
      </c>
    </row>
    <row r="1810" spans="1:10">
      <c r="A1810" s="19" t="s">
        <v>275</v>
      </c>
      <c r="B1810" s="20">
        <v>45748</v>
      </c>
      <c r="C1810" s="21">
        <v>120</v>
      </c>
      <c r="D1810" s="21">
        <v>122.12666666666667</v>
      </c>
      <c r="E1810" s="21">
        <v>64.460000000000008</v>
      </c>
      <c r="F1810" s="27">
        <f t="shared" si="84"/>
        <v>1.0177222222222222</v>
      </c>
      <c r="G1810" s="21" t="str">
        <f>IFERROR(INDEX(Users!$A$2:$A$310,MATCH(A1810,Users!$B$2:$B$310,0)),"")</f>
        <v>Service C</v>
      </c>
      <c r="H1810" s="21" t="str">
        <f>IFERROR(INDEX(Users!$D$2:$D$310,MATCH(A1810,Users!$B$2:$B$310,0)),"")</f>
        <v>Band 4</v>
      </c>
      <c r="I1810" s="19" t="b">
        <f t="shared" si="85"/>
        <v>0</v>
      </c>
      <c r="J1810" s="33" t="str">
        <f t="shared" si="86"/>
        <v/>
      </c>
    </row>
    <row r="1811" spans="1:10">
      <c r="A1811" s="19" t="s">
        <v>275</v>
      </c>
      <c r="B1811" s="20">
        <v>45778</v>
      </c>
      <c r="C1811" s="21">
        <v>120</v>
      </c>
      <c r="D1811" s="21">
        <v>90.57000000000005</v>
      </c>
      <c r="E1811" s="21">
        <v>48.320000000000036</v>
      </c>
      <c r="F1811" s="27">
        <f t="shared" si="84"/>
        <v>0.75475000000000037</v>
      </c>
      <c r="G1811" s="21" t="str">
        <f>IFERROR(INDEX(Users!$A$2:$A$310,MATCH(A1811,Users!$B$2:$B$310,0)),"")</f>
        <v>Service C</v>
      </c>
      <c r="H1811" s="21" t="str">
        <f>IFERROR(INDEX(Users!$D$2:$D$310,MATCH(A1811,Users!$B$2:$B$310,0)),"")</f>
        <v>Band 4</v>
      </c>
      <c r="I1811" s="19" t="b">
        <f t="shared" si="85"/>
        <v>0</v>
      </c>
      <c r="J1811" s="33" t="str">
        <f t="shared" si="86"/>
        <v/>
      </c>
    </row>
    <row r="1812" spans="1:10">
      <c r="A1812" s="19" t="s">
        <v>275</v>
      </c>
      <c r="B1812" s="20">
        <v>45809</v>
      </c>
      <c r="C1812" s="21">
        <v>126</v>
      </c>
      <c r="D1812" s="21">
        <v>129.82</v>
      </c>
      <c r="E1812" s="21">
        <v>68.069999999999993</v>
      </c>
      <c r="F1812" s="27">
        <f t="shared" si="84"/>
        <v>1.0303174603174603</v>
      </c>
      <c r="G1812" s="21" t="str">
        <f>IFERROR(INDEX(Users!$A$2:$A$310,MATCH(A1812,Users!$B$2:$B$310,0)),"")</f>
        <v>Service C</v>
      </c>
      <c r="H1812" s="21" t="str">
        <f>IFERROR(INDEX(Users!$D$2:$D$310,MATCH(A1812,Users!$B$2:$B$310,0)),"")</f>
        <v>Band 4</v>
      </c>
      <c r="I1812" s="19" t="b">
        <f t="shared" si="85"/>
        <v>0</v>
      </c>
      <c r="J1812" s="33" t="str">
        <f t="shared" si="86"/>
        <v/>
      </c>
    </row>
    <row r="1813" spans="1:10">
      <c r="A1813" s="19" t="s">
        <v>275</v>
      </c>
      <c r="B1813" s="20">
        <v>45839</v>
      </c>
      <c r="C1813" s="21">
        <v>138</v>
      </c>
      <c r="D1813" s="21">
        <v>120.06527777777779</v>
      </c>
      <c r="E1813" s="21">
        <v>56.190000000000026</v>
      </c>
      <c r="F1813" s="27">
        <f t="shared" si="84"/>
        <v>0.87003824476650571</v>
      </c>
      <c r="G1813" s="21" t="str">
        <f>IFERROR(INDEX(Users!$A$2:$A$310,MATCH(A1813,Users!$B$2:$B$310,0)),"")</f>
        <v>Service C</v>
      </c>
      <c r="H1813" s="21" t="str">
        <f>IFERROR(INDEX(Users!$D$2:$D$310,MATCH(A1813,Users!$B$2:$B$310,0)),"")</f>
        <v>Band 4</v>
      </c>
      <c r="I1813" s="19" t="b">
        <f t="shared" si="85"/>
        <v>0</v>
      </c>
      <c r="J1813" s="33" t="str">
        <f t="shared" si="86"/>
        <v/>
      </c>
    </row>
    <row r="1814" spans="1:10">
      <c r="A1814" s="19" t="s">
        <v>275</v>
      </c>
      <c r="B1814" s="20">
        <v>45870</v>
      </c>
      <c r="C1814" s="21">
        <v>120</v>
      </c>
      <c r="D1814" s="21">
        <v>110.17666666666668</v>
      </c>
      <c r="E1814" s="21">
        <v>74.510000000000019</v>
      </c>
      <c r="F1814" s="27">
        <f t="shared" si="84"/>
        <v>0.91813888888888895</v>
      </c>
      <c r="G1814" s="21" t="str">
        <f>IFERROR(INDEX(Users!$A$2:$A$310,MATCH(A1814,Users!$B$2:$B$310,0)),"")</f>
        <v>Service C</v>
      </c>
      <c r="H1814" s="21" t="str">
        <f>IFERROR(INDEX(Users!$D$2:$D$310,MATCH(A1814,Users!$B$2:$B$310,0)),"")</f>
        <v>Band 4</v>
      </c>
      <c r="I1814" s="19" t="b">
        <f t="shared" si="85"/>
        <v>0</v>
      </c>
      <c r="J1814" s="33" t="str">
        <f t="shared" si="86"/>
        <v/>
      </c>
    </row>
    <row r="1815" spans="1:10">
      <c r="A1815" s="19" t="s">
        <v>275</v>
      </c>
      <c r="B1815" s="20">
        <v>45901</v>
      </c>
      <c r="C1815" s="21">
        <v>132</v>
      </c>
      <c r="D1815" s="21">
        <v>86.646666666666675</v>
      </c>
      <c r="E1815" s="21">
        <v>29.730000000000004</v>
      </c>
      <c r="F1815" s="27">
        <f t="shared" si="84"/>
        <v>0.65641414141414145</v>
      </c>
      <c r="G1815" s="21" t="str">
        <f>IFERROR(INDEX(Users!$A$2:$A$310,MATCH(A1815,Users!$B$2:$B$310,0)),"")</f>
        <v>Service C</v>
      </c>
      <c r="H1815" s="21" t="str">
        <f>IFERROR(INDEX(Users!$D$2:$D$310,MATCH(A1815,Users!$B$2:$B$310,0)),"")</f>
        <v>Band 4</v>
      </c>
      <c r="I1815" s="19" t="b">
        <f t="shared" si="85"/>
        <v>0</v>
      </c>
      <c r="J1815" s="33" t="str">
        <f t="shared" si="86"/>
        <v/>
      </c>
    </row>
    <row r="1816" spans="1:10">
      <c r="A1816" s="19" t="s">
        <v>275</v>
      </c>
      <c r="B1816" s="20">
        <v>45931</v>
      </c>
      <c r="C1816" s="21">
        <v>138</v>
      </c>
      <c r="D1816" s="21">
        <v>101.49666666666667</v>
      </c>
      <c r="E1816" s="21">
        <v>57.58</v>
      </c>
      <c r="F1816" s="27">
        <f t="shared" si="84"/>
        <v>0.73548309178743965</v>
      </c>
      <c r="G1816" s="21" t="str">
        <f>IFERROR(INDEX(Users!$A$2:$A$310,MATCH(A1816,Users!$B$2:$B$310,0)),"")</f>
        <v>Service C</v>
      </c>
      <c r="H1816" s="21" t="str">
        <f>IFERROR(INDEX(Users!$D$2:$D$310,MATCH(A1816,Users!$B$2:$B$310,0)),"")</f>
        <v>Band 4</v>
      </c>
      <c r="I1816" s="19" t="b">
        <f t="shared" si="85"/>
        <v>0</v>
      </c>
      <c r="J1816" s="33" t="str">
        <f t="shared" si="86"/>
        <v/>
      </c>
    </row>
    <row r="1817" spans="1:10">
      <c r="A1817" s="19" t="s">
        <v>275</v>
      </c>
      <c r="B1817" s="20">
        <v>45962</v>
      </c>
      <c r="C1817" s="21">
        <v>120</v>
      </c>
      <c r="D1817" s="21">
        <v>125.44</v>
      </c>
      <c r="E1817" s="21">
        <v>62.94</v>
      </c>
      <c r="F1817" s="27">
        <f t="shared" si="84"/>
        <v>1.0453333333333332</v>
      </c>
      <c r="G1817" s="21" t="str">
        <f>IFERROR(INDEX(Users!$A$2:$A$310,MATCH(A1817,Users!$B$2:$B$310,0)),"")</f>
        <v>Service C</v>
      </c>
      <c r="H1817" s="21" t="str">
        <f>IFERROR(INDEX(Users!$D$2:$D$310,MATCH(A1817,Users!$B$2:$B$310,0)),"")</f>
        <v>Band 4</v>
      </c>
      <c r="I1817" s="19" t="b">
        <f t="shared" si="85"/>
        <v>0</v>
      </c>
      <c r="J1817" s="33" t="str">
        <f t="shared" si="86"/>
        <v/>
      </c>
    </row>
    <row r="1818" spans="1:10">
      <c r="A1818" s="19" t="s">
        <v>275</v>
      </c>
      <c r="B1818" s="20">
        <v>45992</v>
      </c>
      <c r="C1818" s="21">
        <v>30</v>
      </c>
      <c r="D1818" s="21">
        <v>38.25</v>
      </c>
      <c r="E1818" s="21">
        <v>16.25</v>
      </c>
      <c r="F1818" s="27">
        <f t="shared" si="84"/>
        <v>1.2749999999999999</v>
      </c>
      <c r="G1818" s="21" t="str">
        <f>IFERROR(INDEX(Users!$A$2:$A$310,MATCH(A1818,Users!$B$2:$B$310,0)),"")</f>
        <v>Service C</v>
      </c>
      <c r="H1818" s="21" t="str">
        <f>IFERROR(INDEX(Users!$D$2:$D$310,MATCH(A1818,Users!$B$2:$B$310,0)),"")</f>
        <v>Band 4</v>
      </c>
      <c r="I1818" s="19" t="b">
        <f t="shared" si="85"/>
        <v>0</v>
      </c>
      <c r="J1818" s="33" t="str">
        <f t="shared" si="86"/>
        <v/>
      </c>
    </row>
    <row r="1819" spans="1:10">
      <c r="A1819" s="19" t="s">
        <v>276</v>
      </c>
      <c r="B1819" s="20">
        <v>45658</v>
      </c>
      <c r="C1819" s="21">
        <v>162.80000000000001</v>
      </c>
      <c r="D1819" s="21">
        <v>97.710000000000008</v>
      </c>
      <c r="E1819" s="21">
        <v>61.21</v>
      </c>
      <c r="F1819" s="27">
        <f t="shared" si="84"/>
        <v>0.6001842751842752</v>
      </c>
      <c r="G1819" s="21" t="str">
        <f>IFERROR(INDEX(Users!$A$2:$A$310,MATCH(A1819,Users!$B$2:$B$310,0)),"")</f>
        <v>Service B</v>
      </c>
      <c r="H1819" s="21" t="str">
        <f>IFERROR(INDEX(Users!$D$2:$D$310,MATCH(A1819,Users!$B$2:$B$310,0)),"")</f>
        <v>Band 5</v>
      </c>
      <c r="I1819" s="19" t="b">
        <f t="shared" si="85"/>
        <v>0</v>
      </c>
      <c r="J1819" s="33">
        <f t="shared" si="86"/>
        <v>0.6001842751842752</v>
      </c>
    </row>
    <row r="1820" spans="1:10">
      <c r="A1820" s="19" t="s">
        <v>276</v>
      </c>
      <c r="B1820" s="20">
        <v>45689</v>
      </c>
      <c r="C1820" s="21">
        <v>111</v>
      </c>
      <c r="D1820" s="21">
        <v>70.83</v>
      </c>
      <c r="E1820" s="21">
        <v>22.83</v>
      </c>
      <c r="F1820" s="27">
        <f t="shared" si="84"/>
        <v>0.63810810810810814</v>
      </c>
      <c r="G1820" s="21" t="str">
        <f>IFERROR(INDEX(Users!$A$2:$A$310,MATCH(A1820,Users!$B$2:$B$310,0)),"")</f>
        <v>Service B</v>
      </c>
      <c r="H1820" s="21" t="str">
        <f>IFERROR(INDEX(Users!$D$2:$D$310,MATCH(A1820,Users!$B$2:$B$310,0)),"")</f>
        <v>Band 5</v>
      </c>
      <c r="I1820" s="19" t="b">
        <f t="shared" si="85"/>
        <v>0</v>
      </c>
      <c r="J1820" s="33">
        <f t="shared" si="86"/>
        <v>0.63810810810810814</v>
      </c>
    </row>
    <row r="1821" spans="1:10">
      <c r="A1821" s="19" t="s">
        <v>277</v>
      </c>
      <c r="B1821" s="20">
        <v>45658</v>
      </c>
      <c r="C1821" s="21">
        <v>162.80000000000001</v>
      </c>
      <c r="D1821" s="21">
        <v>134.10666666666668</v>
      </c>
      <c r="E1821" s="21">
        <v>51.69</v>
      </c>
      <c r="F1821" s="27">
        <f t="shared" si="84"/>
        <v>0.82375102375102383</v>
      </c>
      <c r="G1821" s="21" t="str">
        <f>IFERROR(INDEX(Users!$A$2:$A$310,MATCH(A1821,Users!$B$2:$B$310,0)),"")</f>
        <v>Service B</v>
      </c>
      <c r="H1821" s="21" t="str">
        <f>IFERROR(INDEX(Users!$D$2:$D$310,MATCH(A1821,Users!$B$2:$B$310,0)),"")</f>
        <v>Band 3</v>
      </c>
      <c r="I1821" s="19" t="b">
        <f t="shared" si="85"/>
        <v>0</v>
      </c>
      <c r="J1821" s="33">
        <f t="shared" si="86"/>
        <v>0.82375102375102383</v>
      </c>
    </row>
    <row r="1822" spans="1:10">
      <c r="A1822" s="19" t="s">
        <v>277</v>
      </c>
      <c r="B1822" s="20">
        <v>45689</v>
      </c>
      <c r="C1822" s="21">
        <v>133.20000000000002</v>
      </c>
      <c r="D1822" s="21">
        <v>104.99333333333333</v>
      </c>
      <c r="E1822" s="21">
        <v>52.41</v>
      </c>
      <c r="F1822" s="27">
        <f t="shared" si="84"/>
        <v>0.78823823823823813</v>
      </c>
      <c r="G1822" s="21" t="str">
        <f>IFERROR(INDEX(Users!$A$2:$A$310,MATCH(A1822,Users!$B$2:$B$310,0)),"")</f>
        <v>Service B</v>
      </c>
      <c r="H1822" s="21" t="str">
        <f>IFERROR(INDEX(Users!$D$2:$D$310,MATCH(A1822,Users!$B$2:$B$310,0)),"")</f>
        <v>Band 3</v>
      </c>
      <c r="I1822" s="19" t="b">
        <f t="shared" si="85"/>
        <v>0</v>
      </c>
      <c r="J1822" s="33">
        <f t="shared" si="86"/>
        <v>0.78823823823823813</v>
      </c>
    </row>
    <row r="1823" spans="1:10">
      <c r="A1823" s="19" t="s">
        <v>279</v>
      </c>
      <c r="B1823" s="20">
        <v>45658</v>
      </c>
      <c r="C1823" s="21">
        <v>162.80000000000001</v>
      </c>
      <c r="D1823" s="21">
        <v>160.27583333333334</v>
      </c>
      <c r="E1823" s="21">
        <v>20.810000000000002</v>
      </c>
      <c r="F1823" s="27">
        <f t="shared" si="84"/>
        <v>0.98449529074529074</v>
      </c>
      <c r="G1823" s="21" t="str">
        <f>IFERROR(INDEX(Users!$A$2:$A$310,MATCH(A1823,Users!$B$2:$B$310,0)),"")</f>
        <v>Service B</v>
      </c>
      <c r="H1823" s="21" t="str">
        <f>IFERROR(INDEX(Users!$D$2:$D$310,MATCH(A1823,Users!$B$2:$B$310,0)),"")</f>
        <v>Band 3</v>
      </c>
      <c r="I1823" s="19" t="b">
        <f t="shared" si="85"/>
        <v>0</v>
      </c>
      <c r="J1823" s="33">
        <f t="shared" si="86"/>
        <v>0.98449529074529074</v>
      </c>
    </row>
    <row r="1824" spans="1:10">
      <c r="A1824" s="19" t="s">
        <v>279</v>
      </c>
      <c r="B1824" s="20">
        <v>45689</v>
      </c>
      <c r="C1824" s="21">
        <v>148</v>
      </c>
      <c r="D1824" s="21">
        <v>141.99027777777775</v>
      </c>
      <c r="E1824" s="21">
        <v>71.049999999999983</v>
      </c>
      <c r="F1824" s="27">
        <f t="shared" si="84"/>
        <v>0.95939376876876858</v>
      </c>
      <c r="G1824" s="21" t="str">
        <f>IFERROR(INDEX(Users!$A$2:$A$310,MATCH(A1824,Users!$B$2:$B$310,0)),"")</f>
        <v>Service B</v>
      </c>
      <c r="H1824" s="21" t="str">
        <f>IFERROR(INDEX(Users!$D$2:$D$310,MATCH(A1824,Users!$B$2:$B$310,0)),"")</f>
        <v>Band 3</v>
      </c>
      <c r="I1824" s="19" t="b">
        <f t="shared" si="85"/>
        <v>0</v>
      </c>
      <c r="J1824" s="33">
        <f t="shared" si="86"/>
        <v>0.95939376876876858</v>
      </c>
    </row>
    <row r="1825" spans="1:10">
      <c r="A1825" s="19" t="s">
        <v>279</v>
      </c>
      <c r="B1825" s="20">
        <v>45717</v>
      </c>
      <c r="C1825" s="21">
        <v>155.4</v>
      </c>
      <c r="D1825" s="21">
        <v>151.81888888888886</v>
      </c>
      <c r="E1825" s="21">
        <v>88.289999999999978</v>
      </c>
      <c r="F1825" s="27">
        <f t="shared" si="84"/>
        <v>0.97695552695552679</v>
      </c>
      <c r="G1825" s="21" t="str">
        <f>IFERROR(INDEX(Users!$A$2:$A$310,MATCH(A1825,Users!$B$2:$B$310,0)),"")</f>
        <v>Service B</v>
      </c>
      <c r="H1825" s="21" t="str">
        <f>IFERROR(INDEX(Users!$D$2:$D$310,MATCH(A1825,Users!$B$2:$B$310,0)),"")</f>
        <v>Band 3</v>
      </c>
      <c r="I1825" s="19" t="b">
        <f t="shared" si="85"/>
        <v>0</v>
      </c>
      <c r="J1825" s="33">
        <f t="shared" si="86"/>
        <v>0.97695552695552679</v>
      </c>
    </row>
    <row r="1826" spans="1:10">
      <c r="A1826" s="19" t="s">
        <v>279</v>
      </c>
      <c r="B1826" s="20">
        <v>45748</v>
      </c>
      <c r="C1826" s="21">
        <v>148</v>
      </c>
      <c r="D1826" s="21">
        <v>140.10055555555556</v>
      </c>
      <c r="E1826" s="21">
        <v>77.28</v>
      </c>
      <c r="F1826" s="27">
        <f t="shared" si="84"/>
        <v>0.94662537537537539</v>
      </c>
      <c r="G1826" s="21" t="str">
        <f>IFERROR(INDEX(Users!$A$2:$A$310,MATCH(A1826,Users!$B$2:$B$310,0)),"")</f>
        <v>Service B</v>
      </c>
      <c r="H1826" s="21" t="str">
        <f>IFERROR(INDEX(Users!$D$2:$D$310,MATCH(A1826,Users!$B$2:$B$310,0)),"")</f>
        <v>Band 3</v>
      </c>
      <c r="I1826" s="19" t="b">
        <f t="shared" si="85"/>
        <v>0</v>
      </c>
      <c r="J1826" s="33">
        <f t="shared" si="86"/>
        <v>0.94662537537537539</v>
      </c>
    </row>
    <row r="1827" spans="1:10">
      <c r="A1827" s="19" t="s">
        <v>279</v>
      </c>
      <c r="B1827" s="20">
        <v>45778</v>
      </c>
      <c r="C1827" s="21">
        <v>148</v>
      </c>
      <c r="D1827" s="21">
        <v>116.46500000000002</v>
      </c>
      <c r="E1827" s="21">
        <v>60.840000000000025</v>
      </c>
      <c r="F1827" s="27">
        <f t="shared" si="84"/>
        <v>0.78692567567567584</v>
      </c>
      <c r="G1827" s="21" t="str">
        <f>IFERROR(INDEX(Users!$A$2:$A$310,MATCH(A1827,Users!$B$2:$B$310,0)),"")</f>
        <v>Service B</v>
      </c>
      <c r="H1827" s="21" t="str">
        <f>IFERROR(INDEX(Users!$D$2:$D$310,MATCH(A1827,Users!$B$2:$B$310,0)),"")</f>
        <v>Band 3</v>
      </c>
      <c r="I1827" s="19" t="b">
        <f t="shared" si="85"/>
        <v>0</v>
      </c>
      <c r="J1827" s="33">
        <f t="shared" si="86"/>
        <v>0.78692567567567584</v>
      </c>
    </row>
    <row r="1828" spans="1:10">
      <c r="A1828" s="19" t="s">
        <v>279</v>
      </c>
      <c r="B1828" s="20">
        <v>45809</v>
      </c>
      <c r="C1828" s="21">
        <v>155.4</v>
      </c>
      <c r="D1828" s="21">
        <v>155.57805555555558</v>
      </c>
      <c r="E1828" s="21">
        <v>76.330000000000013</v>
      </c>
      <c r="F1828" s="27">
        <f t="shared" si="84"/>
        <v>1.0011457886457888</v>
      </c>
      <c r="G1828" s="21" t="str">
        <f>IFERROR(INDEX(Users!$A$2:$A$310,MATCH(A1828,Users!$B$2:$B$310,0)),"")</f>
        <v>Service B</v>
      </c>
      <c r="H1828" s="21" t="str">
        <f>IFERROR(INDEX(Users!$D$2:$D$310,MATCH(A1828,Users!$B$2:$B$310,0)),"")</f>
        <v>Band 3</v>
      </c>
      <c r="I1828" s="19" t="b">
        <f t="shared" si="85"/>
        <v>0</v>
      </c>
      <c r="J1828" s="33">
        <f t="shared" si="86"/>
        <v>1.0011457886457888</v>
      </c>
    </row>
    <row r="1829" spans="1:10">
      <c r="A1829" s="19" t="s">
        <v>279</v>
      </c>
      <c r="B1829" s="20">
        <v>45839</v>
      </c>
      <c r="C1829" s="21">
        <v>170.20000000000002</v>
      </c>
      <c r="D1829" s="21">
        <v>165.72388888888889</v>
      </c>
      <c r="E1829" s="21">
        <v>88.020000000000024</v>
      </c>
      <c r="F1829" s="27">
        <f t="shared" si="84"/>
        <v>0.97370087478783129</v>
      </c>
      <c r="G1829" s="21" t="str">
        <f>IFERROR(INDEX(Users!$A$2:$A$310,MATCH(A1829,Users!$B$2:$B$310,0)),"")</f>
        <v>Service B</v>
      </c>
      <c r="H1829" s="21" t="str">
        <f>IFERROR(INDEX(Users!$D$2:$D$310,MATCH(A1829,Users!$B$2:$B$310,0)),"")</f>
        <v>Band 3</v>
      </c>
      <c r="I1829" s="19" t="b">
        <f t="shared" si="85"/>
        <v>0</v>
      </c>
      <c r="J1829" s="33">
        <f t="shared" si="86"/>
        <v>0.97370087478783129</v>
      </c>
    </row>
    <row r="1830" spans="1:10">
      <c r="A1830" s="19" t="s">
        <v>279</v>
      </c>
      <c r="B1830" s="20">
        <v>45870</v>
      </c>
      <c r="C1830" s="21">
        <v>148</v>
      </c>
      <c r="D1830" s="21">
        <v>116.19805555555557</v>
      </c>
      <c r="E1830" s="21">
        <v>59.370000000000005</v>
      </c>
      <c r="F1830" s="27">
        <f t="shared" si="84"/>
        <v>0.78512199699699714</v>
      </c>
      <c r="G1830" s="21" t="str">
        <f>IFERROR(INDEX(Users!$A$2:$A$310,MATCH(A1830,Users!$B$2:$B$310,0)),"")</f>
        <v>Service B</v>
      </c>
      <c r="H1830" s="21" t="str">
        <f>IFERROR(INDEX(Users!$D$2:$D$310,MATCH(A1830,Users!$B$2:$B$310,0)),"")</f>
        <v>Band 3</v>
      </c>
      <c r="I1830" s="19" t="b">
        <f t="shared" si="85"/>
        <v>0</v>
      </c>
      <c r="J1830" s="33">
        <f t="shared" si="86"/>
        <v>0.78512199699699714</v>
      </c>
    </row>
    <row r="1831" spans="1:10">
      <c r="A1831" s="19" t="s">
        <v>279</v>
      </c>
      <c r="B1831" s="20">
        <v>45901</v>
      </c>
      <c r="C1831" s="21">
        <v>162.80000000000001</v>
      </c>
      <c r="D1831" s="21">
        <v>148.23166666666671</v>
      </c>
      <c r="E1831" s="21">
        <v>88.110000000000028</v>
      </c>
      <c r="F1831" s="27">
        <f t="shared" si="84"/>
        <v>0.9105139230139232</v>
      </c>
      <c r="G1831" s="21" t="str">
        <f>IFERROR(INDEX(Users!$A$2:$A$310,MATCH(A1831,Users!$B$2:$B$310,0)),"")</f>
        <v>Service B</v>
      </c>
      <c r="H1831" s="21" t="str">
        <f>IFERROR(INDEX(Users!$D$2:$D$310,MATCH(A1831,Users!$B$2:$B$310,0)),"")</f>
        <v>Band 3</v>
      </c>
      <c r="I1831" s="19" t="b">
        <f t="shared" si="85"/>
        <v>0</v>
      </c>
      <c r="J1831" s="33">
        <f t="shared" si="86"/>
        <v>0.9105139230139232</v>
      </c>
    </row>
    <row r="1832" spans="1:10">
      <c r="A1832" s="19" t="s">
        <v>279</v>
      </c>
      <c r="B1832" s="20">
        <v>45931</v>
      </c>
      <c r="C1832" s="21">
        <v>170.20000000000002</v>
      </c>
      <c r="D1832" s="21">
        <v>141.18749999999997</v>
      </c>
      <c r="E1832" s="21">
        <v>98.569999999999965</v>
      </c>
      <c r="F1832" s="27">
        <f t="shared" si="84"/>
        <v>0.82953877790834285</v>
      </c>
      <c r="G1832" s="21" t="str">
        <f>IFERROR(INDEX(Users!$A$2:$A$310,MATCH(A1832,Users!$B$2:$B$310,0)),"")</f>
        <v>Service B</v>
      </c>
      <c r="H1832" s="21" t="str">
        <f>IFERROR(INDEX(Users!$D$2:$D$310,MATCH(A1832,Users!$B$2:$B$310,0)),"")</f>
        <v>Band 3</v>
      </c>
      <c r="I1832" s="19" t="b">
        <f t="shared" si="85"/>
        <v>0</v>
      </c>
      <c r="J1832" s="33">
        <f t="shared" si="86"/>
        <v>0.82953877790834285</v>
      </c>
    </row>
    <row r="1833" spans="1:10">
      <c r="A1833" s="19" t="s">
        <v>279</v>
      </c>
      <c r="B1833" s="20">
        <v>45962</v>
      </c>
      <c r="C1833" s="21">
        <v>148</v>
      </c>
      <c r="D1833" s="21">
        <v>152.34833333333336</v>
      </c>
      <c r="E1833" s="21">
        <v>92.65000000000002</v>
      </c>
      <c r="F1833" s="27">
        <f t="shared" si="84"/>
        <v>1.0293806306306308</v>
      </c>
      <c r="G1833" s="21" t="str">
        <f>IFERROR(INDEX(Users!$A$2:$A$310,MATCH(A1833,Users!$B$2:$B$310,0)),"")</f>
        <v>Service B</v>
      </c>
      <c r="H1833" s="21" t="str">
        <f>IFERROR(INDEX(Users!$D$2:$D$310,MATCH(A1833,Users!$B$2:$B$310,0)),"")</f>
        <v>Band 3</v>
      </c>
      <c r="I1833" s="19" t="b">
        <f t="shared" si="85"/>
        <v>0</v>
      </c>
      <c r="J1833" s="33">
        <f t="shared" si="86"/>
        <v>1.0293806306306308</v>
      </c>
    </row>
    <row r="1834" spans="1:10">
      <c r="A1834" s="19" t="s">
        <v>279</v>
      </c>
      <c r="B1834" s="20">
        <v>45992</v>
      </c>
      <c r="C1834" s="21">
        <v>155.4</v>
      </c>
      <c r="D1834" s="21">
        <v>120.18833333333336</v>
      </c>
      <c r="E1834" s="21">
        <v>59.730000000000025</v>
      </c>
      <c r="F1834" s="27">
        <f t="shared" si="84"/>
        <v>0.77341269841269855</v>
      </c>
      <c r="G1834" s="21" t="str">
        <f>IFERROR(INDEX(Users!$A$2:$A$310,MATCH(A1834,Users!$B$2:$B$310,0)),"")</f>
        <v>Service B</v>
      </c>
      <c r="H1834" s="21" t="str">
        <f>IFERROR(INDEX(Users!$D$2:$D$310,MATCH(A1834,Users!$B$2:$B$310,0)),"")</f>
        <v>Band 3</v>
      </c>
      <c r="I1834" s="19" t="b">
        <f t="shared" si="85"/>
        <v>0</v>
      </c>
      <c r="J1834" s="33">
        <f t="shared" si="86"/>
        <v>0.77341269841269855</v>
      </c>
    </row>
    <row r="1835" spans="1:10">
      <c r="A1835" s="19" t="s">
        <v>279</v>
      </c>
      <c r="B1835" s="20">
        <v>46023</v>
      </c>
      <c r="C1835" s="21">
        <v>155.4</v>
      </c>
      <c r="D1835" s="21">
        <v>149.96972222222226</v>
      </c>
      <c r="E1835" s="21">
        <v>90.760000000000048</v>
      </c>
      <c r="F1835" s="27">
        <f t="shared" si="84"/>
        <v>0.9650561275561278</v>
      </c>
      <c r="G1835" s="21" t="str">
        <f>IFERROR(INDEX(Users!$A$2:$A$310,MATCH(A1835,Users!$B$2:$B$310,0)),"")</f>
        <v>Service B</v>
      </c>
      <c r="H1835" s="21" t="str">
        <f>IFERROR(INDEX(Users!$D$2:$D$310,MATCH(A1835,Users!$B$2:$B$310,0)),"")</f>
        <v>Band 3</v>
      </c>
      <c r="I1835" s="19" t="b">
        <f t="shared" si="85"/>
        <v>0</v>
      </c>
      <c r="J1835" s="33" t="str">
        <f t="shared" si="86"/>
        <v/>
      </c>
    </row>
    <row r="1836" spans="1:10">
      <c r="A1836" s="19" t="s">
        <v>280</v>
      </c>
      <c r="B1836" s="20">
        <v>45658</v>
      </c>
      <c r="C1836" s="21">
        <v>162.80000000000001</v>
      </c>
      <c r="D1836" s="21">
        <v>43.62166666666667</v>
      </c>
      <c r="E1836" s="21">
        <v>2.25</v>
      </c>
      <c r="F1836" s="27">
        <f t="shared" si="84"/>
        <v>0.26794635544635542</v>
      </c>
      <c r="G1836" s="21" t="str">
        <f>IFERROR(INDEX(Users!$A$2:$A$310,MATCH(A1836,Users!$B$2:$B$310,0)),"")</f>
        <v>Service B</v>
      </c>
      <c r="H1836" s="21" t="str">
        <f>IFERROR(INDEX(Users!$D$2:$D$310,MATCH(A1836,Users!$B$2:$B$310,0)),"")</f>
        <v>Band 3</v>
      </c>
      <c r="I1836" s="19" t="b">
        <f t="shared" si="85"/>
        <v>0</v>
      </c>
      <c r="J1836" s="33">
        <f t="shared" si="86"/>
        <v>0.26794635544635542</v>
      </c>
    </row>
    <row r="1837" spans="1:10">
      <c r="A1837" s="19" t="s">
        <v>280</v>
      </c>
      <c r="B1837" s="20">
        <v>45689</v>
      </c>
      <c r="C1837" s="21">
        <v>148</v>
      </c>
      <c r="D1837" s="21">
        <v>151.09333333333333</v>
      </c>
      <c r="E1837" s="21">
        <v>39.659999999999997</v>
      </c>
      <c r="F1837" s="27">
        <f t="shared" si="84"/>
        <v>1.0209009009009009</v>
      </c>
      <c r="G1837" s="21" t="str">
        <f>IFERROR(INDEX(Users!$A$2:$A$310,MATCH(A1837,Users!$B$2:$B$310,0)),"")</f>
        <v>Service B</v>
      </c>
      <c r="H1837" s="21" t="str">
        <f>IFERROR(INDEX(Users!$D$2:$D$310,MATCH(A1837,Users!$B$2:$B$310,0)),"")</f>
        <v>Band 3</v>
      </c>
      <c r="I1837" s="19" t="b">
        <f t="shared" si="85"/>
        <v>0</v>
      </c>
      <c r="J1837" s="33">
        <f t="shared" si="86"/>
        <v>1.0209009009009009</v>
      </c>
    </row>
    <row r="1838" spans="1:10">
      <c r="A1838" s="19" t="s">
        <v>280</v>
      </c>
      <c r="B1838" s="20">
        <v>45717</v>
      </c>
      <c r="C1838" s="21">
        <v>155.4</v>
      </c>
      <c r="D1838" s="21">
        <v>156.38999999999999</v>
      </c>
      <c r="E1838" s="21">
        <v>55.64</v>
      </c>
      <c r="F1838" s="27">
        <f t="shared" si="84"/>
        <v>1.0063706563706563</v>
      </c>
      <c r="G1838" s="21" t="str">
        <f>IFERROR(INDEX(Users!$A$2:$A$310,MATCH(A1838,Users!$B$2:$B$310,0)),"")</f>
        <v>Service B</v>
      </c>
      <c r="H1838" s="21" t="str">
        <f>IFERROR(INDEX(Users!$D$2:$D$310,MATCH(A1838,Users!$B$2:$B$310,0)),"")</f>
        <v>Band 3</v>
      </c>
      <c r="I1838" s="19" t="b">
        <f t="shared" si="85"/>
        <v>0</v>
      </c>
      <c r="J1838" s="33">
        <f t="shared" si="86"/>
        <v>1.0063706563706563</v>
      </c>
    </row>
    <row r="1839" spans="1:10">
      <c r="A1839" s="19" t="s">
        <v>280</v>
      </c>
      <c r="B1839" s="20">
        <v>45748</v>
      </c>
      <c r="C1839" s="21">
        <v>148</v>
      </c>
      <c r="D1839" s="21">
        <v>149.05000000000001</v>
      </c>
      <c r="E1839" s="21">
        <v>62.3</v>
      </c>
      <c r="F1839" s="27">
        <f t="shared" si="84"/>
        <v>1.0070945945945946</v>
      </c>
      <c r="G1839" s="21" t="str">
        <f>IFERROR(INDEX(Users!$A$2:$A$310,MATCH(A1839,Users!$B$2:$B$310,0)),"")</f>
        <v>Service B</v>
      </c>
      <c r="H1839" s="21" t="str">
        <f>IFERROR(INDEX(Users!$D$2:$D$310,MATCH(A1839,Users!$B$2:$B$310,0)),"")</f>
        <v>Band 3</v>
      </c>
      <c r="I1839" s="19" t="b">
        <f t="shared" si="85"/>
        <v>0</v>
      </c>
      <c r="J1839" s="33">
        <f t="shared" si="86"/>
        <v>1.0070945945945946</v>
      </c>
    </row>
    <row r="1840" spans="1:10">
      <c r="A1840" s="19" t="s">
        <v>280</v>
      </c>
      <c r="B1840" s="20">
        <v>45778</v>
      </c>
      <c r="C1840" s="21">
        <v>148</v>
      </c>
      <c r="D1840" s="21">
        <v>157.93666666666667</v>
      </c>
      <c r="E1840" s="21">
        <v>75.62</v>
      </c>
      <c r="F1840" s="27">
        <f t="shared" si="84"/>
        <v>1.0671396396396395</v>
      </c>
      <c r="G1840" s="21" t="str">
        <f>IFERROR(INDEX(Users!$A$2:$A$310,MATCH(A1840,Users!$B$2:$B$310,0)),"")</f>
        <v>Service B</v>
      </c>
      <c r="H1840" s="21" t="str">
        <f>IFERROR(INDEX(Users!$D$2:$D$310,MATCH(A1840,Users!$B$2:$B$310,0)),"")</f>
        <v>Band 3</v>
      </c>
      <c r="I1840" s="19" t="b">
        <f t="shared" si="85"/>
        <v>0</v>
      </c>
      <c r="J1840" s="33">
        <f t="shared" si="86"/>
        <v>1.0671396396396395</v>
      </c>
    </row>
    <row r="1841" spans="1:10">
      <c r="A1841" s="19" t="s">
        <v>280</v>
      </c>
      <c r="B1841" s="20">
        <v>45809</v>
      </c>
      <c r="C1841" s="21">
        <v>155.4</v>
      </c>
      <c r="D1841" s="21">
        <v>161.12666666666667</v>
      </c>
      <c r="E1841" s="21">
        <v>75.61</v>
      </c>
      <c r="F1841" s="27">
        <f t="shared" si="84"/>
        <v>1.0368511368511368</v>
      </c>
      <c r="G1841" s="21" t="str">
        <f>IFERROR(INDEX(Users!$A$2:$A$310,MATCH(A1841,Users!$B$2:$B$310,0)),"")</f>
        <v>Service B</v>
      </c>
      <c r="H1841" s="21" t="str">
        <f>IFERROR(INDEX(Users!$D$2:$D$310,MATCH(A1841,Users!$B$2:$B$310,0)),"")</f>
        <v>Band 3</v>
      </c>
      <c r="I1841" s="19" t="b">
        <f t="shared" si="85"/>
        <v>0</v>
      </c>
      <c r="J1841" s="33">
        <f t="shared" si="86"/>
        <v>1.0368511368511368</v>
      </c>
    </row>
    <row r="1842" spans="1:10">
      <c r="A1842" s="19" t="s">
        <v>280</v>
      </c>
      <c r="B1842" s="20">
        <v>45839</v>
      </c>
      <c r="C1842" s="21">
        <v>170.20000000000002</v>
      </c>
      <c r="D1842" s="21">
        <v>158.55333333333331</v>
      </c>
      <c r="E1842" s="21">
        <v>103.97</v>
      </c>
      <c r="F1842" s="27">
        <f t="shared" si="84"/>
        <v>0.93157070113591833</v>
      </c>
      <c r="G1842" s="21" t="str">
        <f>IFERROR(INDEX(Users!$A$2:$A$310,MATCH(A1842,Users!$B$2:$B$310,0)),"")</f>
        <v>Service B</v>
      </c>
      <c r="H1842" s="21" t="str">
        <f>IFERROR(INDEX(Users!$D$2:$D$310,MATCH(A1842,Users!$B$2:$B$310,0)),"")</f>
        <v>Band 3</v>
      </c>
      <c r="I1842" s="19" t="b">
        <f t="shared" si="85"/>
        <v>0</v>
      </c>
      <c r="J1842" s="33">
        <f t="shared" si="86"/>
        <v>0.93157070113591833</v>
      </c>
    </row>
    <row r="1843" spans="1:10">
      <c r="A1843" s="19" t="s">
        <v>280</v>
      </c>
      <c r="B1843" s="20">
        <v>45870</v>
      </c>
      <c r="C1843" s="21">
        <v>148</v>
      </c>
      <c r="D1843" s="21">
        <v>85.726666666666674</v>
      </c>
      <c r="E1843" s="21">
        <v>56.010000000000005</v>
      </c>
      <c r="F1843" s="27">
        <f t="shared" si="84"/>
        <v>0.57923423423423426</v>
      </c>
      <c r="G1843" s="21" t="str">
        <f>IFERROR(INDEX(Users!$A$2:$A$310,MATCH(A1843,Users!$B$2:$B$310,0)),"")</f>
        <v>Service B</v>
      </c>
      <c r="H1843" s="21" t="str">
        <f>IFERROR(INDEX(Users!$D$2:$D$310,MATCH(A1843,Users!$B$2:$B$310,0)),"")</f>
        <v>Band 3</v>
      </c>
      <c r="I1843" s="19" t="b">
        <f t="shared" si="85"/>
        <v>0</v>
      </c>
      <c r="J1843" s="33">
        <f t="shared" si="86"/>
        <v>0.57923423423423426</v>
      </c>
    </row>
    <row r="1844" spans="1:10">
      <c r="A1844" s="19" t="s">
        <v>280</v>
      </c>
      <c r="B1844" s="20">
        <v>45901</v>
      </c>
      <c r="C1844" s="21">
        <v>162.80000000000001</v>
      </c>
      <c r="D1844" s="21">
        <v>160.93333333333334</v>
      </c>
      <c r="E1844" s="21">
        <v>111.65</v>
      </c>
      <c r="F1844" s="27">
        <f t="shared" si="84"/>
        <v>0.98853398853398844</v>
      </c>
      <c r="G1844" s="21" t="str">
        <f>IFERROR(INDEX(Users!$A$2:$A$310,MATCH(A1844,Users!$B$2:$B$310,0)),"")</f>
        <v>Service B</v>
      </c>
      <c r="H1844" s="21" t="str">
        <f>IFERROR(INDEX(Users!$D$2:$D$310,MATCH(A1844,Users!$B$2:$B$310,0)),"")</f>
        <v>Band 3</v>
      </c>
      <c r="I1844" s="19" t="b">
        <f t="shared" si="85"/>
        <v>0</v>
      </c>
      <c r="J1844" s="33">
        <f t="shared" si="86"/>
        <v>0.98853398853398844</v>
      </c>
    </row>
    <row r="1845" spans="1:10">
      <c r="A1845" s="19" t="s">
        <v>280</v>
      </c>
      <c r="B1845" s="20">
        <v>45931</v>
      </c>
      <c r="C1845" s="21">
        <v>170.20000000000002</v>
      </c>
      <c r="D1845" s="21">
        <v>167.33333333333334</v>
      </c>
      <c r="E1845" s="21">
        <v>120.10000000000001</v>
      </c>
      <c r="F1845" s="27">
        <f t="shared" si="84"/>
        <v>0.98315707011359177</v>
      </c>
      <c r="G1845" s="21" t="str">
        <f>IFERROR(INDEX(Users!$A$2:$A$310,MATCH(A1845,Users!$B$2:$B$310,0)),"")</f>
        <v>Service B</v>
      </c>
      <c r="H1845" s="21" t="str">
        <f>IFERROR(INDEX(Users!$D$2:$D$310,MATCH(A1845,Users!$B$2:$B$310,0)),"")</f>
        <v>Band 3</v>
      </c>
      <c r="I1845" s="19" t="b">
        <f t="shared" si="85"/>
        <v>0</v>
      </c>
      <c r="J1845" s="33">
        <f t="shared" si="86"/>
        <v>0.98315707011359177</v>
      </c>
    </row>
    <row r="1846" spans="1:10">
      <c r="A1846" s="19" t="s">
        <v>280</v>
      </c>
      <c r="B1846" s="20">
        <v>45962</v>
      </c>
      <c r="C1846" s="21">
        <v>148</v>
      </c>
      <c r="D1846" s="21">
        <v>127.83666666666666</v>
      </c>
      <c r="E1846" s="21">
        <v>87.77</v>
      </c>
      <c r="F1846" s="27">
        <f t="shared" si="84"/>
        <v>0.86376126126126118</v>
      </c>
      <c r="G1846" s="21" t="str">
        <f>IFERROR(INDEX(Users!$A$2:$A$310,MATCH(A1846,Users!$B$2:$B$310,0)),"")</f>
        <v>Service B</v>
      </c>
      <c r="H1846" s="21" t="str">
        <f>IFERROR(INDEX(Users!$D$2:$D$310,MATCH(A1846,Users!$B$2:$B$310,0)),"")</f>
        <v>Band 3</v>
      </c>
      <c r="I1846" s="19" t="b">
        <f t="shared" si="85"/>
        <v>0</v>
      </c>
      <c r="J1846" s="33">
        <f t="shared" si="86"/>
        <v>0.86376126126126118</v>
      </c>
    </row>
    <row r="1847" spans="1:10">
      <c r="A1847" s="19" t="s">
        <v>280</v>
      </c>
      <c r="B1847" s="20">
        <v>45992</v>
      </c>
      <c r="C1847" s="21">
        <v>155.4</v>
      </c>
      <c r="D1847" s="21">
        <v>160.05333333333334</v>
      </c>
      <c r="E1847" s="21">
        <v>117.07000000000002</v>
      </c>
      <c r="F1847" s="27">
        <f t="shared" si="84"/>
        <v>1.0299442299442298</v>
      </c>
      <c r="G1847" s="21" t="str">
        <f>IFERROR(INDEX(Users!$A$2:$A$310,MATCH(A1847,Users!$B$2:$B$310,0)),"")</f>
        <v>Service B</v>
      </c>
      <c r="H1847" s="21" t="str">
        <f>IFERROR(INDEX(Users!$D$2:$D$310,MATCH(A1847,Users!$B$2:$B$310,0)),"")</f>
        <v>Band 3</v>
      </c>
      <c r="I1847" s="19" t="b">
        <f t="shared" si="85"/>
        <v>0</v>
      </c>
      <c r="J1847" s="33">
        <f t="shared" si="86"/>
        <v>1.0299442299442298</v>
      </c>
    </row>
    <row r="1848" spans="1:10">
      <c r="A1848" s="19" t="s">
        <v>280</v>
      </c>
      <c r="B1848" s="20">
        <v>46023</v>
      </c>
      <c r="C1848" s="21">
        <v>155.4</v>
      </c>
      <c r="D1848" s="21">
        <v>152.47333333333336</v>
      </c>
      <c r="E1848" s="21">
        <v>97.190000000000012</v>
      </c>
      <c r="F1848" s="27">
        <f t="shared" si="84"/>
        <v>0.98116688116688133</v>
      </c>
      <c r="G1848" s="21" t="str">
        <f>IFERROR(INDEX(Users!$A$2:$A$310,MATCH(A1848,Users!$B$2:$B$310,0)),"")</f>
        <v>Service B</v>
      </c>
      <c r="H1848" s="21" t="str">
        <f>IFERROR(INDEX(Users!$D$2:$D$310,MATCH(A1848,Users!$B$2:$B$310,0)),"")</f>
        <v>Band 3</v>
      </c>
      <c r="I1848" s="19" t="b">
        <f t="shared" si="85"/>
        <v>0</v>
      </c>
      <c r="J1848" s="33" t="str">
        <f t="shared" si="86"/>
        <v/>
      </c>
    </row>
    <row r="1849" spans="1:10">
      <c r="A1849" s="19" t="s">
        <v>281</v>
      </c>
      <c r="B1849" s="20">
        <v>45901</v>
      </c>
      <c r="C1849" s="21">
        <v>51.8</v>
      </c>
      <c r="D1849" s="21"/>
      <c r="E1849" s="21"/>
      <c r="F1849" s="27" t="str">
        <f t="shared" si="84"/>
        <v/>
      </c>
      <c r="G1849" s="21" t="str">
        <f>IFERROR(INDEX(Users!$A$2:$A$310,MATCH(A1849,Users!$B$2:$B$310,0)),"")</f>
        <v>Service B</v>
      </c>
      <c r="H1849" s="21" t="str">
        <f>IFERROR(INDEX(Users!$D$2:$D$310,MATCH(A1849,Users!$B$2:$B$310,0)),"")</f>
        <v>Band 5</v>
      </c>
      <c r="I1849" s="19" t="b">
        <f t="shared" si="85"/>
        <v>0</v>
      </c>
      <c r="J1849" s="33" t="str">
        <f t="shared" si="86"/>
        <v/>
      </c>
    </row>
    <row r="1850" spans="1:10">
      <c r="A1850" s="19" t="s">
        <v>281</v>
      </c>
      <c r="B1850" s="20">
        <v>45931</v>
      </c>
      <c r="C1850" s="21">
        <v>170.20000000000007</v>
      </c>
      <c r="D1850" s="21">
        <v>159.87666666666672</v>
      </c>
      <c r="E1850" s="21">
        <v>33.11</v>
      </c>
      <c r="F1850" s="27">
        <f t="shared" si="84"/>
        <v>0.93934586760673711</v>
      </c>
      <c r="G1850" s="21" t="str">
        <f>IFERROR(INDEX(Users!$A$2:$A$310,MATCH(A1850,Users!$B$2:$B$310,0)),"")</f>
        <v>Service B</v>
      </c>
      <c r="H1850" s="21" t="str">
        <f>IFERROR(INDEX(Users!$D$2:$D$310,MATCH(A1850,Users!$B$2:$B$310,0)),"")</f>
        <v>Band 5</v>
      </c>
      <c r="I1850" s="19" t="b">
        <f t="shared" si="85"/>
        <v>0</v>
      </c>
      <c r="J1850" s="33">
        <f t="shared" si="86"/>
        <v>0.93934586760673711</v>
      </c>
    </row>
    <row r="1851" spans="1:10">
      <c r="A1851" s="19" t="s">
        <v>281</v>
      </c>
      <c r="B1851" s="20">
        <v>45962</v>
      </c>
      <c r="C1851" s="21">
        <v>148.00000000000006</v>
      </c>
      <c r="D1851" s="21">
        <v>145.96</v>
      </c>
      <c r="E1851" s="21">
        <v>66.66</v>
      </c>
      <c r="F1851" s="27">
        <f t="shared" si="84"/>
        <v>0.98621621621621591</v>
      </c>
      <c r="G1851" s="21" t="str">
        <f>IFERROR(INDEX(Users!$A$2:$A$310,MATCH(A1851,Users!$B$2:$B$310,0)),"")</f>
        <v>Service B</v>
      </c>
      <c r="H1851" s="21" t="str">
        <f>IFERROR(INDEX(Users!$D$2:$D$310,MATCH(A1851,Users!$B$2:$B$310,0)),"")</f>
        <v>Band 5</v>
      </c>
      <c r="I1851" s="19" t="b">
        <f t="shared" si="85"/>
        <v>0</v>
      </c>
      <c r="J1851" s="33">
        <f t="shared" si="86"/>
        <v>0.98621621621621591</v>
      </c>
    </row>
    <row r="1852" spans="1:10">
      <c r="A1852" s="19" t="s">
        <v>281</v>
      </c>
      <c r="B1852" s="20">
        <v>45992</v>
      </c>
      <c r="C1852" s="21">
        <v>155.40000000000006</v>
      </c>
      <c r="D1852" s="21">
        <v>157.93333333333331</v>
      </c>
      <c r="E1852" s="21">
        <v>92.549999999999983</v>
      </c>
      <c r="F1852" s="27">
        <f t="shared" si="84"/>
        <v>1.0163020163020158</v>
      </c>
      <c r="G1852" s="21" t="str">
        <f>IFERROR(INDEX(Users!$A$2:$A$310,MATCH(A1852,Users!$B$2:$B$310,0)),"")</f>
        <v>Service B</v>
      </c>
      <c r="H1852" s="21" t="str">
        <f>IFERROR(INDEX(Users!$D$2:$D$310,MATCH(A1852,Users!$B$2:$B$310,0)),"")</f>
        <v>Band 5</v>
      </c>
      <c r="I1852" s="19" t="b">
        <f t="shared" si="85"/>
        <v>0</v>
      </c>
      <c r="J1852" s="33">
        <f t="shared" si="86"/>
        <v>1.0163020163020158</v>
      </c>
    </row>
    <row r="1853" spans="1:10">
      <c r="A1853" s="19" t="s">
        <v>281</v>
      </c>
      <c r="B1853" s="20">
        <v>46023</v>
      </c>
      <c r="C1853" s="21">
        <v>155.40000000000006</v>
      </c>
      <c r="D1853" s="21">
        <v>157.60666666666665</v>
      </c>
      <c r="E1853" s="21">
        <v>94.44</v>
      </c>
      <c r="F1853" s="27">
        <f t="shared" si="84"/>
        <v>1.0141999141999136</v>
      </c>
      <c r="G1853" s="21" t="str">
        <f>IFERROR(INDEX(Users!$A$2:$A$310,MATCH(A1853,Users!$B$2:$B$310,0)),"")</f>
        <v>Service B</v>
      </c>
      <c r="H1853" s="21" t="str">
        <f>IFERROR(INDEX(Users!$D$2:$D$310,MATCH(A1853,Users!$B$2:$B$310,0)),"")</f>
        <v>Band 5</v>
      </c>
      <c r="I1853" s="19" t="b">
        <f t="shared" si="85"/>
        <v>0</v>
      </c>
      <c r="J1853" s="33" t="str">
        <f t="shared" si="86"/>
        <v/>
      </c>
    </row>
    <row r="1854" spans="1:10">
      <c r="A1854" s="19" t="s">
        <v>282</v>
      </c>
      <c r="B1854" s="20">
        <v>45717</v>
      </c>
      <c r="C1854" s="21">
        <v>155.40000000000006</v>
      </c>
      <c r="D1854" s="21">
        <v>45.430000000000007</v>
      </c>
      <c r="E1854" s="21">
        <v>1.03</v>
      </c>
      <c r="F1854" s="27">
        <f t="shared" si="84"/>
        <v>0.29234234234234224</v>
      </c>
      <c r="G1854" s="21" t="str">
        <f>IFERROR(INDEX(Users!$A$2:$A$310,MATCH(A1854,Users!$B$2:$B$310,0)),"")</f>
        <v>Service B</v>
      </c>
      <c r="H1854" s="21" t="str">
        <f>IFERROR(INDEX(Users!$D$2:$D$310,MATCH(A1854,Users!$B$2:$B$310,0)),"")</f>
        <v>Band 3</v>
      </c>
      <c r="I1854" s="19" t="b">
        <f t="shared" si="85"/>
        <v>0</v>
      </c>
      <c r="J1854" s="33">
        <f t="shared" si="86"/>
        <v>0.29234234234234224</v>
      </c>
    </row>
    <row r="1855" spans="1:10">
      <c r="A1855" s="19" t="s">
        <v>282</v>
      </c>
      <c r="B1855" s="20">
        <v>45748</v>
      </c>
      <c r="C1855" s="21">
        <v>148.00000000000006</v>
      </c>
      <c r="D1855" s="21">
        <v>128.57333333333335</v>
      </c>
      <c r="E1855" s="21">
        <v>5.59</v>
      </c>
      <c r="F1855" s="27">
        <f t="shared" si="84"/>
        <v>0.86873873873873853</v>
      </c>
      <c r="G1855" s="21" t="str">
        <f>IFERROR(INDEX(Users!$A$2:$A$310,MATCH(A1855,Users!$B$2:$B$310,0)),"")</f>
        <v>Service B</v>
      </c>
      <c r="H1855" s="21" t="str">
        <f>IFERROR(INDEX(Users!$D$2:$D$310,MATCH(A1855,Users!$B$2:$B$310,0)),"")</f>
        <v>Band 3</v>
      </c>
      <c r="I1855" s="19" t="b">
        <f t="shared" si="85"/>
        <v>0</v>
      </c>
      <c r="J1855" s="33">
        <f t="shared" si="86"/>
        <v>0.86873873873873853</v>
      </c>
    </row>
    <row r="1856" spans="1:10">
      <c r="A1856" s="19" t="s">
        <v>282</v>
      </c>
      <c r="B1856" s="20">
        <v>45778</v>
      </c>
      <c r="C1856" s="21">
        <v>148.00000000000006</v>
      </c>
      <c r="D1856" s="21">
        <v>129.5</v>
      </c>
      <c r="E1856" s="21">
        <v>32.9</v>
      </c>
      <c r="F1856" s="27">
        <f t="shared" si="84"/>
        <v>0.87499999999999967</v>
      </c>
      <c r="G1856" s="21" t="str">
        <f>IFERROR(INDEX(Users!$A$2:$A$310,MATCH(A1856,Users!$B$2:$B$310,0)),"")</f>
        <v>Service B</v>
      </c>
      <c r="H1856" s="21" t="str">
        <f>IFERROR(INDEX(Users!$D$2:$D$310,MATCH(A1856,Users!$B$2:$B$310,0)),"")</f>
        <v>Band 3</v>
      </c>
      <c r="I1856" s="19" t="b">
        <f t="shared" si="85"/>
        <v>0</v>
      </c>
      <c r="J1856" s="33">
        <f t="shared" si="86"/>
        <v>0.87499999999999967</v>
      </c>
    </row>
    <row r="1857" spans="1:10">
      <c r="A1857" s="19" t="s">
        <v>282</v>
      </c>
      <c r="B1857" s="20">
        <v>45809</v>
      </c>
      <c r="C1857" s="21">
        <v>155.40000000000006</v>
      </c>
      <c r="D1857" s="21">
        <v>141.52333333333331</v>
      </c>
      <c r="E1857" s="21">
        <v>55.69</v>
      </c>
      <c r="F1857" s="27">
        <f t="shared" si="84"/>
        <v>0.91070356070356018</v>
      </c>
      <c r="G1857" s="21" t="str">
        <f>IFERROR(INDEX(Users!$A$2:$A$310,MATCH(A1857,Users!$B$2:$B$310,0)),"")</f>
        <v>Service B</v>
      </c>
      <c r="H1857" s="21" t="str">
        <f>IFERROR(INDEX(Users!$D$2:$D$310,MATCH(A1857,Users!$B$2:$B$310,0)),"")</f>
        <v>Band 3</v>
      </c>
      <c r="I1857" s="19" t="b">
        <f t="shared" si="85"/>
        <v>0</v>
      </c>
      <c r="J1857" s="33">
        <f t="shared" si="86"/>
        <v>0.91070356070356018</v>
      </c>
    </row>
    <row r="1858" spans="1:10">
      <c r="A1858" s="19" t="s">
        <v>282</v>
      </c>
      <c r="B1858" s="20">
        <v>45839</v>
      </c>
      <c r="C1858" s="21">
        <v>170.20000000000007</v>
      </c>
      <c r="D1858" s="21">
        <v>130.81333333333333</v>
      </c>
      <c r="E1858" s="21">
        <v>85.73</v>
      </c>
      <c r="F1858" s="27">
        <f t="shared" ref="F1858:F1921" si="87">IFERROR(IF(OR(C1858="",D1858="",C1858=0),"",D1858/C1858),"")</f>
        <v>0.76858597728162914</v>
      </c>
      <c r="G1858" s="21" t="str">
        <f>IFERROR(INDEX(Users!$A$2:$A$310,MATCH(A1858,Users!$B$2:$B$310,0)),"")</f>
        <v>Service B</v>
      </c>
      <c r="H1858" s="21" t="str">
        <f>IFERROR(INDEX(Users!$D$2:$D$310,MATCH(A1858,Users!$B$2:$B$310,0)),"")</f>
        <v>Band 3</v>
      </c>
      <c r="I1858" s="19" t="b">
        <f t="shared" ref="I1858:I1921" si="88">AND(G1858="Service A",H1858="Band 3")</f>
        <v>0</v>
      </c>
      <c r="J1858" s="33">
        <f t="shared" ref="J1858:J1921" si="89">IF(AND(B1858&gt;=DATE(2025,1,1),B1858&lt;DATE(2026,1,1),G1858="Service B",OR(H1858="Band 3",H1858="Band 5"),ISNUMBER(F1858)),F1858,"")</f>
        <v>0.76858597728162914</v>
      </c>
    </row>
    <row r="1859" spans="1:10">
      <c r="A1859" s="19" t="s">
        <v>282</v>
      </c>
      <c r="B1859" s="20">
        <v>45870</v>
      </c>
      <c r="C1859" s="21">
        <v>148.00000000000006</v>
      </c>
      <c r="D1859" s="21">
        <v>80.95</v>
      </c>
      <c r="E1859" s="21">
        <v>48.95</v>
      </c>
      <c r="F1859" s="27">
        <f t="shared" si="87"/>
        <v>0.54695945945945923</v>
      </c>
      <c r="G1859" s="21" t="str">
        <f>IFERROR(INDEX(Users!$A$2:$A$310,MATCH(A1859,Users!$B$2:$B$310,0)),"")</f>
        <v>Service B</v>
      </c>
      <c r="H1859" s="21" t="str">
        <f>IFERROR(INDEX(Users!$D$2:$D$310,MATCH(A1859,Users!$B$2:$B$310,0)),"")</f>
        <v>Band 3</v>
      </c>
      <c r="I1859" s="19" t="b">
        <f t="shared" si="88"/>
        <v>0</v>
      </c>
      <c r="J1859" s="33">
        <f t="shared" si="89"/>
        <v>0.54695945945945923</v>
      </c>
    </row>
    <row r="1860" spans="1:10">
      <c r="A1860" s="19" t="s">
        <v>282</v>
      </c>
      <c r="B1860" s="20">
        <v>45901</v>
      </c>
      <c r="C1860" s="21">
        <v>162.80000000000007</v>
      </c>
      <c r="D1860" s="21">
        <v>147.19000000000003</v>
      </c>
      <c r="E1860" s="21">
        <v>94.140000000000015</v>
      </c>
      <c r="F1860" s="27">
        <f t="shared" si="87"/>
        <v>0.90411547911547885</v>
      </c>
      <c r="G1860" s="21" t="str">
        <f>IFERROR(INDEX(Users!$A$2:$A$310,MATCH(A1860,Users!$B$2:$B$310,0)),"")</f>
        <v>Service B</v>
      </c>
      <c r="H1860" s="21" t="str">
        <f>IFERROR(INDEX(Users!$D$2:$D$310,MATCH(A1860,Users!$B$2:$B$310,0)),"")</f>
        <v>Band 3</v>
      </c>
      <c r="I1860" s="19" t="b">
        <f t="shared" si="88"/>
        <v>0</v>
      </c>
      <c r="J1860" s="33">
        <f t="shared" si="89"/>
        <v>0.90411547911547885</v>
      </c>
    </row>
    <row r="1861" spans="1:10">
      <c r="A1861" s="19" t="s">
        <v>282</v>
      </c>
      <c r="B1861" s="20">
        <v>45931</v>
      </c>
      <c r="C1861" s="21">
        <v>170.20000000000007</v>
      </c>
      <c r="D1861" s="21">
        <v>143.39333333333335</v>
      </c>
      <c r="E1861" s="21">
        <v>100.56</v>
      </c>
      <c r="F1861" s="27">
        <f t="shared" si="87"/>
        <v>0.84249902075989003</v>
      </c>
      <c r="G1861" s="21" t="str">
        <f>IFERROR(INDEX(Users!$A$2:$A$310,MATCH(A1861,Users!$B$2:$B$310,0)),"")</f>
        <v>Service B</v>
      </c>
      <c r="H1861" s="21" t="str">
        <f>IFERROR(INDEX(Users!$D$2:$D$310,MATCH(A1861,Users!$B$2:$B$310,0)),"")</f>
        <v>Band 3</v>
      </c>
      <c r="I1861" s="19" t="b">
        <f t="shared" si="88"/>
        <v>0</v>
      </c>
      <c r="J1861" s="33">
        <f t="shared" si="89"/>
        <v>0.84249902075989003</v>
      </c>
    </row>
    <row r="1862" spans="1:10">
      <c r="A1862" s="19" t="s">
        <v>282</v>
      </c>
      <c r="B1862" s="20">
        <v>45962</v>
      </c>
      <c r="C1862" s="21">
        <v>148.00000000000006</v>
      </c>
      <c r="D1862" s="21">
        <v>134.11333333333334</v>
      </c>
      <c r="E1862" s="21">
        <v>96.030000000000015</v>
      </c>
      <c r="F1862" s="27">
        <f t="shared" si="87"/>
        <v>0.90617117117117085</v>
      </c>
      <c r="G1862" s="21" t="str">
        <f>IFERROR(INDEX(Users!$A$2:$A$310,MATCH(A1862,Users!$B$2:$B$310,0)),"")</f>
        <v>Service B</v>
      </c>
      <c r="H1862" s="21" t="str">
        <f>IFERROR(INDEX(Users!$D$2:$D$310,MATCH(A1862,Users!$B$2:$B$310,0)),"")</f>
        <v>Band 3</v>
      </c>
      <c r="I1862" s="19" t="b">
        <f t="shared" si="88"/>
        <v>0</v>
      </c>
      <c r="J1862" s="33">
        <f t="shared" si="89"/>
        <v>0.90617117117117085</v>
      </c>
    </row>
    <row r="1863" spans="1:10">
      <c r="A1863" s="19" t="s">
        <v>282</v>
      </c>
      <c r="B1863" s="20">
        <v>45992</v>
      </c>
      <c r="C1863" s="21">
        <v>155.40000000000006</v>
      </c>
      <c r="D1863" s="21">
        <v>114.17333333333335</v>
      </c>
      <c r="E1863" s="21">
        <v>74.84</v>
      </c>
      <c r="F1863" s="27">
        <f t="shared" si="87"/>
        <v>0.73470613470613444</v>
      </c>
      <c r="G1863" s="21" t="str">
        <f>IFERROR(INDEX(Users!$A$2:$A$310,MATCH(A1863,Users!$B$2:$B$310,0)),"")</f>
        <v>Service B</v>
      </c>
      <c r="H1863" s="21" t="str">
        <f>IFERROR(INDEX(Users!$D$2:$D$310,MATCH(A1863,Users!$B$2:$B$310,0)),"")</f>
        <v>Band 3</v>
      </c>
      <c r="I1863" s="19" t="b">
        <f t="shared" si="88"/>
        <v>0</v>
      </c>
      <c r="J1863" s="33">
        <f t="shared" si="89"/>
        <v>0.73470613470613444</v>
      </c>
    </row>
    <row r="1864" spans="1:10">
      <c r="A1864" s="19" t="s">
        <v>282</v>
      </c>
      <c r="B1864" s="20">
        <v>46023</v>
      </c>
      <c r="C1864" s="21">
        <v>155.40000000000006</v>
      </c>
      <c r="D1864" s="21">
        <v>103.59666666666666</v>
      </c>
      <c r="E1864" s="21">
        <v>56.43</v>
      </c>
      <c r="F1864" s="27">
        <f t="shared" si="87"/>
        <v>0.66664521664521637</v>
      </c>
      <c r="G1864" s="21" t="str">
        <f>IFERROR(INDEX(Users!$A$2:$A$310,MATCH(A1864,Users!$B$2:$B$310,0)),"")</f>
        <v>Service B</v>
      </c>
      <c r="H1864" s="21" t="str">
        <f>IFERROR(INDEX(Users!$D$2:$D$310,MATCH(A1864,Users!$B$2:$B$310,0)),"")</f>
        <v>Band 3</v>
      </c>
      <c r="I1864" s="19" t="b">
        <f t="shared" si="88"/>
        <v>0</v>
      </c>
      <c r="J1864" s="33" t="str">
        <f t="shared" si="89"/>
        <v/>
      </c>
    </row>
    <row r="1865" spans="1:10">
      <c r="A1865" s="19" t="s">
        <v>283</v>
      </c>
      <c r="B1865" s="20">
        <v>45658</v>
      </c>
      <c r="C1865" s="21">
        <v>162.80000000000001</v>
      </c>
      <c r="D1865" s="21">
        <v>121.97999999999999</v>
      </c>
      <c r="E1865" s="21">
        <v>14.979999999999999</v>
      </c>
      <c r="F1865" s="27">
        <f t="shared" si="87"/>
        <v>0.74926289926289913</v>
      </c>
      <c r="G1865" s="21" t="str">
        <f>IFERROR(INDEX(Users!$A$2:$A$310,MATCH(A1865,Users!$B$2:$B$310,0)),"")</f>
        <v>Service B</v>
      </c>
      <c r="H1865" s="21" t="str">
        <f>IFERROR(INDEX(Users!$D$2:$D$310,MATCH(A1865,Users!$B$2:$B$310,0)),"")</f>
        <v>Band 3</v>
      </c>
      <c r="I1865" s="19" t="b">
        <f t="shared" si="88"/>
        <v>0</v>
      </c>
      <c r="J1865" s="33">
        <f t="shared" si="89"/>
        <v>0.74926289926289913</v>
      </c>
    </row>
    <row r="1866" spans="1:10">
      <c r="A1866" s="19" t="s">
        <v>283</v>
      </c>
      <c r="B1866" s="20">
        <v>45689</v>
      </c>
      <c r="C1866" s="21">
        <v>148</v>
      </c>
      <c r="D1866" s="21">
        <v>108.56666666666666</v>
      </c>
      <c r="E1866" s="21">
        <v>32.9</v>
      </c>
      <c r="F1866" s="27">
        <f t="shared" si="87"/>
        <v>0.73355855855855856</v>
      </c>
      <c r="G1866" s="21" t="str">
        <f>IFERROR(INDEX(Users!$A$2:$A$310,MATCH(A1866,Users!$B$2:$B$310,0)),"")</f>
        <v>Service B</v>
      </c>
      <c r="H1866" s="21" t="str">
        <f>IFERROR(INDEX(Users!$D$2:$D$310,MATCH(A1866,Users!$B$2:$B$310,0)),"")</f>
        <v>Band 3</v>
      </c>
      <c r="I1866" s="19" t="b">
        <f t="shared" si="88"/>
        <v>0</v>
      </c>
      <c r="J1866" s="33">
        <f t="shared" si="89"/>
        <v>0.73355855855855856</v>
      </c>
    </row>
    <row r="1867" spans="1:10">
      <c r="A1867" s="19" t="s">
        <v>283</v>
      </c>
      <c r="B1867" s="20">
        <v>45717</v>
      </c>
      <c r="C1867" s="21">
        <v>155.4</v>
      </c>
      <c r="D1867" s="21">
        <v>96.460000000000008</v>
      </c>
      <c r="E1867" s="21">
        <v>42.46</v>
      </c>
      <c r="F1867" s="27">
        <f t="shared" si="87"/>
        <v>0.62072072072072071</v>
      </c>
      <c r="G1867" s="21" t="str">
        <f>IFERROR(INDEX(Users!$A$2:$A$310,MATCH(A1867,Users!$B$2:$B$310,0)),"")</f>
        <v>Service B</v>
      </c>
      <c r="H1867" s="21" t="str">
        <f>IFERROR(INDEX(Users!$D$2:$D$310,MATCH(A1867,Users!$B$2:$B$310,0)),"")</f>
        <v>Band 3</v>
      </c>
      <c r="I1867" s="19" t="b">
        <f t="shared" si="88"/>
        <v>0</v>
      </c>
      <c r="J1867" s="33">
        <f t="shared" si="89"/>
        <v>0.62072072072072071</v>
      </c>
    </row>
    <row r="1868" spans="1:10">
      <c r="A1868" s="19" t="s">
        <v>283</v>
      </c>
      <c r="B1868" s="20">
        <v>45748</v>
      </c>
      <c r="C1868" s="21">
        <v>148</v>
      </c>
      <c r="D1868" s="21">
        <v>120.00999999999999</v>
      </c>
      <c r="E1868" s="21">
        <v>45.059999999999988</v>
      </c>
      <c r="F1868" s="27">
        <f t="shared" si="87"/>
        <v>0.81087837837837828</v>
      </c>
      <c r="G1868" s="21" t="str">
        <f>IFERROR(INDEX(Users!$A$2:$A$310,MATCH(A1868,Users!$B$2:$B$310,0)),"")</f>
        <v>Service B</v>
      </c>
      <c r="H1868" s="21" t="str">
        <f>IFERROR(INDEX(Users!$D$2:$D$310,MATCH(A1868,Users!$B$2:$B$310,0)),"")</f>
        <v>Band 3</v>
      </c>
      <c r="I1868" s="19" t="b">
        <f t="shared" si="88"/>
        <v>0</v>
      </c>
      <c r="J1868" s="33">
        <f t="shared" si="89"/>
        <v>0.81087837837837828</v>
      </c>
    </row>
    <row r="1869" spans="1:10">
      <c r="A1869" s="19" t="s">
        <v>283</v>
      </c>
      <c r="B1869" s="20">
        <v>45778</v>
      </c>
      <c r="C1869" s="21">
        <v>148</v>
      </c>
      <c r="D1869" s="21">
        <v>93.2</v>
      </c>
      <c r="E1869" s="21">
        <v>22.199999999999996</v>
      </c>
      <c r="F1869" s="27">
        <f t="shared" si="87"/>
        <v>0.62972972972972974</v>
      </c>
      <c r="G1869" s="21" t="str">
        <f>IFERROR(INDEX(Users!$A$2:$A$310,MATCH(A1869,Users!$B$2:$B$310,0)),"")</f>
        <v>Service B</v>
      </c>
      <c r="H1869" s="21" t="str">
        <f>IFERROR(INDEX(Users!$D$2:$D$310,MATCH(A1869,Users!$B$2:$B$310,0)),"")</f>
        <v>Band 3</v>
      </c>
      <c r="I1869" s="19" t="b">
        <f t="shared" si="88"/>
        <v>0</v>
      </c>
      <c r="J1869" s="33">
        <f t="shared" si="89"/>
        <v>0.62972972972972974</v>
      </c>
    </row>
    <row r="1870" spans="1:10">
      <c r="A1870" s="19" t="s">
        <v>283</v>
      </c>
      <c r="B1870" s="20">
        <v>45809</v>
      </c>
      <c r="C1870" s="21">
        <v>155.4</v>
      </c>
      <c r="D1870" s="21">
        <v>136.79666666666668</v>
      </c>
      <c r="E1870" s="21">
        <v>53.88000000000001</v>
      </c>
      <c r="F1870" s="27">
        <f t="shared" si="87"/>
        <v>0.88028743028743039</v>
      </c>
      <c r="G1870" s="21" t="str">
        <f>IFERROR(INDEX(Users!$A$2:$A$310,MATCH(A1870,Users!$B$2:$B$310,0)),"")</f>
        <v>Service B</v>
      </c>
      <c r="H1870" s="21" t="str">
        <f>IFERROR(INDEX(Users!$D$2:$D$310,MATCH(A1870,Users!$B$2:$B$310,0)),"")</f>
        <v>Band 3</v>
      </c>
      <c r="I1870" s="19" t="b">
        <f t="shared" si="88"/>
        <v>0</v>
      </c>
      <c r="J1870" s="33">
        <f t="shared" si="89"/>
        <v>0.88028743028743039</v>
      </c>
    </row>
    <row r="1871" spans="1:10">
      <c r="A1871" s="19" t="s">
        <v>283</v>
      </c>
      <c r="B1871" s="20">
        <v>45839</v>
      </c>
      <c r="C1871" s="21">
        <v>170.20000000000002</v>
      </c>
      <c r="D1871" s="21">
        <v>151.03000000000003</v>
      </c>
      <c r="E1871" s="21">
        <v>58.530000000000008</v>
      </c>
      <c r="F1871" s="27">
        <f t="shared" si="87"/>
        <v>0.88736780258519399</v>
      </c>
      <c r="G1871" s="21" t="str">
        <f>IFERROR(INDEX(Users!$A$2:$A$310,MATCH(A1871,Users!$B$2:$B$310,0)),"")</f>
        <v>Service B</v>
      </c>
      <c r="H1871" s="21" t="str">
        <f>IFERROR(INDEX(Users!$D$2:$D$310,MATCH(A1871,Users!$B$2:$B$310,0)),"")</f>
        <v>Band 3</v>
      </c>
      <c r="I1871" s="19" t="b">
        <f t="shared" si="88"/>
        <v>0</v>
      </c>
      <c r="J1871" s="33">
        <f t="shared" si="89"/>
        <v>0.88736780258519399</v>
      </c>
    </row>
    <row r="1872" spans="1:10">
      <c r="A1872" s="19" t="s">
        <v>283</v>
      </c>
      <c r="B1872" s="20">
        <v>45870</v>
      </c>
      <c r="C1872" s="21">
        <v>148</v>
      </c>
      <c r="D1872" s="21">
        <v>81.84666666666665</v>
      </c>
      <c r="E1872" s="21">
        <v>28.429999999999986</v>
      </c>
      <c r="F1872" s="27">
        <f t="shared" si="87"/>
        <v>0.55301801801801787</v>
      </c>
      <c r="G1872" s="21" t="str">
        <f>IFERROR(INDEX(Users!$A$2:$A$310,MATCH(A1872,Users!$B$2:$B$310,0)),"")</f>
        <v>Service B</v>
      </c>
      <c r="H1872" s="21" t="str">
        <f>IFERROR(INDEX(Users!$D$2:$D$310,MATCH(A1872,Users!$B$2:$B$310,0)),"")</f>
        <v>Band 3</v>
      </c>
      <c r="I1872" s="19" t="b">
        <f t="shared" si="88"/>
        <v>0</v>
      </c>
      <c r="J1872" s="33">
        <f t="shared" si="89"/>
        <v>0.55301801801801787</v>
      </c>
    </row>
    <row r="1873" spans="1:10">
      <c r="A1873" s="19" t="s">
        <v>283</v>
      </c>
      <c r="B1873" s="20">
        <v>45901</v>
      </c>
      <c r="C1873" s="21">
        <v>162.80000000000001</v>
      </c>
      <c r="D1873" s="21">
        <v>122.51666666666671</v>
      </c>
      <c r="E1873" s="21">
        <v>45.600000000000044</v>
      </c>
      <c r="F1873" s="27">
        <f t="shared" si="87"/>
        <v>0.75255937755937774</v>
      </c>
      <c r="G1873" s="21" t="str">
        <f>IFERROR(INDEX(Users!$A$2:$A$310,MATCH(A1873,Users!$B$2:$B$310,0)),"")</f>
        <v>Service B</v>
      </c>
      <c r="H1873" s="21" t="str">
        <f>IFERROR(INDEX(Users!$D$2:$D$310,MATCH(A1873,Users!$B$2:$B$310,0)),"")</f>
        <v>Band 3</v>
      </c>
      <c r="I1873" s="19" t="b">
        <f t="shared" si="88"/>
        <v>0</v>
      </c>
      <c r="J1873" s="33">
        <f t="shared" si="89"/>
        <v>0.75255937755937774</v>
      </c>
    </row>
    <row r="1874" spans="1:10">
      <c r="A1874" s="19" t="s">
        <v>283</v>
      </c>
      <c r="B1874" s="20">
        <v>45931</v>
      </c>
      <c r="C1874" s="21">
        <v>170.20000000000002</v>
      </c>
      <c r="D1874" s="21">
        <v>161.35666666666674</v>
      </c>
      <c r="E1874" s="21">
        <v>62.940000000000097</v>
      </c>
      <c r="F1874" s="27">
        <f t="shared" si="87"/>
        <v>0.94804151978065054</v>
      </c>
      <c r="G1874" s="21" t="str">
        <f>IFERROR(INDEX(Users!$A$2:$A$310,MATCH(A1874,Users!$B$2:$B$310,0)),"")</f>
        <v>Service B</v>
      </c>
      <c r="H1874" s="21" t="str">
        <f>IFERROR(INDEX(Users!$D$2:$D$310,MATCH(A1874,Users!$B$2:$B$310,0)),"")</f>
        <v>Band 3</v>
      </c>
      <c r="I1874" s="19" t="b">
        <f t="shared" si="88"/>
        <v>0</v>
      </c>
      <c r="J1874" s="33">
        <f t="shared" si="89"/>
        <v>0.94804151978065054</v>
      </c>
    </row>
    <row r="1875" spans="1:10">
      <c r="A1875" s="19" t="s">
        <v>283</v>
      </c>
      <c r="B1875" s="20">
        <v>45962</v>
      </c>
      <c r="C1875" s="21">
        <v>148</v>
      </c>
      <c r="D1875" s="21">
        <v>130.94000000000003</v>
      </c>
      <c r="E1875" s="21">
        <v>36.190000000000026</v>
      </c>
      <c r="F1875" s="27">
        <f t="shared" si="87"/>
        <v>0.88472972972972985</v>
      </c>
      <c r="G1875" s="21" t="str">
        <f>IFERROR(INDEX(Users!$A$2:$A$310,MATCH(A1875,Users!$B$2:$B$310,0)),"")</f>
        <v>Service B</v>
      </c>
      <c r="H1875" s="21" t="str">
        <f>IFERROR(INDEX(Users!$D$2:$D$310,MATCH(A1875,Users!$B$2:$B$310,0)),"")</f>
        <v>Band 3</v>
      </c>
      <c r="I1875" s="19" t="b">
        <f t="shared" si="88"/>
        <v>0</v>
      </c>
      <c r="J1875" s="33">
        <f t="shared" si="89"/>
        <v>0.88472972972972985</v>
      </c>
    </row>
    <row r="1876" spans="1:10">
      <c r="A1876" s="19" t="s">
        <v>283</v>
      </c>
      <c r="B1876" s="20">
        <v>45992</v>
      </c>
      <c r="C1876" s="21">
        <v>155.4</v>
      </c>
      <c r="D1876" s="21">
        <v>114.68</v>
      </c>
      <c r="E1876" s="21">
        <v>45.93</v>
      </c>
      <c r="F1876" s="27">
        <f t="shared" si="87"/>
        <v>0.73796653796653799</v>
      </c>
      <c r="G1876" s="21" t="str">
        <f>IFERROR(INDEX(Users!$A$2:$A$310,MATCH(A1876,Users!$B$2:$B$310,0)),"")</f>
        <v>Service B</v>
      </c>
      <c r="H1876" s="21" t="str">
        <f>IFERROR(INDEX(Users!$D$2:$D$310,MATCH(A1876,Users!$B$2:$B$310,0)),"")</f>
        <v>Band 3</v>
      </c>
      <c r="I1876" s="19" t="b">
        <f t="shared" si="88"/>
        <v>0</v>
      </c>
      <c r="J1876" s="33">
        <f t="shared" si="89"/>
        <v>0.73796653796653799</v>
      </c>
    </row>
    <row r="1877" spans="1:10">
      <c r="A1877" s="19" t="s">
        <v>283</v>
      </c>
      <c r="B1877" s="20">
        <v>46023</v>
      </c>
      <c r="C1877" s="21">
        <v>155.4</v>
      </c>
      <c r="D1877" s="21">
        <v>99.666666666666657</v>
      </c>
      <c r="E1877" s="21">
        <v>24</v>
      </c>
      <c r="F1877" s="27">
        <f t="shared" si="87"/>
        <v>0.64135564135564127</v>
      </c>
      <c r="G1877" s="21" t="str">
        <f>IFERROR(INDEX(Users!$A$2:$A$310,MATCH(A1877,Users!$B$2:$B$310,0)),"")</f>
        <v>Service B</v>
      </c>
      <c r="H1877" s="21" t="str">
        <f>IFERROR(INDEX(Users!$D$2:$D$310,MATCH(A1877,Users!$B$2:$B$310,0)),"")</f>
        <v>Band 3</v>
      </c>
      <c r="I1877" s="19" t="b">
        <f t="shared" si="88"/>
        <v>0</v>
      </c>
      <c r="J1877" s="33" t="str">
        <f t="shared" si="89"/>
        <v/>
      </c>
    </row>
    <row r="1878" spans="1:10">
      <c r="A1878" s="19" t="s">
        <v>284</v>
      </c>
      <c r="B1878" s="20">
        <v>45689</v>
      </c>
      <c r="C1878" s="21">
        <v>37</v>
      </c>
      <c r="D1878" s="21"/>
      <c r="E1878" s="21"/>
      <c r="F1878" s="27" t="str">
        <f t="shared" si="87"/>
        <v/>
      </c>
      <c r="G1878" s="21" t="str">
        <f>IFERROR(INDEX(Users!$A$2:$A$310,MATCH(A1878,Users!$B$2:$B$310,0)),"")</f>
        <v>Service B</v>
      </c>
      <c r="H1878" s="21" t="str">
        <f>IFERROR(INDEX(Users!$D$2:$D$310,MATCH(A1878,Users!$B$2:$B$310,0)),"")</f>
        <v>Band 5</v>
      </c>
      <c r="I1878" s="19" t="b">
        <f t="shared" si="88"/>
        <v>0</v>
      </c>
      <c r="J1878" s="33" t="str">
        <f t="shared" si="89"/>
        <v/>
      </c>
    </row>
    <row r="1879" spans="1:10">
      <c r="A1879" s="19" t="s">
        <v>284</v>
      </c>
      <c r="B1879" s="20">
        <v>45717</v>
      </c>
      <c r="C1879" s="21">
        <v>155.4</v>
      </c>
      <c r="D1879" s="21">
        <v>160.47138888888884</v>
      </c>
      <c r="E1879" s="21">
        <v>55.639999999999958</v>
      </c>
      <c r="F1879" s="27">
        <f t="shared" si="87"/>
        <v>1.0326344201344198</v>
      </c>
      <c r="G1879" s="21" t="str">
        <f>IFERROR(INDEX(Users!$A$2:$A$310,MATCH(A1879,Users!$B$2:$B$310,0)),"")</f>
        <v>Service B</v>
      </c>
      <c r="H1879" s="21" t="str">
        <f>IFERROR(INDEX(Users!$D$2:$D$310,MATCH(A1879,Users!$B$2:$B$310,0)),"")</f>
        <v>Band 5</v>
      </c>
      <c r="I1879" s="19" t="b">
        <f t="shared" si="88"/>
        <v>0</v>
      </c>
      <c r="J1879" s="33">
        <f t="shared" si="89"/>
        <v>1.0326344201344198</v>
      </c>
    </row>
    <row r="1880" spans="1:10">
      <c r="A1880" s="19" t="s">
        <v>284</v>
      </c>
      <c r="B1880" s="20">
        <v>45748</v>
      </c>
      <c r="C1880" s="21">
        <v>148</v>
      </c>
      <c r="D1880" s="21">
        <v>122.26361111111115</v>
      </c>
      <c r="E1880" s="21">
        <v>68.930000000000035</v>
      </c>
      <c r="F1880" s="27">
        <f t="shared" si="87"/>
        <v>0.82610548048048071</v>
      </c>
      <c r="G1880" s="21" t="str">
        <f>IFERROR(INDEX(Users!$A$2:$A$310,MATCH(A1880,Users!$B$2:$B$310,0)),"")</f>
        <v>Service B</v>
      </c>
      <c r="H1880" s="21" t="str">
        <f>IFERROR(INDEX(Users!$D$2:$D$310,MATCH(A1880,Users!$B$2:$B$310,0)),"")</f>
        <v>Band 5</v>
      </c>
      <c r="I1880" s="19" t="b">
        <f t="shared" si="88"/>
        <v>0</v>
      </c>
      <c r="J1880" s="33">
        <f t="shared" si="89"/>
        <v>0.82610548048048071</v>
      </c>
    </row>
    <row r="1881" spans="1:10">
      <c r="A1881" s="19" t="s">
        <v>284</v>
      </c>
      <c r="B1881" s="20">
        <v>45778</v>
      </c>
      <c r="C1881" s="21">
        <v>148</v>
      </c>
      <c r="D1881" s="21">
        <v>153.10333333333335</v>
      </c>
      <c r="E1881" s="21">
        <v>95.02000000000001</v>
      </c>
      <c r="F1881" s="27">
        <f t="shared" si="87"/>
        <v>1.0344819819819822</v>
      </c>
      <c r="G1881" s="21" t="str">
        <f>IFERROR(INDEX(Users!$A$2:$A$310,MATCH(A1881,Users!$B$2:$B$310,0)),"")</f>
        <v>Service B</v>
      </c>
      <c r="H1881" s="21" t="str">
        <f>IFERROR(INDEX(Users!$D$2:$D$310,MATCH(A1881,Users!$B$2:$B$310,0)),"")</f>
        <v>Band 5</v>
      </c>
      <c r="I1881" s="19" t="b">
        <f t="shared" si="88"/>
        <v>0</v>
      </c>
      <c r="J1881" s="33">
        <f t="shared" si="89"/>
        <v>1.0344819819819822</v>
      </c>
    </row>
    <row r="1882" spans="1:10">
      <c r="A1882" s="19" t="s">
        <v>284</v>
      </c>
      <c r="B1882" s="20">
        <v>45809</v>
      </c>
      <c r="C1882" s="21">
        <v>155.4</v>
      </c>
      <c r="D1882" s="21">
        <v>150.00666666666672</v>
      </c>
      <c r="E1882" s="21">
        <v>102.84000000000003</v>
      </c>
      <c r="F1882" s="27">
        <f t="shared" si="87"/>
        <v>0.96529386529386563</v>
      </c>
      <c r="G1882" s="21" t="str">
        <f>IFERROR(INDEX(Users!$A$2:$A$310,MATCH(A1882,Users!$B$2:$B$310,0)),"")</f>
        <v>Service B</v>
      </c>
      <c r="H1882" s="21" t="str">
        <f>IFERROR(INDEX(Users!$D$2:$D$310,MATCH(A1882,Users!$B$2:$B$310,0)),"")</f>
        <v>Band 5</v>
      </c>
      <c r="I1882" s="19" t="b">
        <f t="shared" si="88"/>
        <v>0</v>
      </c>
      <c r="J1882" s="33">
        <f t="shared" si="89"/>
        <v>0.96529386529386563</v>
      </c>
    </row>
    <row r="1883" spans="1:10">
      <c r="A1883" s="19" t="s">
        <v>284</v>
      </c>
      <c r="B1883" s="20">
        <v>45839</v>
      </c>
      <c r="C1883" s="21">
        <v>170.20000000000002</v>
      </c>
      <c r="D1883" s="21">
        <v>178.25527777777785</v>
      </c>
      <c r="E1883" s="21">
        <v>117.46000000000009</v>
      </c>
      <c r="F1883" s="27">
        <f t="shared" si="87"/>
        <v>1.0473283065674373</v>
      </c>
      <c r="G1883" s="21" t="str">
        <f>IFERROR(INDEX(Users!$A$2:$A$310,MATCH(A1883,Users!$B$2:$B$310,0)),"")</f>
        <v>Service B</v>
      </c>
      <c r="H1883" s="21" t="str">
        <f>IFERROR(INDEX(Users!$D$2:$D$310,MATCH(A1883,Users!$B$2:$B$310,0)),"")</f>
        <v>Band 5</v>
      </c>
      <c r="I1883" s="19" t="b">
        <f t="shared" si="88"/>
        <v>0</v>
      </c>
      <c r="J1883" s="33">
        <f t="shared" si="89"/>
        <v>1.0473283065674373</v>
      </c>
    </row>
    <row r="1884" spans="1:10">
      <c r="A1884" s="19" t="s">
        <v>284</v>
      </c>
      <c r="B1884" s="20">
        <v>45870</v>
      </c>
      <c r="C1884" s="21">
        <v>148</v>
      </c>
      <c r="D1884" s="21">
        <v>106.19</v>
      </c>
      <c r="E1884" s="21">
        <v>76.19</v>
      </c>
      <c r="F1884" s="27">
        <f t="shared" si="87"/>
        <v>0.71750000000000003</v>
      </c>
      <c r="G1884" s="21" t="str">
        <f>IFERROR(INDEX(Users!$A$2:$A$310,MATCH(A1884,Users!$B$2:$B$310,0)),"")</f>
        <v>Service B</v>
      </c>
      <c r="H1884" s="21" t="str">
        <f>IFERROR(INDEX(Users!$D$2:$D$310,MATCH(A1884,Users!$B$2:$B$310,0)),"")</f>
        <v>Band 5</v>
      </c>
      <c r="I1884" s="19" t="b">
        <f t="shared" si="88"/>
        <v>0</v>
      </c>
      <c r="J1884" s="33">
        <f t="shared" si="89"/>
        <v>0.71750000000000003</v>
      </c>
    </row>
    <row r="1885" spans="1:10">
      <c r="A1885" s="19" t="s">
        <v>284</v>
      </c>
      <c r="B1885" s="20">
        <v>45901</v>
      </c>
      <c r="C1885" s="21">
        <v>162.80000000000001</v>
      </c>
      <c r="D1885" s="21">
        <v>144.53666666666669</v>
      </c>
      <c r="E1885" s="21">
        <v>72.370000000000019</v>
      </c>
      <c r="F1885" s="27">
        <f t="shared" si="87"/>
        <v>0.8878173628173629</v>
      </c>
      <c r="G1885" s="21" t="str">
        <f>IFERROR(INDEX(Users!$A$2:$A$310,MATCH(A1885,Users!$B$2:$B$310,0)),"")</f>
        <v>Service B</v>
      </c>
      <c r="H1885" s="21" t="str">
        <f>IFERROR(INDEX(Users!$D$2:$D$310,MATCH(A1885,Users!$B$2:$B$310,0)),"")</f>
        <v>Band 5</v>
      </c>
      <c r="I1885" s="19" t="b">
        <f t="shared" si="88"/>
        <v>0</v>
      </c>
      <c r="J1885" s="33">
        <f t="shared" si="89"/>
        <v>0.8878173628173629</v>
      </c>
    </row>
    <row r="1886" spans="1:10">
      <c r="A1886" s="19" t="s">
        <v>284</v>
      </c>
      <c r="B1886" s="20">
        <v>45931</v>
      </c>
      <c r="C1886" s="21">
        <v>170.20000000000002</v>
      </c>
      <c r="D1886" s="21">
        <v>172.27666666666664</v>
      </c>
      <c r="E1886" s="21">
        <v>89.109999999999971</v>
      </c>
      <c r="F1886" s="27">
        <f t="shared" si="87"/>
        <v>1.0122013317665488</v>
      </c>
      <c r="G1886" s="21" t="str">
        <f>IFERROR(INDEX(Users!$A$2:$A$310,MATCH(A1886,Users!$B$2:$B$310,0)),"")</f>
        <v>Service B</v>
      </c>
      <c r="H1886" s="21" t="str">
        <f>IFERROR(INDEX(Users!$D$2:$D$310,MATCH(A1886,Users!$B$2:$B$310,0)),"")</f>
        <v>Band 5</v>
      </c>
      <c r="I1886" s="19" t="b">
        <f t="shared" si="88"/>
        <v>0</v>
      </c>
      <c r="J1886" s="33">
        <f t="shared" si="89"/>
        <v>1.0122013317665488</v>
      </c>
    </row>
    <row r="1887" spans="1:10">
      <c r="A1887" s="19" t="s">
        <v>284</v>
      </c>
      <c r="B1887" s="20">
        <v>45962</v>
      </c>
      <c r="C1887" s="21">
        <v>148</v>
      </c>
      <c r="D1887" s="21">
        <v>138.80444444444447</v>
      </c>
      <c r="E1887" s="21">
        <v>77.220000000000013</v>
      </c>
      <c r="F1887" s="27">
        <f t="shared" si="87"/>
        <v>0.93786786786786802</v>
      </c>
      <c r="G1887" s="21" t="str">
        <f>IFERROR(INDEX(Users!$A$2:$A$310,MATCH(A1887,Users!$B$2:$B$310,0)),"")</f>
        <v>Service B</v>
      </c>
      <c r="H1887" s="21" t="str">
        <f>IFERROR(INDEX(Users!$D$2:$D$310,MATCH(A1887,Users!$B$2:$B$310,0)),"")</f>
        <v>Band 5</v>
      </c>
      <c r="I1887" s="19" t="b">
        <f t="shared" si="88"/>
        <v>0</v>
      </c>
      <c r="J1887" s="33">
        <f t="shared" si="89"/>
        <v>0.93786786786786802</v>
      </c>
    </row>
    <row r="1888" spans="1:10">
      <c r="A1888" s="19" t="s">
        <v>284</v>
      </c>
      <c r="B1888" s="20">
        <v>45992</v>
      </c>
      <c r="C1888" s="21">
        <v>155.4</v>
      </c>
      <c r="D1888" s="21">
        <v>151.26333333333338</v>
      </c>
      <c r="E1888" s="21">
        <v>81.780000000000044</v>
      </c>
      <c r="F1888" s="27">
        <f t="shared" si="87"/>
        <v>0.97338052338052361</v>
      </c>
      <c r="G1888" s="21" t="str">
        <f>IFERROR(INDEX(Users!$A$2:$A$310,MATCH(A1888,Users!$B$2:$B$310,0)),"")</f>
        <v>Service B</v>
      </c>
      <c r="H1888" s="21" t="str">
        <f>IFERROR(INDEX(Users!$D$2:$D$310,MATCH(A1888,Users!$B$2:$B$310,0)),"")</f>
        <v>Band 5</v>
      </c>
      <c r="I1888" s="19" t="b">
        <f t="shared" si="88"/>
        <v>0</v>
      </c>
      <c r="J1888" s="33">
        <f t="shared" si="89"/>
        <v>0.97338052338052361</v>
      </c>
    </row>
    <row r="1889" spans="1:10">
      <c r="A1889" s="19" t="s">
        <v>284</v>
      </c>
      <c r="B1889" s="20">
        <v>46023</v>
      </c>
      <c r="C1889" s="21">
        <v>155.4</v>
      </c>
      <c r="D1889" s="21">
        <v>99.386666666666684</v>
      </c>
      <c r="E1889" s="21">
        <v>42.220000000000034</v>
      </c>
      <c r="F1889" s="27">
        <f t="shared" si="87"/>
        <v>0.6395538395538396</v>
      </c>
      <c r="G1889" s="21" t="str">
        <f>IFERROR(INDEX(Users!$A$2:$A$310,MATCH(A1889,Users!$B$2:$B$310,0)),"")</f>
        <v>Service B</v>
      </c>
      <c r="H1889" s="21" t="str">
        <f>IFERROR(INDEX(Users!$D$2:$D$310,MATCH(A1889,Users!$B$2:$B$310,0)),"")</f>
        <v>Band 5</v>
      </c>
      <c r="I1889" s="19" t="b">
        <f t="shared" si="88"/>
        <v>0</v>
      </c>
      <c r="J1889" s="33" t="str">
        <f t="shared" si="89"/>
        <v/>
      </c>
    </row>
    <row r="1890" spans="1:10">
      <c r="A1890" s="19" t="s">
        <v>285</v>
      </c>
      <c r="B1890" s="20">
        <v>45658</v>
      </c>
      <c r="C1890" s="21">
        <v>162.80000000000001</v>
      </c>
      <c r="D1890" s="21">
        <v>132.50944444444445</v>
      </c>
      <c r="E1890" s="21">
        <v>58.660000000000011</v>
      </c>
      <c r="F1890" s="27">
        <f t="shared" si="87"/>
        <v>0.81394007644007649</v>
      </c>
      <c r="G1890" s="21" t="str">
        <f>IFERROR(INDEX(Users!$A$2:$A$310,MATCH(A1890,Users!$B$2:$B$310,0)),"")</f>
        <v>Service A</v>
      </c>
      <c r="H1890" s="21" t="str">
        <f>IFERROR(INDEX(Users!$D$2:$D$310,MATCH(A1890,Users!$B$2:$B$310,0)),"")</f>
        <v>Band 5</v>
      </c>
      <c r="I1890" s="19" t="b">
        <f t="shared" si="88"/>
        <v>0</v>
      </c>
      <c r="J1890" s="33" t="str">
        <f t="shared" si="89"/>
        <v/>
      </c>
    </row>
    <row r="1891" spans="1:10">
      <c r="A1891" s="19" t="s">
        <v>285</v>
      </c>
      <c r="B1891" s="20">
        <v>45689</v>
      </c>
      <c r="C1891" s="21">
        <v>111</v>
      </c>
      <c r="D1891" s="21">
        <v>113.44638888888886</v>
      </c>
      <c r="E1891" s="21">
        <v>34.100000000000009</v>
      </c>
      <c r="F1891" s="27">
        <f t="shared" si="87"/>
        <v>1.0220395395395392</v>
      </c>
      <c r="G1891" s="21" t="str">
        <f>IFERROR(INDEX(Users!$A$2:$A$310,MATCH(A1891,Users!$B$2:$B$310,0)),"")</f>
        <v>Service A</v>
      </c>
      <c r="H1891" s="21" t="str">
        <f>IFERROR(INDEX(Users!$D$2:$D$310,MATCH(A1891,Users!$B$2:$B$310,0)),"")</f>
        <v>Band 5</v>
      </c>
      <c r="I1891" s="19" t="b">
        <f t="shared" si="88"/>
        <v>0</v>
      </c>
      <c r="J1891" s="33" t="str">
        <f t="shared" si="89"/>
        <v/>
      </c>
    </row>
    <row r="1892" spans="1:10">
      <c r="A1892" s="19" t="s">
        <v>287</v>
      </c>
      <c r="B1892" s="20">
        <v>45658</v>
      </c>
      <c r="C1892" s="21">
        <v>162.80000000000001</v>
      </c>
      <c r="D1892" s="21">
        <v>132.59</v>
      </c>
      <c r="E1892" s="21">
        <v>88.34</v>
      </c>
      <c r="F1892" s="27">
        <f t="shared" si="87"/>
        <v>0.8144348894348894</v>
      </c>
      <c r="G1892" s="21" t="str">
        <f>IFERROR(INDEX(Users!$A$2:$A$310,MATCH(A1892,Users!$B$2:$B$310,0)),"")</f>
        <v>Service A</v>
      </c>
      <c r="H1892" s="21" t="str">
        <f>IFERROR(INDEX(Users!$D$2:$D$310,MATCH(A1892,Users!$B$2:$B$310,0)),"")</f>
        <v>Band 3</v>
      </c>
      <c r="I1892" s="19" t="b">
        <f t="shared" si="88"/>
        <v>1</v>
      </c>
      <c r="J1892" s="33" t="str">
        <f t="shared" si="89"/>
        <v/>
      </c>
    </row>
    <row r="1893" spans="1:10">
      <c r="A1893" s="19" t="s">
        <v>287</v>
      </c>
      <c r="B1893" s="20">
        <v>45689</v>
      </c>
      <c r="C1893" s="21">
        <v>148</v>
      </c>
      <c r="D1893" s="21">
        <v>115.60666666666667</v>
      </c>
      <c r="E1893" s="21">
        <v>77.44</v>
      </c>
      <c r="F1893" s="27">
        <f t="shared" si="87"/>
        <v>0.7811261261261262</v>
      </c>
      <c r="G1893" s="21" t="str">
        <f>IFERROR(INDEX(Users!$A$2:$A$310,MATCH(A1893,Users!$B$2:$B$310,0)),"")</f>
        <v>Service A</v>
      </c>
      <c r="H1893" s="21" t="str">
        <f>IFERROR(INDEX(Users!$D$2:$D$310,MATCH(A1893,Users!$B$2:$B$310,0)),"")</f>
        <v>Band 3</v>
      </c>
      <c r="I1893" s="19" t="b">
        <f t="shared" si="88"/>
        <v>1</v>
      </c>
      <c r="J1893" s="33" t="str">
        <f t="shared" si="89"/>
        <v/>
      </c>
    </row>
    <row r="1894" spans="1:10">
      <c r="A1894" s="19" t="s">
        <v>287</v>
      </c>
      <c r="B1894" s="20">
        <v>45717</v>
      </c>
      <c r="C1894" s="21">
        <v>155.4</v>
      </c>
      <c r="D1894" s="21">
        <v>156.45000000000002</v>
      </c>
      <c r="E1894" s="21">
        <v>105.45000000000002</v>
      </c>
      <c r="F1894" s="27">
        <f t="shared" si="87"/>
        <v>1.0067567567567568</v>
      </c>
      <c r="G1894" s="21" t="str">
        <f>IFERROR(INDEX(Users!$A$2:$A$310,MATCH(A1894,Users!$B$2:$B$310,0)),"")</f>
        <v>Service A</v>
      </c>
      <c r="H1894" s="21" t="str">
        <f>IFERROR(INDEX(Users!$D$2:$D$310,MATCH(A1894,Users!$B$2:$B$310,0)),"")</f>
        <v>Band 3</v>
      </c>
      <c r="I1894" s="19" t="b">
        <f t="shared" si="88"/>
        <v>1</v>
      </c>
      <c r="J1894" s="33" t="str">
        <f t="shared" si="89"/>
        <v/>
      </c>
    </row>
    <row r="1895" spans="1:10">
      <c r="A1895" s="19" t="s">
        <v>287</v>
      </c>
      <c r="B1895" s="20">
        <v>45748</v>
      </c>
      <c r="C1895" s="21">
        <v>148</v>
      </c>
      <c r="D1895" s="21">
        <v>134.91333333333336</v>
      </c>
      <c r="E1895" s="21">
        <v>96.080000000000013</v>
      </c>
      <c r="F1895" s="27">
        <f t="shared" si="87"/>
        <v>0.91157657657657676</v>
      </c>
      <c r="G1895" s="21" t="str">
        <f>IFERROR(INDEX(Users!$A$2:$A$310,MATCH(A1895,Users!$B$2:$B$310,0)),"")</f>
        <v>Service A</v>
      </c>
      <c r="H1895" s="21" t="str">
        <f>IFERROR(INDEX(Users!$D$2:$D$310,MATCH(A1895,Users!$B$2:$B$310,0)),"")</f>
        <v>Band 3</v>
      </c>
      <c r="I1895" s="19" t="b">
        <f t="shared" si="88"/>
        <v>1</v>
      </c>
      <c r="J1895" s="33" t="str">
        <f t="shared" si="89"/>
        <v/>
      </c>
    </row>
    <row r="1896" spans="1:10">
      <c r="A1896" s="19" t="s">
        <v>287</v>
      </c>
      <c r="B1896" s="20">
        <v>45778</v>
      </c>
      <c r="C1896" s="21">
        <v>148</v>
      </c>
      <c r="D1896" s="21">
        <v>130.10666666666668</v>
      </c>
      <c r="E1896" s="21">
        <v>100.09</v>
      </c>
      <c r="F1896" s="27">
        <f t="shared" si="87"/>
        <v>0.87909909909909922</v>
      </c>
      <c r="G1896" s="21" t="str">
        <f>IFERROR(INDEX(Users!$A$2:$A$310,MATCH(A1896,Users!$B$2:$B$310,0)),"")</f>
        <v>Service A</v>
      </c>
      <c r="H1896" s="21" t="str">
        <f>IFERROR(INDEX(Users!$D$2:$D$310,MATCH(A1896,Users!$B$2:$B$310,0)),"")</f>
        <v>Band 3</v>
      </c>
      <c r="I1896" s="19" t="b">
        <f t="shared" si="88"/>
        <v>1</v>
      </c>
      <c r="J1896" s="33" t="str">
        <f t="shared" si="89"/>
        <v/>
      </c>
    </row>
    <row r="1897" spans="1:10">
      <c r="A1897" s="19" t="s">
        <v>287</v>
      </c>
      <c r="B1897" s="20">
        <v>45809</v>
      </c>
      <c r="C1897" s="21">
        <v>155.4</v>
      </c>
      <c r="D1897" s="21">
        <v>143.67000000000002</v>
      </c>
      <c r="E1897" s="21">
        <v>105.17</v>
      </c>
      <c r="F1897" s="27">
        <f t="shared" si="87"/>
        <v>0.92451737451737459</v>
      </c>
      <c r="G1897" s="21" t="str">
        <f>IFERROR(INDEX(Users!$A$2:$A$310,MATCH(A1897,Users!$B$2:$B$310,0)),"")</f>
        <v>Service A</v>
      </c>
      <c r="H1897" s="21" t="str">
        <f>IFERROR(INDEX(Users!$D$2:$D$310,MATCH(A1897,Users!$B$2:$B$310,0)),"")</f>
        <v>Band 3</v>
      </c>
      <c r="I1897" s="19" t="b">
        <f t="shared" si="88"/>
        <v>1</v>
      </c>
      <c r="J1897" s="33" t="str">
        <f t="shared" si="89"/>
        <v/>
      </c>
    </row>
    <row r="1898" spans="1:10">
      <c r="A1898" s="19" t="s">
        <v>287</v>
      </c>
      <c r="B1898" s="20">
        <v>45839</v>
      </c>
      <c r="C1898" s="21">
        <v>170.20000000000002</v>
      </c>
      <c r="D1898" s="21">
        <v>173.67666666666668</v>
      </c>
      <c r="E1898" s="21">
        <v>137.51</v>
      </c>
      <c r="F1898" s="27">
        <f t="shared" si="87"/>
        <v>1.0204269486878181</v>
      </c>
      <c r="G1898" s="21" t="str">
        <f>IFERROR(INDEX(Users!$A$2:$A$310,MATCH(A1898,Users!$B$2:$B$310,0)),"")</f>
        <v>Service A</v>
      </c>
      <c r="H1898" s="21" t="str">
        <f>IFERROR(INDEX(Users!$D$2:$D$310,MATCH(A1898,Users!$B$2:$B$310,0)),"")</f>
        <v>Band 3</v>
      </c>
      <c r="I1898" s="19" t="b">
        <f t="shared" si="88"/>
        <v>1</v>
      </c>
      <c r="J1898" s="33" t="str">
        <f t="shared" si="89"/>
        <v/>
      </c>
    </row>
    <row r="1899" spans="1:10">
      <c r="A1899" s="19" t="s">
        <v>287</v>
      </c>
      <c r="B1899" s="20">
        <v>45870</v>
      </c>
      <c r="C1899" s="21">
        <v>148</v>
      </c>
      <c r="D1899" s="21">
        <v>122.00333333333333</v>
      </c>
      <c r="E1899" s="21">
        <v>104.67</v>
      </c>
      <c r="F1899" s="27">
        <f t="shared" si="87"/>
        <v>0.82434684684684678</v>
      </c>
      <c r="G1899" s="21" t="str">
        <f>IFERROR(INDEX(Users!$A$2:$A$310,MATCH(A1899,Users!$B$2:$B$310,0)),"")</f>
        <v>Service A</v>
      </c>
      <c r="H1899" s="21" t="str">
        <f>IFERROR(INDEX(Users!$D$2:$D$310,MATCH(A1899,Users!$B$2:$B$310,0)),"")</f>
        <v>Band 3</v>
      </c>
      <c r="I1899" s="19" t="b">
        <f t="shared" si="88"/>
        <v>1</v>
      </c>
      <c r="J1899" s="33" t="str">
        <f t="shared" si="89"/>
        <v/>
      </c>
    </row>
    <row r="1900" spans="1:10">
      <c r="A1900" s="19" t="s">
        <v>287</v>
      </c>
      <c r="B1900" s="20">
        <v>45901</v>
      </c>
      <c r="C1900" s="21">
        <v>162.80000000000001</v>
      </c>
      <c r="D1900" s="21">
        <v>165.24666666666664</v>
      </c>
      <c r="E1900" s="21">
        <v>146.07999999999998</v>
      </c>
      <c r="F1900" s="27">
        <f t="shared" si="87"/>
        <v>1.0150286650286648</v>
      </c>
      <c r="G1900" s="21" t="str">
        <f>IFERROR(INDEX(Users!$A$2:$A$310,MATCH(A1900,Users!$B$2:$B$310,0)),"")</f>
        <v>Service A</v>
      </c>
      <c r="H1900" s="21" t="str">
        <f>IFERROR(INDEX(Users!$D$2:$D$310,MATCH(A1900,Users!$B$2:$B$310,0)),"")</f>
        <v>Band 3</v>
      </c>
      <c r="I1900" s="19" t="b">
        <f t="shared" si="88"/>
        <v>1</v>
      </c>
      <c r="J1900" s="33" t="str">
        <f t="shared" si="89"/>
        <v/>
      </c>
    </row>
    <row r="1901" spans="1:10">
      <c r="A1901" s="19" t="s">
        <v>287</v>
      </c>
      <c r="B1901" s="20">
        <v>45931</v>
      </c>
      <c r="C1901" s="21">
        <v>170.20000000000002</v>
      </c>
      <c r="D1901" s="21">
        <v>161.66333333333333</v>
      </c>
      <c r="E1901" s="21">
        <v>141.82999999999998</v>
      </c>
      <c r="F1901" s="27">
        <f t="shared" si="87"/>
        <v>0.94984332158245188</v>
      </c>
      <c r="G1901" s="21" t="str">
        <f>IFERROR(INDEX(Users!$A$2:$A$310,MATCH(A1901,Users!$B$2:$B$310,0)),"")</f>
        <v>Service A</v>
      </c>
      <c r="H1901" s="21" t="str">
        <f>IFERROR(INDEX(Users!$D$2:$D$310,MATCH(A1901,Users!$B$2:$B$310,0)),"")</f>
        <v>Band 3</v>
      </c>
      <c r="I1901" s="19" t="b">
        <f t="shared" si="88"/>
        <v>1</v>
      </c>
      <c r="J1901" s="33" t="str">
        <f t="shared" si="89"/>
        <v/>
      </c>
    </row>
    <row r="1902" spans="1:10">
      <c r="A1902" s="19" t="s">
        <v>287</v>
      </c>
      <c r="B1902" s="20">
        <v>45962</v>
      </c>
      <c r="C1902" s="21">
        <v>148</v>
      </c>
      <c r="D1902" s="21">
        <v>111.99666666666667</v>
      </c>
      <c r="E1902" s="21">
        <v>106.33</v>
      </c>
      <c r="F1902" s="27">
        <f t="shared" si="87"/>
        <v>0.75673423423423425</v>
      </c>
      <c r="G1902" s="21" t="str">
        <f>IFERROR(INDEX(Users!$A$2:$A$310,MATCH(A1902,Users!$B$2:$B$310,0)),"")</f>
        <v>Service A</v>
      </c>
      <c r="H1902" s="21" t="str">
        <f>IFERROR(INDEX(Users!$D$2:$D$310,MATCH(A1902,Users!$B$2:$B$310,0)),"")</f>
        <v>Band 3</v>
      </c>
      <c r="I1902" s="19" t="b">
        <f t="shared" si="88"/>
        <v>1</v>
      </c>
      <c r="J1902" s="33" t="str">
        <f t="shared" si="89"/>
        <v/>
      </c>
    </row>
    <row r="1903" spans="1:10">
      <c r="A1903" s="19" t="s">
        <v>287</v>
      </c>
      <c r="B1903" s="20">
        <v>45992</v>
      </c>
      <c r="C1903" s="21">
        <v>155.4</v>
      </c>
      <c r="D1903" s="21">
        <v>68.5</v>
      </c>
      <c r="E1903" s="21">
        <v>58.5</v>
      </c>
      <c r="F1903" s="27">
        <f t="shared" si="87"/>
        <v>0.44079794079794077</v>
      </c>
      <c r="G1903" s="21" t="str">
        <f>IFERROR(INDEX(Users!$A$2:$A$310,MATCH(A1903,Users!$B$2:$B$310,0)),"")</f>
        <v>Service A</v>
      </c>
      <c r="H1903" s="21" t="str">
        <f>IFERROR(INDEX(Users!$D$2:$D$310,MATCH(A1903,Users!$B$2:$B$310,0)),"")</f>
        <v>Band 3</v>
      </c>
      <c r="I1903" s="19" t="b">
        <f t="shared" si="88"/>
        <v>1</v>
      </c>
      <c r="J1903" s="33" t="str">
        <f t="shared" si="89"/>
        <v/>
      </c>
    </row>
    <row r="1904" spans="1:10">
      <c r="A1904" s="19" t="s">
        <v>287</v>
      </c>
      <c r="B1904" s="20">
        <v>46023</v>
      </c>
      <c r="C1904" s="21">
        <v>155.4</v>
      </c>
      <c r="D1904" s="21">
        <v>130</v>
      </c>
      <c r="E1904" s="21">
        <v>114</v>
      </c>
      <c r="F1904" s="27">
        <f t="shared" si="87"/>
        <v>0.83655083655083651</v>
      </c>
      <c r="G1904" s="21" t="str">
        <f>IFERROR(INDEX(Users!$A$2:$A$310,MATCH(A1904,Users!$B$2:$B$310,0)),"")</f>
        <v>Service A</v>
      </c>
      <c r="H1904" s="21" t="str">
        <f>IFERROR(INDEX(Users!$D$2:$D$310,MATCH(A1904,Users!$B$2:$B$310,0)),"")</f>
        <v>Band 3</v>
      </c>
      <c r="I1904" s="19" t="b">
        <f t="shared" si="88"/>
        <v>1</v>
      </c>
      <c r="J1904" s="33" t="str">
        <f t="shared" si="89"/>
        <v/>
      </c>
    </row>
    <row r="1905" spans="1:10">
      <c r="A1905" s="19" t="s">
        <v>288</v>
      </c>
      <c r="B1905" s="20">
        <v>45658</v>
      </c>
      <c r="C1905" s="21">
        <v>162.80000000000001</v>
      </c>
      <c r="D1905" s="21">
        <v>122.16333333333336</v>
      </c>
      <c r="E1905" s="21">
        <v>33.08</v>
      </c>
      <c r="F1905" s="27">
        <f t="shared" si="87"/>
        <v>0.75038902538902552</v>
      </c>
      <c r="G1905" s="21" t="str">
        <f>IFERROR(INDEX(Users!$A$2:$A$310,MATCH(A1905,Users!$B$2:$B$310,0)),"")</f>
        <v>Service A</v>
      </c>
      <c r="H1905" s="21" t="str">
        <f>IFERROR(INDEX(Users!$D$2:$D$310,MATCH(A1905,Users!$B$2:$B$310,0)),"")</f>
        <v>Band 5</v>
      </c>
      <c r="I1905" s="19" t="b">
        <f t="shared" si="88"/>
        <v>0</v>
      </c>
      <c r="J1905" s="33" t="str">
        <f t="shared" si="89"/>
        <v/>
      </c>
    </row>
    <row r="1906" spans="1:10">
      <c r="A1906" s="19" t="s">
        <v>288</v>
      </c>
      <c r="B1906" s="20">
        <v>45689</v>
      </c>
      <c r="C1906" s="21">
        <v>148</v>
      </c>
      <c r="D1906" s="21">
        <v>147.93666666666667</v>
      </c>
      <c r="E1906" s="21">
        <v>51.77</v>
      </c>
      <c r="F1906" s="27">
        <f t="shared" si="87"/>
        <v>0.9995720720720721</v>
      </c>
      <c r="G1906" s="21" t="str">
        <f>IFERROR(INDEX(Users!$A$2:$A$310,MATCH(A1906,Users!$B$2:$B$310,0)),"")</f>
        <v>Service A</v>
      </c>
      <c r="H1906" s="21" t="str">
        <f>IFERROR(INDEX(Users!$D$2:$D$310,MATCH(A1906,Users!$B$2:$B$310,0)),"")</f>
        <v>Band 5</v>
      </c>
      <c r="I1906" s="19" t="b">
        <f t="shared" si="88"/>
        <v>0</v>
      </c>
      <c r="J1906" s="33" t="str">
        <f t="shared" si="89"/>
        <v/>
      </c>
    </row>
    <row r="1907" spans="1:10">
      <c r="A1907" s="19" t="s">
        <v>288</v>
      </c>
      <c r="B1907" s="20">
        <v>45717</v>
      </c>
      <c r="C1907" s="21">
        <v>155.4</v>
      </c>
      <c r="D1907" s="21">
        <v>147.72999999999999</v>
      </c>
      <c r="E1907" s="21">
        <v>78.929999999999993</v>
      </c>
      <c r="F1907" s="27">
        <f t="shared" si="87"/>
        <v>0.95064350064350056</v>
      </c>
      <c r="G1907" s="21" t="str">
        <f>IFERROR(INDEX(Users!$A$2:$A$310,MATCH(A1907,Users!$B$2:$B$310,0)),"")</f>
        <v>Service A</v>
      </c>
      <c r="H1907" s="21" t="str">
        <f>IFERROR(INDEX(Users!$D$2:$D$310,MATCH(A1907,Users!$B$2:$B$310,0)),"")</f>
        <v>Band 5</v>
      </c>
      <c r="I1907" s="19" t="b">
        <f t="shared" si="88"/>
        <v>0</v>
      </c>
      <c r="J1907" s="33" t="str">
        <f t="shared" si="89"/>
        <v/>
      </c>
    </row>
    <row r="1908" spans="1:10">
      <c r="A1908" s="19" t="s">
        <v>288</v>
      </c>
      <c r="B1908" s="20">
        <v>45748</v>
      </c>
      <c r="C1908" s="21">
        <v>148</v>
      </c>
      <c r="D1908" s="21">
        <v>119.12333333333332</v>
      </c>
      <c r="E1908" s="21">
        <v>48.94</v>
      </c>
      <c r="F1908" s="27">
        <f t="shared" si="87"/>
        <v>0.8048873873873873</v>
      </c>
      <c r="G1908" s="21" t="str">
        <f>IFERROR(INDEX(Users!$A$2:$A$310,MATCH(A1908,Users!$B$2:$B$310,0)),"")</f>
        <v>Service A</v>
      </c>
      <c r="H1908" s="21" t="str">
        <f>IFERROR(INDEX(Users!$D$2:$D$310,MATCH(A1908,Users!$B$2:$B$310,0)),"")</f>
        <v>Band 5</v>
      </c>
      <c r="I1908" s="19" t="b">
        <f t="shared" si="88"/>
        <v>0</v>
      </c>
      <c r="J1908" s="33" t="str">
        <f t="shared" si="89"/>
        <v/>
      </c>
    </row>
    <row r="1909" spans="1:10">
      <c r="A1909" s="19" t="s">
        <v>288</v>
      </c>
      <c r="B1909" s="20">
        <v>45778</v>
      </c>
      <c r="C1909" s="21">
        <v>148</v>
      </c>
      <c r="D1909" s="21">
        <v>147.50333333333333</v>
      </c>
      <c r="E1909" s="21">
        <v>101.32</v>
      </c>
      <c r="F1909" s="27">
        <f t="shared" si="87"/>
        <v>0.99664414414414415</v>
      </c>
      <c r="G1909" s="21" t="str">
        <f>IFERROR(INDEX(Users!$A$2:$A$310,MATCH(A1909,Users!$B$2:$B$310,0)),"")</f>
        <v>Service A</v>
      </c>
      <c r="H1909" s="21" t="str">
        <f>IFERROR(INDEX(Users!$D$2:$D$310,MATCH(A1909,Users!$B$2:$B$310,0)),"")</f>
        <v>Band 5</v>
      </c>
      <c r="I1909" s="19" t="b">
        <f t="shared" si="88"/>
        <v>0</v>
      </c>
      <c r="J1909" s="33" t="str">
        <f t="shared" si="89"/>
        <v/>
      </c>
    </row>
    <row r="1910" spans="1:10">
      <c r="A1910" s="19" t="s">
        <v>288</v>
      </c>
      <c r="B1910" s="20">
        <v>45809</v>
      </c>
      <c r="C1910" s="21">
        <v>155.4</v>
      </c>
      <c r="D1910" s="21">
        <v>137.15333333333334</v>
      </c>
      <c r="E1910" s="21">
        <v>88.27000000000001</v>
      </c>
      <c r="F1910" s="27">
        <f t="shared" si="87"/>
        <v>0.8825825825825826</v>
      </c>
      <c r="G1910" s="21" t="str">
        <f>IFERROR(INDEX(Users!$A$2:$A$310,MATCH(A1910,Users!$B$2:$B$310,0)),"")</f>
        <v>Service A</v>
      </c>
      <c r="H1910" s="21" t="str">
        <f>IFERROR(INDEX(Users!$D$2:$D$310,MATCH(A1910,Users!$B$2:$B$310,0)),"")</f>
        <v>Band 5</v>
      </c>
      <c r="I1910" s="19" t="b">
        <f t="shared" si="88"/>
        <v>0</v>
      </c>
      <c r="J1910" s="33" t="str">
        <f t="shared" si="89"/>
        <v/>
      </c>
    </row>
    <row r="1911" spans="1:10">
      <c r="A1911" s="19" t="s">
        <v>288</v>
      </c>
      <c r="B1911" s="20">
        <v>45839</v>
      </c>
      <c r="C1911" s="21">
        <v>170.20000000000002</v>
      </c>
      <c r="D1911" s="21">
        <v>129.54333333333335</v>
      </c>
      <c r="E1911" s="21">
        <v>66.360000000000014</v>
      </c>
      <c r="F1911" s="27">
        <f t="shared" si="87"/>
        <v>0.76112416764590685</v>
      </c>
      <c r="G1911" s="21" t="str">
        <f>IFERROR(INDEX(Users!$A$2:$A$310,MATCH(A1911,Users!$B$2:$B$310,0)),"")</f>
        <v>Service A</v>
      </c>
      <c r="H1911" s="21" t="str">
        <f>IFERROR(INDEX(Users!$D$2:$D$310,MATCH(A1911,Users!$B$2:$B$310,0)),"")</f>
        <v>Band 5</v>
      </c>
      <c r="I1911" s="19" t="b">
        <f t="shared" si="88"/>
        <v>0</v>
      </c>
      <c r="J1911" s="33" t="str">
        <f t="shared" si="89"/>
        <v/>
      </c>
    </row>
    <row r="1912" spans="1:10">
      <c r="A1912" s="19" t="s">
        <v>288</v>
      </c>
      <c r="B1912" s="20">
        <v>45870</v>
      </c>
      <c r="C1912" s="21">
        <v>148</v>
      </c>
      <c r="D1912" s="21">
        <v>137.38333333333333</v>
      </c>
      <c r="E1912" s="21">
        <v>70.349999999999994</v>
      </c>
      <c r="F1912" s="27">
        <f t="shared" si="87"/>
        <v>0.92826576576576569</v>
      </c>
      <c r="G1912" s="21" t="str">
        <f>IFERROR(INDEX(Users!$A$2:$A$310,MATCH(A1912,Users!$B$2:$B$310,0)),"")</f>
        <v>Service A</v>
      </c>
      <c r="H1912" s="21" t="str">
        <f>IFERROR(INDEX(Users!$D$2:$D$310,MATCH(A1912,Users!$B$2:$B$310,0)),"")</f>
        <v>Band 5</v>
      </c>
      <c r="I1912" s="19" t="b">
        <f t="shared" si="88"/>
        <v>0</v>
      </c>
      <c r="J1912" s="33" t="str">
        <f t="shared" si="89"/>
        <v/>
      </c>
    </row>
    <row r="1913" spans="1:10">
      <c r="A1913" s="19" t="s">
        <v>288</v>
      </c>
      <c r="B1913" s="20">
        <v>45901</v>
      </c>
      <c r="C1913" s="21">
        <v>162.80000000000001</v>
      </c>
      <c r="D1913" s="21">
        <v>144.80666666666667</v>
      </c>
      <c r="E1913" s="21">
        <v>99.59</v>
      </c>
      <c r="F1913" s="27">
        <f t="shared" si="87"/>
        <v>0.88947583947583941</v>
      </c>
      <c r="G1913" s="21" t="str">
        <f>IFERROR(INDEX(Users!$A$2:$A$310,MATCH(A1913,Users!$B$2:$B$310,0)),"")</f>
        <v>Service A</v>
      </c>
      <c r="H1913" s="21" t="str">
        <f>IFERROR(INDEX(Users!$D$2:$D$310,MATCH(A1913,Users!$B$2:$B$310,0)),"")</f>
        <v>Band 5</v>
      </c>
      <c r="I1913" s="19" t="b">
        <f t="shared" si="88"/>
        <v>0</v>
      </c>
      <c r="J1913" s="33" t="str">
        <f t="shared" si="89"/>
        <v/>
      </c>
    </row>
    <row r="1914" spans="1:10">
      <c r="A1914" s="19" t="s">
        <v>288</v>
      </c>
      <c r="B1914" s="20">
        <v>45931</v>
      </c>
      <c r="C1914" s="21">
        <v>170.20000000000002</v>
      </c>
      <c r="D1914" s="21">
        <v>137.57666666666665</v>
      </c>
      <c r="E1914" s="21">
        <v>81.109999999999985</v>
      </c>
      <c r="F1914" s="27">
        <f t="shared" si="87"/>
        <v>0.80832354093223646</v>
      </c>
      <c r="G1914" s="21" t="str">
        <f>IFERROR(INDEX(Users!$A$2:$A$310,MATCH(A1914,Users!$B$2:$B$310,0)),"")</f>
        <v>Service A</v>
      </c>
      <c r="H1914" s="21" t="str">
        <f>IFERROR(INDEX(Users!$D$2:$D$310,MATCH(A1914,Users!$B$2:$B$310,0)),"")</f>
        <v>Band 5</v>
      </c>
      <c r="I1914" s="19" t="b">
        <f t="shared" si="88"/>
        <v>0</v>
      </c>
      <c r="J1914" s="33" t="str">
        <f t="shared" si="89"/>
        <v/>
      </c>
    </row>
    <row r="1915" spans="1:10">
      <c r="A1915" s="19" t="s">
        <v>288</v>
      </c>
      <c r="B1915" s="20">
        <v>45962</v>
      </c>
      <c r="C1915" s="21">
        <v>148</v>
      </c>
      <c r="D1915" s="21">
        <v>147.55000000000001</v>
      </c>
      <c r="E1915" s="21">
        <v>81.45</v>
      </c>
      <c r="F1915" s="27">
        <f t="shared" si="87"/>
        <v>0.99695945945945952</v>
      </c>
      <c r="G1915" s="21" t="str">
        <f>IFERROR(INDEX(Users!$A$2:$A$310,MATCH(A1915,Users!$B$2:$B$310,0)),"")</f>
        <v>Service A</v>
      </c>
      <c r="H1915" s="21" t="str">
        <f>IFERROR(INDEX(Users!$D$2:$D$310,MATCH(A1915,Users!$B$2:$B$310,0)),"")</f>
        <v>Band 5</v>
      </c>
      <c r="I1915" s="19" t="b">
        <f t="shared" si="88"/>
        <v>0</v>
      </c>
      <c r="J1915" s="33" t="str">
        <f t="shared" si="89"/>
        <v/>
      </c>
    </row>
    <row r="1916" spans="1:10">
      <c r="A1916" s="19" t="s">
        <v>288</v>
      </c>
      <c r="B1916" s="20">
        <v>45992</v>
      </c>
      <c r="C1916" s="21">
        <v>155.4</v>
      </c>
      <c r="D1916" s="21">
        <v>141.21333333333334</v>
      </c>
      <c r="E1916" s="21">
        <v>80.48</v>
      </c>
      <c r="F1916" s="27">
        <f t="shared" si="87"/>
        <v>0.90870870870870868</v>
      </c>
      <c r="G1916" s="21" t="str">
        <f>IFERROR(INDEX(Users!$A$2:$A$310,MATCH(A1916,Users!$B$2:$B$310,0)),"")</f>
        <v>Service A</v>
      </c>
      <c r="H1916" s="21" t="str">
        <f>IFERROR(INDEX(Users!$D$2:$D$310,MATCH(A1916,Users!$B$2:$B$310,0)),"")</f>
        <v>Band 5</v>
      </c>
      <c r="I1916" s="19" t="b">
        <f t="shared" si="88"/>
        <v>0</v>
      </c>
      <c r="J1916" s="33" t="str">
        <f t="shared" si="89"/>
        <v/>
      </c>
    </row>
    <row r="1917" spans="1:10">
      <c r="A1917" s="19" t="s">
        <v>288</v>
      </c>
      <c r="B1917" s="20">
        <v>46023</v>
      </c>
      <c r="C1917" s="21">
        <v>155.4</v>
      </c>
      <c r="D1917" s="21">
        <v>148.66000000000003</v>
      </c>
      <c r="E1917" s="21">
        <v>72.760000000000005</v>
      </c>
      <c r="F1917" s="27">
        <f t="shared" si="87"/>
        <v>0.95662805662805672</v>
      </c>
      <c r="G1917" s="21" t="str">
        <f>IFERROR(INDEX(Users!$A$2:$A$310,MATCH(A1917,Users!$B$2:$B$310,0)),"")</f>
        <v>Service A</v>
      </c>
      <c r="H1917" s="21" t="str">
        <f>IFERROR(INDEX(Users!$D$2:$D$310,MATCH(A1917,Users!$B$2:$B$310,0)),"")</f>
        <v>Band 5</v>
      </c>
      <c r="I1917" s="19" t="b">
        <f t="shared" si="88"/>
        <v>0</v>
      </c>
      <c r="J1917" s="33" t="str">
        <f t="shared" si="89"/>
        <v/>
      </c>
    </row>
    <row r="1918" spans="1:10">
      <c r="A1918" s="19" t="s">
        <v>289</v>
      </c>
      <c r="B1918" s="20">
        <v>45689</v>
      </c>
      <c r="C1918" s="21">
        <v>37</v>
      </c>
      <c r="D1918" s="21">
        <v>1.0044444444444445</v>
      </c>
      <c r="E1918" s="21">
        <v>1</v>
      </c>
      <c r="F1918" s="27">
        <f t="shared" si="87"/>
        <v>2.7147147147147149E-2</v>
      </c>
      <c r="G1918" s="21" t="str">
        <f>IFERROR(INDEX(Users!$A$2:$A$310,MATCH(A1918,Users!$B$2:$B$310,0)),"")</f>
        <v>Service B</v>
      </c>
      <c r="H1918" s="21" t="str">
        <f>IFERROR(INDEX(Users!$D$2:$D$310,MATCH(A1918,Users!$B$2:$B$310,0)),"")</f>
        <v>Band 3</v>
      </c>
      <c r="I1918" s="19" t="b">
        <f t="shared" si="88"/>
        <v>0</v>
      </c>
      <c r="J1918" s="33">
        <f t="shared" si="89"/>
        <v>2.7147147147147149E-2</v>
      </c>
    </row>
    <row r="1919" spans="1:10">
      <c r="A1919" s="19" t="s">
        <v>289</v>
      </c>
      <c r="B1919" s="20">
        <v>45717</v>
      </c>
      <c r="C1919" s="21">
        <v>155.4</v>
      </c>
      <c r="D1919" s="21">
        <v>0.25</v>
      </c>
      <c r="E1919" s="21">
        <v>0.25</v>
      </c>
      <c r="F1919" s="27">
        <f t="shared" si="87"/>
        <v>1.6087516087516086E-3</v>
      </c>
      <c r="G1919" s="21" t="str">
        <f>IFERROR(INDEX(Users!$A$2:$A$310,MATCH(A1919,Users!$B$2:$B$310,0)),"")</f>
        <v>Service B</v>
      </c>
      <c r="H1919" s="21" t="str">
        <f>IFERROR(INDEX(Users!$D$2:$D$310,MATCH(A1919,Users!$B$2:$B$310,0)),"")</f>
        <v>Band 3</v>
      </c>
      <c r="I1919" s="19" t="b">
        <f t="shared" si="88"/>
        <v>0</v>
      </c>
      <c r="J1919" s="33">
        <f t="shared" si="89"/>
        <v>1.6087516087516086E-3</v>
      </c>
    </row>
    <row r="1920" spans="1:10">
      <c r="A1920" s="19" t="s">
        <v>289</v>
      </c>
      <c r="B1920" s="20">
        <v>45748</v>
      </c>
      <c r="C1920" s="21">
        <v>148</v>
      </c>
      <c r="D1920" s="21">
        <v>19.259999999999998</v>
      </c>
      <c r="E1920" s="21">
        <v>19.259999999999998</v>
      </c>
      <c r="F1920" s="27">
        <f t="shared" si="87"/>
        <v>0.13013513513513511</v>
      </c>
      <c r="G1920" s="21" t="str">
        <f>IFERROR(INDEX(Users!$A$2:$A$310,MATCH(A1920,Users!$B$2:$B$310,0)),"")</f>
        <v>Service B</v>
      </c>
      <c r="H1920" s="21" t="str">
        <f>IFERROR(INDEX(Users!$D$2:$D$310,MATCH(A1920,Users!$B$2:$B$310,0)),"")</f>
        <v>Band 3</v>
      </c>
      <c r="I1920" s="19" t="b">
        <f t="shared" si="88"/>
        <v>0</v>
      </c>
      <c r="J1920" s="33">
        <f t="shared" si="89"/>
        <v>0.13013513513513511</v>
      </c>
    </row>
    <row r="1921" spans="1:10">
      <c r="A1921" s="19" t="s">
        <v>289</v>
      </c>
      <c r="B1921" s="20">
        <v>45778</v>
      </c>
      <c r="C1921" s="21">
        <v>148</v>
      </c>
      <c r="D1921" s="21">
        <v>40.520000000000003</v>
      </c>
      <c r="E1921" s="21">
        <v>40.520000000000003</v>
      </c>
      <c r="F1921" s="27">
        <f t="shared" si="87"/>
        <v>0.27378378378378382</v>
      </c>
      <c r="G1921" s="21" t="str">
        <f>IFERROR(INDEX(Users!$A$2:$A$310,MATCH(A1921,Users!$B$2:$B$310,0)),"")</f>
        <v>Service B</v>
      </c>
      <c r="H1921" s="21" t="str">
        <f>IFERROR(INDEX(Users!$D$2:$D$310,MATCH(A1921,Users!$B$2:$B$310,0)),"")</f>
        <v>Band 3</v>
      </c>
      <c r="I1921" s="19" t="b">
        <f t="shared" si="88"/>
        <v>0</v>
      </c>
      <c r="J1921" s="33">
        <f t="shared" si="89"/>
        <v>0.27378378378378382</v>
      </c>
    </row>
    <row r="1922" spans="1:10">
      <c r="A1922" s="19" t="s">
        <v>289</v>
      </c>
      <c r="B1922" s="20">
        <v>45809</v>
      </c>
      <c r="C1922" s="21">
        <v>155.4</v>
      </c>
      <c r="D1922" s="21">
        <v>21.28</v>
      </c>
      <c r="E1922" s="21">
        <v>21.28</v>
      </c>
      <c r="F1922" s="27">
        <f t="shared" ref="F1922:F1985" si="90">IFERROR(IF(OR(C1922="",D1922="",C1922=0),"",D1922/C1922),"")</f>
        <v>0.13693693693693693</v>
      </c>
      <c r="G1922" s="21" t="str">
        <f>IFERROR(INDEX(Users!$A$2:$A$310,MATCH(A1922,Users!$B$2:$B$310,0)),"")</f>
        <v>Service B</v>
      </c>
      <c r="H1922" s="21" t="str">
        <f>IFERROR(INDEX(Users!$D$2:$D$310,MATCH(A1922,Users!$B$2:$B$310,0)),"")</f>
        <v>Band 3</v>
      </c>
      <c r="I1922" s="19" t="b">
        <f t="shared" ref="I1922:I1985" si="91">AND(G1922="Service A",H1922="Band 3")</f>
        <v>0</v>
      </c>
      <c r="J1922" s="33">
        <f t="shared" ref="J1922:J1985" si="92">IF(AND(B1922&gt;=DATE(2025,1,1),B1922&lt;DATE(2026,1,1),G1922="Service B",OR(H1922="Band 3",H1922="Band 5"),ISNUMBER(F1922)),F1922,"")</f>
        <v>0.13693693693693693</v>
      </c>
    </row>
    <row r="1923" spans="1:10">
      <c r="A1923" s="19" t="s">
        <v>289</v>
      </c>
      <c r="B1923" s="20">
        <v>45839</v>
      </c>
      <c r="C1923" s="21">
        <v>170.20000000000002</v>
      </c>
      <c r="D1923" s="21">
        <v>138.77972222222223</v>
      </c>
      <c r="E1923" s="21">
        <v>65.970000000000027</v>
      </c>
      <c r="F1923" s="27">
        <f t="shared" si="90"/>
        <v>0.81539202245723985</v>
      </c>
      <c r="G1923" s="21" t="str">
        <f>IFERROR(INDEX(Users!$A$2:$A$310,MATCH(A1923,Users!$B$2:$B$310,0)),"")</f>
        <v>Service B</v>
      </c>
      <c r="H1923" s="21" t="str">
        <f>IFERROR(INDEX(Users!$D$2:$D$310,MATCH(A1923,Users!$B$2:$B$310,0)),"")</f>
        <v>Band 3</v>
      </c>
      <c r="I1923" s="19" t="b">
        <f t="shared" si="91"/>
        <v>0</v>
      </c>
      <c r="J1923" s="33">
        <f t="shared" si="92"/>
        <v>0.81539202245723985</v>
      </c>
    </row>
    <row r="1924" spans="1:10">
      <c r="A1924" s="19" t="s">
        <v>289</v>
      </c>
      <c r="B1924" s="20">
        <v>45870</v>
      </c>
      <c r="C1924" s="21">
        <v>148</v>
      </c>
      <c r="D1924" s="21">
        <v>126.85111111111104</v>
      </c>
      <c r="E1924" s="21">
        <v>72.199999999999932</v>
      </c>
      <c r="F1924" s="27">
        <f t="shared" si="90"/>
        <v>0.85710210210210158</v>
      </c>
      <c r="G1924" s="21" t="str">
        <f>IFERROR(INDEX(Users!$A$2:$A$310,MATCH(A1924,Users!$B$2:$B$310,0)),"")</f>
        <v>Service B</v>
      </c>
      <c r="H1924" s="21" t="str">
        <f>IFERROR(INDEX(Users!$D$2:$D$310,MATCH(A1924,Users!$B$2:$B$310,0)),"")</f>
        <v>Band 3</v>
      </c>
      <c r="I1924" s="19" t="b">
        <f t="shared" si="91"/>
        <v>0</v>
      </c>
      <c r="J1924" s="33">
        <f t="shared" si="92"/>
        <v>0.85710210210210158</v>
      </c>
    </row>
    <row r="1925" spans="1:10">
      <c r="A1925" s="19" t="s">
        <v>289</v>
      </c>
      <c r="B1925" s="20">
        <v>45901</v>
      </c>
      <c r="C1925" s="21">
        <v>162.80000000000001</v>
      </c>
      <c r="D1925" s="21">
        <v>153.67333333333335</v>
      </c>
      <c r="E1925" s="21">
        <v>76.09</v>
      </c>
      <c r="F1925" s="27">
        <f t="shared" si="90"/>
        <v>0.94393939393939397</v>
      </c>
      <c r="G1925" s="21" t="str">
        <f>IFERROR(INDEX(Users!$A$2:$A$310,MATCH(A1925,Users!$B$2:$B$310,0)),"")</f>
        <v>Service B</v>
      </c>
      <c r="H1925" s="21" t="str">
        <f>IFERROR(INDEX(Users!$D$2:$D$310,MATCH(A1925,Users!$B$2:$B$310,0)),"")</f>
        <v>Band 3</v>
      </c>
      <c r="I1925" s="19" t="b">
        <f t="shared" si="91"/>
        <v>0</v>
      </c>
      <c r="J1925" s="33">
        <f t="shared" si="92"/>
        <v>0.94393939393939397</v>
      </c>
    </row>
    <row r="1926" spans="1:10">
      <c r="A1926" s="19" t="s">
        <v>289</v>
      </c>
      <c r="B1926" s="20">
        <v>45931</v>
      </c>
      <c r="C1926" s="21">
        <v>170.20000000000002</v>
      </c>
      <c r="D1926" s="21">
        <v>169.41333333333327</v>
      </c>
      <c r="E1926" s="21">
        <v>97.479999999999933</v>
      </c>
      <c r="F1926" s="27">
        <f t="shared" si="90"/>
        <v>0.99537798668233402</v>
      </c>
      <c r="G1926" s="21" t="str">
        <f>IFERROR(INDEX(Users!$A$2:$A$310,MATCH(A1926,Users!$B$2:$B$310,0)),"")</f>
        <v>Service B</v>
      </c>
      <c r="H1926" s="21" t="str">
        <f>IFERROR(INDEX(Users!$D$2:$D$310,MATCH(A1926,Users!$B$2:$B$310,0)),"")</f>
        <v>Band 3</v>
      </c>
      <c r="I1926" s="19" t="b">
        <f t="shared" si="91"/>
        <v>0</v>
      </c>
      <c r="J1926" s="33">
        <f t="shared" si="92"/>
        <v>0.99537798668233402</v>
      </c>
    </row>
    <row r="1927" spans="1:10">
      <c r="A1927" s="19" t="s">
        <v>289</v>
      </c>
      <c r="B1927" s="20">
        <v>45962</v>
      </c>
      <c r="C1927" s="21">
        <v>148</v>
      </c>
      <c r="D1927" s="21">
        <v>146.56999999999996</v>
      </c>
      <c r="E1927" s="21">
        <v>86.469999999999956</v>
      </c>
      <c r="F1927" s="27">
        <f t="shared" si="90"/>
        <v>0.99033783783783758</v>
      </c>
      <c r="G1927" s="21" t="str">
        <f>IFERROR(INDEX(Users!$A$2:$A$310,MATCH(A1927,Users!$B$2:$B$310,0)),"")</f>
        <v>Service B</v>
      </c>
      <c r="H1927" s="21" t="str">
        <f>IFERROR(INDEX(Users!$D$2:$D$310,MATCH(A1927,Users!$B$2:$B$310,0)),"")</f>
        <v>Band 3</v>
      </c>
      <c r="I1927" s="19" t="b">
        <f t="shared" si="91"/>
        <v>0</v>
      </c>
      <c r="J1927" s="33">
        <f t="shared" si="92"/>
        <v>0.99033783783783758</v>
      </c>
    </row>
    <row r="1928" spans="1:10">
      <c r="A1928" s="19" t="s">
        <v>289</v>
      </c>
      <c r="B1928" s="20">
        <v>45992</v>
      </c>
      <c r="C1928" s="21">
        <v>155.4</v>
      </c>
      <c r="D1928" s="21">
        <v>100.83333333333334</v>
      </c>
      <c r="E1928" s="21">
        <v>62.8</v>
      </c>
      <c r="F1928" s="27">
        <f t="shared" si="90"/>
        <v>0.64886314886314889</v>
      </c>
      <c r="G1928" s="21" t="str">
        <f>IFERROR(INDEX(Users!$A$2:$A$310,MATCH(A1928,Users!$B$2:$B$310,0)),"")</f>
        <v>Service B</v>
      </c>
      <c r="H1928" s="21" t="str">
        <f>IFERROR(INDEX(Users!$D$2:$D$310,MATCH(A1928,Users!$B$2:$B$310,0)),"")</f>
        <v>Band 3</v>
      </c>
      <c r="I1928" s="19" t="b">
        <f t="shared" si="91"/>
        <v>0</v>
      </c>
      <c r="J1928" s="33">
        <f t="shared" si="92"/>
        <v>0.64886314886314889</v>
      </c>
    </row>
    <row r="1929" spans="1:10">
      <c r="A1929" s="19" t="s">
        <v>289</v>
      </c>
      <c r="B1929" s="20">
        <v>46023</v>
      </c>
      <c r="C1929" s="21">
        <v>155.4</v>
      </c>
      <c r="D1929" s="21">
        <v>148.66666666666669</v>
      </c>
      <c r="E1929" s="21">
        <v>78.05</v>
      </c>
      <c r="F1929" s="27">
        <f t="shared" si="90"/>
        <v>0.95667095667095681</v>
      </c>
      <c r="G1929" s="21" t="str">
        <f>IFERROR(INDEX(Users!$A$2:$A$310,MATCH(A1929,Users!$B$2:$B$310,0)),"")</f>
        <v>Service B</v>
      </c>
      <c r="H1929" s="21" t="str">
        <f>IFERROR(INDEX(Users!$D$2:$D$310,MATCH(A1929,Users!$B$2:$B$310,0)),"")</f>
        <v>Band 3</v>
      </c>
      <c r="I1929" s="19" t="b">
        <f t="shared" si="91"/>
        <v>0</v>
      </c>
      <c r="J1929" s="33" t="str">
        <f t="shared" si="92"/>
        <v/>
      </c>
    </row>
    <row r="1930" spans="1:10">
      <c r="A1930" s="19" t="s">
        <v>290</v>
      </c>
      <c r="B1930" s="20">
        <v>45658</v>
      </c>
      <c r="C1930" s="21">
        <v>162.80000000000001</v>
      </c>
      <c r="D1930" s="21">
        <v>160.19999999999999</v>
      </c>
      <c r="E1930" s="21">
        <v>95.249999999999972</v>
      </c>
      <c r="F1930" s="27">
        <f t="shared" si="90"/>
        <v>0.98402948402948387</v>
      </c>
      <c r="G1930" s="21" t="str">
        <f>IFERROR(INDEX(Users!$A$2:$A$310,MATCH(A1930,Users!$B$2:$B$310,0)),"")</f>
        <v>Service B</v>
      </c>
      <c r="H1930" s="21" t="str">
        <f>IFERROR(INDEX(Users!$D$2:$D$310,MATCH(A1930,Users!$B$2:$B$310,0)),"")</f>
        <v>Band 5</v>
      </c>
      <c r="I1930" s="19" t="b">
        <f t="shared" si="91"/>
        <v>0</v>
      </c>
      <c r="J1930" s="33">
        <f t="shared" si="92"/>
        <v>0.98402948402948387</v>
      </c>
    </row>
    <row r="1931" spans="1:10">
      <c r="A1931" s="19" t="s">
        <v>290</v>
      </c>
      <c r="B1931" s="20">
        <v>45689</v>
      </c>
      <c r="C1931" s="21">
        <v>111</v>
      </c>
      <c r="D1931" s="21">
        <v>97.73666666666665</v>
      </c>
      <c r="E1931" s="21">
        <v>58.319999999999979</v>
      </c>
      <c r="F1931" s="27">
        <f t="shared" si="90"/>
        <v>0.88051051051051032</v>
      </c>
      <c r="G1931" s="21" t="str">
        <f>IFERROR(INDEX(Users!$A$2:$A$310,MATCH(A1931,Users!$B$2:$B$310,0)),"")</f>
        <v>Service B</v>
      </c>
      <c r="H1931" s="21" t="str">
        <f>IFERROR(INDEX(Users!$D$2:$D$310,MATCH(A1931,Users!$B$2:$B$310,0)),"")</f>
        <v>Band 5</v>
      </c>
      <c r="I1931" s="19" t="b">
        <f t="shared" si="91"/>
        <v>0</v>
      </c>
      <c r="J1931" s="33">
        <f t="shared" si="92"/>
        <v>0.88051051051051032</v>
      </c>
    </row>
    <row r="1932" spans="1:10">
      <c r="A1932" s="19" t="s">
        <v>291</v>
      </c>
      <c r="B1932" s="20">
        <v>45658</v>
      </c>
      <c r="C1932" s="21">
        <v>162.79999999999998</v>
      </c>
      <c r="D1932" s="21">
        <v>154.13333333333335</v>
      </c>
      <c r="E1932" s="21">
        <v>80.65000000000002</v>
      </c>
      <c r="F1932" s="27">
        <f t="shared" si="90"/>
        <v>0.94676494676494705</v>
      </c>
      <c r="G1932" s="21" t="str">
        <f>IFERROR(INDEX(Users!$A$2:$A$310,MATCH(A1932,Users!$B$2:$B$310,0)),"")</f>
        <v>Service B</v>
      </c>
      <c r="H1932" s="21" t="str">
        <f>IFERROR(INDEX(Users!$D$2:$D$310,MATCH(A1932,Users!$B$2:$B$310,0)),"")</f>
        <v>Band 3</v>
      </c>
      <c r="I1932" s="19" t="b">
        <f t="shared" si="91"/>
        <v>0</v>
      </c>
      <c r="J1932" s="33">
        <f t="shared" si="92"/>
        <v>0.94676494676494705</v>
      </c>
    </row>
    <row r="1933" spans="1:10">
      <c r="A1933" s="19" t="s">
        <v>291</v>
      </c>
      <c r="B1933" s="20">
        <v>45689</v>
      </c>
      <c r="C1933" s="21">
        <v>148</v>
      </c>
      <c r="D1933" s="21">
        <v>130.82333333333332</v>
      </c>
      <c r="E1933" s="21">
        <v>83.839999999999989</v>
      </c>
      <c r="F1933" s="27">
        <f t="shared" si="90"/>
        <v>0.88394144144144138</v>
      </c>
      <c r="G1933" s="21" t="str">
        <f>IFERROR(INDEX(Users!$A$2:$A$310,MATCH(A1933,Users!$B$2:$B$310,0)),"")</f>
        <v>Service B</v>
      </c>
      <c r="H1933" s="21" t="str">
        <f>IFERROR(INDEX(Users!$D$2:$D$310,MATCH(A1933,Users!$B$2:$B$310,0)),"")</f>
        <v>Band 3</v>
      </c>
      <c r="I1933" s="19" t="b">
        <f t="shared" si="91"/>
        <v>0</v>
      </c>
      <c r="J1933" s="33">
        <f t="shared" si="92"/>
        <v>0.88394144144144138</v>
      </c>
    </row>
    <row r="1934" spans="1:10">
      <c r="A1934" s="19" t="s">
        <v>291</v>
      </c>
      <c r="B1934" s="20">
        <v>45717</v>
      </c>
      <c r="C1934" s="21">
        <v>155.4</v>
      </c>
      <c r="D1934" s="21">
        <v>138.91333333333336</v>
      </c>
      <c r="E1934" s="21">
        <v>75.680000000000021</v>
      </c>
      <c r="F1934" s="27">
        <f t="shared" si="90"/>
        <v>0.89390819390819398</v>
      </c>
      <c r="G1934" s="21" t="str">
        <f>IFERROR(INDEX(Users!$A$2:$A$310,MATCH(A1934,Users!$B$2:$B$310,0)),"")</f>
        <v>Service B</v>
      </c>
      <c r="H1934" s="21" t="str">
        <f>IFERROR(INDEX(Users!$D$2:$D$310,MATCH(A1934,Users!$B$2:$B$310,0)),"")</f>
        <v>Band 3</v>
      </c>
      <c r="I1934" s="19" t="b">
        <f t="shared" si="91"/>
        <v>0</v>
      </c>
      <c r="J1934" s="33">
        <f t="shared" si="92"/>
        <v>0.89390819390819398</v>
      </c>
    </row>
    <row r="1935" spans="1:10">
      <c r="A1935" s="19" t="s">
        <v>291</v>
      </c>
      <c r="B1935" s="20">
        <v>45748</v>
      </c>
      <c r="C1935" s="21">
        <v>148</v>
      </c>
      <c r="D1935" s="21">
        <v>124.09666666666666</v>
      </c>
      <c r="E1935" s="21">
        <v>77.38</v>
      </c>
      <c r="F1935" s="27">
        <f t="shared" si="90"/>
        <v>0.838490990990991</v>
      </c>
      <c r="G1935" s="21" t="str">
        <f>IFERROR(INDEX(Users!$A$2:$A$310,MATCH(A1935,Users!$B$2:$B$310,0)),"")</f>
        <v>Service B</v>
      </c>
      <c r="H1935" s="21" t="str">
        <f>IFERROR(INDEX(Users!$D$2:$D$310,MATCH(A1935,Users!$B$2:$B$310,0)),"")</f>
        <v>Band 3</v>
      </c>
      <c r="I1935" s="19" t="b">
        <f t="shared" si="91"/>
        <v>0</v>
      </c>
      <c r="J1935" s="33">
        <f t="shared" si="92"/>
        <v>0.838490990990991</v>
      </c>
    </row>
    <row r="1936" spans="1:10">
      <c r="A1936" s="19" t="s">
        <v>291</v>
      </c>
      <c r="B1936" s="20">
        <v>45778</v>
      </c>
      <c r="C1936" s="21">
        <v>148</v>
      </c>
      <c r="D1936" s="21">
        <v>125.50000000000003</v>
      </c>
      <c r="E1936" s="21">
        <v>74.700000000000017</v>
      </c>
      <c r="F1936" s="27">
        <f t="shared" si="90"/>
        <v>0.84797297297297314</v>
      </c>
      <c r="G1936" s="21" t="str">
        <f>IFERROR(INDEX(Users!$A$2:$A$310,MATCH(A1936,Users!$B$2:$B$310,0)),"")</f>
        <v>Service B</v>
      </c>
      <c r="H1936" s="21" t="str">
        <f>IFERROR(INDEX(Users!$D$2:$D$310,MATCH(A1936,Users!$B$2:$B$310,0)),"")</f>
        <v>Band 3</v>
      </c>
      <c r="I1936" s="19" t="b">
        <f t="shared" si="91"/>
        <v>0</v>
      </c>
      <c r="J1936" s="33">
        <f t="shared" si="92"/>
        <v>0.84797297297297314</v>
      </c>
    </row>
    <row r="1937" spans="1:10">
      <c r="A1937" s="19" t="s">
        <v>291</v>
      </c>
      <c r="B1937" s="20">
        <v>45809</v>
      </c>
      <c r="C1937" s="21">
        <v>155.4</v>
      </c>
      <c r="D1937" s="21">
        <v>146.47666666666669</v>
      </c>
      <c r="E1937" s="21">
        <v>91.160000000000011</v>
      </c>
      <c r="F1937" s="27">
        <f t="shared" si="90"/>
        <v>0.94257829257829273</v>
      </c>
      <c r="G1937" s="21" t="str">
        <f>IFERROR(INDEX(Users!$A$2:$A$310,MATCH(A1937,Users!$B$2:$B$310,0)),"")</f>
        <v>Service B</v>
      </c>
      <c r="H1937" s="21" t="str">
        <f>IFERROR(INDEX(Users!$D$2:$D$310,MATCH(A1937,Users!$B$2:$B$310,0)),"")</f>
        <v>Band 3</v>
      </c>
      <c r="I1937" s="19" t="b">
        <f t="shared" si="91"/>
        <v>0</v>
      </c>
      <c r="J1937" s="33">
        <f t="shared" si="92"/>
        <v>0.94257829257829273</v>
      </c>
    </row>
    <row r="1938" spans="1:10">
      <c r="A1938" s="19" t="s">
        <v>291</v>
      </c>
      <c r="B1938" s="20">
        <v>45839</v>
      </c>
      <c r="C1938" s="21">
        <v>170.2</v>
      </c>
      <c r="D1938" s="21">
        <v>141.32333333333332</v>
      </c>
      <c r="E1938" s="21">
        <v>88.339999999999989</v>
      </c>
      <c r="F1938" s="27">
        <f t="shared" si="90"/>
        <v>0.83033685859772821</v>
      </c>
      <c r="G1938" s="21" t="str">
        <f>IFERROR(INDEX(Users!$A$2:$A$310,MATCH(A1938,Users!$B$2:$B$310,0)),"")</f>
        <v>Service B</v>
      </c>
      <c r="H1938" s="21" t="str">
        <f>IFERROR(INDEX(Users!$D$2:$D$310,MATCH(A1938,Users!$B$2:$B$310,0)),"")</f>
        <v>Band 3</v>
      </c>
      <c r="I1938" s="19" t="b">
        <f t="shared" si="91"/>
        <v>0</v>
      </c>
      <c r="J1938" s="33">
        <f t="shared" si="92"/>
        <v>0.83033685859772821</v>
      </c>
    </row>
    <row r="1939" spans="1:10">
      <c r="A1939" s="19" t="s">
        <v>291</v>
      </c>
      <c r="B1939" s="20">
        <v>45870</v>
      </c>
      <c r="C1939" s="21">
        <v>148</v>
      </c>
      <c r="D1939" s="21">
        <v>83.16</v>
      </c>
      <c r="E1939" s="21">
        <v>54.26</v>
      </c>
      <c r="F1939" s="27">
        <f t="shared" si="90"/>
        <v>0.56189189189189181</v>
      </c>
      <c r="G1939" s="21" t="str">
        <f>IFERROR(INDEX(Users!$A$2:$A$310,MATCH(A1939,Users!$B$2:$B$310,0)),"")</f>
        <v>Service B</v>
      </c>
      <c r="H1939" s="21" t="str">
        <f>IFERROR(INDEX(Users!$D$2:$D$310,MATCH(A1939,Users!$B$2:$B$310,0)),"")</f>
        <v>Band 3</v>
      </c>
      <c r="I1939" s="19" t="b">
        <f t="shared" si="91"/>
        <v>0</v>
      </c>
      <c r="J1939" s="33">
        <f t="shared" si="92"/>
        <v>0.56189189189189181</v>
      </c>
    </row>
    <row r="1940" spans="1:10">
      <c r="A1940" s="19" t="s">
        <v>291</v>
      </c>
      <c r="B1940" s="20">
        <v>45901</v>
      </c>
      <c r="C1940" s="21">
        <v>162.80000000000001</v>
      </c>
      <c r="D1940" s="21">
        <v>155.78</v>
      </c>
      <c r="E1940" s="21">
        <v>94.48</v>
      </c>
      <c r="F1940" s="27">
        <f t="shared" si="90"/>
        <v>0.95687960687960683</v>
      </c>
      <c r="G1940" s="21" t="str">
        <f>IFERROR(INDEX(Users!$A$2:$A$310,MATCH(A1940,Users!$B$2:$B$310,0)),"")</f>
        <v>Service B</v>
      </c>
      <c r="H1940" s="21" t="str">
        <f>IFERROR(INDEX(Users!$D$2:$D$310,MATCH(A1940,Users!$B$2:$B$310,0)),"")</f>
        <v>Band 3</v>
      </c>
      <c r="I1940" s="19" t="b">
        <f t="shared" si="91"/>
        <v>0</v>
      </c>
      <c r="J1940" s="33">
        <f t="shared" si="92"/>
        <v>0.95687960687960683</v>
      </c>
    </row>
    <row r="1941" spans="1:10">
      <c r="A1941" s="19" t="s">
        <v>291</v>
      </c>
      <c r="B1941" s="20">
        <v>45931</v>
      </c>
      <c r="C1941" s="21">
        <v>170.2</v>
      </c>
      <c r="D1941" s="21">
        <v>149.05333333333334</v>
      </c>
      <c r="E1941" s="21">
        <v>104.52</v>
      </c>
      <c r="F1941" s="27">
        <f t="shared" si="90"/>
        <v>0.87575401488444982</v>
      </c>
      <c r="G1941" s="21" t="str">
        <f>IFERROR(INDEX(Users!$A$2:$A$310,MATCH(A1941,Users!$B$2:$B$310,0)),"")</f>
        <v>Service B</v>
      </c>
      <c r="H1941" s="21" t="str">
        <f>IFERROR(INDEX(Users!$D$2:$D$310,MATCH(A1941,Users!$B$2:$B$310,0)),"")</f>
        <v>Band 3</v>
      </c>
      <c r="I1941" s="19" t="b">
        <f t="shared" si="91"/>
        <v>0</v>
      </c>
      <c r="J1941" s="33">
        <f t="shared" si="92"/>
        <v>0.87575401488444982</v>
      </c>
    </row>
    <row r="1942" spans="1:10">
      <c r="A1942" s="19" t="s">
        <v>291</v>
      </c>
      <c r="B1942" s="20">
        <v>45962</v>
      </c>
      <c r="C1942" s="21">
        <v>148</v>
      </c>
      <c r="D1942" s="21">
        <v>144.68666666666667</v>
      </c>
      <c r="E1942" s="21">
        <v>106.62000000000002</v>
      </c>
      <c r="F1942" s="27">
        <f t="shared" si="90"/>
        <v>0.97761261261261256</v>
      </c>
      <c r="G1942" s="21" t="str">
        <f>IFERROR(INDEX(Users!$A$2:$A$310,MATCH(A1942,Users!$B$2:$B$310,0)),"")</f>
        <v>Service B</v>
      </c>
      <c r="H1942" s="21" t="str">
        <f>IFERROR(INDEX(Users!$D$2:$D$310,MATCH(A1942,Users!$B$2:$B$310,0)),"")</f>
        <v>Band 3</v>
      </c>
      <c r="I1942" s="19" t="b">
        <f t="shared" si="91"/>
        <v>0</v>
      </c>
      <c r="J1942" s="33">
        <f t="shared" si="92"/>
        <v>0.97761261261261256</v>
      </c>
    </row>
    <row r="1943" spans="1:10">
      <c r="A1943" s="19" t="s">
        <v>291</v>
      </c>
      <c r="B1943" s="20">
        <v>45992</v>
      </c>
      <c r="C1943" s="21">
        <v>155.4</v>
      </c>
      <c r="D1943" s="21"/>
      <c r="E1943" s="21"/>
      <c r="F1943" s="27" t="str">
        <f t="shared" si="90"/>
        <v/>
      </c>
      <c r="G1943" s="21" t="str">
        <f>IFERROR(INDEX(Users!$A$2:$A$310,MATCH(A1943,Users!$B$2:$B$310,0)),"")</f>
        <v>Service B</v>
      </c>
      <c r="H1943" s="21" t="str">
        <f>IFERROR(INDEX(Users!$D$2:$D$310,MATCH(A1943,Users!$B$2:$B$310,0)),"")</f>
        <v>Band 3</v>
      </c>
      <c r="I1943" s="19" t="b">
        <f t="shared" si="91"/>
        <v>0</v>
      </c>
      <c r="J1943" s="33" t="str">
        <f t="shared" si="92"/>
        <v/>
      </c>
    </row>
    <row r="1944" spans="1:10">
      <c r="A1944" s="19" t="s">
        <v>291</v>
      </c>
      <c r="B1944" s="20">
        <v>46023</v>
      </c>
      <c r="C1944" s="21">
        <v>155.39999999999998</v>
      </c>
      <c r="D1944" s="21">
        <v>21.566666666666666</v>
      </c>
      <c r="E1944" s="21">
        <v>14.15</v>
      </c>
      <c r="F1944" s="27">
        <f t="shared" si="90"/>
        <v>0.13878163878163879</v>
      </c>
      <c r="G1944" s="21" t="str">
        <f>IFERROR(INDEX(Users!$A$2:$A$310,MATCH(A1944,Users!$B$2:$B$310,0)),"")</f>
        <v>Service B</v>
      </c>
      <c r="H1944" s="21" t="str">
        <f>IFERROR(INDEX(Users!$D$2:$D$310,MATCH(A1944,Users!$B$2:$B$310,0)),"")</f>
        <v>Band 3</v>
      </c>
      <c r="I1944" s="19" t="b">
        <f t="shared" si="91"/>
        <v>0</v>
      </c>
      <c r="J1944" s="33" t="str">
        <f t="shared" si="92"/>
        <v/>
      </c>
    </row>
    <row r="1945" spans="1:10">
      <c r="A1945" s="19" t="s">
        <v>293</v>
      </c>
      <c r="B1945" s="20">
        <v>45658</v>
      </c>
      <c r="C1945" s="21">
        <v>96.200000000000017</v>
      </c>
      <c r="D1945" s="21">
        <v>33.911666666666669</v>
      </c>
      <c r="E1945" s="21">
        <v>15.86</v>
      </c>
      <c r="F1945" s="27">
        <f t="shared" si="90"/>
        <v>0.35251212751212746</v>
      </c>
      <c r="G1945" s="21" t="str">
        <f>IFERROR(INDEX(Users!$A$2:$A$310,MATCH(A1945,Users!$B$2:$B$310,0)),"")</f>
        <v>Service C</v>
      </c>
      <c r="H1945" s="21" t="str">
        <f>IFERROR(INDEX(Users!$D$2:$D$310,MATCH(A1945,Users!$B$2:$B$310,0)),"")</f>
        <v>Band 5</v>
      </c>
      <c r="I1945" s="19" t="b">
        <f t="shared" si="91"/>
        <v>0</v>
      </c>
      <c r="J1945" s="33" t="str">
        <f t="shared" si="92"/>
        <v/>
      </c>
    </row>
    <row r="1946" spans="1:10">
      <c r="A1946" s="19" t="s">
        <v>293</v>
      </c>
      <c r="B1946" s="20">
        <v>45689</v>
      </c>
      <c r="C1946" s="21">
        <v>88.800000000000011</v>
      </c>
      <c r="D1946" s="21">
        <v>94.663888888888948</v>
      </c>
      <c r="E1946" s="21">
        <v>49.570000000000057</v>
      </c>
      <c r="F1946" s="27">
        <f t="shared" si="90"/>
        <v>1.0660347847847853</v>
      </c>
      <c r="G1946" s="21" t="str">
        <f>IFERROR(INDEX(Users!$A$2:$A$310,MATCH(A1946,Users!$B$2:$B$310,0)),"")</f>
        <v>Service C</v>
      </c>
      <c r="H1946" s="21" t="str">
        <f>IFERROR(INDEX(Users!$D$2:$D$310,MATCH(A1946,Users!$B$2:$B$310,0)),"")</f>
        <v>Band 5</v>
      </c>
      <c r="I1946" s="19" t="b">
        <f t="shared" si="91"/>
        <v>0</v>
      </c>
      <c r="J1946" s="33" t="str">
        <f t="shared" si="92"/>
        <v/>
      </c>
    </row>
    <row r="1947" spans="1:10">
      <c r="A1947" s="19" t="s">
        <v>293</v>
      </c>
      <c r="B1947" s="20">
        <v>45717</v>
      </c>
      <c r="C1947" s="21">
        <v>88.800000000000011</v>
      </c>
      <c r="D1947" s="21">
        <v>84.452222222222204</v>
      </c>
      <c r="E1947" s="21">
        <v>49.829999999999991</v>
      </c>
      <c r="F1947" s="27">
        <f t="shared" si="90"/>
        <v>0.95103853853853826</v>
      </c>
      <c r="G1947" s="21" t="str">
        <f>IFERROR(INDEX(Users!$A$2:$A$310,MATCH(A1947,Users!$B$2:$B$310,0)),"")</f>
        <v>Service C</v>
      </c>
      <c r="H1947" s="21" t="str">
        <f>IFERROR(INDEX(Users!$D$2:$D$310,MATCH(A1947,Users!$B$2:$B$310,0)),"")</f>
        <v>Band 5</v>
      </c>
      <c r="I1947" s="19" t="b">
        <f t="shared" si="91"/>
        <v>0</v>
      </c>
      <c r="J1947" s="33" t="str">
        <f t="shared" si="92"/>
        <v/>
      </c>
    </row>
    <row r="1948" spans="1:10">
      <c r="A1948" s="19" t="s">
        <v>293</v>
      </c>
      <c r="B1948" s="20">
        <v>45748</v>
      </c>
      <c r="C1948" s="21">
        <v>103.60000000000001</v>
      </c>
      <c r="D1948" s="21">
        <v>99.253888888888895</v>
      </c>
      <c r="E1948" s="21">
        <v>62.640000000000008</v>
      </c>
      <c r="F1948" s="27">
        <f t="shared" si="90"/>
        <v>0.9580491205491205</v>
      </c>
      <c r="G1948" s="21" t="str">
        <f>IFERROR(INDEX(Users!$A$2:$A$310,MATCH(A1948,Users!$B$2:$B$310,0)),"")</f>
        <v>Service C</v>
      </c>
      <c r="H1948" s="21" t="str">
        <f>IFERROR(INDEX(Users!$D$2:$D$310,MATCH(A1948,Users!$B$2:$B$310,0)),"")</f>
        <v>Band 5</v>
      </c>
      <c r="I1948" s="19" t="b">
        <f t="shared" si="91"/>
        <v>0</v>
      </c>
      <c r="J1948" s="33" t="str">
        <f t="shared" si="92"/>
        <v/>
      </c>
    </row>
    <row r="1949" spans="1:10">
      <c r="A1949" s="19" t="s">
        <v>293</v>
      </c>
      <c r="B1949" s="20">
        <v>45778</v>
      </c>
      <c r="C1949" s="21">
        <v>96.200000000000017</v>
      </c>
      <c r="D1949" s="21">
        <v>86.171944444444449</v>
      </c>
      <c r="E1949" s="21">
        <v>45.39</v>
      </c>
      <c r="F1949" s="27">
        <f t="shared" si="90"/>
        <v>0.89575825825825817</v>
      </c>
      <c r="G1949" s="21" t="str">
        <f>IFERROR(INDEX(Users!$A$2:$A$310,MATCH(A1949,Users!$B$2:$B$310,0)),"")</f>
        <v>Service C</v>
      </c>
      <c r="H1949" s="21" t="str">
        <f>IFERROR(INDEX(Users!$D$2:$D$310,MATCH(A1949,Users!$B$2:$B$310,0)),"")</f>
        <v>Band 5</v>
      </c>
      <c r="I1949" s="19" t="b">
        <f t="shared" si="91"/>
        <v>0</v>
      </c>
      <c r="J1949" s="33" t="str">
        <f t="shared" si="92"/>
        <v/>
      </c>
    </row>
    <row r="1950" spans="1:10">
      <c r="A1950" s="19" t="s">
        <v>293</v>
      </c>
      <c r="B1950" s="20">
        <v>45809</v>
      </c>
      <c r="C1950" s="21">
        <v>88.800000000000011</v>
      </c>
      <c r="D1950" s="21">
        <v>70.453055555555565</v>
      </c>
      <c r="E1950" s="21">
        <v>51.230000000000011</v>
      </c>
      <c r="F1950" s="27">
        <f t="shared" si="90"/>
        <v>0.79339026526526524</v>
      </c>
      <c r="G1950" s="21" t="str">
        <f>IFERROR(INDEX(Users!$A$2:$A$310,MATCH(A1950,Users!$B$2:$B$310,0)),"")</f>
        <v>Service C</v>
      </c>
      <c r="H1950" s="21" t="str">
        <f>IFERROR(INDEX(Users!$D$2:$D$310,MATCH(A1950,Users!$B$2:$B$310,0)),"")</f>
        <v>Band 5</v>
      </c>
      <c r="I1950" s="19" t="b">
        <f t="shared" si="91"/>
        <v>0</v>
      </c>
      <c r="J1950" s="33" t="str">
        <f t="shared" si="92"/>
        <v/>
      </c>
    </row>
    <row r="1951" spans="1:10">
      <c r="A1951" s="19" t="s">
        <v>293</v>
      </c>
      <c r="B1951" s="20">
        <v>45839</v>
      </c>
      <c r="C1951" s="21">
        <v>88.800000000000011</v>
      </c>
      <c r="D1951" s="21"/>
      <c r="E1951" s="21"/>
      <c r="F1951" s="27" t="str">
        <f t="shared" si="90"/>
        <v/>
      </c>
      <c r="G1951" s="21" t="str">
        <f>IFERROR(INDEX(Users!$A$2:$A$310,MATCH(A1951,Users!$B$2:$B$310,0)),"")</f>
        <v>Service C</v>
      </c>
      <c r="H1951" s="21" t="str">
        <f>IFERROR(INDEX(Users!$D$2:$D$310,MATCH(A1951,Users!$B$2:$B$310,0)),"")</f>
        <v>Band 5</v>
      </c>
      <c r="I1951" s="19" t="b">
        <f t="shared" si="91"/>
        <v>0</v>
      </c>
      <c r="J1951" s="33" t="str">
        <f t="shared" si="92"/>
        <v/>
      </c>
    </row>
    <row r="1952" spans="1:10">
      <c r="A1952" s="19" t="s">
        <v>294</v>
      </c>
      <c r="B1952" s="20">
        <v>45658</v>
      </c>
      <c r="C1952" s="21">
        <v>162.80000000000001</v>
      </c>
      <c r="D1952" s="21">
        <v>137.63666666666666</v>
      </c>
      <c r="E1952" s="21">
        <v>105.62</v>
      </c>
      <c r="F1952" s="27">
        <f t="shared" si="90"/>
        <v>0.84543407043407026</v>
      </c>
      <c r="G1952" s="21" t="str">
        <f>IFERROR(INDEX(Users!$A$2:$A$310,MATCH(A1952,Users!$B$2:$B$310,0)),"")</f>
        <v>Service A</v>
      </c>
      <c r="H1952" s="21" t="str">
        <f>IFERROR(INDEX(Users!$D$2:$D$310,MATCH(A1952,Users!$B$2:$B$310,0)),"")</f>
        <v>Band 3</v>
      </c>
      <c r="I1952" s="19" t="b">
        <f t="shared" si="91"/>
        <v>1</v>
      </c>
      <c r="J1952" s="33" t="str">
        <f t="shared" si="92"/>
        <v/>
      </c>
    </row>
    <row r="1953" spans="1:10">
      <c r="A1953" s="19" t="s">
        <v>294</v>
      </c>
      <c r="B1953" s="20">
        <v>45689</v>
      </c>
      <c r="C1953" s="21">
        <v>148</v>
      </c>
      <c r="D1953" s="21">
        <v>117.42333333333335</v>
      </c>
      <c r="E1953" s="21">
        <v>109.49000000000001</v>
      </c>
      <c r="F1953" s="27">
        <f t="shared" si="90"/>
        <v>0.79340090090090098</v>
      </c>
      <c r="G1953" s="21" t="str">
        <f>IFERROR(INDEX(Users!$A$2:$A$310,MATCH(A1953,Users!$B$2:$B$310,0)),"")</f>
        <v>Service A</v>
      </c>
      <c r="H1953" s="21" t="str">
        <f>IFERROR(INDEX(Users!$D$2:$D$310,MATCH(A1953,Users!$B$2:$B$310,0)),"")</f>
        <v>Band 3</v>
      </c>
      <c r="I1953" s="19" t="b">
        <f t="shared" si="91"/>
        <v>1</v>
      </c>
      <c r="J1953" s="33" t="str">
        <f t="shared" si="92"/>
        <v/>
      </c>
    </row>
    <row r="1954" spans="1:10">
      <c r="A1954" s="19" t="s">
        <v>294</v>
      </c>
      <c r="B1954" s="20">
        <v>45717</v>
      </c>
      <c r="C1954" s="21">
        <v>155.4</v>
      </c>
      <c r="D1954" s="21">
        <v>174.87666666666669</v>
      </c>
      <c r="E1954" s="21">
        <v>157.91000000000003</v>
      </c>
      <c r="F1954" s="27">
        <f t="shared" si="90"/>
        <v>1.1253324753324754</v>
      </c>
      <c r="G1954" s="21" t="str">
        <f>IFERROR(INDEX(Users!$A$2:$A$310,MATCH(A1954,Users!$B$2:$B$310,0)),"")</f>
        <v>Service A</v>
      </c>
      <c r="H1954" s="21" t="str">
        <f>IFERROR(INDEX(Users!$D$2:$D$310,MATCH(A1954,Users!$B$2:$B$310,0)),"")</f>
        <v>Band 3</v>
      </c>
      <c r="I1954" s="19" t="b">
        <f t="shared" si="91"/>
        <v>1</v>
      </c>
      <c r="J1954" s="33" t="str">
        <f t="shared" si="92"/>
        <v/>
      </c>
    </row>
    <row r="1955" spans="1:10">
      <c r="A1955" s="19" t="s">
        <v>294</v>
      </c>
      <c r="B1955" s="20">
        <v>45748</v>
      </c>
      <c r="C1955" s="21">
        <v>148</v>
      </c>
      <c r="D1955" s="21">
        <v>153.90666666666672</v>
      </c>
      <c r="E1955" s="21">
        <v>144.64000000000004</v>
      </c>
      <c r="F1955" s="27">
        <f t="shared" si="90"/>
        <v>1.0399099099099103</v>
      </c>
      <c r="G1955" s="21" t="str">
        <f>IFERROR(INDEX(Users!$A$2:$A$310,MATCH(A1955,Users!$B$2:$B$310,0)),"")</f>
        <v>Service A</v>
      </c>
      <c r="H1955" s="21" t="str">
        <f>IFERROR(INDEX(Users!$D$2:$D$310,MATCH(A1955,Users!$B$2:$B$310,0)),"")</f>
        <v>Band 3</v>
      </c>
      <c r="I1955" s="19" t="b">
        <f t="shared" si="91"/>
        <v>1</v>
      </c>
      <c r="J1955" s="33" t="str">
        <f t="shared" si="92"/>
        <v/>
      </c>
    </row>
    <row r="1956" spans="1:10">
      <c r="A1956" s="19" t="s">
        <v>294</v>
      </c>
      <c r="B1956" s="20">
        <v>45778</v>
      </c>
      <c r="C1956" s="21">
        <v>148</v>
      </c>
      <c r="D1956" s="21">
        <v>158.76666666666671</v>
      </c>
      <c r="E1956" s="21">
        <v>142.20000000000005</v>
      </c>
      <c r="F1956" s="27">
        <f t="shared" si="90"/>
        <v>1.0727477477477481</v>
      </c>
      <c r="G1956" s="21" t="str">
        <f>IFERROR(INDEX(Users!$A$2:$A$310,MATCH(A1956,Users!$B$2:$B$310,0)),"")</f>
        <v>Service A</v>
      </c>
      <c r="H1956" s="21" t="str">
        <f>IFERROR(INDEX(Users!$D$2:$D$310,MATCH(A1956,Users!$B$2:$B$310,0)),"")</f>
        <v>Band 3</v>
      </c>
      <c r="I1956" s="19" t="b">
        <f t="shared" si="91"/>
        <v>1</v>
      </c>
      <c r="J1956" s="33" t="str">
        <f t="shared" si="92"/>
        <v/>
      </c>
    </row>
    <row r="1957" spans="1:10">
      <c r="A1957" s="19" t="s">
        <v>294</v>
      </c>
      <c r="B1957" s="20">
        <v>45809</v>
      </c>
      <c r="C1957" s="21">
        <v>155.4</v>
      </c>
      <c r="D1957" s="21">
        <v>147.66000000000003</v>
      </c>
      <c r="E1957" s="21">
        <v>141.31000000000003</v>
      </c>
      <c r="F1957" s="27">
        <f t="shared" si="90"/>
        <v>0.95019305019305034</v>
      </c>
      <c r="G1957" s="21" t="str">
        <f>IFERROR(INDEX(Users!$A$2:$A$310,MATCH(A1957,Users!$B$2:$B$310,0)),"")</f>
        <v>Service A</v>
      </c>
      <c r="H1957" s="21" t="str">
        <f>IFERROR(INDEX(Users!$D$2:$D$310,MATCH(A1957,Users!$B$2:$B$310,0)),"")</f>
        <v>Band 3</v>
      </c>
      <c r="I1957" s="19" t="b">
        <f t="shared" si="91"/>
        <v>1</v>
      </c>
      <c r="J1957" s="33" t="str">
        <f t="shared" si="92"/>
        <v/>
      </c>
    </row>
    <row r="1958" spans="1:10">
      <c r="A1958" s="19" t="s">
        <v>294</v>
      </c>
      <c r="B1958" s="20">
        <v>45839</v>
      </c>
      <c r="C1958" s="21">
        <v>170.20000000000002</v>
      </c>
      <c r="D1958" s="21">
        <v>143.60000000000002</v>
      </c>
      <c r="E1958" s="21">
        <v>131.15000000000003</v>
      </c>
      <c r="F1958" s="27">
        <f t="shared" si="90"/>
        <v>0.84371327849588729</v>
      </c>
      <c r="G1958" s="21" t="str">
        <f>IFERROR(INDEX(Users!$A$2:$A$310,MATCH(A1958,Users!$B$2:$B$310,0)),"")</f>
        <v>Service A</v>
      </c>
      <c r="H1958" s="21" t="str">
        <f>IFERROR(INDEX(Users!$D$2:$D$310,MATCH(A1958,Users!$B$2:$B$310,0)),"")</f>
        <v>Band 3</v>
      </c>
      <c r="I1958" s="19" t="b">
        <f t="shared" si="91"/>
        <v>1</v>
      </c>
      <c r="J1958" s="33" t="str">
        <f t="shared" si="92"/>
        <v/>
      </c>
    </row>
    <row r="1959" spans="1:10">
      <c r="A1959" s="19" t="s">
        <v>294</v>
      </c>
      <c r="B1959" s="20">
        <v>45870</v>
      </c>
      <c r="C1959" s="21">
        <v>148</v>
      </c>
      <c r="D1959" s="21">
        <v>147.01333333333338</v>
      </c>
      <c r="E1959" s="21">
        <v>136.93000000000004</v>
      </c>
      <c r="F1959" s="27">
        <f t="shared" si="90"/>
        <v>0.99333333333333362</v>
      </c>
      <c r="G1959" s="21" t="str">
        <f>IFERROR(INDEX(Users!$A$2:$A$310,MATCH(A1959,Users!$B$2:$B$310,0)),"")</f>
        <v>Service A</v>
      </c>
      <c r="H1959" s="21" t="str">
        <f>IFERROR(INDEX(Users!$D$2:$D$310,MATCH(A1959,Users!$B$2:$B$310,0)),"")</f>
        <v>Band 3</v>
      </c>
      <c r="I1959" s="19" t="b">
        <f t="shared" si="91"/>
        <v>1</v>
      </c>
      <c r="J1959" s="33" t="str">
        <f t="shared" si="92"/>
        <v/>
      </c>
    </row>
    <row r="1960" spans="1:10">
      <c r="A1960" s="19" t="s">
        <v>294</v>
      </c>
      <c r="B1960" s="20">
        <v>45901</v>
      </c>
      <c r="C1960" s="21">
        <v>162.80000000000001</v>
      </c>
      <c r="D1960" s="21">
        <v>166.00333333333333</v>
      </c>
      <c r="E1960" s="21">
        <v>152.62</v>
      </c>
      <c r="F1960" s="27">
        <f t="shared" si="90"/>
        <v>1.0196764946764947</v>
      </c>
      <c r="G1960" s="21" t="str">
        <f>IFERROR(INDEX(Users!$A$2:$A$310,MATCH(A1960,Users!$B$2:$B$310,0)),"")</f>
        <v>Service A</v>
      </c>
      <c r="H1960" s="21" t="str">
        <f>IFERROR(INDEX(Users!$D$2:$D$310,MATCH(A1960,Users!$B$2:$B$310,0)),"")</f>
        <v>Band 3</v>
      </c>
      <c r="I1960" s="19" t="b">
        <f t="shared" si="91"/>
        <v>1</v>
      </c>
      <c r="J1960" s="33" t="str">
        <f t="shared" si="92"/>
        <v/>
      </c>
    </row>
    <row r="1961" spans="1:10">
      <c r="A1961" s="19" t="s">
        <v>294</v>
      </c>
      <c r="B1961" s="20">
        <v>45931</v>
      </c>
      <c r="C1961" s="21">
        <v>170.20000000000002</v>
      </c>
      <c r="D1961" s="21">
        <v>155.95666666666668</v>
      </c>
      <c r="E1961" s="21">
        <v>131.64000000000001</v>
      </c>
      <c r="F1961" s="27">
        <f t="shared" si="90"/>
        <v>0.91631414022718372</v>
      </c>
      <c r="G1961" s="21" t="str">
        <f>IFERROR(INDEX(Users!$A$2:$A$310,MATCH(A1961,Users!$B$2:$B$310,0)),"")</f>
        <v>Service A</v>
      </c>
      <c r="H1961" s="21" t="str">
        <f>IFERROR(INDEX(Users!$D$2:$D$310,MATCH(A1961,Users!$B$2:$B$310,0)),"")</f>
        <v>Band 3</v>
      </c>
      <c r="I1961" s="19" t="b">
        <f t="shared" si="91"/>
        <v>1</v>
      </c>
      <c r="J1961" s="33" t="str">
        <f t="shared" si="92"/>
        <v/>
      </c>
    </row>
    <row r="1962" spans="1:10">
      <c r="A1962" s="19" t="s">
        <v>294</v>
      </c>
      <c r="B1962" s="20">
        <v>45962</v>
      </c>
      <c r="C1962" s="21">
        <v>148</v>
      </c>
      <c r="D1962" s="21">
        <v>148.06000000000003</v>
      </c>
      <c r="E1962" s="21">
        <v>125.06000000000003</v>
      </c>
      <c r="F1962" s="27">
        <f t="shared" si="90"/>
        <v>1.0004054054054057</v>
      </c>
      <c r="G1962" s="21" t="str">
        <f>IFERROR(INDEX(Users!$A$2:$A$310,MATCH(A1962,Users!$B$2:$B$310,0)),"")</f>
        <v>Service A</v>
      </c>
      <c r="H1962" s="21" t="str">
        <f>IFERROR(INDEX(Users!$D$2:$D$310,MATCH(A1962,Users!$B$2:$B$310,0)),"")</f>
        <v>Band 3</v>
      </c>
      <c r="I1962" s="19" t="b">
        <f t="shared" si="91"/>
        <v>1</v>
      </c>
      <c r="J1962" s="33" t="str">
        <f t="shared" si="92"/>
        <v/>
      </c>
    </row>
    <row r="1963" spans="1:10">
      <c r="A1963" s="19" t="s">
        <v>294</v>
      </c>
      <c r="B1963" s="20">
        <v>45992</v>
      </c>
      <c r="C1963" s="21">
        <v>155.4</v>
      </c>
      <c r="D1963" s="21">
        <v>96.220000000000013</v>
      </c>
      <c r="E1963" s="21">
        <v>82.720000000000013</v>
      </c>
      <c r="F1963" s="27">
        <f t="shared" si="90"/>
        <v>0.61917631917631921</v>
      </c>
      <c r="G1963" s="21" t="str">
        <f>IFERROR(INDEX(Users!$A$2:$A$310,MATCH(A1963,Users!$B$2:$B$310,0)),"")</f>
        <v>Service A</v>
      </c>
      <c r="H1963" s="21" t="str">
        <f>IFERROR(INDEX(Users!$D$2:$D$310,MATCH(A1963,Users!$B$2:$B$310,0)),"")</f>
        <v>Band 3</v>
      </c>
      <c r="I1963" s="19" t="b">
        <f t="shared" si="91"/>
        <v>1</v>
      </c>
      <c r="J1963" s="33" t="str">
        <f t="shared" si="92"/>
        <v/>
      </c>
    </row>
    <row r="1964" spans="1:10">
      <c r="A1964" s="19" t="s">
        <v>294</v>
      </c>
      <c r="B1964" s="20">
        <v>46023</v>
      </c>
      <c r="C1964" s="21">
        <v>155.4</v>
      </c>
      <c r="D1964" s="21">
        <v>96.110000000000014</v>
      </c>
      <c r="E1964" s="21">
        <v>79.860000000000014</v>
      </c>
      <c r="F1964" s="27">
        <f t="shared" si="90"/>
        <v>0.61846846846846848</v>
      </c>
      <c r="G1964" s="21" t="str">
        <f>IFERROR(INDEX(Users!$A$2:$A$310,MATCH(A1964,Users!$B$2:$B$310,0)),"")</f>
        <v>Service A</v>
      </c>
      <c r="H1964" s="21" t="str">
        <f>IFERROR(INDEX(Users!$D$2:$D$310,MATCH(A1964,Users!$B$2:$B$310,0)),"")</f>
        <v>Band 3</v>
      </c>
      <c r="I1964" s="19" t="b">
        <f t="shared" si="91"/>
        <v>1</v>
      </c>
      <c r="J1964" s="33" t="str">
        <f t="shared" si="92"/>
        <v/>
      </c>
    </row>
    <row r="1965" spans="1:10">
      <c r="A1965" s="19" t="s">
        <v>295</v>
      </c>
      <c r="B1965" s="20">
        <v>45658</v>
      </c>
      <c r="C1965" s="21">
        <v>162.80000000000001</v>
      </c>
      <c r="D1965" s="21"/>
      <c r="E1965" s="21"/>
      <c r="F1965" s="27" t="str">
        <f t="shared" si="90"/>
        <v/>
      </c>
      <c r="G1965" s="21" t="str">
        <f>IFERROR(INDEX(Users!$A$2:$A$310,MATCH(A1965,Users!$B$2:$B$310,0)),"")</f>
        <v>Service A</v>
      </c>
      <c r="H1965" s="21" t="str">
        <f>IFERROR(INDEX(Users!$D$2:$D$310,MATCH(A1965,Users!$B$2:$B$310,0)),"")</f>
        <v>Band 3</v>
      </c>
      <c r="I1965" s="19" t="b">
        <f t="shared" si="91"/>
        <v>1</v>
      </c>
      <c r="J1965" s="33" t="str">
        <f t="shared" si="92"/>
        <v/>
      </c>
    </row>
    <row r="1966" spans="1:10">
      <c r="A1966" s="19" t="s">
        <v>295</v>
      </c>
      <c r="B1966" s="20">
        <v>45689</v>
      </c>
      <c r="C1966" s="21">
        <v>148</v>
      </c>
      <c r="D1966" s="21"/>
      <c r="E1966" s="21"/>
      <c r="F1966" s="27" t="str">
        <f t="shared" si="90"/>
        <v/>
      </c>
      <c r="G1966" s="21" t="str">
        <f>IFERROR(INDEX(Users!$A$2:$A$310,MATCH(A1966,Users!$B$2:$B$310,0)),"")</f>
        <v>Service A</v>
      </c>
      <c r="H1966" s="21" t="str">
        <f>IFERROR(INDEX(Users!$D$2:$D$310,MATCH(A1966,Users!$B$2:$B$310,0)),"")</f>
        <v>Band 3</v>
      </c>
      <c r="I1966" s="19" t="b">
        <f t="shared" si="91"/>
        <v>1</v>
      </c>
      <c r="J1966" s="33" t="str">
        <f t="shared" si="92"/>
        <v/>
      </c>
    </row>
    <row r="1967" spans="1:10">
      <c r="A1967" s="19" t="s">
        <v>295</v>
      </c>
      <c r="B1967" s="20">
        <v>45717</v>
      </c>
      <c r="C1967" s="21">
        <v>155.4</v>
      </c>
      <c r="D1967" s="21">
        <v>65.083333333333329</v>
      </c>
      <c r="E1967" s="21">
        <v>27.75</v>
      </c>
      <c r="F1967" s="27">
        <f t="shared" si="90"/>
        <v>0.41881166881166876</v>
      </c>
      <c r="G1967" s="21" t="str">
        <f>IFERROR(INDEX(Users!$A$2:$A$310,MATCH(A1967,Users!$B$2:$B$310,0)),"")</f>
        <v>Service A</v>
      </c>
      <c r="H1967" s="21" t="str">
        <f>IFERROR(INDEX(Users!$D$2:$D$310,MATCH(A1967,Users!$B$2:$B$310,0)),"")</f>
        <v>Band 3</v>
      </c>
      <c r="I1967" s="19" t="b">
        <f t="shared" si="91"/>
        <v>1</v>
      </c>
      <c r="J1967" s="33" t="str">
        <f t="shared" si="92"/>
        <v/>
      </c>
    </row>
    <row r="1968" spans="1:10">
      <c r="A1968" s="19" t="s">
        <v>295</v>
      </c>
      <c r="B1968" s="20">
        <v>45748</v>
      </c>
      <c r="C1968" s="21">
        <v>148</v>
      </c>
      <c r="D1968" s="21">
        <v>113.16666666666667</v>
      </c>
      <c r="E1968" s="21">
        <v>56</v>
      </c>
      <c r="F1968" s="27">
        <f t="shared" si="90"/>
        <v>0.76463963963963966</v>
      </c>
      <c r="G1968" s="21" t="str">
        <f>IFERROR(INDEX(Users!$A$2:$A$310,MATCH(A1968,Users!$B$2:$B$310,0)),"")</f>
        <v>Service A</v>
      </c>
      <c r="H1968" s="21" t="str">
        <f>IFERROR(INDEX(Users!$D$2:$D$310,MATCH(A1968,Users!$B$2:$B$310,0)),"")</f>
        <v>Band 3</v>
      </c>
      <c r="I1968" s="19" t="b">
        <f t="shared" si="91"/>
        <v>1</v>
      </c>
      <c r="J1968" s="33" t="str">
        <f t="shared" si="92"/>
        <v/>
      </c>
    </row>
    <row r="1969" spans="1:10">
      <c r="A1969" s="19" t="s">
        <v>295</v>
      </c>
      <c r="B1969" s="20">
        <v>45778</v>
      </c>
      <c r="C1969" s="21">
        <v>148</v>
      </c>
      <c r="D1969" s="21">
        <v>130.07999999999998</v>
      </c>
      <c r="E1969" s="21">
        <v>72.83</v>
      </c>
      <c r="F1969" s="27">
        <f t="shared" si="90"/>
        <v>0.87891891891891882</v>
      </c>
      <c r="G1969" s="21" t="str">
        <f>IFERROR(INDEX(Users!$A$2:$A$310,MATCH(A1969,Users!$B$2:$B$310,0)),"")</f>
        <v>Service A</v>
      </c>
      <c r="H1969" s="21" t="str">
        <f>IFERROR(INDEX(Users!$D$2:$D$310,MATCH(A1969,Users!$B$2:$B$310,0)),"")</f>
        <v>Band 3</v>
      </c>
      <c r="I1969" s="19" t="b">
        <f t="shared" si="91"/>
        <v>1</v>
      </c>
      <c r="J1969" s="33" t="str">
        <f t="shared" si="92"/>
        <v/>
      </c>
    </row>
    <row r="1970" spans="1:10">
      <c r="A1970" s="19" t="s">
        <v>295</v>
      </c>
      <c r="B1970" s="20">
        <v>45809</v>
      </c>
      <c r="C1970" s="21">
        <v>155.4</v>
      </c>
      <c r="D1970" s="21">
        <v>135.25</v>
      </c>
      <c r="E1970" s="21">
        <v>81.75</v>
      </c>
      <c r="F1970" s="27">
        <f t="shared" si="90"/>
        <v>0.87033462033462028</v>
      </c>
      <c r="G1970" s="21" t="str">
        <f>IFERROR(INDEX(Users!$A$2:$A$310,MATCH(A1970,Users!$B$2:$B$310,0)),"")</f>
        <v>Service A</v>
      </c>
      <c r="H1970" s="21" t="str">
        <f>IFERROR(INDEX(Users!$D$2:$D$310,MATCH(A1970,Users!$B$2:$B$310,0)),"")</f>
        <v>Band 3</v>
      </c>
      <c r="I1970" s="19" t="b">
        <f t="shared" si="91"/>
        <v>1</v>
      </c>
      <c r="J1970" s="33" t="str">
        <f t="shared" si="92"/>
        <v/>
      </c>
    </row>
    <row r="1971" spans="1:10">
      <c r="A1971" s="19" t="s">
        <v>295</v>
      </c>
      <c r="B1971" s="20">
        <v>45839</v>
      </c>
      <c r="C1971" s="21">
        <v>170.20000000000002</v>
      </c>
      <c r="D1971" s="21">
        <v>142.75</v>
      </c>
      <c r="E1971" s="21">
        <v>95.25</v>
      </c>
      <c r="F1971" s="27">
        <f t="shared" si="90"/>
        <v>0.83871915393654517</v>
      </c>
      <c r="G1971" s="21" t="str">
        <f>IFERROR(INDEX(Users!$A$2:$A$310,MATCH(A1971,Users!$B$2:$B$310,0)),"")</f>
        <v>Service A</v>
      </c>
      <c r="H1971" s="21" t="str">
        <f>IFERROR(INDEX(Users!$D$2:$D$310,MATCH(A1971,Users!$B$2:$B$310,0)),"")</f>
        <v>Band 3</v>
      </c>
      <c r="I1971" s="19" t="b">
        <f t="shared" si="91"/>
        <v>1</v>
      </c>
      <c r="J1971" s="33" t="str">
        <f t="shared" si="92"/>
        <v/>
      </c>
    </row>
    <row r="1972" spans="1:10">
      <c r="A1972" s="19" t="s">
        <v>295</v>
      </c>
      <c r="B1972" s="20">
        <v>45870</v>
      </c>
      <c r="C1972" s="21">
        <v>148</v>
      </c>
      <c r="D1972" s="21">
        <v>120</v>
      </c>
      <c r="E1972" s="21">
        <v>82</v>
      </c>
      <c r="F1972" s="27">
        <f t="shared" si="90"/>
        <v>0.81081081081081086</v>
      </c>
      <c r="G1972" s="21" t="str">
        <f>IFERROR(INDEX(Users!$A$2:$A$310,MATCH(A1972,Users!$B$2:$B$310,0)),"")</f>
        <v>Service A</v>
      </c>
      <c r="H1972" s="21" t="str">
        <f>IFERROR(INDEX(Users!$D$2:$D$310,MATCH(A1972,Users!$B$2:$B$310,0)),"")</f>
        <v>Band 3</v>
      </c>
      <c r="I1972" s="19" t="b">
        <f t="shared" si="91"/>
        <v>1</v>
      </c>
      <c r="J1972" s="33" t="str">
        <f t="shared" si="92"/>
        <v/>
      </c>
    </row>
    <row r="1973" spans="1:10">
      <c r="A1973" s="19" t="s">
        <v>295</v>
      </c>
      <c r="B1973" s="20">
        <v>45901</v>
      </c>
      <c r="C1973" s="21">
        <v>162.80000000000001</v>
      </c>
      <c r="D1973" s="21">
        <v>139.25</v>
      </c>
      <c r="E1973" s="21">
        <v>90</v>
      </c>
      <c r="F1973" s="27">
        <f t="shared" si="90"/>
        <v>0.85534398034398029</v>
      </c>
      <c r="G1973" s="21" t="str">
        <f>IFERROR(INDEX(Users!$A$2:$A$310,MATCH(A1973,Users!$B$2:$B$310,0)),"")</f>
        <v>Service A</v>
      </c>
      <c r="H1973" s="21" t="str">
        <f>IFERROR(INDEX(Users!$D$2:$D$310,MATCH(A1973,Users!$B$2:$B$310,0)),"")</f>
        <v>Band 3</v>
      </c>
      <c r="I1973" s="19" t="b">
        <f t="shared" si="91"/>
        <v>1</v>
      </c>
      <c r="J1973" s="33" t="str">
        <f t="shared" si="92"/>
        <v/>
      </c>
    </row>
    <row r="1974" spans="1:10">
      <c r="A1974" s="19" t="s">
        <v>295</v>
      </c>
      <c r="B1974" s="20">
        <v>45931</v>
      </c>
      <c r="C1974" s="21">
        <v>170.20000000000002</v>
      </c>
      <c r="D1974" s="21">
        <v>128.32999999999998</v>
      </c>
      <c r="E1974" s="21">
        <v>88.33</v>
      </c>
      <c r="F1974" s="27">
        <f t="shared" si="90"/>
        <v>0.75399529964747336</v>
      </c>
      <c r="G1974" s="21" t="str">
        <f>IFERROR(INDEX(Users!$A$2:$A$310,MATCH(A1974,Users!$B$2:$B$310,0)),"")</f>
        <v>Service A</v>
      </c>
      <c r="H1974" s="21" t="str">
        <f>IFERROR(INDEX(Users!$D$2:$D$310,MATCH(A1974,Users!$B$2:$B$310,0)),"")</f>
        <v>Band 3</v>
      </c>
      <c r="I1974" s="19" t="b">
        <f t="shared" si="91"/>
        <v>1</v>
      </c>
      <c r="J1974" s="33" t="str">
        <f t="shared" si="92"/>
        <v/>
      </c>
    </row>
    <row r="1975" spans="1:10">
      <c r="A1975" s="19" t="s">
        <v>295</v>
      </c>
      <c r="B1975" s="20">
        <v>45962</v>
      </c>
      <c r="C1975" s="21">
        <v>148</v>
      </c>
      <c r="D1975" s="21">
        <v>117.08333333333333</v>
      </c>
      <c r="E1975" s="21">
        <v>93.5</v>
      </c>
      <c r="F1975" s="27">
        <f t="shared" si="90"/>
        <v>0.79110360360360354</v>
      </c>
      <c r="G1975" s="21" t="str">
        <f>IFERROR(INDEX(Users!$A$2:$A$310,MATCH(A1975,Users!$B$2:$B$310,0)),"")</f>
        <v>Service A</v>
      </c>
      <c r="H1975" s="21" t="str">
        <f>IFERROR(INDEX(Users!$D$2:$D$310,MATCH(A1975,Users!$B$2:$B$310,0)),"")</f>
        <v>Band 3</v>
      </c>
      <c r="I1975" s="19" t="b">
        <f t="shared" si="91"/>
        <v>1</v>
      </c>
      <c r="J1975" s="33" t="str">
        <f t="shared" si="92"/>
        <v/>
      </c>
    </row>
    <row r="1976" spans="1:10">
      <c r="A1976" s="19" t="s">
        <v>295</v>
      </c>
      <c r="B1976" s="20">
        <v>45992</v>
      </c>
      <c r="C1976" s="21">
        <v>155.4</v>
      </c>
      <c r="D1976" s="21">
        <v>144.16666666666666</v>
      </c>
      <c r="E1976" s="21">
        <v>113.75</v>
      </c>
      <c r="F1976" s="27">
        <f t="shared" si="90"/>
        <v>0.92771342771342757</v>
      </c>
      <c r="G1976" s="21" t="str">
        <f>IFERROR(INDEX(Users!$A$2:$A$310,MATCH(A1976,Users!$B$2:$B$310,0)),"")</f>
        <v>Service A</v>
      </c>
      <c r="H1976" s="21" t="str">
        <f>IFERROR(INDEX(Users!$D$2:$D$310,MATCH(A1976,Users!$B$2:$B$310,0)),"")</f>
        <v>Band 3</v>
      </c>
      <c r="I1976" s="19" t="b">
        <f t="shared" si="91"/>
        <v>1</v>
      </c>
      <c r="J1976" s="33" t="str">
        <f t="shared" si="92"/>
        <v/>
      </c>
    </row>
    <row r="1977" spans="1:10">
      <c r="A1977" s="19" t="s">
        <v>295</v>
      </c>
      <c r="B1977" s="20">
        <v>46023</v>
      </c>
      <c r="C1977" s="21">
        <v>155.4</v>
      </c>
      <c r="D1977" s="21">
        <v>148.5</v>
      </c>
      <c r="E1977" s="21">
        <v>118.25</v>
      </c>
      <c r="F1977" s="27">
        <f t="shared" si="90"/>
        <v>0.95559845559845558</v>
      </c>
      <c r="G1977" s="21" t="str">
        <f>IFERROR(INDEX(Users!$A$2:$A$310,MATCH(A1977,Users!$B$2:$B$310,0)),"")</f>
        <v>Service A</v>
      </c>
      <c r="H1977" s="21" t="str">
        <f>IFERROR(INDEX(Users!$D$2:$D$310,MATCH(A1977,Users!$B$2:$B$310,0)),"")</f>
        <v>Band 3</v>
      </c>
      <c r="I1977" s="19" t="b">
        <f t="shared" si="91"/>
        <v>1</v>
      </c>
      <c r="J1977" s="33" t="str">
        <f t="shared" si="92"/>
        <v/>
      </c>
    </row>
    <row r="1978" spans="1:10">
      <c r="A1978" s="19" t="s">
        <v>296</v>
      </c>
      <c r="B1978" s="20">
        <v>45658</v>
      </c>
      <c r="C1978" s="21">
        <v>162.80000000000001</v>
      </c>
      <c r="D1978" s="21">
        <v>142.80333333333334</v>
      </c>
      <c r="E1978" s="21">
        <v>119.17</v>
      </c>
      <c r="F1978" s="27">
        <f t="shared" si="90"/>
        <v>0.87717035217035211</v>
      </c>
      <c r="G1978" s="21" t="str">
        <f>IFERROR(INDEX(Users!$A$2:$A$310,MATCH(A1978,Users!$B$2:$B$310,0)),"")</f>
        <v>Service A</v>
      </c>
      <c r="H1978" s="21" t="str">
        <f>IFERROR(INDEX(Users!$D$2:$D$310,MATCH(A1978,Users!$B$2:$B$310,0)),"")</f>
        <v>Band 3</v>
      </c>
      <c r="I1978" s="19" t="b">
        <f t="shared" si="91"/>
        <v>1</v>
      </c>
      <c r="J1978" s="33" t="str">
        <f t="shared" si="92"/>
        <v/>
      </c>
    </row>
    <row r="1979" spans="1:10">
      <c r="A1979" s="19" t="s">
        <v>296</v>
      </c>
      <c r="B1979" s="20">
        <v>45689</v>
      </c>
      <c r="C1979" s="21">
        <v>148</v>
      </c>
      <c r="D1979" s="21">
        <v>138.37222222222223</v>
      </c>
      <c r="E1979" s="21">
        <v>120.7</v>
      </c>
      <c r="F1979" s="27">
        <f t="shared" si="90"/>
        <v>0.93494744744744751</v>
      </c>
      <c r="G1979" s="21" t="str">
        <f>IFERROR(INDEX(Users!$A$2:$A$310,MATCH(A1979,Users!$B$2:$B$310,0)),"")</f>
        <v>Service A</v>
      </c>
      <c r="H1979" s="21" t="str">
        <f>IFERROR(INDEX(Users!$D$2:$D$310,MATCH(A1979,Users!$B$2:$B$310,0)),"")</f>
        <v>Band 3</v>
      </c>
      <c r="I1979" s="19" t="b">
        <f t="shared" si="91"/>
        <v>1</v>
      </c>
      <c r="J1979" s="33" t="str">
        <f t="shared" si="92"/>
        <v/>
      </c>
    </row>
    <row r="1980" spans="1:10">
      <c r="A1980" s="19" t="s">
        <v>296</v>
      </c>
      <c r="B1980" s="20">
        <v>45717</v>
      </c>
      <c r="C1980" s="21">
        <v>155.4</v>
      </c>
      <c r="D1980" s="21">
        <v>139.25833333333333</v>
      </c>
      <c r="E1980" s="21">
        <v>97.75</v>
      </c>
      <c r="F1980" s="27">
        <f t="shared" si="90"/>
        <v>0.89612827112827109</v>
      </c>
      <c r="G1980" s="21" t="str">
        <f>IFERROR(INDEX(Users!$A$2:$A$310,MATCH(A1980,Users!$B$2:$B$310,0)),"")</f>
        <v>Service A</v>
      </c>
      <c r="H1980" s="21" t="str">
        <f>IFERROR(INDEX(Users!$D$2:$D$310,MATCH(A1980,Users!$B$2:$B$310,0)),"")</f>
        <v>Band 3</v>
      </c>
      <c r="I1980" s="19" t="b">
        <f t="shared" si="91"/>
        <v>1</v>
      </c>
      <c r="J1980" s="33" t="str">
        <f t="shared" si="92"/>
        <v/>
      </c>
    </row>
    <row r="1981" spans="1:10">
      <c r="A1981" s="19" t="s">
        <v>296</v>
      </c>
      <c r="B1981" s="20">
        <v>45748</v>
      </c>
      <c r="C1981" s="21">
        <v>148</v>
      </c>
      <c r="D1981" s="21">
        <v>137.33333333333334</v>
      </c>
      <c r="E1981" s="21">
        <v>85</v>
      </c>
      <c r="F1981" s="27">
        <f t="shared" si="90"/>
        <v>0.927927927927928</v>
      </c>
      <c r="G1981" s="21" t="str">
        <f>IFERROR(INDEX(Users!$A$2:$A$310,MATCH(A1981,Users!$B$2:$B$310,0)),"")</f>
        <v>Service A</v>
      </c>
      <c r="H1981" s="21" t="str">
        <f>IFERROR(INDEX(Users!$D$2:$D$310,MATCH(A1981,Users!$B$2:$B$310,0)),"")</f>
        <v>Band 3</v>
      </c>
      <c r="I1981" s="19" t="b">
        <f t="shared" si="91"/>
        <v>1</v>
      </c>
      <c r="J1981" s="33" t="str">
        <f t="shared" si="92"/>
        <v/>
      </c>
    </row>
    <row r="1982" spans="1:10">
      <c r="A1982" s="19" t="s">
        <v>296</v>
      </c>
      <c r="B1982" s="20">
        <v>45778</v>
      </c>
      <c r="C1982" s="21">
        <v>148</v>
      </c>
      <c r="D1982" s="21">
        <v>138.01166666666666</v>
      </c>
      <c r="E1982" s="21">
        <v>99.42</v>
      </c>
      <c r="F1982" s="27">
        <f t="shared" si="90"/>
        <v>0.93251126126126116</v>
      </c>
      <c r="G1982" s="21" t="str">
        <f>IFERROR(INDEX(Users!$A$2:$A$310,MATCH(A1982,Users!$B$2:$B$310,0)),"")</f>
        <v>Service A</v>
      </c>
      <c r="H1982" s="21" t="str">
        <f>IFERROR(INDEX(Users!$D$2:$D$310,MATCH(A1982,Users!$B$2:$B$310,0)),"")</f>
        <v>Band 3</v>
      </c>
      <c r="I1982" s="19" t="b">
        <f t="shared" si="91"/>
        <v>1</v>
      </c>
      <c r="J1982" s="33" t="str">
        <f t="shared" si="92"/>
        <v/>
      </c>
    </row>
    <row r="1983" spans="1:10">
      <c r="A1983" s="19" t="s">
        <v>296</v>
      </c>
      <c r="B1983" s="20">
        <v>45809</v>
      </c>
      <c r="C1983" s="21">
        <v>155.4</v>
      </c>
      <c r="D1983" s="21">
        <v>148.91666666666666</v>
      </c>
      <c r="E1983" s="21">
        <v>96.5</v>
      </c>
      <c r="F1983" s="27">
        <f t="shared" si="90"/>
        <v>0.95827970827970821</v>
      </c>
      <c r="G1983" s="21" t="str">
        <f>IFERROR(INDEX(Users!$A$2:$A$310,MATCH(A1983,Users!$B$2:$B$310,0)),"")</f>
        <v>Service A</v>
      </c>
      <c r="H1983" s="21" t="str">
        <f>IFERROR(INDEX(Users!$D$2:$D$310,MATCH(A1983,Users!$B$2:$B$310,0)),"")</f>
        <v>Band 3</v>
      </c>
      <c r="I1983" s="19" t="b">
        <f t="shared" si="91"/>
        <v>1</v>
      </c>
      <c r="J1983" s="33" t="str">
        <f t="shared" si="92"/>
        <v/>
      </c>
    </row>
    <row r="1984" spans="1:10">
      <c r="A1984" s="19" t="s">
        <v>296</v>
      </c>
      <c r="B1984" s="20">
        <v>45839</v>
      </c>
      <c r="C1984" s="21">
        <v>170.20000000000002</v>
      </c>
      <c r="D1984" s="21">
        <v>166.20833333333334</v>
      </c>
      <c r="E1984" s="21">
        <v>113.65</v>
      </c>
      <c r="F1984" s="27">
        <f t="shared" si="90"/>
        <v>0.97654719937328627</v>
      </c>
      <c r="G1984" s="21" t="str">
        <f>IFERROR(INDEX(Users!$A$2:$A$310,MATCH(A1984,Users!$B$2:$B$310,0)),"")</f>
        <v>Service A</v>
      </c>
      <c r="H1984" s="21" t="str">
        <f>IFERROR(INDEX(Users!$D$2:$D$310,MATCH(A1984,Users!$B$2:$B$310,0)),"")</f>
        <v>Band 3</v>
      </c>
      <c r="I1984" s="19" t="b">
        <f t="shared" si="91"/>
        <v>1</v>
      </c>
      <c r="J1984" s="33" t="str">
        <f t="shared" si="92"/>
        <v/>
      </c>
    </row>
    <row r="1985" spans="1:10">
      <c r="A1985" s="19" t="s">
        <v>296</v>
      </c>
      <c r="B1985" s="20">
        <v>45870</v>
      </c>
      <c r="C1985" s="21">
        <v>148</v>
      </c>
      <c r="D1985" s="21">
        <v>59.508333333333333</v>
      </c>
      <c r="E1985" s="21">
        <v>45.5</v>
      </c>
      <c r="F1985" s="27">
        <f t="shared" si="90"/>
        <v>0.40208333333333335</v>
      </c>
      <c r="G1985" s="21" t="str">
        <f>IFERROR(INDEX(Users!$A$2:$A$310,MATCH(A1985,Users!$B$2:$B$310,0)),"")</f>
        <v>Service A</v>
      </c>
      <c r="H1985" s="21" t="str">
        <f>IFERROR(INDEX(Users!$D$2:$D$310,MATCH(A1985,Users!$B$2:$B$310,0)),"")</f>
        <v>Band 3</v>
      </c>
      <c r="I1985" s="19" t="b">
        <f t="shared" si="91"/>
        <v>1</v>
      </c>
      <c r="J1985" s="33" t="str">
        <f t="shared" si="92"/>
        <v/>
      </c>
    </row>
    <row r="1986" spans="1:10">
      <c r="A1986" s="19" t="s">
        <v>296</v>
      </c>
      <c r="B1986" s="20">
        <v>45901</v>
      </c>
      <c r="C1986" s="21">
        <v>162.80000000000001</v>
      </c>
      <c r="D1986" s="21">
        <v>158.59500000000003</v>
      </c>
      <c r="E1986" s="21">
        <v>128.17000000000002</v>
      </c>
      <c r="F1986" s="27">
        <f t="shared" ref="F1986:F2049" si="93">IFERROR(IF(OR(C1986="",D1986="",C1986=0),"",D1986/C1986),"")</f>
        <v>0.97417076167076178</v>
      </c>
      <c r="G1986" s="21" t="str">
        <f>IFERROR(INDEX(Users!$A$2:$A$310,MATCH(A1986,Users!$B$2:$B$310,0)),"")</f>
        <v>Service A</v>
      </c>
      <c r="H1986" s="21" t="str">
        <f>IFERROR(INDEX(Users!$D$2:$D$310,MATCH(A1986,Users!$B$2:$B$310,0)),"")</f>
        <v>Band 3</v>
      </c>
      <c r="I1986" s="19" t="b">
        <f t="shared" ref="I1986:I2049" si="94">AND(G1986="Service A",H1986="Band 3")</f>
        <v>1</v>
      </c>
      <c r="J1986" s="33" t="str">
        <f t="shared" ref="J1986:J2049" si="95">IF(AND(B1986&gt;=DATE(2025,1,1),B1986&lt;DATE(2026,1,1),G1986="Service B",OR(H1986="Band 3",H1986="Band 5"),ISNUMBER(F1986)),F1986,"")</f>
        <v/>
      </c>
    </row>
    <row r="1987" spans="1:10">
      <c r="A1987" s="19" t="s">
        <v>296</v>
      </c>
      <c r="B1987" s="20">
        <v>45931</v>
      </c>
      <c r="C1987" s="21">
        <v>170.20000000000002</v>
      </c>
      <c r="D1987" s="21">
        <v>159.41666666666666</v>
      </c>
      <c r="E1987" s="21">
        <v>108.5</v>
      </c>
      <c r="F1987" s="27">
        <f t="shared" si="93"/>
        <v>0.93664316490403432</v>
      </c>
      <c r="G1987" s="21" t="str">
        <f>IFERROR(INDEX(Users!$A$2:$A$310,MATCH(A1987,Users!$B$2:$B$310,0)),"")</f>
        <v>Service A</v>
      </c>
      <c r="H1987" s="21" t="str">
        <f>IFERROR(INDEX(Users!$D$2:$D$310,MATCH(A1987,Users!$B$2:$B$310,0)),"")</f>
        <v>Band 3</v>
      </c>
      <c r="I1987" s="19" t="b">
        <f t="shared" si="94"/>
        <v>1</v>
      </c>
      <c r="J1987" s="33" t="str">
        <f t="shared" si="95"/>
        <v/>
      </c>
    </row>
    <row r="1988" spans="1:10">
      <c r="A1988" s="19" t="s">
        <v>296</v>
      </c>
      <c r="B1988" s="20">
        <v>45962</v>
      </c>
      <c r="C1988" s="21">
        <v>148</v>
      </c>
      <c r="D1988" s="21">
        <v>147.18</v>
      </c>
      <c r="E1988" s="21">
        <v>102.68</v>
      </c>
      <c r="F1988" s="27">
        <f t="shared" si="93"/>
        <v>0.99445945945945946</v>
      </c>
      <c r="G1988" s="21" t="str">
        <f>IFERROR(INDEX(Users!$A$2:$A$310,MATCH(A1988,Users!$B$2:$B$310,0)),"")</f>
        <v>Service A</v>
      </c>
      <c r="H1988" s="21" t="str">
        <f>IFERROR(INDEX(Users!$D$2:$D$310,MATCH(A1988,Users!$B$2:$B$310,0)),"")</f>
        <v>Band 3</v>
      </c>
      <c r="I1988" s="19" t="b">
        <f t="shared" si="94"/>
        <v>1</v>
      </c>
      <c r="J1988" s="33" t="str">
        <f t="shared" si="95"/>
        <v/>
      </c>
    </row>
    <row r="1989" spans="1:10">
      <c r="A1989" s="19" t="s">
        <v>296</v>
      </c>
      <c r="B1989" s="20">
        <v>45992</v>
      </c>
      <c r="C1989" s="21">
        <v>155.4</v>
      </c>
      <c r="D1989" s="21">
        <v>150.4</v>
      </c>
      <c r="E1989" s="21">
        <v>94</v>
      </c>
      <c r="F1989" s="27">
        <f t="shared" si="93"/>
        <v>0.96782496782496785</v>
      </c>
      <c r="G1989" s="21" t="str">
        <f>IFERROR(INDEX(Users!$A$2:$A$310,MATCH(A1989,Users!$B$2:$B$310,0)),"")</f>
        <v>Service A</v>
      </c>
      <c r="H1989" s="21" t="str">
        <f>IFERROR(INDEX(Users!$D$2:$D$310,MATCH(A1989,Users!$B$2:$B$310,0)),"")</f>
        <v>Band 3</v>
      </c>
      <c r="I1989" s="19" t="b">
        <f t="shared" si="94"/>
        <v>1</v>
      </c>
      <c r="J1989" s="33" t="str">
        <f t="shared" si="95"/>
        <v/>
      </c>
    </row>
    <row r="1990" spans="1:10">
      <c r="A1990" s="19" t="s">
        <v>296</v>
      </c>
      <c r="B1990" s="20">
        <v>46023</v>
      </c>
      <c r="C1990" s="21">
        <v>155.4</v>
      </c>
      <c r="D1990" s="21">
        <v>52.9</v>
      </c>
      <c r="E1990" s="21">
        <v>30</v>
      </c>
      <c r="F1990" s="27">
        <f t="shared" si="93"/>
        <v>0.34041184041184042</v>
      </c>
      <c r="G1990" s="21" t="str">
        <f>IFERROR(INDEX(Users!$A$2:$A$310,MATCH(A1990,Users!$B$2:$B$310,0)),"")</f>
        <v>Service A</v>
      </c>
      <c r="H1990" s="21" t="str">
        <f>IFERROR(INDEX(Users!$D$2:$D$310,MATCH(A1990,Users!$B$2:$B$310,0)),"")</f>
        <v>Band 3</v>
      </c>
      <c r="I1990" s="19" t="b">
        <f t="shared" si="94"/>
        <v>1</v>
      </c>
      <c r="J1990" s="33" t="str">
        <f t="shared" si="95"/>
        <v/>
      </c>
    </row>
    <row r="1991" spans="1:10">
      <c r="A1991" s="19" t="s">
        <v>297</v>
      </c>
      <c r="B1991" s="20">
        <v>45658</v>
      </c>
      <c r="C1991" s="21">
        <v>162.80000000000001</v>
      </c>
      <c r="D1991" s="21">
        <v>155.85666666666665</v>
      </c>
      <c r="E1991" s="21">
        <v>133.99</v>
      </c>
      <c r="F1991" s="27">
        <f t="shared" si="93"/>
        <v>0.95735053235053225</v>
      </c>
      <c r="G1991" s="21" t="str">
        <f>IFERROR(INDEX(Users!$A$2:$A$310,MATCH(A1991,Users!$B$2:$B$310,0)),"")</f>
        <v>Service A</v>
      </c>
      <c r="H1991" s="21" t="str">
        <f>IFERROR(INDEX(Users!$D$2:$D$310,MATCH(A1991,Users!$B$2:$B$310,0)),"")</f>
        <v>Band 3</v>
      </c>
      <c r="I1991" s="19" t="b">
        <f t="shared" si="94"/>
        <v>1</v>
      </c>
      <c r="J1991" s="33" t="str">
        <f t="shared" si="95"/>
        <v/>
      </c>
    </row>
    <row r="1992" spans="1:10">
      <c r="A1992" s="19" t="s">
        <v>297</v>
      </c>
      <c r="B1992" s="20">
        <v>45689</v>
      </c>
      <c r="C1992" s="21">
        <v>148</v>
      </c>
      <c r="D1992" s="21">
        <v>153.08333333333331</v>
      </c>
      <c r="E1992" s="21">
        <v>129.44999999999999</v>
      </c>
      <c r="F1992" s="27">
        <f t="shared" si="93"/>
        <v>1.0343468468468466</v>
      </c>
      <c r="G1992" s="21" t="str">
        <f>IFERROR(INDEX(Users!$A$2:$A$310,MATCH(A1992,Users!$B$2:$B$310,0)),"")</f>
        <v>Service A</v>
      </c>
      <c r="H1992" s="21" t="str">
        <f>IFERROR(INDEX(Users!$D$2:$D$310,MATCH(A1992,Users!$B$2:$B$310,0)),"")</f>
        <v>Band 3</v>
      </c>
      <c r="I1992" s="19" t="b">
        <f t="shared" si="94"/>
        <v>1</v>
      </c>
      <c r="J1992" s="33" t="str">
        <f t="shared" si="95"/>
        <v/>
      </c>
    </row>
    <row r="1993" spans="1:10">
      <c r="A1993" s="19" t="s">
        <v>297</v>
      </c>
      <c r="B1993" s="20">
        <v>45717</v>
      </c>
      <c r="C1993" s="21">
        <v>155.4</v>
      </c>
      <c r="D1993" s="21">
        <v>159.04999999999998</v>
      </c>
      <c r="E1993" s="21">
        <v>136.19999999999999</v>
      </c>
      <c r="F1993" s="27">
        <f t="shared" si="93"/>
        <v>1.0234877734877734</v>
      </c>
      <c r="G1993" s="21" t="str">
        <f>IFERROR(INDEX(Users!$A$2:$A$310,MATCH(A1993,Users!$B$2:$B$310,0)),"")</f>
        <v>Service A</v>
      </c>
      <c r="H1993" s="21" t="str">
        <f>IFERROR(INDEX(Users!$D$2:$D$310,MATCH(A1993,Users!$B$2:$B$310,0)),"")</f>
        <v>Band 3</v>
      </c>
      <c r="I1993" s="19" t="b">
        <f t="shared" si="94"/>
        <v>1</v>
      </c>
      <c r="J1993" s="33" t="str">
        <f t="shared" si="95"/>
        <v/>
      </c>
    </row>
    <row r="1994" spans="1:10">
      <c r="A1994" s="19" t="s">
        <v>297</v>
      </c>
      <c r="B1994" s="20">
        <v>45748</v>
      </c>
      <c r="C1994" s="21">
        <v>148</v>
      </c>
      <c r="D1994" s="21">
        <v>136.29666666666665</v>
      </c>
      <c r="E1994" s="21">
        <v>104.83</v>
      </c>
      <c r="F1994" s="27">
        <f t="shared" si="93"/>
        <v>0.92092342342342337</v>
      </c>
      <c r="G1994" s="21" t="str">
        <f>IFERROR(INDEX(Users!$A$2:$A$310,MATCH(A1994,Users!$B$2:$B$310,0)),"")</f>
        <v>Service A</v>
      </c>
      <c r="H1994" s="21" t="str">
        <f>IFERROR(INDEX(Users!$D$2:$D$310,MATCH(A1994,Users!$B$2:$B$310,0)),"")</f>
        <v>Band 3</v>
      </c>
      <c r="I1994" s="19" t="b">
        <f t="shared" si="94"/>
        <v>1</v>
      </c>
      <c r="J1994" s="33" t="str">
        <f t="shared" si="95"/>
        <v/>
      </c>
    </row>
    <row r="1995" spans="1:10">
      <c r="A1995" s="19" t="s">
        <v>297</v>
      </c>
      <c r="B1995" s="20">
        <v>45778</v>
      </c>
      <c r="C1995" s="21">
        <v>148</v>
      </c>
      <c r="D1995" s="21">
        <v>148.47666666666666</v>
      </c>
      <c r="E1995" s="21">
        <v>139.06</v>
      </c>
      <c r="F1995" s="27">
        <f t="shared" si="93"/>
        <v>1.0032207207207207</v>
      </c>
      <c r="G1995" s="21" t="str">
        <f>IFERROR(INDEX(Users!$A$2:$A$310,MATCH(A1995,Users!$B$2:$B$310,0)),"")</f>
        <v>Service A</v>
      </c>
      <c r="H1995" s="21" t="str">
        <f>IFERROR(INDEX(Users!$D$2:$D$310,MATCH(A1995,Users!$B$2:$B$310,0)),"")</f>
        <v>Band 3</v>
      </c>
      <c r="I1995" s="19" t="b">
        <f t="shared" si="94"/>
        <v>1</v>
      </c>
      <c r="J1995" s="33" t="str">
        <f t="shared" si="95"/>
        <v/>
      </c>
    </row>
    <row r="1996" spans="1:10">
      <c r="A1996" s="19" t="s">
        <v>297</v>
      </c>
      <c r="B1996" s="20">
        <v>45809</v>
      </c>
      <c r="C1996" s="21">
        <v>155.4</v>
      </c>
      <c r="D1996" s="21">
        <v>151.17666666666668</v>
      </c>
      <c r="E1996" s="21">
        <v>127.31</v>
      </c>
      <c r="F1996" s="27">
        <f t="shared" si="93"/>
        <v>0.97282282282282284</v>
      </c>
      <c r="G1996" s="21" t="str">
        <f>IFERROR(INDEX(Users!$A$2:$A$310,MATCH(A1996,Users!$B$2:$B$310,0)),"")</f>
        <v>Service A</v>
      </c>
      <c r="H1996" s="21" t="str">
        <f>IFERROR(INDEX(Users!$D$2:$D$310,MATCH(A1996,Users!$B$2:$B$310,0)),"")</f>
        <v>Band 3</v>
      </c>
      <c r="I1996" s="19" t="b">
        <f t="shared" si="94"/>
        <v>1</v>
      </c>
      <c r="J1996" s="33" t="str">
        <f t="shared" si="95"/>
        <v/>
      </c>
    </row>
    <row r="1997" spans="1:10">
      <c r="A1997" s="19" t="s">
        <v>297</v>
      </c>
      <c r="B1997" s="20">
        <v>45839</v>
      </c>
      <c r="C1997" s="21">
        <v>170.20000000000002</v>
      </c>
      <c r="D1997" s="21">
        <v>118.61</v>
      </c>
      <c r="E1997" s="21">
        <v>100.61</v>
      </c>
      <c r="F1997" s="27">
        <f t="shared" si="93"/>
        <v>0.69688601645123371</v>
      </c>
      <c r="G1997" s="21" t="str">
        <f>IFERROR(INDEX(Users!$A$2:$A$310,MATCH(A1997,Users!$B$2:$B$310,0)),"")</f>
        <v>Service A</v>
      </c>
      <c r="H1997" s="21" t="str">
        <f>IFERROR(INDEX(Users!$D$2:$D$310,MATCH(A1997,Users!$B$2:$B$310,0)),"")</f>
        <v>Band 3</v>
      </c>
      <c r="I1997" s="19" t="b">
        <f t="shared" si="94"/>
        <v>1</v>
      </c>
      <c r="J1997" s="33" t="str">
        <f t="shared" si="95"/>
        <v/>
      </c>
    </row>
    <row r="1998" spans="1:10">
      <c r="A1998" s="19" t="s">
        <v>297</v>
      </c>
      <c r="B1998" s="20">
        <v>45870</v>
      </c>
      <c r="C1998" s="21">
        <v>148</v>
      </c>
      <c r="D1998" s="21">
        <v>141.75</v>
      </c>
      <c r="E1998" s="21">
        <v>123.85</v>
      </c>
      <c r="F1998" s="27">
        <f t="shared" si="93"/>
        <v>0.95777027027027029</v>
      </c>
      <c r="G1998" s="21" t="str">
        <f>IFERROR(INDEX(Users!$A$2:$A$310,MATCH(A1998,Users!$B$2:$B$310,0)),"")</f>
        <v>Service A</v>
      </c>
      <c r="H1998" s="21" t="str">
        <f>IFERROR(INDEX(Users!$D$2:$D$310,MATCH(A1998,Users!$B$2:$B$310,0)),"")</f>
        <v>Band 3</v>
      </c>
      <c r="I1998" s="19" t="b">
        <f t="shared" si="94"/>
        <v>1</v>
      </c>
      <c r="J1998" s="33" t="str">
        <f t="shared" si="95"/>
        <v/>
      </c>
    </row>
    <row r="1999" spans="1:10">
      <c r="A1999" s="19" t="s">
        <v>297</v>
      </c>
      <c r="B1999" s="20">
        <v>45901</v>
      </c>
      <c r="C1999" s="21">
        <v>162.80000000000001</v>
      </c>
      <c r="D1999" s="21">
        <v>176.62</v>
      </c>
      <c r="E1999" s="21">
        <v>151.37</v>
      </c>
      <c r="F1999" s="27">
        <f t="shared" si="93"/>
        <v>1.0848894348894349</v>
      </c>
      <c r="G1999" s="21" t="str">
        <f>IFERROR(INDEX(Users!$A$2:$A$310,MATCH(A1999,Users!$B$2:$B$310,0)),"")</f>
        <v>Service A</v>
      </c>
      <c r="H1999" s="21" t="str">
        <f>IFERROR(INDEX(Users!$D$2:$D$310,MATCH(A1999,Users!$B$2:$B$310,0)),"")</f>
        <v>Band 3</v>
      </c>
      <c r="I1999" s="19" t="b">
        <f t="shared" si="94"/>
        <v>1</v>
      </c>
      <c r="J1999" s="33" t="str">
        <f t="shared" si="95"/>
        <v/>
      </c>
    </row>
    <row r="2000" spans="1:10">
      <c r="A2000" s="19" t="s">
        <v>297</v>
      </c>
      <c r="B2000" s="20">
        <v>45931</v>
      </c>
      <c r="C2000" s="21">
        <v>170.20000000000002</v>
      </c>
      <c r="D2000" s="21">
        <v>162.11333333333332</v>
      </c>
      <c r="E2000" s="21">
        <v>126.17999999999998</v>
      </c>
      <c r="F2000" s="27">
        <f t="shared" si="93"/>
        <v>0.95248726987857402</v>
      </c>
      <c r="G2000" s="21" t="str">
        <f>IFERROR(INDEX(Users!$A$2:$A$310,MATCH(A2000,Users!$B$2:$B$310,0)),"")</f>
        <v>Service A</v>
      </c>
      <c r="H2000" s="21" t="str">
        <f>IFERROR(INDEX(Users!$D$2:$D$310,MATCH(A2000,Users!$B$2:$B$310,0)),"")</f>
        <v>Band 3</v>
      </c>
      <c r="I2000" s="19" t="b">
        <f t="shared" si="94"/>
        <v>1</v>
      </c>
      <c r="J2000" s="33" t="str">
        <f t="shared" si="95"/>
        <v/>
      </c>
    </row>
    <row r="2001" spans="1:10">
      <c r="A2001" s="19" t="s">
        <v>297</v>
      </c>
      <c r="B2001" s="20">
        <v>45962</v>
      </c>
      <c r="C2001" s="21">
        <v>148</v>
      </c>
      <c r="D2001" s="21">
        <v>140.67333333333332</v>
      </c>
      <c r="E2001" s="21">
        <v>115.38999999999999</v>
      </c>
      <c r="F2001" s="27">
        <f t="shared" si="93"/>
        <v>0.95049549549549539</v>
      </c>
      <c r="G2001" s="21" t="str">
        <f>IFERROR(INDEX(Users!$A$2:$A$310,MATCH(A2001,Users!$B$2:$B$310,0)),"")</f>
        <v>Service A</v>
      </c>
      <c r="H2001" s="21" t="str">
        <f>IFERROR(INDEX(Users!$D$2:$D$310,MATCH(A2001,Users!$B$2:$B$310,0)),"")</f>
        <v>Band 3</v>
      </c>
      <c r="I2001" s="19" t="b">
        <f t="shared" si="94"/>
        <v>1</v>
      </c>
      <c r="J2001" s="33" t="str">
        <f t="shared" si="95"/>
        <v/>
      </c>
    </row>
    <row r="2002" spans="1:10">
      <c r="A2002" s="19" t="s">
        <v>297</v>
      </c>
      <c r="B2002" s="20">
        <v>45992</v>
      </c>
      <c r="C2002" s="21">
        <v>155.4</v>
      </c>
      <c r="D2002" s="21">
        <v>120.89</v>
      </c>
      <c r="E2002" s="21">
        <v>92.59</v>
      </c>
      <c r="F2002" s="27">
        <f t="shared" si="93"/>
        <v>0.77792792792792786</v>
      </c>
      <c r="G2002" s="21" t="str">
        <f>IFERROR(INDEX(Users!$A$2:$A$310,MATCH(A2002,Users!$B$2:$B$310,0)),"")</f>
        <v>Service A</v>
      </c>
      <c r="H2002" s="21" t="str">
        <f>IFERROR(INDEX(Users!$D$2:$D$310,MATCH(A2002,Users!$B$2:$B$310,0)),"")</f>
        <v>Band 3</v>
      </c>
      <c r="I2002" s="19" t="b">
        <f t="shared" si="94"/>
        <v>1</v>
      </c>
      <c r="J2002" s="33" t="str">
        <f t="shared" si="95"/>
        <v/>
      </c>
    </row>
    <row r="2003" spans="1:10">
      <c r="A2003" s="19" t="s">
        <v>297</v>
      </c>
      <c r="B2003" s="20">
        <v>46023</v>
      </c>
      <c r="C2003" s="21">
        <v>155.4</v>
      </c>
      <c r="D2003" s="21">
        <v>156.25333333333333</v>
      </c>
      <c r="E2003" s="21">
        <v>108.57</v>
      </c>
      <c r="F2003" s="27">
        <f t="shared" si="93"/>
        <v>1.0054912054912055</v>
      </c>
      <c r="G2003" s="21" t="str">
        <f>IFERROR(INDEX(Users!$A$2:$A$310,MATCH(A2003,Users!$B$2:$B$310,0)),"")</f>
        <v>Service A</v>
      </c>
      <c r="H2003" s="21" t="str">
        <f>IFERROR(INDEX(Users!$D$2:$D$310,MATCH(A2003,Users!$B$2:$B$310,0)),"")</f>
        <v>Band 3</v>
      </c>
      <c r="I2003" s="19" t="b">
        <f t="shared" si="94"/>
        <v>1</v>
      </c>
      <c r="J2003" s="33" t="str">
        <f t="shared" si="95"/>
        <v/>
      </c>
    </row>
    <row r="2004" spans="1:10">
      <c r="A2004" s="19" t="s">
        <v>298</v>
      </c>
      <c r="B2004" s="20">
        <v>45658</v>
      </c>
      <c r="C2004" s="21">
        <v>162.80000000000001</v>
      </c>
      <c r="D2004" s="21">
        <v>148.20999999999987</v>
      </c>
      <c r="E2004" s="21">
        <v>61.209999999999873</v>
      </c>
      <c r="F2004" s="27">
        <f t="shared" si="93"/>
        <v>0.91038083538083447</v>
      </c>
      <c r="G2004" s="21" t="str">
        <f>IFERROR(INDEX(Users!$A$2:$A$310,MATCH(A2004,Users!$B$2:$B$310,0)),"")</f>
        <v>Service A</v>
      </c>
      <c r="H2004" s="21" t="str">
        <f>IFERROR(INDEX(Users!$D$2:$D$310,MATCH(A2004,Users!$B$2:$B$310,0)),"")</f>
        <v>Band 5</v>
      </c>
      <c r="I2004" s="19" t="b">
        <f t="shared" si="94"/>
        <v>0</v>
      </c>
      <c r="J2004" s="33" t="str">
        <f t="shared" si="95"/>
        <v/>
      </c>
    </row>
    <row r="2005" spans="1:10">
      <c r="A2005" s="19" t="s">
        <v>298</v>
      </c>
      <c r="B2005" s="20">
        <v>45689</v>
      </c>
      <c r="C2005" s="21">
        <v>148</v>
      </c>
      <c r="D2005" s="21">
        <v>139.06</v>
      </c>
      <c r="E2005" s="21">
        <v>55.56</v>
      </c>
      <c r="F2005" s="27">
        <f t="shared" si="93"/>
        <v>0.9395945945945946</v>
      </c>
      <c r="G2005" s="21" t="str">
        <f>IFERROR(INDEX(Users!$A$2:$A$310,MATCH(A2005,Users!$B$2:$B$310,0)),"")</f>
        <v>Service A</v>
      </c>
      <c r="H2005" s="21" t="str">
        <f>IFERROR(INDEX(Users!$D$2:$D$310,MATCH(A2005,Users!$B$2:$B$310,0)),"")</f>
        <v>Band 5</v>
      </c>
      <c r="I2005" s="19" t="b">
        <f t="shared" si="94"/>
        <v>0</v>
      </c>
      <c r="J2005" s="33" t="str">
        <f t="shared" si="95"/>
        <v/>
      </c>
    </row>
    <row r="2006" spans="1:10">
      <c r="A2006" s="19" t="s">
        <v>298</v>
      </c>
      <c r="B2006" s="20">
        <v>45717</v>
      </c>
      <c r="C2006" s="21">
        <v>155.4</v>
      </c>
      <c r="D2006" s="21">
        <v>152.81666666666666</v>
      </c>
      <c r="E2006" s="21">
        <v>61.400000000000006</v>
      </c>
      <c r="F2006" s="27">
        <f t="shared" si="93"/>
        <v>0.98337623337623337</v>
      </c>
      <c r="G2006" s="21" t="str">
        <f>IFERROR(INDEX(Users!$A$2:$A$310,MATCH(A2006,Users!$B$2:$B$310,0)),"")</f>
        <v>Service A</v>
      </c>
      <c r="H2006" s="21" t="str">
        <f>IFERROR(INDEX(Users!$D$2:$D$310,MATCH(A2006,Users!$B$2:$B$310,0)),"")</f>
        <v>Band 5</v>
      </c>
      <c r="I2006" s="19" t="b">
        <f t="shared" si="94"/>
        <v>0</v>
      </c>
      <c r="J2006" s="33" t="str">
        <f t="shared" si="95"/>
        <v/>
      </c>
    </row>
    <row r="2007" spans="1:10">
      <c r="A2007" s="19" t="s">
        <v>298</v>
      </c>
      <c r="B2007" s="20">
        <v>45748</v>
      </c>
      <c r="C2007" s="21">
        <v>148</v>
      </c>
      <c r="D2007" s="21">
        <v>140.47</v>
      </c>
      <c r="E2007" s="21">
        <v>48.97</v>
      </c>
      <c r="F2007" s="27">
        <f t="shared" si="93"/>
        <v>0.94912162162162161</v>
      </c>
      <c r="G2007" s="21" t="str">
        <f>IFERROR(INDEX(Users!$A$2:$A$310,MATCH(A2007,Users!$B$2:$B$310,0)),"")</f>
        <v>Service A</v>
      </c>
      <c r="H2007" s="21" t="str">
        <f>IFERROR(INDEX(Users!$D$2:$D$310,MATCH(A2007,Users!$B$2:$B$310,0)),"")</f>
        <v>Band 5</v>
      </c>
      <c r="I2007" s="19" t="b">
        <f t="shared" si="94"/>
        <v>0</v>
      </c>
      <c r="J2007" s="33" t="str">
        <f t="shared" si="95"/>
        <v/>
      </c>
    </row>
    <row r="2008" spans="1:10">
      <c r="A2008" s="19" t="s">
        <v>298</v>
      </c>
      <c r="B2008" s="20">
        <v>45778</v>
      </c>
      <c r="C2008" s="21">
        <v>148</v>
      </c>
      <c r="D2008" s="21">
        <v>137.65666666666664</v>
      </c>
      <c r="E2008" s="21">
        <v>63.889999999999986</v>
      </c>
      <c r="F2008" s="27">
        <f t="shared" si="93"/>
        <v>0.93011261261261247</v>
      </c>
      <c r="G2008" s="21" t="str">
        <f>IFERROR(INDEX(Users!$A$2:$A$310,MATCH(A2008,Users!$B$2:$B$310,0)),"")</f>
        <v>Service A</v>
      </c>
      <c r="H2008" s="21" t="str">
        <f>IFERROR(INDEX(Users!$D$2:$D$310,MATCH(A2008,Users!$B$2:$B$310,0)),"")</f>
        <v>Band 5</v>
      </c>
      <c r="I2008" s="19" t="b">
        <f t="shared" si="94"/>
        <v>0</v>
      </c>
      <c r="J2008" s="33" t="str">
        <f t="shared" si="95"/>
        <v/>
      </c>
    </row>
    <row r="2009" spans="1:10">
      <c r="A2009" s="19" t="s">
        <v>298</v>
      </c>
      <c r="B2009" s="20">
        <v>45809</v>
      </c>
      <c r="C2009" s="21">
        <v>155.4</v>
      </c>
      <c r="D2009" s="21">
        <v>149.13000000000002</v>
      </c>
      <c r="E2009" s="21">
        <v>80.380000000000024</v>
      </c>
      <c r="F2009" s="27">
        <f t="shared" si="93"/>
        <v>0.95965250965250981</v>
      </c>
      <c r="G2009" s="21" t="str">
        <f>IFERROR(INDEX(Users!$A$2:$A$310,MATCH(A2009,Users!$B$2:$B$310,0)),"")</f>
        <v>Service A</v>
      </c>
      <c r="H2009" s="21" t="str">
        <f>IFERROR(INDEX(Users!$D$2:$D$310,MATCH(A2009,Users!$B$2:$B$310,0)),"")</f>
        <v>Band 5</v>
      </c>
      <c r="I2009" s="19" t="b">
        <f t="shared" si="94"/>
        <v>0</v>
      </c>
      <c r="J2009" s="33" t="str">
        <f t="shared" si="95"/>
        <v/>
      </c>
    </row>
    <row r="2010" spans="1:10">
      <c r="A2010" s="19" t="s">
        <v>298</v>
      </c>
      <c r="B2010" s="20">
        <v>45839</v>
      </c>
      <c r="C2010" s="21">
        <v>170.20000000000002</v>
      </c>
      <c r="D2010" s="21">
        <v>163.84666666666666</v>
      </c>
      <c r="E2010" s="21">
        <v>97.93</v>
      </c>
      <c r="F2010" s="27">
        <f t="shared" si="93"/>
        <v>0.96267136701919298</v>
      </c>
      <c r="G2010" s="21" t="str">
        <f>IFERROR(INDEX(Users!$A$2:$A$310,MATCH(A2010,Users!$B$2:$B$310,0)),"")</f>
        <v>Service A</v>
      </c>
      <c r="H2010" s="21" t="str">
        <f>IFERROR(INDEX(Users!$D$2:$D$310,MATCH(A2010,Users!$B$2:$B$310,0)),"")</f>
        <v>Band 5</v>
      </c>
      <c r="I2010" s="19" t="b">
        <f t="shared" si="94"/>
        <v>0</v>
      </c>
      <c r="J2010" s="33" t="str">
        <f t="shared" si="95"/>
        <v/>
      </c>
    </row>
    <row r="2011" spans="1:10">
      <c r="A2011" s="19" t="s">
        <v>298</v>
      </c>
      <c r="B2011" s="20">
        <v>45870</v>
      </c>
      <c r="C2011" s="21">
        <v>148</v>
      </c>
      <c r="D2011" s="21">
        <v>129.94666666666666</v>
      </c>
      <c r="E2011" s="21">
        <v>60.030000000000015</v>
      </c>
      <c r="F2011" s="27">
        <f t="shared" si="93"/>
        <v>0.87801801801801793</v>
      </c>
      <c r="G2011" s="21" t="str">
        <f>IFERROR(INDEX(Users!$A$2:$A$310,MATCH(A2011,Users!$B$2:$B$310,0)),"")</f>
        <v>Service A</v>
      </c>
      <c r="H2011" s="21" t="str">
        <f>IFERROR(INDEX(Users!$D$2:$D$310,MATCH(A2011,Users!$B$2:$B$310,0)),"")</f>
        <v>Band 5</v>
      </c>
      <c r="I2011" s="19" t="b">
        <f t="shared" si="94"/>
        <v>0</v>
      </c>
      <c r="J2011" s="33" t="str">
        <f t="shared" si="95"/>
        <v/>
      </c>
    </row>
    <row r="2012" spans="1:10">
      <c r="A2012" s="19" t="s">
        <v>298</v>
      </c>
      <c r="B2012" s="20">
        <v>45901</v>
      </c>
      <c r="C2012" s="21">
        <v>162.80000000000001</v>
      </c>
      <c r="D2012" s="21">
        <v>149.9</v>
      </c>
      <c r="E2012" s="21">
        <v>81.5</v>
      </c>
      <c r="F2012" s="27">
        <f t="shared" si="93"/>
        <v>0.9207616707616707</v>
      </c>
      <c r="G2012" s="21" t="str">
        <f>IFERROR(INDEX(Users!$A$2:$A$310,MATCH(A2012,Users!$B$2:$B$310,0)),"")</f>
        <v>Service A</v>
      </c>
      <c r="H2012" s="21" t="str">
        <f>IFERROR(INDEX(Users!$D$2:$D$310,MATCH(A2012,Users!$B$2:$B$310,0)),"")</f>
        <v>Band 5</v>
      </c>
      <c r="I2012" s="19" t="b">
        <f t="shared" si="94"/>
        <v>0</v>
      </c>
      <c r="J2012" s="33" t="str">
        <f t="shared" si="95"/>
        <v/>
      </c>
    </row>
    <row r="2013" spans="1:10">
      <c r="A2013" s="19" t="s">
        <v>298</v>
      </c>
      <c r="B2013" s="20">
        <v>45931</v>
      </c>
      <c r="C2013" s="21">
        <v>170.20000000000002</v>
      </c>
      <c r="D2013" s="21">
        <v>173.25666666666666</v>
      </c>
      <c r="E2013" s="21">
        <v>93.44</v>
      </c>
      <c r="F2013" s="27">
        <f t="shared" si="93"/>
        <v>1.0179592636114374</v>
      </c>
      <c r="G2013" s="21" t="str">
        <f>IFERROR(INDEX(Users!$A$2:$A$310,MATCH(A2013,Users!$B$2:$B$310,0)),"")</f>
        <v>Service A</v>
      </c>
      <c r="H2013" s="21" t="str">
        <f>IFERROR(INDEX(Users!$D$2:$D$310,MATCH(A2013,Users!$B$2:$B$310,0)),"")</f>
        <v>Band 5</v>
      </c>
      <c r="I2013" s="19" t="b">
        <f t="shared" si="94"/>
        <v>0</v>
      </c>
      <c r="J2013" s="33" t="str">
        <f t="shared" si="95"/>
        <v/>
      </c>
    </row>
    <row r="2014" spans="1:10">
      <c r="A2014" s="19" t="s">
        <v>298</v>
      </c>
      <c r="B2014" s="20">
        <v>45962</v>
      </c>
      <c r="C2014" s="21">
        <v>148</v>
      </c>
      <c r="D2014" s="21">
        <v>151.19999999999999</v>
      </c>
      <c r="E2014" s="21">
        <v>67.2</v>
      </c>
      <c r="F2014" s="27">
        <f t="shared" si="93"/>
        <v>1.0216216216216216</v>
      </c>
      <c r="G2014" s="21" t="str">
        <f>IFERROR(INDEX(Users!$A$2:$A$310,MATCH(A2014,Users!$B$2:$B$310,0)),"")</f>
        <v>Service A</v>
      </c>
      <c r="H2014" s="21" t="str">
        <f>IFERROR(INDEX(Users!$D$2:$D$310,MATCH(A2014,Users!$B$2:$B$310,0)),"")</f>
        <v>Band 5</v>
      </c>
      <c r="I2014" s="19" t="b">
        <f t="shared" si="94"/>
        <v>0</v>
      </c>
      <c r="J2014" s="33" t="str">
        <f t="shared" si="95"/>
        <v/>
      </c>
    </row>
    <row r="2015" spans="1:10">
      <c r="A2015" s="19" t="s">
        <v>298</v>
      </c>
      <c r="B2015" s="20">
        <v>45992</v>
      </c>
      <c r="C2015" s="21">
        <v>155.4</v>
      </c>
      <c r="D2015" s="21">
        <v>83.5</v>
      </c>
      <c r="E2015" s="21">
        <v>43.25</v>
      </c>
      <c r="F2015" s="27">
        <f t="shared" si="93"/>
        <v>0.53732303732303732</v>
      </c>
      <c r="G2015" s="21" t="str">
        <f>IFERROR(INDEX(Users!$A$2:$A$310,MATCH(A2015,Users!$B$2:$B$310,0)),"")</f>
        <v>Service A</v>
      </c>
      <c r="H2015" s="21" t="str">
        <f>IFERROR(INDEX(Users!$D$2:$D$310,MATCH(A2015,Users!$B$2:$B$310,0)),"")</f>
        <v>Band 5</v>
      </c>
      <c r="I2015" s="19" t="b">
        <f t="shared" si="94"/>
        <v>0</v>
      </c>
      <c r="J2015" s="33" t="str">
        <f t="shared" si="95"/>
        <v/>
      </c>
    </row>
    <row r="2016" spans="1:10">
      <c r="A2016" s="19" t="s">
        <v>298</v>
      </c>
      <c r="B2016" s="20">
        <v>46023</v>
      </c>
      <c r="C2016" s="21">
        <v>155.4</v>
      </c>
      <c r="D2016" s="21">
        <v>105.24333333333333</v>
      </c>
      <c r="E2016" s="21">
        <v>34.11</v>
      </c>
      <c r="F2016" s="27">
        <f t="shared" si="93"/>
        <v>0.6772415272415272</v>
      </c>
      <c r="G2016" s="21" t="str">
        <f>IFERROR(INDEX(Users!$A$2:$A$310,MATCH(A2016,Users!$B$2:$B$310,0)),"")</f>
        <v>Service A</v>
      </c>
      <c r="H2016" s="21" t="str">
        <f>IFERROR(INDEX(Users!$D$2:$D$310,MATCH(A2016,Users!$B$2:$B$310,0)),"")</f>
        <v>Band 5</v>
      </c>
      <c r="I2016" s="19" t="b">
        <f t="shared" si="94"/>
        <v>0</v>
      </c>
      <c r="J2016" s="33" t="str">
        <f t="shared" si="95"/>
        <v/>
      </c>
    </row>
    <row r="2017" spans="1:10">
      <c r="A2017" s="19" t="s">
        <v>300</v>
      </c>
      <c r="B2017" s="20">
        <v>45658</v>
      </c>
      <c r="C2017" s="21">
        <v>162.80000000000001</v>
      </c>
      <c r="D2017" s="21">
        <v>147.72666666666663</v>
      </c>
      <c r="E2017" s="21">
        <v>123.75999999999999</v>
      </c>
      <c r="F2017" s="27">
        <f t="shared" si="93"/>
        <v>0.90741195741195713</v>
      </c>
      <c r="G2017" s="21" t="str">
        <f>IFERROR(INDEX(Users!$A$2:$A$310,MATCH(A2017,Users!$B$2:$B$310,0)),"")</f>
        <v>Service A</v>
      </c>
      <c r="H2017" s="21" t="str">
        <f>IFERROR(INDEX(Users!$D$2:$D$310,MATCH(A2017,Users!$B$2:$B$310,0)),"")</f>
        <v>Band 3</v>
      </c>
      <c r="I2017" s="19" t="b">
        <f t="shared" si="94"/>
        <v>1</v>
      </c>
      <c r="J2017" s="33" t="str">
        <f t="shared" si="95"/>
        <v/>
      </c>
    </row>
    <row r="2018" spans="1:10">
      <c r="A2018" s="19" t="s">
        <v>300</v>
      </c>
      <c r="B2018" s="20">
        <v>45689</v>
      </c>
      <c r="C2018" s="21">
        <v>148</v>
      </c>
      <c r="D2018" s="21">
        <v>148.19999999999999</v>
      </c>
      <c r="E2018" s="21">
        <v>113.19999999999999</v>
      </c>
      <c r="F2018" s="27">
        <f t="shared" si="93"/>
        <v>1.0013513513513512</v>
      </c>
      <c r="G2018" s="21" t="str">
        <f>IFERROR(INDEX(Users!$A$2:$A$310,MATCH(A2018,Users!$B$2:$B$310,0)),"")</f>
        <v>Service A</v>
      </c>
      <c r="H2018" s="21" t="str">
        <f>IFERROR(INDEX(Users!$D$2:$D$310,MATCH(A2018,Users!$B$2:$B$310,0)),"")</f>
        <v>Band 3</v>
      </c>
      <c r="I2018" s="19" t="b">
        <f t="shared" si="94"/>
        <v>1</v>
      </c>
      <c r="J2018" s="33" t="str">
        <f t="shared" si="95"/>
        <v/>
      </c>
    </row>
    <row r="2019" spans="1:10">
      <c r="A2019" s="19" t="s">
        <v>300</v>
      </c>
      <c r="B2019" s="20">
        <v>45717</v>
      </c>
      <c r="C2019" s="21">
        <v>155.4</v>
      </c>
      <c r="D2019" s="21">
        <v>147.09999999999997</v>
      </c>
      <c r="E2019" s="21">
        <v>109.6</v>
      </c>
      <c r="F2019" s="27">
        <f t="shared" si="93"/>
        <v>0.94658944658944633</v>
      </c>
      <c r="G2019" s="21" t="str">
        <f>IFERROR(INDEX(Users!$A$2:$A$310,MATCH(A2019,Users!$B$2:$B$310,0)),"")</f>
        <v>Service A</v>
      </c>
      <c r="H2019" s="21" t="str">
        <f>IFERROR(INDEX(Users!$D$2:$D$310,MATCH(A2019,Users!$B$2:$B$310,0)),"")</f>
        <v>Band 3</v>
      </c>
      <c r="I2019" s="19" t="b">
        <f t="shared" si="94"/>
        <v>1</v>
      </c>
      <c r="J2019" s="33" t="str">
        <f t="shared" si="95"/>
        <v/>
      </c>
    </row>
    <row r="2020" spans="1:10">
      <c r="A2020" s="19" t="s">
        <v>300</v>
      </c>
      <c r="B2020" s="20">
        <v>45748</v>
      </c>
      <c r="C2020" s="21">
        <v>148</v>
      </c>
      <c r="D2020" s="21">
        <v>140.59999999999997</v>
      </c>
      <c r="E2020" s="21">
        <v>89.199999999999989</v>
      </c>
      <c r="F2020" s="27">
        <f t="shared" si="93"/>
        <v>0.94999999999999973</v>
      </c>
      <c r="G2020" s="21" t="str">
        <f>IFERROR(INDEX(Users!$A$2:$A$310,MATCH(A2020,Users!$B$2:$B$310,0)),"")</f>
        <v>Service A</v>
      </c>
      <c r="H2020" s="21" t="str">
        <f>IFERROR(INDEX(Users!$D$2:$D$310,MATCH(A2020,Users!$B$2:$B$310,0)),"")</f>
        <v>Band 3</v>
      </c>
      <c r="I2020" s="19" t="b">
        <f t="shared" si="94"/>
        <v>1</v>
      </c>
      <c r="J2020" s="33" t="str">
        <f t="shared" si="95"/>
        <v/>
      </c>
    </row>
    <row r="2021" spans="1:10">
      <c r="A2021" s="19" t="s">
        <v>300</v>
      </c>
      <c r="B2021" s="20">
        <v>45778</v>
      </c>
      <c r="C2021" s="21">
        <v>148</v>
      </c>
      <c r="D2021" s="21">
        <v>133.19999999999999</v>
      </c>
      <c r="E2021" s="21">
        <v>101.8</v>
      </c>
      <c r="F2021" s="27">
        <f t="shared" si="93"/>
        <v>0.89999999999999991</v>
      </c>
      <c r="G2021" s="21" t="str">
        <f>IFERROR(INDEX(Users!$A$2:$A$310,MATCH(A2021,Users!$B$2:$B$310,0)),"")</f>
        <v>Service A</v>
      </c>
      <c r="H2021" s="21" t="str">
        <f>IFERROR(INDEX(Users!$D$2:$D$310,MATCH(A2021,Users!$B$2:$B$310,0)),"")</f>
        <v>Band 3</v>
      </c>
      <c r="I2021" s="19" t="b">
        <f t="shared" si="94"/>
        <v>1</v>
      </c>
      <c r="J2021" s="33" t="str">
        <f t="shared" si="95"/>
        <v/>
      </c>
    </row>
    <row r="2022" spans="1:10">
      <c r="A2022" s="19" t="s">
        <v>300</v>
      </c>
      <c r="B2022" s="20">
        <v>45809</v>
      </c>
      <c r="C2022" s="21">
        <v>155.4</v>
      </c>
      <c r="D2022" s="21">
        <v>137.59999999999997</v>
      </c>
      <c r="E2022" s="21">
        <v>93.199999999999989</v>
      </c>
      <c r="F2022" s="27">
        <f t="shared" si="93"/>
        <v>0.88545688545688517</v>
      </c>
      <c r="G2022" s="21" t="str">
        <f>IFERROR(INDEX(Users!$A$2:$A$310,MATCH(A2022,Users!$B$2:$B$310,0)),"")</f>
        <v>Service A</v>
      </c>
      <c r="H2022" s="21" t="str">
        <f>IFERROR(INDEX(Users!$D$2:$D$310,MATCH(A2022,Users!$B$2:$B$310,0)),"")</f>
        <v>Band 3</v>
      </c>
      <c r="I2022" s="19" t="b">
        <f t="shared" si="94"/>
        <v>1</v>
      </c>
      <c r="J2022" s="33" t="str">
        <f t="shared" si="95"/>
        <v/>
      </c>
    </row>
    <row r="2023" spans="1:10">
      <c r="A2023" s="19" t="s">
        <v>300</v>
      </c>
      <c r="B2023" s="20">
        <v>45839</v>
      </c>
      <c r="C2023" s="21">
        <v>170.20000000000002</v>
      </c>
      <c r="D2023" s="21">
        <v>154.89999999999998</v>
      </c>
      <c r="E2023" s="21">
        <v>108.3</v>
      </c>
      <c r="F2023" s="27">
        <f t="shared" si="93"/>
        <v>0.91010575793184467</v>
      </c>
      <c r="G2023" s="21" t="str">
        <f>IFERROR(INDEX(Users!$A$2:$A$310,MATCH(A2023,Users!$B$2:$B$310,0)),"")</f>
        <v>Service A</v>
      </c>
      <c r="H2023" s="21" t="str">
        <f>IFERROR(INDEX(Users!$D$2:$D$310,MATCH(A2023,Users!$B$2:$B$310,0)),"")</f>
        <v>Band 3</v>
      </c>
      <c r="I2023" s="19" t="b">
        <f t="shared" si="94"/>
        <v>1</v>
      </c>
      <c r="J2023" s="33" t="str">
        <f t="shared" si="95"/>
        <v/>
      </c>
    </row>
    <row r="2024" spans="1:10">
      <c r="A2024" s="19" t="s">
        <v>300</v>
      </c>
      <c r="B2024" s="20">
        <v>45870</v>
      </c>
      <c r="C2024" s="21">
        <v>148</v>
      </c>
      <c r="D2024" s="21">
        <v>132.19666666666666</v>
      </c>
      <c r="E2024" s="21">
        <v>87.97999999999999</v>
      </c>
      <c r="F2024" s="27">
        <f t="shared" si="93"/>
        <v>0.89322072072072067</v>
      </c>
      <c r="G2024" s="21" t="str">
        <f>IFERROR(INDEX(Users!$A$2:$A$310,MATCH(A2024,Users!$B$2:$B$310,0)),"")</f>
        <v>Service A</v>
      </c>
      <c r="H2024" s="21" t="str">
        <f>IFERROR(INDEX(Users!$D$2:$D$310,MATCH(A2024,Users!$B$2:$B$310,0)),"")</f>
        <v>Band 3</v>
      </c>
      <c r="I2024" s="19" t="b">
        <f t="shared" si="94"/>
        <v>1</v>
      </c>
      <c r="J2024" s="33" t="str">
        <f t="shared" si="95"/>
        <v/>
      </c>
    </row>
    <row r="2025" spans="1:10">
      <c r="A2025" s="19" t="s">
        <v>300</v>
      </c>
      <c r="B2025" s="20">
        <v>45901</v>
      </c>
      <c r="C2025" s="21">
        <v>162.80000000000001</v>
      </c>
      <c r="D2025" s="21">
        <v>133.59999999999997</v>
      </c>
      <c r="E2025" s="21">
        <v>85.199999999999989</v>
      </c>
      <c r="F2025" s="27">
        <f t="shared" si="93"/>
        <v>0.82063882063882032</v>
      </c>
      <c r="G2025" s="21" t="str">
        <f>IFERROR(INDEX(Users!$A$2:$A$310,MATCH(A2025,Users!$B$2:$B$310,0)),"")</f>
        <v>Service A</v>
      </c>
      <c r="H2025" s="21" t="str">
        <f>IFERROR(INDEX(Users!$D$2:$D$310,MATCH(A2025,Users!$B$2:$B$310,0)),"")</f>
        <v>Band 3</v>
      </c>
      <c r="I2025" s="19" t="b">
        <f t="shared" si="94"/>
        <v>1</v>
      </c>
      <c r="J2025" s="33" t="str">
        <f t="shared" si="95"/>
        <v/>
      </c>
    </row>
    <row r="2026" spans="1:10">
      <c r="A2026" s="19" t="s">
        <v>300</v>
      </c>
      <c r="B2026" s="20">
        <v>45931</v>
      </c>
      <c r="C2026" s="21">
        <v>170.20000000000002</v>
      </c>
      <c r="D2026" s="21">
        <v>135.19999999999999</v>
      </c>
      <c r="E2026" s="21">
        <v>90.199999999999989</v>
      </c>
      <c r="F2026" s="27">
        <f t="shared" si="93"/>
        <v>0.79435957696827253</v>
      </c>
      <c r="G2026" s="21" t="str">
        <f>IFERROR(INDEX(Users!$A$2:$A$310,MATCH(A2026,Users!$B$2:$B$310,0)),"")</f>
        <v>Service A</v>
      </c>
      <c r="H2026" s="21" t="str">
        <f>IFERROR(INDEX(Users!$D$2:$D$310,MATCH(A2026,Users!$B$2:$B$310,0)),"")</f>
        <v>Band 3</v>
      </c>
      <c r="I2026" s="19" t="b">
        <f t="shared" si="94"/>
        <v>1</v>
      </c>
      <c r="J2026" s="33" t="str">
        <f t="shared" si="95"/>
        <v/>
      </c>
    </row>
    <row r="2027" spans="1:10">
      <c r="A2027" s="19" t="s">
        <v>300</v>
      </c>
      <c r="B2027" s="20">
        <v>45962</v>
      </c>
      <c r="C2027" s="21">
        <v>148</v>
      </c>
      <c r="D2027" s="21">
        <v>147.99999999999997</v>
      </c>
      <c r="E2027" s="21">
        <v>97.799999999999983</v>
      </c>
      <c r="F2027" s="27">
        <f t="shared" si="93"/>
        <v>0.99999999999999978</v>
      </c>
      <c r="G2027" s="21" t="str">
        <f>IFERROR(INDEX(Users!$A$2:$A$310,MATCH(A2027,Users!$B$2:$B$310,0)),"")</f>
        <v>Service A</v>
      </c>
      <c r="H2027" s="21" t="str">
        <f>IFERROR(INDEX(Users!$D$2:$D$310,MATCH(A2027,Users!$B$2:$B$310,0)),"")</f>
        <v>Band 3</v>
      </c>
      <c r="I2027" s="19" t="b">
        <f t="shared" si="94"/>
        <v>1</v>
      </c>
      <c r="J2027" s="33" t="str">
        <f t="shared" si="95"/>
        <v/>
      </c>
    </row>
    <row r="2028" spans="1:10">
      <c r="A2028" s="19" t="s">
        <v>300</v>
      </c>
      <c r="B2028" s="20">
        <v>45992</v>
      </c>
      <c r="C2028" s="21">
        <v>155.4</v>
      </c>
      <c r="D2028" s="21">
        <v>88.799999999999983</v>
      </c>
      <c r="E2028" s="21">
        <v>43.8</v>
      </c>
      <c r="F2028" s="27">
        <f t="shared" si="93"/>
        <v>0.57142857142857129</v>
      </c>
      <c r="G2028" s="21" t="str">
        <f>IFERROR(INDEX(Users!$A$2:$A$310,MATCH(A2028,Users!$B$2:$B$310,0)),"")</f>
        <v>Service A</v>
      </c>
      <c r="H2028" s="21" t="str">
        <f>IFERROR(INDEX(Users!$D$2:$D$310,MATCH(A2028,Users!$B$2:$B$310,0)),"")</f>
        <v>Band 3</v>
      </c>
      <c r="I2028" s="19" t="b">
        <f t="shared" si="94"/>
        <v>1</v>
      </c>
      <c r="J2028" s="33" t="str">
        <f t="shared" si="95"/>
        <v/>
      </c>
    </row>
    <row r="2029" spans="1:10">
      <c r="A2029" s="19" t="s">
        <v>300</v>
      </c>
      <c r="B2029" s="20">
        <v>46023</v>
      </c>
      <c r="C2029" s="21">
        <v>155.4</v>
      </c>
      <c r="D2029" s="21">
        <v>140.6</v>
      </c>
      <c r="E2029" s="21">
        <v>91.399999999999991</v>
      </c>
      <c r="F2029" s="27">
        <f t="shared" si="93"/>
        <v>0.90476190476190466</v>
      </c>
      <c r="G2029" s="21" t="str">
        <f>IFERROR(INDEX(Users!$A$2:$A$310,MATCH(A2029,Users!$B$2:$B$310,0)),"")</f>
        <v>Service A</v>
      </c>
      <c r="H2029" s="21" t="str">
        <f>IFERROR(INDEX(Users!$D$2:$D$310,MATCH(A2029,Users!$B$2:$B$310,0)),"")</f>
        <v>Band 3</v>
      </c>
      <c r="I2029" s="19" t="b">
        <f t="shared" si="94"/>
        <v>1</v>
      </c>
      <c r="J2029" s="33" t="str">
        <f t="shared" si="95"/>
        <v/>
      </c>
    </row>
    <row r="2030" spans="1:10">
      <c r="A2030" s="19" t="s">
        <v>302</v>
      </c>
      <c r="B2030" s="20">
        <v>45658</v>
      </c>
      <c r="C2030" s="21">
        <v>162.80000000000001</v>
      </c>
      <c r="D2030" s="21">
        <v>156.68</v>
      </c>
      <c r="E2030" s="21">
        <v>102.93</v>
      </c>
      <c r="F2030" s="27">
        <f t="shared" si="93"/>
        <v>0.96240786240786236</v>
      </c>
      <c r="G2030" s="21" t="str">
        <f>IFERROR(INDEX(Users!$A$2:$A$310,MATCH(A2030,Users!$B$2:$B$310,0)),"")</f>
        <v>Service A</v>
      </c>
      <c r="H2030" s="21" t="str">
        <f>IFERROR(INDEX(Users!$D$2:$D$310,MATCH(A2030,Users!$B$2:$B$310,0)),"")</f>
        <v>Band 3</v>
      </c>
      <c r="I2030" s="19" t="b">
        <f t="shared" si="94"/>
        <v>1</v>
      </c>
      <c r="J2030" s="33" t="str">
        <f t="shared" si="95"/>
        <v/>
      </c>
    </row>
    <row r="2031" spans="1:10">
      <c r="A2031" s="19" t="s">
        <v>302</v>
      </c>
      <c r="B2031" s="20">
        <v>45689</v>
      </c>
      <c r="C2031" s="21">
        <v>148</v>
      </c>
      <c r="D2031" s="21">
        <v>144.97333333333333</v>
      </c>
      <c r="E2031" s="21">
        <v>80.59</v>
      </c>
      <c r="F2031" s="27">
        <f t="shared" si="93"/>
        <v>0.97954954954954954</v>
      </c>
      <c r="G2031" s="21" t="str">
        <f>IFERROR(INDEX(Users!$A$2:$A$310,MATCH(A2031,Users!$B$2:$B$310,0)),"")</f>
        <v>Service A</v>
      </c>
      <c r="H2031" s="21" t="str">
        <f>IFERROR(INDEX(Users!$D$2:$D$310,MATCH(A2031,Users!$B$2:$B$310,0)),"")</f>
        <v>Band 3</v>
      </c>
      <c r="I2031" s="19" t="b">
        <f t="shared" si="94"/>
        <v>1</v>
      </c>
      <c r="J2031" s="33" t="str">
        <f t="shared" si="95"/>
        <v/>
      </c>
    </row>
    <row r="2032" spans="1:10">
      <c r="A2032" s="19" t="s">
        <v>302</v>
      </c>
      <c r="B2032" s="20">
        <v>45717</v>
      </c>
      <c r="C2032" s="21">
        <v>155.4</v>
      </c>
      <c r="D2032" s="21">
        <v>155.05666666666667</v>
      </c>
      <c r="E2032" s="21">
        <v>73.639999999999986</v>
      </c>
      <c r="F2032" s="27">
        <f t="shared" si="93"/>
        <v>0.99779064779064774</v>
      </c>
      <c r="G2032" s="21" t="str">
        <f>IFERROR(INDEX(Users!$A$2:$A$310,MATCH(A2032,Users!$B$2:$B$310,0)),"")</f>
        <v>Service A</v>
      </c>
      <c r="H2032" s="21" t="str">
        <f>IFERROR(INDEX(Users!$D$2:$D$310,MATCH(A2032,Users!$B$2:$B$310,0)),"")</f>
        <v>Band 3</v>
      </c>
      <c r="I2032" s="19" t="b">
        <f t="shared" si="94"/>
        <v>1</v>
      </c>
      <c r="J2032" s="33" t="str">
        <f t="shared" si="95"/>
        <v/>
      </c>
    </row>
    <row r="2033" spans="1:10">
      <c r="A2033" s="19" t="s">
        <v>302</v>
      </c>
      <c r="B2033" s="20">
        <v>45748</v>
      </c>
      <c r="C2033" s="21">
        <v>148</v>
      </c>
      <c r="D2033" s="21">
        <v>124.61333333333332</v>
      </c>
      <c r="E2033" s="21">
        <v>73.38</v>
      </c>
      <c r="F2033" s="27">
        <f t="shared" si="93"/>
        <v>0.84198198198198182</v>
      </c>
      <c r="G2033" s="21" t="str">
        <f>IFERROR(INDEX(Users!$A$2:$A$310,MATCH(A2033,Users!$B$2:$B$310,0)),"")</f>
        <v>Service A</v>
      </c>
      <c r="H2033" s="21" t="str">
        <f>IFERROR(INDEX(Users!$D$2:$D$310,MATCH(A2033,Users!$B$2:$B$310,0)),"")</f>
        <v>Band 3</v>
      </c>
      <c r="I2033" s="19" t="b">
        <f t="shared" si="94"/>
        <v>1</v>
      </c>
      <c r="J2033" s="33" t="str">
        <f t="shared" si="95"/>
        <v/>
      </c>
    </row>
    <row r="2034" spans="1:10">
      <c r="A2034" s="19" t="s">
        <v>302</v>
      </c>
      <c r="B2034" s="20">
        <v>45778</v>
      </c>
      <c r="C2034" s="21">
        <v>148</v>
      </c>
      <c r="D2034" s="21">
        <v>127.80666666666664</v>
      </c>
      <c r="E2034" s="21">
        <v>76.64</v>
      </c>
      <c r="F2034" s="27">
        <f t="shared" si="93"/>
        <v>0.86355855855855845</v>
      </c>
      <c r="G2034" s="21" t="str">
        <f>IFERROR(INDEX(Users!$A$2:$A$310,MATCH(A2034,Users!$B$2:$B$310,0)),"")</f>
        <v>Service A</v>
      </c>
      <c r="H2034" s="21" t="str">
        <f>IFERROR(INDEX(Users!$D$2:$D$310,MATCH(A2034,Users!$B$2:$B$310,0)),"")</f>
        <v>Band 3</v>
      </c>
      <c r="I2034" s="19" t="b">
        <f t="shared" si="94"/>
        <v>1</v>
      </c>
      <c r="J2034" s="33" t="str">
        <f t="shared" si="95"/>
        <v/>
      </c>
    </row>
    <row r="2035" spans="1:10">
      <c r="A2035" s="19" t="s">
        <v>302</v>
      </c>
      <c r="B2035" s="20">
        <v>45809</v>
      </c>
      <c r="C2035" s="21">
        <v>155.4</v>
      </c>
      <c r="D2035" s="21">
        <v>145.77333333333337</v>
      </c>
      <c r="E2035" s="21">
        <v>98.690000000000012</v>
      </c>
      <c r="F2035" s="27">
        <f t="shared" si="93"/>
        <v>0.93805233805233823</v>
      </c>
      <c r="G2035" s="21" t="str">
        <f>IFERROR(INDEX(Users!$A$2:$A$310,MATCH(A2035,Users!$B$2:$B$310,0)),"")</f>
        <v>Service A</v>
      </c>
      <c r="H2035" s="21" t="str">
        <f>IFERROR(INDEX(Users!$D$2:$D$310,MATCH(A2035,Users!$B$2:$B$310,0)),"")</f>
        <v>Band 3</v>
      </c>
      <c r="I2035" s="19" t="b">
        <f t="shared" si="94"/>
        <v>1</v>
      </c>
      <c r="J2035" s="33" t="str">
        <f t="shared" si="95"/>
        <v/>
      </c>
    </row>
    <row r="2036" spans="1:10">
      <c r="A2036" s="19" t="s">
        <v>302</v>
      </c>
      <c r="B2036" s="20">
        <v>45839</v>
      </c>
      <c r="C2036" s="21">
        <v>170.20000000000002</v>
      </c>
      <c r="D2036" s="21">
        <v>150.64999999999998</v>
      </c>
      <c r="E2036" s="21">
        <v>100.39999999999999</v>
      </c>
      <c r="F2036" s="27">
        <f t="shared" si="93"/>
        <v>0.88513513513513487</v>
      </c>
      <c r="G2036" s="21" t="str">
        <f>IFERROR(INDEX(Users!$A$2:$A$310,MATCH(A2036,Users!$B$2:$B$310,0)),"")</f>
        <v>Service A</v>
      </c>
      <c r="H2036" s="21" t="str">
        <f>IFERROR(INDEX(Users!$D$2:$D$310,MATCH(A2036,Users!$B$2:$B$310,0)),"")</f>
        <v>Band 3</v>
      </c>
      <c r="I2036" s="19" t="b">
        <f t="shared" si="94"/>
        <v>1</v>
      </c>
      <c r="J2036" s="33" t="str">
        <f t="shared" si="95"/>
        <v/>
      </c>
    </row>
    <row r="2037" spans="1:10">
      <c r="A2037" s="19" t="s">
        <v>302</v>
      </c>
      <c r="B2037" s="20">
        <v>45870</v>
      </c>
      <c r="C2037" s="21">
        <v>148</v>
      </c>
      <c r="D2037" s="21">
        <v>132.88999999999999</v>
      </c>
      <c r="E2037" s="21">
        <v>93.889999999999986</v>
      </c>
      <c r="F2037" s="27">
        <f t="shared" si="93"/>
        <v>0.89790540540540531</v>
      </c>
      <c r="G2037" s="21" t="str">
        <f>IFERROR(INDEX(Users!$A$2:$A$310,MATCH(A2037,Users!$B$2:$B$310,0)),"")</f>
        <v>Service A</v>
      </c>
      <c r="H2037" s="21" t="str">
        <f>IFERROR(INDEX(Users!$D$2:$D$310,MATCH(A2037,Users!$B$2:$B$310,0)),"")</f>
        <v>Band 3</v>
      </c>
      <c r="I2037" s="19" t="b">
        <f t="shared" si="94"/>
        <v>1</v>
      </c>
      <c r="J2037" s="33" t="str">
        <f t="shared" si="95"/>
        <v/>
      </c>
    </row>
    <row r="2038" spans="1:10">
      <c r="A2038" s="19" t="s">
        <v>303</v>
      </c>
      <c r="B2038" s="20"/>
      <c r="C2038" s="21"/>
      <c r="D2038" s="21"/>
      <c r="E2038" s="21"/>
      <c r="F2038" s="27" t="str">
        <f t="shared" si="93"/>
        <v/>
      </c>
      <c r="G2038" s="21" t="str">
        <f>IFERROR(INDEX(Users!$A$2:$A$310,MATCH(A2038,Users!$B$2:$B$310,0)),"")</f>
        <v>Service A</v>
      </c>
      <c r="H2038" s="21" t="str">
        <f>IFERROR(INDEX(Users!$D$2:$D$310,MATCH(A2038,Users!$B$2:$B$310,0)),"")</f>
        <v>Band 5</v>
      </c>
      <c r="I2038" s="19" t="b">
        <f t="shared" si="94"/>
        <v>0</v>
      </c>
      <c r="J2038" s="33" t="str">
        <f t="shared" si="95"/>
        <v/>
      </c>
    </row>
    <row r="2039" spans="1:10">
      <c r="A2039" s="19" t="s">
        <v>303</v>
      </c>
      <c r="B2039" s="20">
        <v>45658</v>
      </c>
      <c r="C2039" s="21">
        <v>162.80000000000001</v>
      </c>
      <c r="D2039" s="21">
        <v>158.86000000000001</v>
      </c>
      <c r="E2039" s="21">
        <v>79.11</v>
      </c>
      <c r="F2039" s="27">
        <f t="shared" si="93"/>
        <v>0.97579852579852577</v>
      </c>
      <c r="G2039" s="21" t="str">
        <f>IFERROR(INDEX(Users!$A$2:$A$310,MATCH(A2039,Users!$B$2:$B$310,0)),"")</f>
        <v>Service A</v>
      </c>
      <c r="H2039" s="21" t="str">
        <f>IFERROR(INDEX(Users!$D$2:$D$310,MATCH(A2039,Users!$B$2:$B$310,0)),"")</f>
        <v>Band 5</v>
      </c>
      <c r="I2039" s="19" t="b">
        <f t="shared" si="94"/>
        <v>0</v>
      </c>
      <c r="J2039" s="33" t="str">
        <f t="shared" si="95"/>
        <v/>
      </c>
    </row>
    <row r="2040" spans="1:10">
      <c r="A2040" s="19" t="s">
        <v>303</v>
      </c>
      <c r="B2040" s="20">
        <v>45689</v>
      </c>
      <c r="C2040" s="21">
        <v>148</v>
      </c>
      <c r="D2040" s="21">
        <v>117.01333333333335</v>
      </c>
      <c r="E2040" s="21">
        <v>64.680000000000007</v>
      </c>
      <c r="F2040" s="27">
        <f t="shared" si="93"/>
        <v>0.79063063063063077</v>
      </c>
      <c r="G2040" s="21" t="str">
        <f>IFERROR(INDEX(Users!$A$2:$A$310,MATCH(A2040,Users!$B$2:$B$310,0)),"")</f>
        <v>Service A</v>
      </c>
      <c r="H2040" s="21" t="str">
        <f>IFERROR(INDEX(Users!$D$2:$D$310,MATCH(A2040,Users!$B$2:$B$310,0)),"")</f>
        <v>Band 5</v>
      </c>
      <c r="I2040" s="19" t="b">
        <f t="shared" si="94"/>
        <v>0</v>
      </c>
      <c r="J2040" s="33" t="str">
        <f t="shared" si="95"/>
        <v/>
      </c>
    </row>
    <row r="2041" spans="1:10">
      <c r="A2041" s="19" t="s">
        <v>303</v>
      </c>
      <c r="B2041" s="20">
        <v>45717</v>
      </c>
      <c r="C2041" s="21">
        <v>155.4</v>
      </c>
      <c r="D2041" s="21">
        <v>135.45333333333335</v>
      </c>
      <c r="E2041" s="21">
        <v>82.12</v>
      </c>
      <c r="F2041" s="27">
        <f t="shared" si="93"/>
        <v>0.87164307164307175</v>
      </c>
      <c r="G2041" s="21" t="str">
        <f>IFERROR(INDEX(Users!$A$2:$A$310,MATCH(A2041,Users!$B$2:$B$310,0)),"")</f>
        <v>Service A</v>
      </c>
      <c r="H2041" s="21" t="str">
        <f>IFERROR(INDEX(Users!$D$2:$D$310,MATCH(A2041,Users!$B$2:$B$310,0)),"")</f>
        <v>Band 5</v>
      </c>
      <c r="I2041" s="19" t="b">
        <f t="shared" si="94"/>
        <v>0</v>
      </c>
      <c r="J2041" s="33" t="str">
        <f t="shared" si="95"/>
        <v/>
      </c>
    </row>
    <row r="2042" spans="1:10">
      <c r="A2042" s="19" t="s">
        <v>303</v>
      </c>
      <c r="B2042" s="20">
        <v>45748</v>
      </c>
      <c r="C2042" s="21">
        <v>148</v>
      </c>
      <c r="D2042" s="21">
        <v>71.31</v>
      </c>
      <c r="E2042" s="21">
        <v>46.06</v>
      </c>
      <c r="F2042" s="27">
        <f t="shared" si="93"/>
        <v>0.48182432432432432</v>
      </c>
      <c r="G2042" s="21" t="str">
        <f>IFERROR(INDEX(Users!$A$2:$A$310,MATCH(A2042,Users!$B$2:$B$310,0)),"")</f>
        <v>Service A</v>
      </c>
      <c r="H2042" s="21" t="str">
        <f>IFERROR(INDEX(Users!$D$2:$D$310,MATCH(A2042,Users!$B$2:$B$310,0)),"")</f>
        <v>Band 5</v>
      </c>
      <c r="I2042" s="19" t="b">
        <f t="shared" si="94"/>
        <v>0</v>
      </c>
      <c r="J2042" s="33" t="str">
        <f t="shared" si="95"/>
        <v/>
      </c>
    </row>
    <row r="2043" spans="1:10">
      <c r="A2043" s="19" t="s">
        <v>303</v>
      </c>
      <c r="B2043" s="20">
        <v>45778</v>
      </c>
      <c r="C2043" s="21">
        <v>148</v>
      </c>
      <c r="D2043" s="21">
        <v>140.41</v>
      </c>
      <c r="E2043" s="21">
        <v>89.66</v>
      </c>
      <c r="F2043" s="27">
        <f t="shared" si="93"/>
        <v>0.94871621621621616</v>
      </c>
      <c r="G2043" s="21" t="str">
        <f>IFERROR(INDEX(Users!$A$2:$A$310,MATCH(A2043,Users!$B$2:$B$310,0)),"")</f>
        <v>Service A</v>
      </c>
      <c r="H2043" s="21" t="str">
        <f>IFERROR(INDEX(Users!$D$2:$D$310,MATCH(A2043,Users!$B$2:$B$310,0)),"")</f>
        <v>Band 5</v>
      </c>
      <c r="I2043" s="19" t="b">
        <f t="shared" si="94"/>
        <v>0</v>
      </c>
      <c r="J2043" s="33" t="str">
        <f t="shared" si="95"/>
        <v/>
      </c>
    </row>
    <row r="2044" spans="1:10">
      <c r="A2044" s="19" t="s">
        <v>303</v>
      </c>
      <c r="B2044" s="20">
        <v>45809</v>
      </c>
      <c r="C2044" s="21">
        <v>155.4</v>
      </c>
      <c r="D2044" s="21">
        <v>145.5866666666667</v>
      </c>
      <c r="E2044" s="21">
        <v>72.920000000000016</v>
      </c>
      <c r="F2044" s="27">
        <f t="shared" si="93"/>
        <v>0.93685113685113708</v>
      </c>
      <c r="G2044" s="21" t="str">
        <f>IFERROR(INDEX(Users!$A$2:$A$310,MATCH(A2044,Users!$B$2:$B$310,0)),"")</f>
        <v>Service A</v>
      </c>
      <c r="H2044" s="21" t="str">
        <f>IFERROR(INDEX(Users!$D$2:$D$310,MATCH(A2044,Users!$B$2:$B$310,0)),"")</f>
        <v>Band 5</v>
      </c>
      <c r="I2044" s="19" t="b">
        <f t="shared" si="94"/>
        <v>0</v>
      </c>
      <c r="J2044" s="33" t="str">
        <f t="shared" si="95"/>
        <v/>
      </c>
    </row>
    <row r="2045" spans="1:10">
      <c r="A2045" s="19" t="s">
        <v>303</v>
      </c>
      <c r="B2045" s="20">
        <v>45839</v>
      </c>
      <c r="C2045" s="21">
        <v>170.20000000000002</v>
      </c>
      <c r="D2045" s="21">
        <v>156.92000000000002</v>
      </c>
      <c r="E2045" s="21">
        <v>81.670000000000016</v>
      </c>
      <c r="F2045" s="27">
        <f t="shared" si="93"/>
        <v>0.92197414806110456</v>
      </c>
      <c r="G2045" s="21" t="str">
        <f>IFERROR(INDEX(Users!$A$2:$A$310,MATCH(A2045,Users!$B$2:$B$310,0)),"")</f>
        <v>Service A</v>
      </c>
      <c r="H2045" s="21" t="str">
        <f>IFERROR(INDEX(Users!$D$2:$D$310,MATCH(A2045,Users!$B$2:$B$310,0)),"")</f>
        <v>Band 5</v>
      </c>
      <c r="I2045" s="19" t="b">
        <f t="shared" si="94"/>
        <v>0</v>
      </c>
      <c r="J2045" s="33" t="str">
        <f t="shared" si="95"/>
        <v/>
      </c>
    </row>
    <row r="2046" spans="1:10">
      <c r="A2046" s="19" t="s">
        <v>303</v>
      </c>
      <c r="B2046" s="20">
        <v>45870</v>
      </c>
      <c r="C2046" s="21">
        <v>148</v>
      </c>
      <c r="D2046" s="21">
        <v>110.70333333333338</v>
      </c>
      <c r="E2046" s="21">
        <v>67.620000000000033</v>
      </c>
      <c r="F2046" s="27">
        <f t="shared" si="93"/>
        <v>0.74799549549549582</v>
      </c>
      <c r="G2046" s="21" t="str">
        <f>IFERROR(INDEX(Users!$A$2:$A$310,MATCH(A2046,Users!$B$2:$B$310,0)),"")</f>
        <v>Service A</v>
      </c>
      <c r="H2046" s="21" t="str">
        <f>IFERROR(INDEX(Users!$D$2:$D$310,MATCH(A2046,Users!$B$2:$B$310,0)),"")</f>
        <v>Band 5</v>
      </c>
      <c r="I2046" s="19" t="b">
        <f t="shared" si="94"/>
        <v>0</v>
      </c>
      <c r="J2046" s="33" t="str">
        <f t="shared" si="95"/>
        <v/>
      </c>
    </row>
    <row r="2047" spans="1:10">
      <c r="A2047" s="19" t="s">
        <v>303</v>
      </c>
      <c r="B2047" s="20">
        <v>45901</v>
      </c>
      <c r="C2047" s="21">
        <v>162.80000000000001</v>
      </c>
      <c r="D2047" s="21"/>
      <c r="E2047" s="21"/>
      <c r="F2047" s="27" t="str">
        <f t="shared" si="93"/>
        <v/>
      </c>
      <c r="G2047" s="21" t="str">
        <f>IFERROR(INDEX(Users!$A$2:$A$310,MATCH(A2047,Users!$B$2:$B$310,0)),"")</f>
        <v>Service A</v>
      </c>
      <c r="H2047" s="21" t="str">
        <f>IFERROR(INDEX(Users!$D$2:$D$310,MATCH(A2047,Users!$B$2:$B$310,0)),"")</f>
        <v>Band 5</v>
      </c>
      <c r="I2047" s="19" t="b">
        <f t="shared" si="94"/>
        <v>0</v>
      </c>
      <c r="J2047" s="33" t="str">
        <f t="shared" si="95"/>
        <v/>
      </c>
    </row>
    <row r="2048" spans="1:10">
      <c r="A2048" s="19" t="s">
        <v>303</v>
      </c>
      <c r="B2048" s="20">
        <v>45931</v>
      </c>
      <c r="C2048" s="21">
        <v>170.20000000000002</v>
      </c>
      <c r="D2048" s="21"/>
      <c r="E2048" s="21"/>
      <c r="F2048" s="27" t="str">
        <f t="shared" si="93"/>
        <v/>
      </c>
      <c r="G2048" s="21" t="str">
        <f>IFERROR(INDEX(Users!$A$2:$A$310,MATCH(A2048,Users!$B$2:$B$310,0)),"")</f>
        <v>Service A</v>
      </c>
      <c r="H2048" s="21" t="str">
        <f>IFERROR(INDEX(Users!$D$2:$D$310,MATCH(A2048,Users!$B$2:$B$310,0)),"")</f>
        <v>Band 5</v>
      </c>
      <c r="I2048" s="19" t="b">
        <f t="shared" si="94"/>
        <v>0</v>
      </c>
      <c r="J2048" s="33" t="str">
        <f t="shared" si="95"/>
        <v/>
      </c>
    </row>
    <row r="2049" spans="1:10">
      <c r="A2049" s="19" t="s">
        <v>303</v>
      </c>
      <c r="B2049" s="20">
        <v>45962</v>
      </c>
      <c r="C2049" s="21">
        <v>148</v>
      </c>
      <c r="D2049" s="21"/>
      <c r="E2049" s="21"/>
      <c r="F2049" s="27" t="str">
        <f t="shared" si="93"/>
        <v/>
      </c>
      <c r="G2049" s="21" t="str">
        <f>IFERROR(INDEX(Users!$A$2:$A$310,MATCH(A2049,Users!$B$2:$B$310,0)),"")</f>
        <v>Service A</v>
      </c>
      <c r="H2049" s="21" t="str">
        <f>IFERROR(INDEX(Users!$D$2:$D$310,MATCH(A2049,Users!$B$2:$B$310,0)),"")</f>
        <v>Band 5</v>
      </c>
      <c r="I2049" s="19" t="b">
        <f t="shared" si="94"/>
        <v>0</v>
      </c>
      <c r="J2049" s="33" t="str">
        <f t="shared" si="95"/>
        <v/>
      </c>
    </row>
    <row r="2050" spans="1:10">
      <c r="A2050" s="19" t="s">
        <v>303</v>
      </c>
      <c r="B2050" s="20">
        <v>45992</v>
      </c>
      <c r="C2050" s="21">
        <v>155.4</v>
      </c>
      <c r="D2050" s="21"/>
      <c r="E2050" s="21"/>
      <c r="F2050" s="27" t="str">
        <f t="shared" ref="F2050:F2113" si="96">IFERROR(IF(OR(C2050="",D2050="",C2050=0),"",D2050/C2050),"")</f>
        <v/>
      </c>
      <c r="G2050" s="21" t="str">
        <f>IFERROR(INDEX(Users!$A$2:$A$310,MATCH(A2050,Users!$B$2:$B$310,0)),"")</f>
        <v>Service A</v>
      </c>
      <c r="H2050" s="21" t="str">
        <f>IFERROR(INDEX(Users!$D$2:$D$310,MATCH(A2050,Users!$B$2:$B$310,0)),"")</f>
        <v>Band 5</v>
      </c>
      <c r="I2050" s="19" t="b">
        <f t="shared" ref="I2050:I2113" si="97">AND(G2050="Service A",H2050="Band 3")</f>
        <v>0</v>
      </c>
      <c r="J2050" s="33" t="str">
        <f t="shared" ref="J2050:J2113" si="98">IF(AND(B2050&gt;=DATE(2025,1,1),B2050&lt;DATE(2026,1,1),G2050="Service B",OR(H2050="Band 3",H2050="Band 5"),ISNUMBER(F2050)),F2050,"")</f>
        <v/>
      </c>
    </row>
    <row r="2051" spans="1:10">
      <c r="A2051" s="19" t="s">
        <v>303</v>
      </c>
      <c r="B2051" s="20">
        <v>46023</v>
      </c>
      <c r="C2051" s="21">
        <v>155.4</v>
      </c>
      <c r="D2051" s="21"/>
      <c r="E2051" s="21"/>
      <c r="F2051" s="27" t="str">
        <f t="shared" si="96"/>
        <v/>
      </c>
      <c r="G2051" s="21" t="str">
        <f>IFERROR(INDEX(Users!$A$2:$A$310,MATCH(A2051,Users!$B$2:$B$310,0)),"")</f>
        <v>Service A</v>
      </c>
      <c r="H2051" s="21" t="str">
        <f>IFERROR(INDEX(Users!$D$2:$D$310,MATCH(A2051,Users!$B$2:$B$310,0)),"")</f>
        <v>Band 5</v>
      </c>
      <c r="I2051" s="19" t="b">
        <f t="shared" si="97"/>
        <v>0</v>
      </c>
      <c r="J2051" s="33" t="str">
        <f t="shared" si="98"/>
        <v/>
      </c>
    </row>
    <row r="2052" spans="1:10">
      <c r="A2052" s="19" t="s">
        <v>304</v>
      </c>
      <c r="B2052" s="20">
        <v>45658</v>
      </c>
      <c r="C2052" s="21">
        <v>162.80000000000001</v>
      </c>
      <c r="D2052" s="21">
        <v>138.84999999999997</v>
      </c>
      <c r="E2052" s="21">
        <v>35.450000000000003</v>
      </c>
      <c r="F2052" s="27">
        <f t="shared" si="96"/>
        <v>0.85288697788697765</v>
      </c>
      <c r="G2052" s="21" t="str">
        <f>IFERROR(INDEX(Users!$A$2:$A$310,MATCH(A2052,Users!$B$2:$B$310,0)),"")</f>
        <v>Service B</v>
      </c>
      <c r="H2052" s="21" t="str">
        <f>IFERROR(INDEX(Users!$D$2:$D$310,MATCH(A2052,Users!$B$2:$B$310,0)),"")</f>
        <v>Band 3</v>
      </c>
      <c r="I2052" s="19" t="b">
        <f t="shared" si="97"/>
        <v>0</v>
      </c>
      <c r="J2052" s="33">
        <f t="shared" si="98"/>
        <v>0.85288697788697765</v>
      </c>
    </row>
    <row r="2053" spans="1:10">
      <c r="A2053" s="19" t="s">
        <v>304</v>
      </c>
      <c r="B2053" s="20">
        <v>45689</v>
      </c>
      <c r="C2053" s="21">
        <v>148</v>
      </c>
      <c r="D2053" s="21">
        <v>131.04666666666668</v>
      </c>
      <c r="E2053" s="21">
        <v>27.78</v>
      </c>
      <c r="F2053" s="27">
        <f t="shared" si="96"/>
        <v>0.88545045045045057</v>
      </c>
      <c r="G2053" s="21" t="str">
        <f>IFERROR(INDEX(Users!$A$2:$A$310,MATCH(A2053,Users!$B$2:$B$310,0)),"")</f>
        <v>Service B</v>
      </c>
      <c r="H2053" s="21" t="str">
        <f>IFERROR(INDEX(Users!$D$2:$D$310,MATCH(A2053,Users!$B$2:$B$310,0)),"")</f>
        <v>Band 3</v>
      </c>
      <c r="I2053" s="19" t="b">
        <f t="shared" si="97"/>
        <v>0</v>
      </c>
      <c r="J2053" s="33">
        <f t="shared" si="98"/>
        <v>0.88545045045045057</v>
      </c>
    </row>
    <row r="2054" spans="1:10">
      <c r="A2054" s="19" t="s">
        <v>304</v>
      </c>
      <c r="B2054" s="20">
        <v>45717</v>
      </c>
      <c r="C2054" s="21">
        <v>155.4</v>
      </c>
      <c r="D2054" s="21">
        <v>162.50666666666666</v>
      </c>
      <c r="E2054" s="21">
        <v>64.14</v>
      </c>
      <c r="F2054" s="27">
        <f t="shared" si="96"/>
        <v>1.0457314457314457</v>
      </c>
      <c r="G2054" s="21" t="str">
        <f>IFERROR(INDEX(Users!$A$2:$A$310,MATCH(A2054,Users!$B$2:$B$310,0)),"")</f>
        <v>Service B</v>
      </c>
      <c r="H2054" s="21" t="str">
        <f>IFERROR(INDEX(Users!$D$2:$D$310,MATCH(A2054,Users!$B$2:$B$310,0)),"")</f>
        <v>Band 3</v>
      </c>
      <c r="I2054" s="19" t="b">
        <f t="shared" si="97"/>
        <v>0</v>
      </c>
      <c r="J2054" s="33">
        <f t="shared" si="98"/>
        <v>1.0457314457314457</v>
      </c>
    </row>
    <row r="2055" spans="1:10">
      <c r="A2055" s="19" t="s">
        <v>304</v>
      </c>
      <c r="B2055" s="20">
        <v>45748</v>
      </c>
      <c r="C2055" s="21">
        <v>148</v>
      </c>
      <c r="D2055" s="21">
        <v>162.85333333333332</v>
      </c>
      <c r="E2055" s="21">
        <v>91.77</v>
      </c>
      <c r="F2055" s="27">
        <f t="shared" si="96"/>
        <v>1.1003603603603602</v>
      </c>
      <c r="G2055" s="21" t="str">
        <f>IFERROR(INDEX(Users!$A$2:$A$310,MATCH(A2055,Users!$B$2:$B$310,0)),"")</f>
        <v>Service B</v>
      </c>
      <c r="H2055" s="21" t="str">
        <f>IFERROR(INDEX(Users!$D$2:$D$310,MATCH(A2055,Users!$B$2:$B$310,0)),"")</f>
        <v>Band 3</v>
      </c>
      <c r="I2055" s="19" t="b">
        <f t="shared" si="97"/>
        <v>0</v>
      </c>
      <c r="J2055" s="33">
        <f t="shared" si="98"/>
        <v>1.1003603603603602</v>
      </c>
    </row>
    <row r="2056" spans="1:10">
      <c r="A2056" s="19" t="s">
        <v>304</v>
      </c>
      <c r="B2056" s="20">
        <v>45778</v>
      </c>
      <c r="C2056" s="21">
        <v>148</v>
      </c>
      <c r="D2056" s="21">
        <v>135.92333333333332</v>
      </c>
      <c r="E2056" s="21">
        <v>80.789999999999992</v>
      </c>
      <c r="F2056" s="27">
        <f t="shared" si="96"/>
        <v>0.91840090090090076</v>
      </c>
      <c r="G2056" s="21" t="str">
        <f>IFERROR(INDEX(Users!$A$2:$A$310,MATCH(A2056,Users!$B$2:$B$310,0)),"")</f>
        <v>Service B</v>
      </c>
      <c r="H2056" s="21" t="str">
        <f>IFERROR(INDEX(Users!$D$2:$D$310,MATCH(A2056,Users!$B$2:$B$310,0)),"")</f>
        <v>Band 3</v>
      </c>
      <c r="I2056" s="19" t="b">
        <f t="shared" si="97"/>
        <v>0</v>
      </c>
      <c r="J2056" s="33">
        <f t="shared" si="98"/>
        <v>0.91840090090090076</v>
      </c>
    </row>
    <row r="2057" spans="1:10">
      <c r="A2057" s="19" t="s">
        <v>304</v>
      </c>
      <c r="B2057" s="20">
        <v>45809</v>
      </c>
      <c r="C2057" s="21">
        <v>155.4</v>
      </c>
      <c r="D2057" s="21">
        <v>128.25666666666663</v>
      </c>
      <c r="E2057" s="21">
        <v>68.989999999999981</v>
      </c>
      <c r="F2057" s="27">
        <f t="shared" si="96"/>
        <v>0.82533247533247511</v>
      </c>
      <c r="G2057" s="21" t="str">
        <f>IFERROR(INDEX(Users!$A$2:$A$310,MATCH(A2057,Users!$B$2:$B$310,0)),"")</f>
        <v>Service B</v>
      </c>
      <c r="H2057" s="21" t="str">
        <f>IFERROR(INDEX(Users!$D$2:$D$310,MATCH(A2057,Users!$B$2:$B$310,0)),"")</f>
        <v>Band 3</v>
      </c>
      <c r="I2057" s="19" t="b">
        <f t="shared" si="97"/>
        <v>0</v>
      </c>
      <c r="J2057" s="33">
        <f t="shared" si="98"/>
        <v>0.82533247533247511</v>
      </c>
    </row>
    <row r="2058" spans="1:10">
      <c r="A2058" s="19" t="s">
        <v>308</v>
      </c>
      <c r="B2058" s="20">
        <v>45901</v>
      </c>
      <c r="C2058" s="21">
        <v>51.8</v>
      </c>
      <c r="D2058" s="21">
        <v>14.583333333333332</v>
      </c>
      <c r="E2058" s="21"/>
      <c r="F2058" s="27">
        <f t="shared" si="96"/>
        <v>0.28153153153153154</v>
      </c>
      <c r="G2058" s="21" t="str">
        <f>IFERROR(INDEX(Users!$A$2:$A$310,MATCH(A2058,Users!$B$2:$B$310,0)),"")</f>
        <v>Service B</v>
      </c>
      <c r="H2058" s="21" t="str">
        <f>IFERROR(INDEX(Users!$D$2:$D$310,MATCH(A2058,Users!$B$2:$B$310,0)),"")</f>
        <v>Band 5</v>
      </c>
      <c r="I2058" s="19" t="b">
        <f t="shared" si="97"/>
        <v>0</v>
      </c>
      <c r="J2058" s="33">
        <f t="shared" si="98"/>
        <v>0.28153153153153154</v>
      </c>
    </row>
    <row r="2059" spans="1:10">
      <c r="A2059" s="19" t="s">
        <v>308</v>
      </c>
      <c r="B2059" s="20">
        <v>45931</v>
      </c>
      <c r="C2059" s="21">
        <v>170.20000000000007</v>
      </c>
      <c r="D2059" s="21">
        <v>133.72666666666666</v>
      </c>
      <c r="E2059" s="21">
        <v>5.26</v>
      </c>
      <c r="F2059" s="27">
        <f t="shared" si="96"/>
        <v>0.78570309439874619</v>
      </c>
      <c r="G2059" s="21" t="str">
        <f>IFERROR(INDEX(Users!$A$2:$A$310,MATCH(A2059,Users!$B$2:$B$310,0)),"")</f>
        <v>Service B</v>
      </c>
      <c r="H2059" s="21" t="str">
        <f>IFERROR(INDEX(Users!$D$2:$D$310,MATCH(A2059,Users!$B$2:$B$310,0)),"")</f>
        <v>Band 5</v>
      </c>
      <c r="I2059" s="19" t="b">
        <f t="shared" si="97"/>
        <v>0</v>
      </c>
      <c r="J2059" s="33">
        <f t="shared" si="98"/>
        <v>0.78570309439874619</v>
      </c>
    </row>
    <row r="2060" spans="1:10">
      <c r="A2060" s="19" t="s">
        <v>308</v>
      </c>
      <c r="B2060" s="20">
        <v>45962</v>
      </c>
      <c r="C2060" s="21">
        <v>148.00000000000006</v>
      </c>
      <c r="D2060" s="21">
        <v>129.10999999999999</v>
      </c>
      <c r="E2060" s="21">
        <v>13.059999999999997</v>
      </c>
      <c r="F2060" s="27">
        <f t="shared" si="96"/>
        <v>0.87236486486486442</v>
      </c>
      <c r="G2060" s="21" t="str">
        <f>IFERROR(INDEX(Users!$A$2:$A$310,MATCH(A2060,Users!$B$2:$B$310,0)),"")</f>
        <v>Service B</v>
      </c>
      <c r="H2060" s="21" t="str">
        <f>IFERROR(INDEX(Users!$D$2:$D$310,MATCH(A2060,Users!$B$2:$B$310,0)),"")</f>
        <v>Band 5</v>
      </c>
      <c r="I2060" s="19" t="b">
        <f t="shared" si="97"/>
        <v>0</v>
      </c>
      <c r="J2060" s="33">
        <f t="shared" si="98"/>
        <v>0.87236486486486442</v>
      </c>
    </row>
    <row r="2061" spans="1:10">
      <c r="A2061" s="19" t="s">
        <v>308</v>
      </c>
      <c r="B2061" s="20">
        <v>45992</v>
      </c>
      <c r="C2061" s="21">
        <v>155.40000000000006</v>
      </c>
      <c r="D2061" s="21">
        <v>103.98000000000008</v>
      </c>
      <c r="E2061" s="21">
        <v>27.230000000000057</v>
      </c>
      <c r="F2061" s="27">
        <f t="shared" si="96"/>
        <v>0.66911196911196935</v>
      </c>
      <c r="G2061" s="21" t="str">
        <f>IFERROR(INDEX(Users!$A$2:$A$310,MATCH(A2061,Users!$B$2:$B$310,0)),"")</f>
        <v>Service B</v>
      </c>
      <c r="H2061" s="21" t="str">
        <f>IFERROR(INDEX(Users!$D$2:$D$310,MATCH(A2061,Users!$B$2:$B$310,0)),"")</f>
        <v>Band 5</v>
      </c>
      <c r="I2061" s="19" t="b">
        <f t="shared" si="97"/>
        <v>0</v>
      </c>
      <c r="J2061" s="33">
        <f t="shared" si="98"/>
        <v>0.66911196911196935</v>
      </c>
    </row>
    <row r="2062" spans="1:10">
      <c r="A2062" s="19" t="s">
        <v>308</v>
      </c>
      <c r="B2062" s="20">
        <v>46023</v>
      </c>
      <c r="C2062" s="21">
        <v>155.40000000000006</v>
      </c>
      <c r="D2062" s="21">
        <v>126.43333333333338</v>
      </c>
      <c r="E2062" s="21">
        <v>26.250000000000043</v>
      </c>
      <c r="F2062" s="27">
        <f t="shared" si="96"/>
        <v>0.81359931359931359</v>
      </c>
      <c r="G2062" s="21" t="str">
        <f>IFERROR(INDEX(Users!$A$2:$A$310,MATCH(A2062,Users!$B$2:$B$310,0)),"")</f>
        <v>Service B</v>
      </c>
      <c r="H2062" s="21" t="str">
        <f>IFERROR(INDEX(Users!$D$2:$D$310,MATCH(A2062,Users!$B$2:$B$310,0)),"")</f>
        <v>Band 5</v>
      </c>
      <c r="I2062" s="19" t="b">
        <f t="shared" si="97"/>
        <v>0</v>
      </c>
      <c r="J2062" s="33" t="str">
        <f t="shared" si="98"/>
        <v/>
      </c>
    </row>
    <row r="2063" spans="1:10">
      <c r="A2063" s="19" t="s">
        <v>309</v>
      </c>
      <c r="B2063" s="20">
        <v>45658</v>
      </c>
      <c r="C2063" s="21">
        <v>162.80000000000001</v>
      </c>
      <c r="D2063" s="21">
        <v>166.97</v>
      </c>
      <c r="E2063" s="21">
        <v>13.22</v>
      </c>
      <c r="F2063" s="27">
        <f t="shared" si="96"/>
        <v>1.0256142506142505</v>
      </c>
      <c r="G2063" s="21" t="str">
        <f>IFERROR(INDEX(Users!$A$2:$A$310,MATCH(A2063,Users!$B$2:$B$310,0)),"")</f>
        <v>Service B</v>
      </c>
      <c r="H2063" s="21" t="str">
        <f>IFERROR(INDEX(Users!$D$2:$D$310,MATCH(A2063,Users!$B$2:$B$310,0)),"")</f>
        <v>Band 3</v>
      </c>
      <c r="I2063" s="19" t="b">
        <f t="shared" si="97"/>
        <v>0</v>
      </c>
      <c r="J2063" s="33">
        <f t="shared" si="98"/>
        <v>1.0256142506142505</v>
      </c>
    </row>
    <row r="2064" spans="1:10">
      <c r="A2064" s="19" t="s">
        <v>309</v>
      </c>
      <c r="B2064" s="20">
        <v>45689</v>
      </c>
      <c r="C2064" s="21">
        <v>148</v>
      </c>
      <c r="D2064" s="21">
        <v>139.4733333333333</v>
      </c>
      <c r="E2064" s="21">
        <v>16.940000000000001</v>
      </c>
      <c r="F2064" s="27">
        <f t="shared" si="96"/>
        <v>0.94238738738738714</v>
      </c>
      <c r="G2064" s="21" t="str">
        <f>IFERROR(INDEX(Users!$A$2:$A$310,MATCH(A2064,Users!$B$2:$B$310,0)),"")</f>
        <v>Service B</v>
      </c>
      <c r="H2064" s="21" t="str">
        <f>IFERROR(INDEX(Users!$D$2:$D$310,MATCH(A2064,Users!$B$2:$B$310,0)),"")</f>
        <v>Band 3</v>
      </c>
      <c r="I2064" s="19" t="b">
        <f t="shared" si="97"/>
        <v>0</v>
      </c>
      <c r="J2064" s="33">
        <f t="shared" si="98"/>
        <v>0.94238738738738714</v>
      </c>
    </row>
    <row r="2065" spans="1:10">
      <c r="A2065" s="19" t="s">
        <v>309</v>
      </c>
      <c r="B2065" s="20">
        <v>45717</v>
      </c>
      <c r="C2065" s="21">
        <v>155.4</v>
      </c>
      <c r="D2065" s="21">
        <v>143.79</v>
      </c>
      <c r="E2065" s="21">
        <v>26.29</v>
      </c>
      <c r="F2065" s="27">
        <f t="shared" si="96"/>
        <v>0.92528957528957523</v>
      </c>
      <c r="G2065" s="21" t="str">
        <f>IFERROR(INDEX(Users!$A$2:$A$310,MATCH(A2065,Users!$B$2:$B$310,0)),"")</f>
        <v>Service B</v>
      </c>
      <c r="H2065" s="21" t="str">
        <f>IFERROR(INDEX(Users!$D$2:$D$310,MATCH(A2065,Users!$B$2:$B$310,0)),"")</f>
        <v>Band 3</v>
      </c>
      <c r="I2065" s="19" t="b">
        <f t="shared" si="97"/>
        <v>0</v>
      </c>
      <c r="J2065" s="33">
        <f t="shared" si="98"/>
        <v>0.92528957528957523</v>
      </c>
    </row>
    <row r="2066" spans="1:10">
      <c r="A2066" s="19" t="s">
        <v>309</v>
      </c>
      <c r="B2066" s="20">
        <v>45748</v>
      </c>
      <c r="C2066" s="21">
        <v>148</v>
      </c>
      <c r="D2066" s="21">
        <v>134.85333333333335</v>
      </c>
      <c r="E2066" s="21">
        <v>28.619999999999997</v>
      </c>
      <c r="F2066" s="27">
        <f t="shared" si="96"/>
        <v>0.9111711711711713</v>
      </c>
      <c r="G2066" s="21" t="str">
        <f>IFERROR(INDEX(Users!$A$2:$A$310,MATCH(A2066,Users!$B$2:$B$310,0)),"")</f>
        <v>Service B</v>
      </c>
      <c r="H2066" s="21" t="str">
        <f>IFERROR(INDEX(Users!$D$2:$D$310,MATCH(A2066,Users!$B$2:$B$310,0)),"")</f>
        <v>Band 3</v>
      </c>
      <c r="I2066" s="19" t="b">
        <f t="shared" si="97"/>
        <v>0</v>
      </c>
      <c r="J2066" s="33">
        <f t="shared" si="98"/>
        <v>0.9111711711711713</v>
      </c>
    </row>
    <row r="2067" spans="1:10">
      <c r="A2067" s="19" t="s">
        <v>309</v>
      </c>
      <c r="B2067" s="20">
        <v>45778</v>
      </c>
      <c r="C2067" s="21">
        <v>148</v>
      </c>
      <c r="D2067" s="21">
        <v>124.47</v>
      </c>
      <c r="E2067" s="21">
        <v>31.069999999999993</v>
      </c>
      <c r="F2067" s="27">
        <f t="shared" si="96"/>
        <v>0.8410135135135135</v>
      </c>
      <c r="G2067" s="21" t="str">
        <f>IFERROR(INDEX(Users!$A$2:$A$310,MATCH(A2067,Users!$B$2:$B$310,0)),"")</f>
        <v>Service B</v>
      </c>
      <c r="H2067" s="21" t="str">
        <f>IFERROR(INDEX(Users!$D$2:$D$310,MATCH(A2067,Users!$B$2:$B$310,0)),"")</f>
        <v>Band 3</v>
      </c>
      <c r="I2067" s="19" t="b">
        <f t="shared" si="97"/>
        <v>0</v>
      </c>
      <c r="J2067" s="33">
        <f t="shared" si="98"/>
        <v>0.8410135135135135</v>
      </c>
    </row>
    <row r="2068" spans="1:10">
      <c r="A2068" s="19" t="s">
        <v>309</v>
      </c>
      <c r="B2068" s="20">
        <v>45809</v>
      </c>
      <c r="C2068" s="21">
        <v>155.4</v>
      </c>
      <c r="D2068" s="21">
        <v>146.89333333333332</v>
      </c>
      <c r="E2068" s="21">
        <v>42.51</v>
      </c>
      <c r="F2068" s="27">
        <f t="shared" si="96"/>
        <v>0.94525954525954514</v>
      </c>
      <c r="G2068" s="21" t="str">
        <f>IFERROR(INDEX(Users!$A$2:$A$310,MATCH(A2068,Users!$B$2:$B$310,0)),"")</f>
        <v>Service B</v>
      </c>
      <c r="H2068" s="21" t="str">
        <f>IFERROR(INDEX(Users!$D$2:$D$310,MATCH(A2068,Users!$B$2:$B$310,0)),"")</f>
        <v>Band 3</v>
      </c>
      <c r="I2068" s="19" t="b">
        <f t="shared" si="97"/>
        <v>0</v>
      </c>
      <c r="J2068" s="33">
        <f t="shared" si="98"/>
        <v>0.94525954525954514</v>
      </c>
    </row>
    <row r="2069" spans="1:10">
      <c r="A2069" s="19" t="s">
        <v>309</v>
      </c>
      <c r="B2069" s="20">
        <v>45839</v>
      </c>
      <c r="C2069" s="21">
        <v>170.20000000000002</v>
      </c>
      <c r="D2069" s="21">
        <v>149.94333333333333</v>
      </c>
      <c r="E2069" s="21">
        <v>48.559999999999995</v>
      </c>
      <c r="F2069" s="27">
        <f t="shared" si="96"/>
        <v>0.88098315707011343</v>
      </c>
      <c r="G2069" s="21" t="str">
        <f>IFERROR(INDEX(Users!$A$2:$A$310,MATCH(A2069,Users!$B$2:$B$310,0)),"")</f>
        <v>Service B</v>
      </c>
      <c r="H2069" s="21" t="str">
        <f>IFERROR(INDEX(Users!$D$2:$D$310,MATCH(A2069,Users!$B$2:$B$310,0)),"")</f>
        <v>Band 3</v>
      </c>
      <c r="I2069" s="19" t="b">
        <f t="shared" si="97"/>
        <v>0</v>
      </c>
      <c r="J2069" s="33">
        <f t="shared" si="98"/>
        <v>0.88098315707011343</v>
      </c>
    </row>
    <row r="2070" spans="1:10">
      <c r="A2070" s="19" t="s">
        <v>309</v>
      </c>
      <c r="B2070" s="20">
        <v>45870</v>
      </c>
      <c r="C2070" s="21">
        <v>148</v>
      </c>
      <c r="D2070" s="21">
        <v>79.05</v>
      </c>
      <c r="E2070" s="21">
        <v>31.099999999999994</v>
      </c>
      <c r="F2070" s="27">
        <f t="shared" si="96"/>
        <v>0.53412162162162158</v>
      </c>
      <c r="G2070" s="21" t="str">
        <f>IFERROR(INDEX(Users!$A$2:$A$310,MATCH(A2070,Users!$B$2:$B$310,0)),"")</f>
        <v>Service B</v>
      </c>
      <c r="H2070" s="21" t="str">
        <f>IFERROR(INDEX(Users!$D$2:$D$310,MATCH(A2070,Users!$B$2:$B$310,0)),"")</f>
        <v>Band 3</v>
      </c>
      <c r="I2070" s="19" t="b">
        <f t="shared" si="97"/>
        <v>0</v>
      </c>
      <c r="J2070" s="33">
        <f t="shared" si="98"/>
        <v>0.53412162162162158</v>
      </c>
    </row>
    <row r="2071" spans="1:10">
      <c r="A2071" s="19" t="s">
        <v>309</v>
      </c>
      <c r="B2071" s="20">
        <v>45901</v>
      </c>
      <c r="C2071" s="21">
        <v>162.80000000000001</v>
      </c>
      <c r="D2071" s="21">
        <v>160.41666666666666</v>
      </c>
      <c r="E2071" s="21">
        <v>55.400000000000006</v>
      </c>
      <c r="F2071" s="27">
        <f t="shared" si="96"/>
        <v>0.98536036036036023</v>
      </c>
      <c r="G2071" s="21" t="str">
        <f>IFERROR(INDEX(Users!$A$2:$A$310,MATCH(A2071,Users!$B$2:$B$310,0)),"")</f>
        <v>Service B</v>
      </c>
      <c r="H2071" s="21" t="str">
        <f>IFERROR(INDEX(Users!$D$2:$D$310,MATCH(A2071,Users!$B$2:$B$310,0)),"")</f>
        <v>Band 3</v>
      </c>
      <c r="I2071" s="19" t="b">
        <f t="shared" si="97"/>
        <v>0</v>
      </c>
      <c r="J2071" s="33">
        <f t="shared" si="98"/>
        <v>0.98536036036036023</v>
      </c>
    </row>
    <row r="2072" spans="1:10">
      <c r="A2072" s="19" t="s">
        <v>309</v>
      </c>
      <c r="B2072" s="20">
        <v>45931</v>
      </c>
      <c r="C2072" s="21">
        <v>170.20000000000002</v>
      </c>
      <c r="D2072" s="21">
        <v>126.99666666666667</v>
      </c>
      <c r="E2072" s="21">
        <v>49.629999999999995</v>
      </c>
      <c r="F2072" s="27">
        <f t="shared" si="96"/>
        <v>0.74616137877007438</v>
      </c>
      <c r="G2072" s="21" t="str">
        <f>IFERROR(INDEX(Users!$A$2:$A$310,MATCH(A2072,Users!$B$2:$B$310,0)),"")</f>
        <v>Service B</v>
      </c>
      <c r="H2072" s="21" t="str">
        <f>IFERROR(INDEX(Users!$D$2:$D$310,MATCH(A2072,Users!$B$2:$B$310,0)),"")</f>
        <v>Band 3</v>
      </c>
      <c r="I2072" s="19" t="b">
        <f t="shared" si="97"/>
        <v>0</v>
      </c>
      <c r="J2072" s="33">
        <f t="shared" si="98"/>
        <v>0.74616137877007438</v>
      </c>
    </row>
    <row r="2073" spans="1:10">
      <c r="A2073" s="19" t="s">
        <v>309</v>
      </c>
      <c r="B2073" s="20">
        <v>45962</v>
      </c>
      <c r="C2073" s="21">
        <v>148</v>
      </c>
      <c r="D2073" s="21">
        <v>135.14666666666668</v>
      </c>
      <c r="E2073" s="21">
        <v>50.930000000000007</v>
      </c>
      <c r="F2073" s="27">
        <f t="shared" si="96"/>
        <v>0.91315315315315326</v>
      </c>
      <c r="G2073" s="21" t="str">
        <f>IFERROR(INDEX(Users!$A$2:$A$310,MATCH(A2073,Users!$B$2:$B$310,0)),"")</f>
        <v>Service B</v>
      </c>
      <c r="H2073" s="21" t="str">
        <f>IFERROR(INDEX(Users!$D$2:$D$310,MATCH(A2073,Users!$B$2:$B$310,0)),"")</f>
        <v>Band 3</v>
      </c>
      <c r="I2073" s="19" t="b">
        <f t="shared" si="97"/>
        <v>0</v>
      </c>
      <c r="J2073" s="33">
        <f t="shared" si="98"/>
        <v>0.91315315315315326</v>
      </c>
    </row>
    <row r="2074" spans="1:10">
      <c r="A2074" s="19" t="s">
        <v>309</v>
      </c>
      <c r="B2074" s="20">
        <v>45992</v>
      </c>
      <c r="C2074" s="21">
        <v>155.4</v>
      </c>
      <c r="D2074" s="21">
        <v>140.20333333333332</v>
      </c>
      <c r="E2074" s="21">
        <v>54.019999999999996</v>
      </c>
      <c r="F2074" s="27">
        <f t="shared" si="96"/>
        <v>0.90220935220935206</v>
      </c>
      <c r="G2074" s="21" t="str">
        <f>IFERROR(INDEX(Users!$A$2:$A$310,MATCH(A2074,Users!$B$2:$B$310,0)),"")</f>
        <v>Service B</v>
      </c>
      <c r="H2074" s="21" t="str">
        <f>IFERROR(INDEX(Users!$D$2:$D$310,MATCH(A2074,Users!$B$2:$B$310,0)),"")</f>
        <v>Band 3</v>
      </c>
      <c r="I2074" s="19" t="b">
        <f t="shared" si="97"/>
        <v>0</v>
      </c>
      <c r="J2074" s="33">
        <f t="shared" si="98"/>
        <v>0.90220935220935206</v>
      </c>
    </row>
    <row r="2075" spans="1:10">
      <c r="A2075" s="19" t="s">
        <v>309</v>
      </c>
      <c r="B2075" s="20">
        <v>46023</v>
      </c>
      <c r="C2075" s="21">
        <v>155.4</v>
      </c>
      <c r="D2075" s="21">
        <v>151.99</v>
      </c>
      <c r="E2075" s="21">
        <v>45.239999999999995</v>
      </c>
      <c r="F2075" s="27">
        <f t="shared" si="96"/>
        <v>0.97805662805662807</v>
      </c>
      <c r="G2075" s="21" t="str">
        <f>IFERROR(INDEX(Users!$A$2:$A$310,MATCH(A2075,Users!$B$2:$B$310,0)),"")</f>
        <v>Service B</v>
      </c>
      <c r="H2075" s="21" t="str">
        <f>IFERROR(INDEX(Users!$D$2:$D$310,MATCH(A2075,Users!$B$2:$B$310,0)),"")</f>
        <v>Band 3</v>
      </c>
      <c r="I2075" s="19" t="b">
        <f t="shared" si="97"/>
        <v>0</v>
      </c>
      <c r="J2075" s="33" t="str">
        <f t="shared" si="98"/>
        <v/>
      </c>
    </row>
    <row r="2076" spans="1:10">
      <c r="A2076" s="19" t="s">
        <v>310</v>
      </c>
      <c r="B2076" s="20">
        <v>45778</v>
      </c>
      <c r="C2076" s="21">
        <v>65.777777777777771</v>
      </c>
      <c r="D2076" s="21">
        <v>52.24666666666667</v>
      </c>
      <c r="E2076" s="21">
        <v>35.33</v>
      </c>
      <c r="F2076" s="27">
        <f t="shared" si="96"/>
        <v>0.79429054054054071</v>
      </c>
      <c r="G2076" s="21" t="str">
        <f>IFERROR(INDEX(Users!$A$2:$A$310,MATCH(A2076,Users!$B$2:$B$310,0)),"")</f>
        <v>Service B</v>
      </c>
      <c r="H2076" s="21" t="str">
        <f>IFERROR(INDEX(Users!$D$2:$D$310,MATCH(A2076,Users!$B$2:$B$310,0)),"")</f>
        <v>Band 3</v>
      </c>
      <c r="I2076" s="19" t="b">
        <f t="shared" si="97"/>
        <v>0</v>
      </c>
      <c r="J2076" s="33">
        <f t="shared" si="98"/>
        <v>0.79429054054054071</v>
      </c>
    </row>
    <row r="2077" spans="1:10">
      <c r="A2077" s="19" t="s">
        <v>310</v>
      </c>
      <c r="B2077" s="20">
        <v>45809</v>
      </c>
      <c r="C2077" s="21">
        <v>148</v>
      </c>
      <c r="D2077" s="21">
        <v>108.49333333333334</v>
      </c>
      <c r="E2077" s="21">
        <v>73.41</v>
      </c>
      <c r="F2077" s="27">
        <f t="shared" si="96"/>
        <v>0.73306306306306313</v>
      </c>
      <c r="G2077" s="21" t="str">
        <f>IFERROR(INDEX(Users!$A$2:$A$310,MATCH(A2077,Users!$B$2:$B$310,0)),"")</f>
        <v>Service B</v>
      </c>
      <c r="H2077" s="21" t="str">
        <f>IFERROR(INDEX(Users!$D$2:$D$310,MATCH(A2077,Users!$B$2:$B$310,0)),"")</f>
        <v>Band 3</v>
      </c>
      <c r="I2077" s="19" t="b">
        <f t="shared" si="97"/>
        <v>0</v>
      </c>
      <c r="J2077" s="33">
        <f t="shared" si="98"/>
        <v>0.73306306306306313</v>
      </c>
    </row>
    <row r="2078" spans="1:10">
      <c r="A2078" s="19" t="s">
        <v>310</v>
      </c>
      <c r="B2078" s="20">
        <v>45839</v>
      </c>
      <c r="C2078" s="21">
        <v>172.66666666666666</v>
      </c>
      <c r="D2078" s="21">
        <v>123.50333333333333</v>
      </c>
      <c r="E2078" s="21">
        <v>86.67</v>
      </c>
      <c r="F2078" s="27">
        <f t="shared" si="96"/>
        <v>0.71527027027027024</v>
      </c>
      <c r="G2078" s="21" t="str">
        <f>IFERROR(INDEX(Users!$A$2:$A$310,MATCH(A2078,Users!$B$2:$B$310,0)),"")</f>
        <v>Service B</v>
      </c>
      <c r="H2078" s="21" t="str">
        <f>IFERROR(INDEX(Users!$D$2:$D$310,MATCH(A2078,Users!$B$2:$B$310,0)),"")</f>
        <v>Band 3</v>
      </c>
      <c r="I2078" s="19" t="b">
        <f t="shared" si="97"/>
        <v>0</v>
      </c>
      <c r="J2078" s="33">
        <f t="shared" si="98"/>
        <v>0.71527027027027024</v>
      </c>
    </row>
    <row r="2079" spans="1:10">
      <c r="A2079" s="19" t="s">
        <v>310</v>
      </c>
      <c r="B2079" s="20">
        <v>45870</v>
      </c>
      <c r="C2079" s="21">
        <v>156.2222222222222</v>
      </c>
      <c r="D2079" s="21">
        <v>160.15666666666667</v>
      </c>
      <c r="E2079" s="21">
        <v>123.49</v>
      </c>
      <c r="F2079" s="27">
        <f t="shared" si="96"/>
        <v>1.0251849217638693</v>
      </c>
      <c r="G2079" s="21" t="str">
        <f>IFERROR(INDEX(Users!$A$2:$A$310,MATCH(A2079,Users!$B$2:$B$310,0)),"")</f>
        <v>Service B</v>
      </c>
      <c r="H2079" s="21" t="str">
        <f>IFERROR(INDEX(Users!$D$2:$D$310,MATCH(A2079,Users!$B$2:$B$310,0)),"")</f>
        <v>Band 3</v>
      </c>
      <c r="I2079" s="19" t="b">
        <f t="shared" si="97"/>
        <v>0</v>
      </c>
      <c r="J2079" s="33">
        <f t="shared" si="98"/>
        <v>1.0251849217638693</v>
      </c>
    </row>
    <row r="2080" spans="1:10">
      <c r="A2080" s="19" t="s">
        <v>310</v>
      </c>
      <c r="B2080" s="20">
        <v>45901</v>
      </c>
      <c r="C2080" s="21">
        <v>164.44444444444443</v>
      </c>
      <c r="D2080" s="21">
        <v>162.32</v>
      </c>
      <c r="E2080" s="21">
        <v>127.32</v>
      </c>
      <c r="F2080" s="27">
        <f t="shared" si="96"/>
        <v>0.98708108108108117</v>
      </c>
      <c r="G2080" s="21" t="str">
        <f>IFERROR(INDEX(Users!$A$2:$A$310,MATCH(A2080,Users!$B$2:$B$310,0)),"")</f>
        <v>Service B</v>
      </c>
      <c r="H2080" s="21" t="str">
        <f>IFERROR(INDEX(Users!$D$2:$D$310,MATCH(A2080,Users!$B$2:$B$310,0)),"")</f>
        <v>Band 3</v>
      </c>
      <c r="I2080" s="19" t="b">
        <f t="shared" si="97"/>
        <v>0</v>
      </c>
      <c r="J2080" s="33">
        <f t="shared" si="98"/>
        <v>0.98708108108108117</v>
      </c>
    </row>
    <row r="2081" spans="1:10">
      <c r="A2081" s="19" t="s">
        <v>310</v>
      </c>
      <c r="B2081" s="20">
        <v>45931</v>
      </c>
      <c r="C2081" s="21">
        <v>172.66666666666666</v>
      </c>
      <c r="D2081" s="21">
        <v>139.13333333333333</v>
      </c>
      <c r="E2081" s="21">
        <v>108.8</v>
      </c>
      <c r="F2081" s="27">
        <f t="shared" si="96"/>
        <v>0.80579150579150582</v>
      </c>
      <c r="G2081" s="21" t="str">
        <f>IFERROR(INDEX(Users!$A$2:$A$310,MATCH(A2081,Users!$B$2:$B$310,0)),"")</f>
        <v>Service B</v>
      </c>
      <c r="H2081" s="21" t="str">
        <f>IFERROR(INDEX(Users!$D$2:$D$310,MATCH(A2081,Users!$B$2:$B$310,0)),"")</f>
        <v>Band 3</v>
      </c>
      <c r="I2081" s="19" t="b">
        <f t="shared" si="97"/>
        <v>0</v>
      </c>
      <c r="J2081" s="33">
        <f t="shared" si="98"/>
        <v>0.80579150579150582</v>
      </c>
    </row>
    <row r="2082" spans="1:10">
      <c r="A2082" s="19" t="s">
        <v>310</v>
      </c>
      <c r="B2082" s="20">
        <v>45962</v>
      </c>
      <c r="C2082" s="21">
        <v>148</v>
      </c>
      <c r="D2082" s="21">
        <v>154.64666666666665</v>
      </c>
      <c r="E2082" s="21">
        <v>118.22999999999998</v>
      </c>
      <c r="F2082" s="27">
        <f t="shared" si="96"/>
        <v>1.0449099099099097</v>
      </c>
      <c r="G2082" s="21" t="str">
        <f>IFERROR(INDEX(Users!$A$2:$A$310,MATCH(A2082,Users!$B$2:$B$310,0)),"")</f>
        <v>Service B</v>
      </c>
      <c r="H2082" s="21" t="str">
        <f>IFERROR(INDEX(Users!$D$2:$D$310,MATCH(A2082,Users!$B$2:$B$310,0)),"")</f>
        <v>Band 3</v>
      </c>
      <c r="I2082" s="19" t="b">
        <f t="shared" si="97"/>
        <v>0</v>
      </c>
      <c r="J2082" s="33">
        <f t="shared" si="98"/>
        <v>1.0449099099099097</v>
      </c>
    </row>
    <row r="2083" spans="1:10">
      <c r="A2083" s="19" t="s">
        <v>310</v>
      </c>
      <c r="B2083" s="20">
        <v>45992</v>
      </c>
      <c r="C2083" s="21">
        <v>148</v>
      </c>
      <c r="D2083" s="21">
        <v>112.10333333333334</v>
      </c>
      <c r="E2083" s="21">
        <v>93.27</v>
      </c>
      <c r="F2083" s="27">
        <f t="shared" si="96"/>
        <v>0.75745495495495496</v>
      </c>
      <c r="G2083" s="21" t="str">
        <f>IFERROR(INDEX(Users!$A$2:$A$310,MATCH(A2083,Users!$B$2:$B$310,0)),"")</f>
        <v>Service B</v>
      </c>
      <c r="H2083" s="21" t="str">
        <f>IFERROR(INDEX(Users!$D$2:$D$310,MATCH(A2083,Users!$B$2:$B$310,0)),"")</f>
        <v>Band 3</v>
      </c>
      <c r="I2083" s="19" t="b">
        <f t="shared" si="97"/>
        <v>0</v>
      </c>
      <c r="J2083" s="33">
        <f t="shared" si="98"/>
        <v>0.75745495495495496</v>
      </c>
    </row>
    <row r="2084" spans="1:10">
      <c r="A2084" s="19" t="s">
        <v>310</v>
      </c>
      <c r="B2084" s="20">
        <v>46023</v>
      </c>
      <c r="C2084" s="21">
        <v>156.2222222222222</v>
      </c>
      <c r="D2084" s="21">
        <v>136.29333333333332</v>
      </c>
      <c r="E2084" s="21">
        <v>108.96</v>
      </c>
      <c r="F2084" s="27">
        <f t="shared" si="96"/>
        <v>0.87243243243243251</v>
      </c>
      <c r="G2084" s="21" t="str">
        <f>IFERROR(INDEX(Users!$A$2:$A$310,MATCH(A2084,Users!$B$2:$B$310,0)),"")</f>
        <v>Service B</v>
      </c>
      <c r="H2084" s="21" t="str">
        <f>IFERROR(INDEX(Users!$D$2:$D$310,MATCH(A2084,Users!$B$2:$B$310,0)),"")</f>
        <v>Band 3</v>
      </c>
      <c r="I2084" s="19" t="b">
        <f t="shared" si="97"/>
        <v>0</v>
      </c>
      <c r="J2084" s="33" t="str">
        <f t="shared" si="98"/>
        <v/>
      </c>
    </row>
    <row r="2085" spans="1:10">
      <c r="A2085" s="19" t="s">
        <v>312</v>
      </c>
      <c r="B2085" s="20">
        <v>45658</v>
      </c>
      <c r="C2085" s="21">
        <v>162.80000000000001</v>
      </c>
      <c r="D2085" s="21">
        <v>6.9</v>
      </c>
      <c r="E2085" s="21">
        <v>6.9</v>
      </c>
      <c r="F2085" s="27">
        <f t="shared" si="96"/>
        <v>4.238329238329238E-2</v>
      </c>
      <c r="G2085" s="21" t="str">
        <f>IFERROR(INDEX(Users!$A$2:$A$310,MATCH(A2085,Users!$B$2:$B$310,0)),"")</f>
        <v>Service B</v>
      </c>
      <c r="H2085" s="21" t="str">
        <f>IFERROR(INDEX(Users!$D$2:$D$310,MATCH(A2085,Users!$B$2:$B$310,0)),"")</f>
        <v>Band 3</v>
      </c>
      <c r="I2085" s="19" t="b">
        <f t="shared" si="97"/>
        <v>0</v>
      </c>
      <c r="J2085" s="33">
        <f t="shared" si="98"/>
        <v>4.238329238329238E-2</v>
      </c>
    </row>
    <row r="2086" spans="1:10">
      <c r="A2086" s="19" t="s">
        <v>312</v>
      </c>
      <c r="B2086" s="20">
        <v>45689</v>
      </c>
      <c r="C2086" s="21">
        <v>148</v>
      </c>
      <c r="D2086" s="21">
        <v>68.736666666666679</v>
      </c>
      <c r="E2086" s="21">
        <v>55.070000000000007</v>
      </c>
      <c r="F2086" s="27">
        <f t="shared" si="96"/>
        <v>0.46443693693693699</v>
      </c>
      <c r="G2086" s="21" t="str">
        <f>IFERROR(INDEX(Users!$A$2:$A$310,MATCH(A2086,Users!$B$2:$B$310,0)),"")</f>
        <v>Service B</v>
      </c>
      <c r="H2086" s="21" t="str">
        <f>IFERROR(INDEX(Users!$D$2:$D$310,MATCH(A2086,Users!$B$2:$B$310,0)),"")</f>
        <v>Band 3</v>
      </c>
      <c r="I2086" s="19" t="b">
        <f t="shared" si="97"/>
        <v>0</v>
      </c>
      <c r="J2086" s="33">
        <f t="shared" si="98"/>
        <v>0.46443693693693699</v>
      </c>
    </row>
    <row r="2087" spans="1:10">
      <c r="A2087" s="19" t="s">
        <v>312</v>
      </c>
      <c r="B2087" s="20">
        <v>45717</v>
      </c>
      <c r="C2087" s="21">
        <v>155.4</v>
      </c>
      <c r="D2087" s="21">
        <v>124.37666666666669</v>
      </c>
      <c r="E2087" s="21">
        <v>74.710000000000022</v>
      </c>
      <c r="F2087" s="27">
        <f t="shared" si="96"/>
        <v>0.80036465036465054</v>
      </c>
      <c r="G2087" s="21" t="str">
        <f>IFERROR(INDEX(Users!$A$2:$A$310,MATCH(A2087,Users!$B$2:$B$310,0)),"")</f>
        <v>Service B</v>
      </c>
      <c r="H2087" s="21" t="str">
        <f>IFERROR(INDEX(Users!$D$2:$D$310,MATCH(A2087,Users!$B$2:$B$310,0)),"")</f>
        <v>Band 3</v>
      </c>
      <c r="I2087" s="19" t="b">
        <f t="shared" si="97"/>
        <v>0</v>
      </c>
      <c r="J2087" s="33">
        <f t="shared" si="98"/>
        <v>0.80036465036465054</v>
      </c>
    </row>
    <row r="2088" spans="1:10">
      <c r="A2088" s="19" t="s">
        <v>312</v>
      </c>
      <c r="B2088" s="20">
        <v>45748</v>
      </c>
      <c r="C2088" s="21">
        <v>148</v>
      </c>
      <c r="D2088" s="21">
        <v>139.87</v>
      </c>
      <c r="E2088" s="21">
        <v>108.62000000000002</v>
      </c>
      <c r="F2088" s="27">
        <f t="shared" si="96"/>
        <v>0.9450675675675676</v>
      </c>
      <c r="G2088" s="21" t="str">
        <f>IFERROR(INDEX(Users!$A$2:$A$310,MATCH(A2088,Users!$B$2:$B$310,0)),"")</f>
        <v>Service B</v>
      </c>
      <c r="H2088" s="21" t="str">
        <f>IFERROR(INDEX(Users!$D$2:$D$310,MATCH(A2088,Users!$B$2:$B$310,0)),"")</f>
        <v>Band 3</v>
      </c>
      <c r="I2088" s="19" t="b">
        <f t="shared" si="97"/>
        <v>0</v>
      </c>
      <c r="J2088" s="33">
        <f t="shared" si="98"/>
        <v>0.9450675675675676</v>
      </c>
    </row>
    <row r="2089" spans="1:10">
      <c r="A2089" s="19" t="s">
        <v>312</v>
      </c>
      <c r="B2089" s="20">
        <v>45778</v>
      </c>
      <c r="C2089" s="21">
        <v>81.400000000000006</v>
      </c>
      <c r="D2089" s="21">
        <v>69.399999999999991</v>
      </c>
      <c r="E2089" s="21">
        <v>44.149999999999991</v>
      </c>
      <c r="F2089" s="27">
        <f t="shared" si="96"/>
        <v>0.85257985257985247</v>
      </c>
      <c r="G2089" s="21" t="str">
        <f>IFERROR(INDEX(Users!$A$2:$A$310,MATCH(A2089,Users!$B$2:$B$310,0)),"")</f>
        <v>Service B</v>
      </c>
      <c r="H2089" s="21" t="str">
        <f>IFERROR(INDEX(Users!$D$2:$D$310,MATCH(A2089,Users!$B$2:$B$310,0)),"")</f>
        <v>Band 3</v>
      </c>
      <c r="I2089" s="19" t="b">
        <f t="shared" si="97"/>
        <v>0</v>
      </c>
      <c r="J2089" s="33">
        <f t="shared" si="98"/>
        <v>0.85257985257985247</v>
      </c>
    </row>
    <row r="2090" spans="1:10">
      <c r="A2090" s="19" t="s">
        <v>313</v>
      </c>
      <c r="B2090" s="20">
        <v>45689</v>
      </c>
      <c r="C2090" s="21">
        <v>37</v>
      </c>
      <c r="D2090" s="21">
        <v>40.826666666666668</v>
      </c>
      <c r="E2090" s="21">
        <v>18.91</v>
      </c>
      <c r="F2090" s="27">
        <f t="shared" si="96"/>
        <v>1.1034234234234235</v>
      </c>
      <c r="G2090" s="21" t="str">
        <f>IFERROR(INDEX(Users!$A$2:$A$310,MATCH(A2090,Users!$B$2:$B$310,0)),"")</f>
        <v>Service B</v>
      </c>
      <c r="H2090" s="21" t="str">
        <f>IFERROR(INDEX(Users!$D$2:$D$310,MATCH(A2090,Users!$B$2:$B$310,0)),"")</f>
        <v>Band 5</v>
      </c>
      <c r="I2090" s="19" t="b">
        <f t="shared" si="97"/>
        <v>0</v>
      </c>
      <c r="J2090" s="33">
        <f t="shared" si="98"/>
        <v>1.1034234234234235</v>
      </c>
    </row>
    <row r="2091" spans="1:10">
      <c r="A2091" s="19" t="s">
        <v>313</v>
      </c>
      <c r="B2091" s="20">
        <v>45717</v>
      </c>
      <c r="C2091" s="21">
        <v>155.4</v>
      </c>
      <c r="D2091" s="21">
        <v>115.97999999999999</v>
      </c>
      <c r="E2091" s="21">
        <v>61.98</v>
      </c>
      <c r="F2091" s="27">
        <f t="shared" si="96"/>
        <v>0.7463320463320462</v>
      </c>
      <c r="G2091" s="21" t="str">
        <f>IFERROR(INDEX(Users!$A$2:$A$310,MATCH(A2091,Users!$B$2:$B$310,0)),"")</f>
        <v>Service B</v>
      </c>
      <c r="H2091" s="21" t="str">
        <f>IFERROR(INDEX(Users!$D$2:$D$310,MATCH(A2091,Users!$B$2:$B$310,0)),"")</f>
        <v>Band 5</v>
      </c>
      <c r="I2091" s="19" t="b">
        <f t="shared" si="97"/>
        <v>0</v>
      </c>
      <c r="J2091" s="33">
        <f t="shared" si="98"/>
        <v>0.7463320463320462</v>
      </c>
    </row>
    <row r="2092" spans="1:10">
      <c r="A2092" s="19" t="s">
        <v>313</v>
      </c>
      <c r="B2092" s="20">
        <v>45748</v>
      </c>
      <c r="C2092" s="21">
        <v>148</v>
      </c>
      <c r="D2092" s="21">
        <v>141.06333333333336</v>
      </c>
      <c r="E2092" s="21">
        <v>70.330000000000027</v>
      </c>
      <c r="F2092" s="27">
        <f t="shared" si="96"/>
        <v>0.95313063063063086</v>
      </c>
      <c r="G2092" s="21" t="str">
        <f>IFERROR(INDEX(Users!$A$2:$A$310,MATCH(A2092,Users!$B$2:$B$310,0)),"")</f>
        <v>Service B</v>
      </c>
      <c r="H2092" s="21" t="str">
        <f>IFERROR(INDEX(Users!$D$2:$D$310,MATCH(A2092,Users!$B$2:$B$310,0)),"")</f>
        <v>Band 5</v>
      </c>
      <c r="I2092" s="19" t="b">
        <f t="shared" si="97"/>
        <v>0</v>
      </c>
      <c r="J2092" s="33">
        <f t="shared" si="98"/>
        <v>0.95313063063063086</v>
      </c>
    </row>
    <row r="2093" spans="1:10">
      <c r="A2093" s="19" t="s">
        <v>313</v>
      </c>
      <c r="B2093" s="20">
        <v>45778</v>
      </c>
      <c r="C2093" s="21">
        <v>148</v>
      </c>
      <c r="D2093" s="21">
        <v>145.16333333333333</v>
      </c>
      <c r="E2093" s="21">
        <v>76.33</v>
      </c>
      <c r="F2093" s="27">
        <f t="shared" si="96"/>
        <v>0.98083333333333333</v>
      </c>
      <c r="G2093" s="21" t="str">
        <f>IFERROR(INDEX(Users!$A$2:$A$310,MATCH(A2093,Users!$B$2:$B$310,0)),"")</f>
        <v>Service B</v>
      </c>
      <c r="H2093" s="21" t="str">
        <f>IFERROR(INDEX(Users!$D$2:$D$310,MATCH(A2093,Users!$B$2:$B$310,0)),"")</f>
        <v>Band 5</v>
      </c>
      <c r="I2093" s="19" t="b">
        <f t="shared" si="97"/>
        <v>0</v>
      </c>
      <c r="J2093" s="33">
        <f t="shared" si="98"/>
        <v>0.98083333333333333</v>
      </c>
    </row>
    <row r="2094" spans="1:10">
      <c r="A2094" s="19" t="s">
        <v>313</v>
      </c>
      <c r="B2094" s="20">
        <v>45809</v>
      </c>
      <c r="C2094" s="21">
        <v>155.4</v>
      </c>
      <c r="D2094" s="21">
        <v>153.79333333333329</v>
      </c>
      <c r="E2094" s="21">
        <v>83.459999999999965</v>
      </c>
      <c r="F2094" s="27">
        <f t="shared" si="96"/>
        <v>0.98966108966108934</v>
      </c>
      <c r="G2094" s="21" t="str">
        <f>IFERROR(INDEX(Users!$A$2:$A$310,MATCH(A2094,Users!$B$2:$B$310,0)),"")</f>
        <v>Service B</v>
      </c>
      <c r="H2094" s="21" t="str">
        <f>IFERROR(INDEX(Users!$D$2:$D$310,MATCH(A2094,Users!$B$2:$B$310,0)),"")</f>
        <v>Band 5</v>
      </c>
      <c r="I2094" s="19" t="b">
        <f t="shared" si="97"/>
        <v>0</v>
      </c>
      <c r="J2094" s="33">
        <f t="shared" si="98"/>
        <v>0.98966108966108934</v>
      </c>
    </row>
    <row r="2095" spans="1:10">
      <c r="A2095" s="19" t="s">
        <v>313</v>
      </c>
      <c r="B2095" s="20">
        <v>45839</v>
      </c>
      <c r="C2095" s="21">
        <v>170.20000000000002</v>
      </c>
      <c r="D2095" s="21">
        <v>208.4199999999999</v>
      </c>
      <c r="E2095" s="21">
        <v>123.41999999999993</v>
      </c>
      <c r="F2095" s="27">
        <f t="shared" si="96"/>
        <v>1.2245593419506455</v>
      </c>
      <c r="G2095" s="21" t="str">
        <f>IFERROR(INDEX(Users!$A$2:$A$310,MATCH(A2095,Users!$B$2:$B$310,0)),"")</f>
        <v>Service B</v>
      </c>
      <c r="H2095" s="21" t="str">
        <f>IFERROR(INDEX(Users!$D$2:$D$310,MATCH(A2095,Users!$B$2:$B$310,0)),"")</f>
        <v>Band 5</v>
      </c>
      <c r="I2095" s="19" t="b">
        <f t="shared" si="97"/>
        <v>0</v>
      </c>
      <c r="J2095" s="33">
        <f t="shared" si="98"/>
        <v>1.2245593419506455</v>
      </c>
    </row>
    <row r="2096" spans="1:10">
      <c r="A2096" s="19" t="s">
        <v>313</v>
      </c>
      <c r="B2096" s="20">
        <v>45870</v>
      </c>
      <c r="C2096" s="21">
        <v>148</v>
      </c>
      <c r="D2096" s="21">
        <v>102.99000000000002</v>
      </c>
      <c r="E2096" s="21">
        <v>71.990000000000023</v>
      </c>
      <c r="F2096" s="27">
        <f t="shared" si="96"/>
        <v>0.69587837837837851</v>
      </c>
      <c r="G2096" s="21" t="str">
        <f>IFERROR(INDEX(Users!$A$2:$A$310,MATCH(A2096,Users!$B$2:$B$310,0)),"")</f>
        <v>Service B</v>
      </c>
      <c r="H2096" s="21" t="str">
        <f>IFERROR(INDEX(Users!$D$2:$D$310,MATCH(A2096,Users!$B$2:$B$310,0)),"")</f>
        <v>Band 5</v>
      </c>
      <c r="I2096" s="19" t="b">
        <f t="shared" si="97"/>
        <v>0</v>
      </c>
      <c r="J2096" s="33">
        <f t="shared" si="98"/>
        <v>0.69587837837837851</v>
      </c>
    </row>
    <row r="2097" spans="1:10">
      <c r="A2097" s="19" t="s">
        <v>313</v>
      </c>
      <c r="B2097" s="20">
        <v>45901</v>
      </c>
      <c r="C2097" s="21">
        <v>162.80000000000001</v>
      </c>
      <c r="D2097" s="21">
        <v>161.32</v>
      </c>
      <c r="E2097" s="21">
        <v>91.819999999999979</v>
      </c>
      <c r="F2097" s="27">
        <f t="shared" si="96"/>
        <v>0.99090909090909085</v>
      </c>
      <c r="G2097" s="21" t="str">
        <f>IFERROR(INDEX(Users!$A$2:$A$310,MATCH(A2097,Users!$B$2:$B$310,0)),"")</f>
        <v>Service B</v>
      </c>
      <c r="H2097" s="21" t="str">
        <f>IFERROR(INDEX(Users!$D$2:$D$310,MATCH(A2097,Users!$B$2:$B$310,0)),"")</f>
        <v>Band 5</v>
      </c>
      <c r="I2097" s="19" t="b">
        <f t="shared" si="97"/>
        <v>0</v>
      </c>
      <c r="J2097" s="33">
        <f t="shared" si="98"/>
        <v>0.99090909090909085</v>
      </c>
    </row>
    <row r="2098" spans="1:10">
      <c r="A2098" s="19" t="s">
        <v>313</v>
      </c>
      <c r="B2098" s="20">
        <v>45931</v>
      </c>
      <c r="C2098" s="21">
        <v>170.20000000000002</v>
      </c>
      <c r="D2098" s="21">
        <v>167.12333333333336</v>
      </c>
      <c r="E2098" s="21">
        <v>73.140000000000029</v>
      </c>
      <c r="F2098" s="27">
        <f t="shared" si="96"/>
        <v>0.98192322757540151</v>
      </c>
      <c r="G2098" s="21" t="str">
        <f>IFERROR(INDEX(Users!$A$2:$A$310,MATCH(A2098,Users!$B$2:$B$310,0)),"")</f>
        <v>Service B</v>
      </c>
      <c r="H2098" s="21" t="str">
        <f>IFERROR(INDEX(Users!$D$2:$D$310,MATCH(A2098,Users!$B$2:$B$310,0)),"")</f>
        <v>Band 5</v>
      </c>
      <c r="I2098" s="19" t="b">
        <f t="shared" si="97"/>
        <v>0</v>
      </c>
      <c r="J2098" s="33">
        <f t="shared" si="98"/>
        <v>0.98192322757540151</v>
      </c>
    </row>
    <row r="2099" spans="1:10">
      <c r="A2099" s="19" t="s">
        <v>313</v>
      </c>
      <c r="B2099" s="20">
        <v>45962</v>
      </c>
      <c r="C2099" s="21">
        <v>148</v>
      </c>
      <c r="D2099" s="21">
        <v>171.90666666666667</v>
      </c>
      <c r="E2099" s="21">
        <v>4.74</v>
      </c>
      <c r="F2099" s="27">
        <f t="shared" si="96"/>
        <v>1.1615315315315315</v>
      </c>
      <c r="G2099" s="21" t="str">
        <f>IFERROR(INDEX(Users!$A$2:$A$310,MATCH(A2099,Users!$B$2:$B$310,0)),"")</f>
        <v>Service B</v>
      </c>
      <c r="H2099" s="21" t="str">
        <f>IFERROR(INDEX(Users!$D$2:$D$310,MATCH(A2099,Users!$B$2:$B$310,0)),"")</f>
        <v>Band 5</v>
      </c>
      <c r="I2099" s="19" t="b">
        <f t="shared" si="97"/>
        <v>0</v>
      </c>
      <c r="J2099" s="33">
        <f t="shared" si="98"/>
        <v>1.1615315315315315</v>
      </c>
    </row>
    <row r="2100" spans="1:10">
      <c r="A2100" s="19" t="s">
        <v>313</v>
      </c>
      <c r="B2100" s="20">
        <v>45992</v>
      </c>
      <c r="C2100" s="21">
        <v>155.4</v>
      </c>
      <c r="D2100" s="21">
        <v>108</v>
      </c>
      <c r="E2100" s="21">
        <v>1</v>
      </c>
      <c r="F2100" s="27">
        <f t="shared" si="96"/>
        <v>0.69498069498069492</v>
      </c>
      <c r="G2100" s="21" t="str">
        <f>IFERROR(INDEX(Users!$A$2:$A$310,MATCH(A2100,Users!$B$2:$B$310,0)),"")</f>
        <v>Service B</v>
      </c>
      <c r="H2100" s="21" t="str">
        <f>IFERROR(INDEX(Users!$D$2:$D$310,MATCH(A2100,Users!$B$2:$B$310,0)),"")</f>
        <v>Band 5</v>
      </c>
      <c r="I2100" s="19" t="b">
        <f t="shared" si="97"/>
        <v>0</v>
      </c>
      <c r="J2100" s="33">
        <f t="shared" si="98"/>
        <v>0.69498069498069492</v>
      </c>
    </row>
    <row r="2101" spans="1:10">
      <c r="A2101" s="19" t="s">
        <v>313</v>
      </c>
      <c r="B2101" s="20">
        <v>46023</v>
      </c>
      <c r="C2101" s="21">
        <v>81.400000000000006</v>
      </c>
      <c r="D2101" s="21">
        <v>85.316666666666663</v>
      </c>
      <c r="E2101" s="21">
        <v>0.5</v>
      </c>
      <c r="F2101" s="27">
        <f t="shared" si="96"/>
        <v>1.0481162981162979</v>
      </c>
      <c r="G2101" s="21" t="str">
        <f>IFERROR(INDEX(Users!$A$2:$A$310,MATCH(A2101,Users!$B$2:$B$310,0)),"")</f>
        <v>Service B</v>
      </c>
      <c r="H2101" s="21" t="str">
        <f>IFERROR(INDEX(Users!$D$2:$D$310,MATCH(A2101,Users!$B$2:$B$310,0)),"")</f>
        <v>Band 5</v>
      </c>
      <c r="I2101" s="19" t="b">
        <f t="shared" si="97"/>
        <v>0</v>
      </c>
      <c r="J2101" s="33" t="str">
        <f t="shared" si="98"/>
        <v/>
      </c>
    </row>
    <row r="2102" spans="1:10">
      <c r="A2102" s="19" t="s">
        <v>314</v>
      </c>
      <c r="B2102" s="20">
        <v>45658</v>
      </c>
      <c r="C2102" s="21">
        <v>162.80000000000001</v>
      </c>
      <c r="D2102" s="21">
        <v>131.91333333333336</v>
      </c>
      <c r="E2102" s="21">
        <v>54.080000000000034</v>
      </c>
      <c r="F2102" s="27">
        <f t="shared" si="96"/>
        <v>0.8102784602784604</v>
      </c>
      <c r="G2102" s="21" t="str">
        <f>IFERROR(INDEX(Users!$A$2:$A$310,MATCH(A2102,Users!$B$2:$B$310,0)),"")</f>
        <v>Service A</v>
      </c>
      <c r="H2102" s="21" t="str">
        <f>IFERROR(INDEX(Users!$D$2:$D$310,MATCH(A2102,Users!$B$2:$B$310,0)),"")</f>
        <v>Band 5</v>
      </c>
      <c r="I2102" s="19" t="b">
        <f t="shared" si="97"/>
        <v>0</v>
      </c>
      <c r="J2102" s="33" t="str">
        <f t="shared" si="98"/>
        <v/>
      </c>
    </row>
    <row r="2103" spans="1:10">
      <c r="A2103" s="19" t="s">
        <v>314</v>
      </c>
      <c r="B2103" s="20">
        <v>45689</v>
      </c>
      <c r="C2103" s="21">
        <v>111</v>
      </c>
      <c r="D2103" s="21">
        <v>115.03000000000002</v>
      </c>
      <c r="E2103" s="21">
        <v>29.53</v>
      </c>
      <c r="F2103" s="27">
        <f t="shared" si="96"/>
        <v>1.0363063063063065</v>
      </c>
      <c r="G2103" s="21" t="str">
        <f>IFERROR(INDEX(Users!$A$2:$A$310,MATCH(A2103,Users!$B$2:$B$310,0)),"")</f>
        <v>Service A</v>
      </c>
      <c r="H2103" s="21" t="str">
        <f>IFERROR(INDEX(Users!$D$2:$D$310,MATCH(A2103,Users!$B$2:$B$310,0)),"")</f>
        <v>Band 5</v>
      </c>
      <c r="I2103" s="19" t="b">
        <f t="shared" si="97"/>
        <v>0</v>
      </c>
      <c r="J2103" s="33" t="str">
        <f t="shared" si="98"/>
        <v/>
      </c>
    </row>
    <row r="2104" spans="1:10">
      <c r="A2104" s="19" t="s">
        <v>316</v>
      </c>
      <c r="B2104" s="20">
        <v>45658</v>
      </c>
      <c r="C2104" s="21">
        <v>162.80000000000001</v>
      </c>
      <c r="D2104" s="21">
        <v>156.43666666666667</v>
      </c>
      <c r="E2104" s="21">
        <v>116.77000000000001</v>
      </c>
      <c r="F2104" s="27">
        <f t="shared" si="96"/>
        <v>0.96091318591318586</v>
      </c>
      <c r="G2104" s="21" t="str">
        <f>IFERROR(INDEX(Users!$A$2:$A$310,MATCH(A2104,Users!$B$2:$B$310,0)),"")</f>
        <v>Service A</v>
      </c>
      <c r="H2104" s="21" t="str">
        <f>IFERROR(INDEX(Users!$D$2:$D$310,MATCH(A2104,Users!$B$2:$B$310,0)),"")</f>
        <v>Band 3</v>
      </c>
      <c r="I2104" s="19" t="b">
        <f t="shared" si="97"/>
        <v>1</v>
      </c>
      <c r="J2104" s="33" t="str">
        <f t="shared" si="98"/>
        <v/>
      </c>
    </row>
    <row r="2105" spans="1:10">
      <c r="A2105" s="19" t="s">
        <v>316</v>
      </c>
      <c r="B2105" s="20">
        <v>45689</v>
      </c>
      <c r="C2105" s="21">
        <v>148</v>
      </c>
      <c r="D2105" s="21">
        <v>110.34</v>
      </c>
      <c r="E2105" s="21">
        <v>83.59</v>
      </c>
      <c r="F2105" s="27">
        <f t="shared" si="96"/>
        <v>0.74554054054054053</v>
      </c>
      <c r="G2105" s="21" t="str">
        <f>IFERROR(INDEX(Users!$A$2:$A$310,MATCH(A2105,Users!$B$2:$B$310,0)),"")</f>
        <v>Service A</v>
      </c>
      <c r="H2105" s="21" t="str">
        <f>IFERROR(INDEX(Users!$D$2:$D$310,MATCH(A2105,Users!$B$2:$B$310,0)),"")</f>
        <v>Band 3</v>
      </c>
      <c r="I2105" s="19" t="b">
        <f t="shared" si="97"/>
        <v>1</v>
      </c>
      <c r="J2105" s="33" t="str">
        <f t="shared" si="98"/>
        <v/>
      </c>
    </row>
    <row r="2106" spans="1:10">
      <c r="A2106" s="19" t="s">
        <v>316</v>
      </c>
      <c r="B2106" s="20">
        <v>45717</v>
      </c>
      <c r="C2106" s="21">
        <v>155.4</v>
      </c>
      <c r="D2106" s="21">
        <v>141.77666666666667</v>
      </c>
      <c r="E2106" s="21">
        <v>104.36000000000001</v>
      </c>
      <c r="F2106" s="27">
        <f t="shared" si="96"/>
        <v>0.91233376233376229</v>
      </c>
      <c r="G2106" s="21" t="str">
        <f>IFERROR(INDEX(Users!$A$2:$A$310,MATCH(A2106,Users!$B$2:$B$310,0)),"")</f>
        <v>Service A</v>
      </c>
      <c r="H2106" s="21" t="str">
        <f>IFERROR(INDEX(Users!$D$2:$D$310,MATCH(A2106,Users!$B$2:$B$310,0)),"")</f>
        <v>Band 3</v>
      </c>
      <c r="I2106" s="19" t="b">
        <f t="shared" si="97"/>
        <v>1</v>
      </c>
      <c r="J2106" s="33" t="str">
        <f t="shared" si="98"/>
        <v/>
      </c>
    </row>
    <row r="2107" spans="1:10">
      <c r="A2107" s="19" t="s">
        <v>316</v>
      </c>
      <c r="B2107" s="20">
        <v>45748</v>
      </c>
      <c r="C2107" s="21">
        <v>148</v>
      </c>
      <c r="D2107" s="21">
        <v>117.42999999999999</v>
      </c>
      <c r="E2107" s="21">
        <v>58.68</v>
      </c>
      <c r="F2107" s="27">
        <f t="shared" si="96"/>
        <v>0.79344594594594586</v>
      </c>
      <c r="G2107" s="21" t="str">
        <f>IFERROR(INDEX(Users!$A$2:$A$310,MATCH(A2107,Users!$B$2:$B$310,0)),"")</f>
        <v>Service A</v>
      </c>
      <c r="H2107" s="21" t="str">
        <f>IFERROR(INDEX(Users!$D$2:$D$310,MATCH(A2107,Users!$B$2:$B$310,0)),"")</f>
        <v>Band 3</v>
      </c>
      <c r="I2107" s="19" t="b">
        <f t="shared" si="97"/>
        <v>1</v>
      </c>
      <c r="J2107" s="33" t="str">
        <f t="shared" si="98"/>
        <v/>
      </c>
    </row>
    <row r="2108" spans="1:10">
      <c r="A2108" s="19" t="s">
        <v>316</v>
      </c>
      <c r="B2108" s="20">
        <v>45778</v>
      </c>
      <c r="C2108" s="21">
        <v>148</v>
      </c>
      <c r="D2108" s="21">
        <v>146.61333333333334</v>
      </c>
      <c r="E2108" s="21">
        <v>96.03</v>
      </c>
      <c r="F2108" s="27">
        <f t="shared" si="96"/>
        <v>0.99063063063063073</v>
      </c>
      <c r="G2108" s="21" t="str">
        <f>IFERROR(INDEX(Users!$A$2:$A$310,MATCH(A2108,Users!$B$2:$B$310,0)),"")</f>
        <v>Service A</v>
      </c>
      <c r="H2108" s="21" t="str">
        <f>IFERROR(INDEX(Users!$D$2:$D$310,MATCH(A2108,Users!$B$2:$B$310,0)),"")</f>
        <v>Band 3</v>
      </c>
      <c r="I2108" s="19" t="b">
        <f t="shared" si="97"/>
        <v>1</v>
      </c>
      <c r="J2108" s="33" t="str">
        <f t="shared" si="98"/>
        <v/>
      </c>
    </row>
    <row r="2109" spans="1:10">
      <c r="A2109" s="19" t="s">
        <v>316</v>
      </c>
      <c r="B2109" s="20">
        <v>45809</v>
      </c>
      <c r="C2109" s="21">
        <v>155.4</v>
      </c>
      <c r="D2109" s="21">
        <v>150.10666666666665</v>
      </c>
      <c r="E2109" s="21">
        <v>100.69</v>
      </c>
      <c r="F2109" s="27">
        <f t="shared" si="96"/>
        <v>0.96593736593736579</v>
      </c>
      <c r="G2109" s="21" t="str">
        <f>IFERROR(INDEX(Users!$A$2:$A$310,MATCH(A2109,Users!$B$2:$B$310,0)),"")</f>
        <v>Service A</v>
      </c>
      <c r="H2109" s="21" t="str">
        <f>IFERROR(INDEX(Users!$D$2:$D$310,MATCH(A2109,Users!$B$2:$B$310,0)),"")</f>
        <v>Band 3</v>
      </c>
      <c r="I2109" s="19" t="b">
        <f t="shared" si="97"/>
        <v>1</v>
      </c>
      <c r="J2109" s="33" t="str">
        <f t="shared" si="98"/>
        <v/>
      </c>
    </row>
    <row r="2110" spans="1:10">
      <c r="A2110" s="19" t="s">
        <v>316</v>
      </c>
      <c r="B2110" s="20">
        <v>45839</v>
      </c>
      <c r="C2110" s="21">
        <v>170.20000000000002</v>
      </c>
      <c r="D2110" s="21">
        <v>119.67666666666665</v>
      </c>
      <c r="E2110" s="21">
        <v>67.009999999999991</v>
      </c>
      <c r="F2110" s="27">
        <f t="shared" si="96"/>
        <v>0.70315315315315297</v>
      </c>
      <c r="G2110" s="21" t="str">
        <f>IFERROR(INDEX(Users!$A$2:$A$310,MATCH(A2110,Users!$B$2:$B$310,0)),"")</f>
        <v>Service A</v>
      </c>
      <c r="H2110" s="21" t="str">
        <f>IFERROR(INDEX(Users!$D$2:$D$310,MATCH(A2110,Users!$B$2:$B$310,0)),"")</f>
        <v>Band 3</v>
      </c>
      <c r="I2110" s="19" t="b">
        <f t="shared" si="97"/>
        <v>1</v>
      </c>
      <c r="J2110" s="33" t="str">
        <f t="shared" si="98"/>
        <v/>
      </c>
    </row>
    <row r="2111" spans="1:10">
      <c r="A2111" s="19" t="s">
        <v>316</v>
      </c>
      <c r="B2111" s="20">
        <v>45870</v>
      </c>
      <c r="C2111" s="21">
        <v>148</v>
      </c>
      <c r="D2111" s="21"/>
      <c r="E2111" s="21"/>
      <c r="F2111" s="27" t="str">
        <f t="shared" si="96"/>
        <v/>
      </c>
      <c r="G2111" s="21" t="str">
        <f>IFERROR(INDEX(Users!$A$2:$A$310,MATCH(A2111,Users!$B$2:$B$310,0)),"")</f>
        <v>Service A</v>
      </c>
      <c r="H2111" s="21" t="str">
        <f>IFERROR(INDEX(Users!$D$2:$D$310,MATCH(A2111,Users!$B$2:$B$310,0)),"")</f>
        <v>Band 3</v>
      </c>
      <c r="I2111" s="19" t="b">
        <f t="shared" si="97"/>
        <v>1</v>
      </c>
      <c r="J2111" s="33" t="str">
        <f t="shared" si="98"/>
        <v/>
      </c>
    </row>
    <row r="2112" spans="1:10">
      <c r="A2112" s="19" t="s">
        <v>316</v>
      </c>
      <c r="B2112" s="20">
        <v>45901</v>
      </c>
      <c r="C2112" s="21">
        <v>162.80000000000001</v>
      </c>
      <c r="D2112" s="21">
        <v>162.61333333333334</v>
      </c>
      <c r="E2112" s="21">
        <v>122.53</v>
      </c>
      <c r="F2112" s="27">
        <f t="shared" si="96"/>
        <v>0.99885339885339886</v>
      </c>
      <c r="G2112" s="21" t="str">
        <f>IFERROR(INDEX(Users!$A$2:$A$310,MATCH(A2112,Users!$B$2:$B$310,0)),"")</f>
        <v>Service A</v>
      </c>
      <c r="H2112" s="21" t="str">
        <f>IFERROR(INDEX(Users!$D$2:$D$310,MATCH(A2112,Users!$B$2:$B$310,0)),"")</f>
        <v>Band 3</v>
      </c>
      <c r="I2112" s="19" t="b">
        <f t="shared" si="97"/>
        <v>1</v>
      </c>
      <c r="J2112" s="33" t="str">
        <f t="shared" si="98"/>
        <v/>
      </c>
    </row>
    <row r="2113" spans="1:10">
      <c r="A2113" s="19" t="s">
        <v>316</v>
      </c>
      <c r="B2113" s="20">
        <v>45931</v>
      </c>
      <c r="C2113" s="21">
        <v>170.20000000000002</v>
      </c>
      <c r="D2113" s="21">
        <v>133.26333333333335</v>
      </c>
      <c r="E2113" s="21">
        <v>98.93</v>
      </c>
      <c r="F2113" s="27">
        <f t="shared" si="96"/>
        <v>0.78298080689385041</v>
      </c>
      <c r="G2113" s="21" t="str">
        <f>IFERROR(INDEX(Users!$A$2:$A$310,MATCH(A2113,Users!$B$2:$B$310,0)),"")</f>
        <v>Service A</v>
      </c>
      <c r="H2113" s="21" t="str">
        <f>IFERROR(INDEX(Users!$D$2:$D$310,MATCH(A2113,Users!$B$2:$B$310,0)),"")</f>
        <v>Band 3</v>
      </c>
      <c r="I2113" s="19" t="b">
        <f t="shared" si="97"/>
        <v>1</v>
      </c>
      <c r="J2113" s="33" t="str">
        <f t="shared" si="98"/>
        <v/>
      </c>
    </row>
    <row r="2114" spans="1:10">
      <c r="A2114" s="19" t="s">
        <v>316</v>
      </c>
      <c r="B2114" s="20">
        <v>45962</v>
      </c>
      <c r="C2114" s="21">
        <v>148</v>
      </c>
      <c r="D2114" s="21">
        <v>148.10666666666668</v>
      </c>
      <c r="E2114" s="21">
        <v>123.69</v>
      </c>
      <c r="F2114" s="27">
        <f t="shared" ref="F2114:F2177" si="99">IFERROR(IF(OR(C2114="",D2114="",C2114=0),"",D2114/C2114),"")</f>
        <v>1.0007207207207209</v>
      </c>
      <c r="G2114" s="21" t="str">
        <f>IFERROR(INDEX(Users!$A$2:$A$310,MATCH(A2114,Users!$B$2:$B$310,0)),"")</f>
        <v>Service A</v>
      </c>
      <c r="H2114" s="21" t="str">
        <f>IFERROR(INDEX(Users!$D$2:$D$310,MATCH(A2114,Users!$B$2:$B$310,0)),"")</f>
        <v>Band 3</v>
      </c>
      <c r="I2114" s="19" t="b">
        <f t="shared" ref="I2114:I2177" si="100">AND(G2114="Service A",H2114="Band 3")</f>
        <v>1</v>
      </c>
      <c r="J2114" s="33" t="str">
        <f t="shared" ref="J2114:J2177" si="101">IF(AND(B2114&gt;=DATE(2025,1,1),B2114&lt;DATE(2026,1,1),G2114="Service B",OR(H2114="Band 3",H2114="Band 5"),ISNUMBER(F2114)),F2114,"")</f>
        <v/>
      </c>
    </row>
    <row r="2115" spans="1:10">
      <c r="A2115" s="19" t="s">
        <v>316</v>
      </c>
      <c r="B2115" s="20">
        <v>45992</v>
      </c>
      <c r="C2115" s="21">
        <v>155.4</v>
      </c>
      <c r="D2115" s="21">
        <v>155.60999999999999</v>
      </c>
      <c r="E2115" s="21">
        <v>98.110000000000014</v>
      </c>
      <c r="F2115" s="27">
        <f t="shared" si="99"/>
        <v>1.0013513513513512</v>
      </c>
      <c r="G2115" s="21" t="str">
        <f>IFERROR(INDEX(Users!$A$2:$A$310,MATCH(A2115,Users!$B$2:$B$310,0)),"")</f>
        <v>Service A</v>
      </c>
      <c r="H2115" s="21" t="str">
        <f>IFERROR(INDEX(Users!$D$2:$D$310,MATCH(A2115,Users!$B$2:$B$310,0)),"")</f>
        <v>Band 3</v>
      </c>
      <c r="I2115" s="19" t="b">
        <f t="shared" si="100"/>
        <v>1</v>
      </c>
      <c r="J2115" s="33" t="str">
        <f t="shared" si="101"/>
        <v/>
      </c>
    </row>
    <row r="2116" spans="1:10">
      <c r="A2116" s="19" t="s">
        <v>316</v>
      </c>
      <c r="B2116" s="20">
        <v>46023</v>
      </c>
      <c r="C2116" s="21">
        <v>155.4</v>
      </c>
      <c r="D2116" s="21">
        <v>155.60333333333332</v>
      </c>
      <c r="E2116" s="21">
        <v>103.02000000000001</v>
      </c>
      <c r="F2116" s="27">
        <f t="shared" si="99"/>
        <v>1.0013084513084511</v>
      </c>
      <c r="G2116" s="21" t="str">
        <f>IFERROR(INDEX(Users!$A$2:$A$310,MATCH(A2116,Users!$B$2:$B$310,0)),"")</f>
        <v>Service A</v>
      </c>
      <c r="H2116" s="21" t="str">
        <f>IFERROR(INDEX(Users!$D$2:$D$310,MATCH(A2116,Users!$B$2:$B$310,0)),"")</f>
        <v>Band 3</v>
      </c>
      <c r="I2116" s="19" t="b">
        <f t="shared" si="100"/>
        <v>1</v>
      </c>
      <c r="J2116" s="33" t="str">
        <f t="shared" si="101"/>
        <v/>
      </c>
    </row>
    <row r="2117" spans="1:10">
      <c r="A2117" s="19" t="s">
        <v>317</v>
      </c>
      <c r="B2117" s="20">
        <v>45658</v>
      </c>
      <c r="C2117" s="21">
        <v>162.80000000000001</v>
      </c>
      <c r="D2117" s="21">
        <v>144.63666666666666</v>
      </c>
      <c r="E2117" s="21">
        <v>88.219999999999985</v>
      </c>
      <c r="F2117" s="27">
        <f t="shared" si="99"/>
        <v>0.88843161343161325</v>
      </c>
      <c r="G2117" s="21" t="str">
        <f>IFERROR(INDEX(Users!$A$2:$A$310,MATCH(A2117,Users!$B$2:$B$310,0)),"")</f>
        <v>Service B</v>
      </c>
      <c r="H2117" s="21" t="str">
        <f>IFERROR(INDEX(Users!$D$2:$D$310,MATCH(A2117,Users!$B$2:$B$310,0)),"")</f>
        <v>Band 3</v>
      </c>
      <c r="I2117" s="19" t="b">
        <f t="shared" si="100"/>
        <v>0</v>
      </c>
      <c r="J2117" s="33">
        <f t="shared" si="101"/>
        <v>0.88843161343161325</v>
      </c>
    </row>
    <row r="2118" spans="1:10">
      <c r="A2118" s="19" t="s">
        <v>317</v>
      </c>
      <c r="B2118" s="20">
        <v>45689</v>
      </c>
      <c r="C2118" s="21">
        <v>148</v>
      </c>
      <c r="D2118" s="21">
        <v>144.06</v>
      </c>
      <c r="E2118" s="21">
        <v>106.71</v>
      </c>
      <c r="F2118" s="27">
        <f t="shared" si="99"/>
        <v>0.97337837837837837</v>
      </c>
      <c r="G2118" s="21" t="str">
        <f>IFERROR(INDEX(Users!$A$2:$A$310,MATCH(A2118,Users!$B$2:$B$310,0)),"")</f>
        <v>Service B</v>
      </c>
      <c r="H2118" s="21" t="str">
        <f>IFERROR(INDEX(Users!$D$2:$D$310,MATCH(A2118,Users!$B$2:$B$310,0)),"")</f>
        <v>Band 3</v>
      </c>
      <c r="I2118" s="19" t="b">
        <f t="shared" si="100"/>
        <v>0</v>
      </c>
      <c r="J2118" s="33">
        <f t="shared" si="101"/>
        <v>0.97337837837837837</v>
      </c>
    </row>
    <row r="2119" spans="1:10">
      <c r="A2119" s="19" t="s">
        <v>317</v>
      </c>
      <c r="B2119" s="20">
        <v>45717</v>
      </c>
      <c r="C2119" s="21">
        <v>155.4</v>
      </c>
      <c r="D2119" s="21">
        <v>118.63333333333334</v>
      </c>
      <c r="E2119" s="21">
        <v>92.300000000000011</v>
      </c>
      <c r="F2119" s="27">
        <f t="shared" si="99"/>
        <v>0.76340626340626339</v>
      </c>
      <c r="G2119" s="21" t="str">
        <f>IFERROR(INDEX(Users!$A$2:$A$310,MATCH(A2119,Users!$B$2:$B$310,0)),"")</f>
        <v>Service B</v>
      </c>
      <c r="H2119" s="21" t="str">
        <f>IFERROR(INDEX(Users!$D$2:$D$310,MATCH(A2119,Users!$B$2:$B$310,0)),"")</f>
        <v>Band 3</v>
      </c>
      <c r="I2119" s="19" t="b">
        <f t="shared" si="100"/>
        <v>0</v>
      </c>
      <c r="J2119" s="33">
        <f t="shared" si="101"/>
        <v>0.76340626340626339</v>
      </c>
    </row>
    <row r="2120" spans="1:10">
      <c r="A2120" s="19" t="s">
        <v>317</v>
      </c>
      <c r="B2120" s="20">
        <v>45748</v>
      </c>
      <c r="C2120" s="21">
        <v>148</v>
      </c>
      <c r="D2120" s="21">
        <v>144.88999999999999</v>
      </c>
      <c r="E2120" s="21">
        <v>105.33999999999999</v>
      </c>
      <c r="F2120" s="27">
        <f t="shared" si="99"/>
        <v>0.97898648648648634</v>
      </c>
      <c r="G2120" s="21" t="str">
        <f>IFERROR(INDEX(Users!$A$2:$A$310,MATCH(A2120,Users!$B$2:$B$310,0)),"")</f>
        <v>Service B</v>
      </c>
      <c r="H2120" s="21" t="str">
        <f>IFERROR(INDEX(Users!$D$2:$D$310,MATCH(A2120,Users!$B$2:$B$310,0)),"")</f>
        <v>Band 3</v>
      </c>
      <c r="I2120" s="19" t="b">
        <f t="shared" si="100"/>
        <v>0</v>
      </c>
      <c r="J2120" s="33">
        <f t="shared" si="101"/>
        <v>0.97898648648648634</v>
      </c>
    </row>
    <row r="2121" spans="1:10">
      <c r="A2121" s="19" t="s">
        <v>317</v>
      </c>
      <c r="B2121" s="20">
        <v>45778</v>
      </c>
      <c r="C2121" s="21">
        <v>148</v>
      </c>
      <c r="D2121" s="21">
        <v>133.86333333333334</v>
      </c>
      <c r="E2121" s="21">
        <v>96.93</v>
      </c>
      <c r="F2121" s="27">
        <f t="shared" si="99"/>
        <v>0.90448198198198204</v>
      </c>
      <c r="G2121" s="21" t="str">
        <f>IFERROR(INDEX(Users!$A$2:$A$310,MATCH(A2121,Users!$B$2:$B$310,0)),"")</f>
        <v>Service B</v>
      </c>
      <c r="H2121" s="21" t="str">
        <f>IFERROR(INDEX(Users!$D$2:$D$310,MATCH(A2121,Users!$B$2:$B$310,0)),"")</f>
        <v>Band 3</v>
      </c>
      <c r="I2121" s="19" t="b">
        <f t="shared" si="100"/>
        <v>0</v>
      </c>
      <c r="J2121" s="33">
        <f t="shared" si="101"/>
        <v>0.90448198198198204</v>
      </c>
    </row>
    <row r="2122" spans="1:10">
      <c r="A2122" s="19" t="s">
        <v>317</v>
      </c>
      <c r="B2122" s="20">
        <v>45809</v>
      </c>
      <c r="C2122" s="21">
        <v>155.4</v>
      </c>
      <c r="D2122" s="21">
        <v>146.36999999999998</v>
      </c>
      <c r="E2122" s="21">
        <v>109.36999999999999</v>
      </c>
      <c r="F2122" s="27">
        <f t="shared" si="99"/>
        <v>0.94189189189189171</v>
      </c>
      <c r="G2122" s="21" t="str">
        <f>IFERROR(INDEX(Users!$A$2:$A$310,MATCH(A2122,Users!$B$2:$B$310,0)),"")</f>
        <v>Service B</v>
      </c>
      <c r="H2122" s="21" t="str">
        <f>IFERROR(INDEX(Users!$D$2:$D$310,MATCH(A2122,Users!$B$2:$B$310,0)),"")</f>
        <v>Band 3</v>
      </c>
      <c r="I2122" s="19" t="b">
        <f t="shared" si="100"/>
        <v>0</v>
      </c>
      <c r="J2122" s="33">
        <f t="shared" si="101"/>
        <v>0.94189189189189171</v>
      </c>
    </row>
    <row r="2123" spans="1:10">
      <c r="A2123" s="19" t="s">
        <v>317</v>
      </c>
      <c r="B2123" s="20">
        <v>45839</v>
      </c>
      <c r="C2123" s="21">
        <v>170.20000000000002</v>
      </c>
      <c r="D2123" s="21">
        <v>129.27000000000001</v>
      </c>
      <c r="E2123" s="21">
        <v>81.02</v>
      </c>
      <c r="F2123" s="27">
        <f t="shared" si="99"/>
        <v>0.7595182138660399</v>
      </c>
      <c r="G2123" s="21" t="str">
        <f>IFERROR(INDEX(Users!$A$2:$A$310,MATCH(A2123,Users!$B$2:$B$310,0)),"")</f>
        <v>Service B</v>
      </c>
      <c r="H2123" s="21" t="str">
        <f>IFERROR(INDEX(Users!$D$2:$D$310,MATCH(A2123,Users!$B$2:$B$310,0)),"")</f>
        <v>Band 3</v>
      </c>
      <c r="I2123" s="19" t="b">
        <f t="shared" si="100"/>
        <v>0</v>
      </c>
      <c r="J2123" s="33">
        <f t="shared" si="101"/>
        <v>0.7595182138660399</v>
      </c>
    </row>
    <row r="2124" spans="1:10">
      <c r="A2124" s="19" t="s">
        <v>317</v>
      </c>
      <c r="B2124" s="20">
        <v>45870</v>
      </c>
      <c r="C2124" s="21">
        <v>148</v>
      </c>
      <c r="D2124" s="21">
        <v>29.56666666666667</v>
      </c>
      <c r="E2124" s="21">
        <v>11.75</v>
      </c>
      <c r="F2124" s="27">
        <f t="shared" si="99"/>
        <v>0.19977477477477479</v>
      </c>
      <c r="G2124" s="21" t="str">
        <f>IFERROR(INDEX(Users!$A$2:$A$310,MATCH(A2124,Users!$B$2:$B$310,0)),"")</f>
        <v>Service B</v>
      </c>
      <c r="H2124" s="21" t="str">
        <f>IFERROR(INDEX(Users!$D$2:$D$310,MATCH(A2124,Users!$B$2:$B$310,0)),"")</f>
        <v>Band 3</v>
      </c>
      <c r="I2124" s="19" t="b">
        <f t="shared" si="100"/>
        <v>0</v>
      </c>
      <c r="J2124" s="33">
        <f t="shared" si="101"/>
        <v>0.19977477477477479</v>
      </c>
    </row>
    <row r="2125" spans="1:10">
      <c r="A2125" s="19" t="s">
        <v>317</v>
      </c>
      <c r="B2125" s="20">
        <v>45901</v>
      </c>
      <c r="C2125" s="21">
        <v>162.80000000000001</v>
      </c>
      <c r="D2125" s="21">
        <v>133.66333333333336</v>
      </c>
      <c r="E2125" s="21">
        <v>73.330000000000013</v>
      </c>
      <c r="F2125" s="27">
        <f t="shared" si="99"/>
        <v>0.82102784602784606</v>
      </c>
      <c r="G2125" s="21" t="str">
        <f>IFERROR(INDEX(Users!$A$2:$A$310,MATCH(A2125,Users!$B$2:$B$310,0)),"")</f>
        <v>Service B</v>
      </c>
      <c r="H2125" s="21" t="str">
        <f>IFERROR(INDEX(Users!$D$2:$D$310,MATCH(A2125,Users!$B$2:$B$310,0)),"")</f>
        <v>Band 3</v>
      </c>
      <c r="I2125" s="19" t="b">
        <f t="shared" si="100"/>
        <v>0</v>
      </c>
      <c r="J2125" s="33">
        <f t="shared" si="101"/>
        <v>0.82102784602784606</v>
      </c>
    </row>
    <row r="2126" spans="1:10">
      <c r="A2126" s="19" t="s">
        <v>317</v>
      </c>
      <c r="B2126" s="20">
        <v>45931</v>
      </c>
      <c r="C2126" s="21">
        <v>170.20000000000002</v>
      </c>
      <c r="D2126" s="21">
        <v>155.80666666666664</v>
      </c>
      <c r="E2126" s="21">
        <v>99.389999999999986</v>
      </c>
      <c r="F2126" s="27">
        <f t="shared" si="99"/>
        <v>0.91543282412847604</v>
      </c>
      <c r="G2126" s="21" t="str">
        <f>IFERROR(INDEX(Users!$A$2:$A$310,MATCH(A2126,Users!$B$2:$B$310,0)),"")</f>
        <v>Service B</v>
      </c>
      <c r="H2126" s="21" t="str">
        <f>IFERROR(INDEX(Users!$D$2:$D$310,MATCH(A2126,Users!$B$2:$B$310,0)),"")</f>
        <v>Band 3</v>
      </c>
      <c r="I2126" s="19" t="b">
        <f t="shared" si="100"/>
        <v>0</v>
      </c>
      <c r="J2126" s="33">
        <f t="shared" si="101"/>
        <v>0.91543282412847604</v>
      </c>
    </row>
    <row r="2127" spans="1:10">
      <c r="A2127" s="19" t="s">
        <v>317</v>
      </c>
      <c r="B2127" s="20">
        <v>45962</v>
      </c>
      <c r="C2127" s="21">
        <v>37</v>
      </c>
      <c r="D2127" s="21">
        <v>33.99666666666667</v>
      </c>
      <c r="E2127" s="21">
        <v>17.579999999999998</v>
      </c>
      <c r="F2127" s="27">
        <f t="shared" si="99"/>
        <v>0.91882882882882888</v>
      </c>
      <c r="G2127" s="21" t="str">
        <f>IFERROR(INDEX(Users!$A$2:$A$310,MATCH(A2127,Users!$B$2:$B$310,0)),"")</f>
        <v>Service B</v>
      </c>
      <c r="H2127" s="21" t="str">
        <f>IFERROR(INDEX(Users!$D$2:$D$310,MATCH(A2127,Users!$B$2:$B$310,0)),"")</f>
        <v>Band 3</v>
      </c>
      <c r="I2127" s="19" t="b">
        <f t="shared" si="100"/>
        <v>0</v>
      </c>
      <c r="J2127" s="33">
        <f t="shared" si="101"/>
        <v>0.91882882882882888</v>
      </c>
    </row>
    <row r="2128" spans="1:10">
      <c r="A2128" s="19" t="s">
        <v>318</v>
      </c>
      <c r="B2128" s="20">
        <v>45658</v>
      </c>
      <c r="C2128" s="21">
        <v>162.80000000000001</v>
      </c>
      <c r="D2128" s="21">
        <v>111.14999999999995</v>
      </c>
      <c r="E2128" s="21"/>
      <c r="F2128" s="27">
        <f t="shared" si="99"/>
        <v>0.68273955773955741</v>
      </c>
      <c r="G2128" s="21" t="str">
        <f>IFERROR(INDEX(Users!$A$2:$A$310,MATCH(A2128,Users!$B$2:$B$310,0)),"")</f>
        <v>Service A</v>
      </c>
      <c r="H2128" s="21" t="str">
        <f>IFERROR(INDEX(Users!$D$2:$D$310,MATCH(A2128,Users!$B$2:$B$310,0)),"")</f>
        <v>Band 5</v>
      </c>
      <c r="I2128" s="19" t="b">
        <f t="shared" si="100"/>
        <v>0</v>
      </c>
      <c r="J2128" s="33" t="str">
        <f t="shared" si="101"/>
        <v/>
      </c>
    </row>
    <row r="2129" spans="1:10">
      <c r="A2129" s="19" t="s">
        <v>318</v>
      </c>
      <c r="B2129" s="20">
        <v>45689</v>
      </c>
      <c r="C2129" s="21">
        <v>148</v>
      </c>
      <c r="D2129" s="21"/>
      <c r="E2129" s="21"/>
      <c r="F2129" s="27" t="str">
        <f t="shared" si="99"/>
        <v/>
      </c>
      <c r="G2129" s="21" t="str">
        <f>IFERROR(INDEX(Users!$A$2:$A$310,MATCH(A2129,Users!$B$2:$B$310,0)),"")</f>
        <v>Service A</v>
      </c>
      <c r="H2129" s="21" t="str">
        <f>IFERROR(INDEX(Users!$D$2:$D$310,MATCH(A2129,Users!$B$2:$B$310,0)),"")</f>
        <v>Band 5</v>
      </c>
      <c r="I2129" s="19" t="b">
        <f t="shared" si="100"/>
        <v>0</v>
      </c>
      <c r="J2129" s="33" t="str">
        <f t="shared" si="101"/>
        <v/>
      </c>
    </row>
    <row r="2130" spans="1:10">
      <c r="A2130" s="19" t="s">
        <v>318</v>
      </c>
      <c r="B2130" s="20">
        <v>45717</v>
      </c>
      <c r="C2130" s="21">
        <v>155.4</v>
      </c>
      <c r="D2130" s="21"/>
      <c r="E2130" s="21"/>
      <c r="F2130" s="27" t="str">
        <f t="shared" si="99"/>
        <v/>
      </c>
      <c r="G2130" s="21" t="str">
        <f>IFERROR(INDEX(Users!$A$2:$A$310,MATCH(A2130,Users!$B$2:$B$310,0)),"")</f>
        <v>Service A</v>
      </c>
      <c r="H2130" s="21" t="str">
        <f>IFERROR(INDEX(Users!$D$2:$D$310,MATCH(A2130,Users!$B$2:$B$310,0)),"")</f>
        <v>Band 5</v>
      </c>
      <c r="I2130" s="19" t="b">
        <f t="shared" si="100"/>
        <v>0</v>
      </c>
      <c r="J2130" s="33" t="str">
        <f t="shared" si="101"/>
        <v/>
      </c>
    </row>
    <row r="2131" spans="1:10">
      <c r="A2131" s="19" t="s">
        <v>318</v>
      </c>
      <c r="B2131" s="20">
        <v>45748</v>
      </c>
      <c r="C2131" s="21">
        <v>148</v>
      </c>
      <c r="D2131" s="21"/>
      <c r="E2131" s="21"/>
      <c r="F2131" s="27" t="str">
        <f t="shared" si="99"/>
        <v/>
      </c>
      <c r="G2131" s="21" t="str">
        <f>IFERROR(INDEX(Users!$A$2:$A$310,MATCH(A2131,Users!$B$2:$B$310,0)),"")</f>
        <v>Service A</v>
      </c>
      <c r="H2131" s="21" t="str">
        <f>IFERROR(INDEX(Users!$D$2:$D$310,MATCH(A2131,Users!$B$2:$B$310,0)),"")</f>
        <v>Band 5</v>
      </c>
      <c r="I2131" s="19" t="b">
        <f t="shared" si="100"/>
        <v>0</v>
      </c>
      <c r="J2131" s="33" t="str">
        <f t="shared" si="101"/>
        <v/>
      </c>
    </row>
    <row r="2132" spans="1:10">
      <c r="A2132" s="19" t="s">
        <v>318</v>
      </c>
      <c r="B2132" s="20">
        <v>45778</v>
      </c>
      <c r="C2132" s="21">
        <v>148</v>
      </c>
      <c r="D2132" s="21"/>
      <c r="E2132" s="21"/>
      <c r="F2132" s="27" t="str">
        <f t="shared" si="99"/>
        <v/>
      </c>
      <c r="G2132" s="21" t="str">
        <f>IFERROR(INDEX(Users!$A$2:$A$310,MATCH(A2132,Users!$B$2:$B$310,0)),"")</f>
        <v>Service A</v>
      </c>
      <c r="H2132" s="21" t="str">
        <f>IFERROR(INDEX(Users!$D$2:$D$310,MATCH(A2132,Users!$B$2:$B$310,0)),"")</f>
        <v>Band 5</v>
      </c>
      <c r="I2132" s="19" t="b">
        <f t="shared" si="100"/>
        <v>0</v>
      </c>
      <c r="J2132" s="33" t="str">
        <f t="shared" si="101"/>
        <v/>
      </c>
    </row>
    <row r="2133" spans="1:10">
      <c r="A2133" s="19" t="s">
        <v>318</v>
      </c>
      <c r="B2133" s="20">
        <v>45809</v>
      </c>
      <c r="C2133" s="21">
        <v>155.4</v>
      </c>
      <c r="D2133" s="21"/>
      <c r="E2133" s="21"/>
      <c r="F2133" s="27" t="str">
        <f t="shared" si="99"/>
        <v/>
      </c>
      <c r="G2133" s="21" t="str">
        <f>IFERROR(INDEX(Users!$A$2:$A$310,MATCH(A2133,Users!$B$2:$B$310,0)),"")</f>
        <v>Service A</v>
      </c>
      <c r="H2133" s="21" t="str">
        <f>IFERROR(INDEX(Users!$D$2:$D$310,MATCH(A2133,Users!$B$2:$B$310,0)),"")</f>
        <v>Band 5</v>
      </c>
      <c r="I2133" s="19" t="b">
        <f t="shared" si="100"/>
        <v>0</v>
      </c>
      <c r="J2133" s="33" t="str">
        <f t="shared" si="101"/>
        <v/>
      </c>
    </row>
    <row r="2134" spans="1:10">
      <c r="A2134" s="19" t="s">
        <v>318</v>
      </c>
      <c r="B2134" s="20">
        <v>45839</v>
      </c>
      <c r="C2134" s="21">
        <v>170.20000000000002</v>
      </c>
      <c r="D2134" s="21"/>
      <c r="E2134" s="21"/>
      <c r="F2134" s="27" t="str">
        <f t="shared" si="99"/>
        <v/>
      </c>
      <c r="G2134" s="21" t="str">
        <f>IFERROR(INDEX(Users!$A$2:$A$310,MATCH(A2134,Users!$B$2:$B$310,0)),"")</f>
        <v>Service A</v>
      </c>
      <c r="H2134" s="21" t="str">
        <f>IFERROR(INDEX(Users!$D$2:$D$310,MATCH(A2134,Users!$B$2:$B$310,0)),"")</f>
        <v>Band 5</v>
      </c>
      <c r="I2134" s="19" t="b">
        <f t="shared" si="100"/>
        <v>0</v>
      </c>
      <c r="J2134" s="33" t="str">
        <f t="shared" si="101"/>
        <v/>
      </c>
    </row>
    <row r="2135" spans="1:10">
      <c r="A2135" s="19" t="s">
        <v>318</v>
      </c>
      <c r="B2135" s="20">
        <v>45870</v>
      </c>
      <c r="C2135" s="21">
        <v>148</v>
      </c>
      <c r="D2135" s="21"/>
      <c r="E2135" s="21"/>
      <c r="F2135" s="27" t="str">
        <f t="shared" si="99"/>
        <v/>
      </c>
      <c r="G2135" s="21" t="str">
        <f>IFERROR(INDEX(Users!$A$2:$A$310,MATCH(A2135,Users!$B$2:$B$310,0)),"")</f>
        <v>Service A</v>
      </c>
      <c r="H2135" s="21" t="str">
        <f>IFERROR(INDEX(Users!$D$2:$D$310,MATCH(A2135,Users!$B$2:$B$310,0)),"")</f>
        <v>Band 5</v>
      </c>
      <c r="I2135" s="19" t="b">
        <f t="shared" si="100"/>
        <v>0</v>
      </c>
      <c r="J2135" s="33" t="str">
        <f t="shared" si="101"/>
        <v/>
      </c>
    </row>
    <row r="2136" spans="1:10">
      <c r="A2136" s="19" t="s">
        <v>318</v>
      </c>
      <c r="B2136" s="20">
        <v>45901</v>
      </c>
      <c r="C2136" s="21">
        <v>162.80000000000001</v>
      </c>
      <c r="D2136" s="21"/>
      <c r="E2136" s="21"/>
      <c r="F2136" s="27" t="str">
        <f t="shared" si="99"/>
        <v/>
      </c>
      <c r="G2136" s="21" t="str">
        <f>IFERROR(INDEX(Users!$A$2:$A$310,MATCH(A2136,Users!$B$2:$B$310,0)),"")</f>
        <v>Service A</v>
      </c>
      <c r="H2136" s="21" t="str">
        <f>IFERROR(INDEX(Users!$D$2:$D$310,MATCH(A2136,Users!$B$2:$B$310,0)),"")</f>
        <v>Band 5</v>
      </c>
      <c r="I2136" s="19" t="b">
        <f t="shared" si="100"/>
        <v>0</v>
      </c>
      <c r="J2136" s="33" t="str">
        <f t="shared" si="101"/>
        <v/>
      </c>
    </row>
    <row r="2137" spans="1:10">
      <c r="A2137" s="19" t="s">
        <v>318</v>
      </c>
      <c r="B2137" s="20">
        <v>45931</v>
      </c>
      <c r="C2137" s="21">
        <v>170.20000000000002</v>
      </c>
      <c r="D2137" s="21"/>
      <c r="E2137" s="21"/>
      <c r="F2137" s="27" t="str">
        <f t="shared" si="99"/>
        <v/>
      </c>
      <c r="G2137" s="21" t="str">
        <f>IFERROR(INDEX(Users!$A$2:$A$310,MATCH(A2137,Users!$B$2:$B$310,0)),"")</f>
        <v>Service A</v>
      </c>
      <c r="H2137" s="21" t="str">
        <f>IFERROR(INDEX(Users!$D$2:$D$310,MATCH(A2137,Users!$B$2:$B$310,0)),"")</f>
        <v>Band 5</v>
      </c>
      <c r="I2137" s="19" t="b">
        <f t="shared" si="100"/>
        <v>0</v>
      </c>
      <c r="J2137" s="33" t="str">
        <f t="shared" si="101"/>
        <v/>
      </c>
    </row>
    <row r="2138" spans="1:10">
      <c r="A2138" s="19" t="s">
        <v>318</v>
      </c>
      <c r="B2138" s="20">
        <v>45962</v>
      </c>
      <c r="C2138" s="21">
        <v>148</v>
      </c>
      <c r="D2138" s="21"/>
      <c r="E2138" s="21"/>
      <c r="F2138" s="27" t="str">
        <f t="shared" si="99"/>
        <v/>
      </c>
      <c r="G2138" s="21" t="str">
        <f>IFERROR(INDEX(Users!$A$2:$A$310,MATCH(A2138,Users!$B$2:$B$310,0)),"")</f>
        <v>Service A</v>
      </c>
      <c r="H2138" s="21" t="str">
        <f>IFERROR(INDEX(Users!$D$2:$D$310,MATCH(A2138,Users!$B$2:$B$310,0)),"")</f>
        <v>Band 5</v>
      </c>
      <c r="I2138" s="19" t="b">
        <f t="shared" si="100"/>
        <v>0</v>
      </c>
      <c r="J2138" s="33" t="str">
        <f t="shared" si="101"/>
        <v/>
      </c>
    </row>
    <row r="2139" spans="1:10">
      <c r="A2139" s="19" t="s">
        <v>318</v>
      </c>
      <c r="B2139" s="20">
        <v>45992</v>
      </c>
      <c r="C2139" s="21">
        <v>155.4</v>
      </c>
      <c r="D2139" s="21"/>
      <c r="E2139" s="21"/>
      <c r="F2139" s="27" t="str">
        <f t="shared" si="99"/>
        <v/>
      </c>
      <c r="G2139" s="21" t="str">
        <f>IFERROR(INDEX(Users!$A$2:$A$310,MATCH(A2139,Users!$B$2:$B$310,0)),"")</f>
        <v>Service A</v>
      </c>
      <c r="H2139" s="21" t="str">
        <f>IFERROR(INDEX(Users!$D$2:$D$310,MATCH(A2139,Users!$B$2:$B$310,0)),"")</f>
        <v>Band 5</v>
      </c>
      <c r="I2139" s="19" t="b">
        <f t="shared" si="100"/>
        <v>0</v>
      </c>
      <c r="J2139" s="33" t="str">
        <f t="shared" si="101"/>
        <v/>
      </c>
    </row>
    <row r="2140" spans="1:10">
      <c r="A2140" s="19" t="s">
        <v>318</v>
      </c>
      <c r="B2140" s="20">
        <v>46023</v>
      </c>
      <c r="C2140" s="21">
        <v>155.4</v>
      </c>
      <c r="D2140" s="21"/>
      <c r="E2140" s="21"/>
      <c r="F2140" s="27" t="str">
        <f t="shared" si="99"/>
        <v/>
      </c>
      <c r="G2140" s="21" t="str">
        <f>IFERROR(INDEX(Users!$A$2:$A$310,MATCH(A2140,Users!$B$2:$B$310,0)),"")</f>
        <v>Service A</v>
      </c>
      <c r="H2140" s="21" t="str">
        <f>IFERROR(INDEX(Users!$D$2:$D$310,MATCH(A2140,Users!$B$2:$B$310,0)),"")</f>
        <v>Band 5</v>
      </c>
      <c r="I2140" s="19" t="b">
        <f t="shared" si="100"/>
        <v>0</v>
      </c>
      <c r="J2140" s="33" t="str">
        <f t="shared" si="101"/>
        <v/>
      </c>
    </row>
    <row r="2141" spans="1:10">
      <c r="A2141" s="19" t="s">
        <v>320</v>
      </c>
      <c r="B2141" s="20">
        <v>45658</v>
      </c>
      <c r="C2141" s="21">
        <v>162.80000000000001</v>
      </c>
      <c r="D2141" s="21">
        <v>150.32</v>
      </c>
      <c r="E2141" s="21">
        <v>119.32</v>
      </c>
      <c r="F2141" s="27">
        <f t="shared" si="99"/>
        <v>0.9233415233415232</v>
      </c>
      <c r="G2141" s="21" t="str">
        <f>IFERROR(INDEX(Users!$A$2:$A$310,MATCH(A2141,Users!$B$2:$B$310,0)),"")</f>
        <v>Service A</v>
      </c>
      <c r="H2141" s="21" t="str">
        <f>IFERROR(INDEX(Users!$D$2:$D$310,MATCH(A2141,Users!$B$2:$B$310,0)),"")</f>
        <v>Band 3</v>
      </c>
      <c r="I2141" s="19" t="b">
        <f t="shared" si="100"/>
        <v>1</v>
      </c>
      <c r="J2141" s="33" t="str">
        <f t="shared" si="101"/>
        <v/>
      </c>
    </row>
    <row r="2142" spans="1:10">
      <c r="A2142" s="19" t="s">
        <v>320</v>
      </c>
      <c r="B2142" s="20">
        <v>45689</v>
      </c>
      <c r="C2142" s="21">
        <v>148</v>
      </c>
      <c r="D2142" s="21">
        <v>146.08666666666664</v>
      </c>
      <c r="E2142" s="21">
        <v>93.169999999999987</v>
      </c>
      <c r="F2142" s="27">
        <f t="shared" si="99"/>
        <v>0.98707207207207193</v>
      </c>
      <c r="G2142" s="21" t="str">
        <f>IFERROR(INDEX(Users!$A$2:$A$310,MATCH(A2142,Users!$B$2:$B$310,0)),"")</f>
        <v>Service A</v>
      </c>
      <c r="H2142" s="21" t="str">
        <f>IFERROR(INDEX(Users!$D$2:$D$310,MATCH(A2142,Users!$B$2:$B$310,0)),"")</f>
        <v>Band 3</v>
      </c>
      <c r="I2142" s="19" t="b">
        <f t="shared" si="100"/>
        <v>1</v>
      </c>
      <c r="J2142" s="33" t="str">
        <f t="shared" si="101"/>
        <v/>
      </c>
    </row>
    <row r="2143" spans="1:10">
      <c r="A2143" s="19" t="s">
        <v>320</v>
      </c>
      <c r="B2143" s="20">
        <v>45717</v>
      </c>
      <c r="C2143" s="21">
        <v>155.4</v>
      </c>
      <c r="D2143" s="21">
        <v>134.02333333333331</v>
      </c>
      <c r="E2143" s="21">
        <v>98.19</v>
      </c>
      <c r="F2143" s="27">
        <f t="shared" si="99"/>
        <v>0.86244101244101223</v>
      </c>
      <c r="G2143" s="21" t="str">
        <f>IFERROR(INDEX(Users!$A$2:$A$310,MATCH(A2143,Users!$B$2:$B$310,0)),"")</f>
        <v>Service A</v>
      </c>
      <c r="H2143" s="21" t="str">
        <f>IFERROR(INDEX(Users!$D$2:$D$310,MATCH(A2143,Users!$B$2:$B$310,0)),"")</f>
        <v>Band 3</v>
      </c>
      <c r="I2143" s="19" t="b">
        <f t="shared" si="100"/>
        <v>1</v>
      </c>
      <c r="J2143" s="33" t="str">
        <f t="shared" si="101"/>
        <v/>
      </c>
    </row>
    <row r="2144" spans="1:10">
      <c r="A2144" s="19" t="s">
        <v>320</v>
      </c>
      <c r="B2144" s="20">
        <v>45748</v>
      </c>
      <c r="C2144" s="21">
        <v>148</v>
      </c>
      <c r="D2144" s="21">
        <v>118.81333333333333</v>
      </c>
      <c r="E2144" s="21">
        <v>74.72999999999999</v>
      </c>
      <c r="F2144" s="27">
        <f t="shared" si="99"/>
        <v>0.80279279279279281</v>
      </c>
      <c r="G2144" s="21" t="str">
        <f>IFERROR(INDEX(Users!$A$2:$A$310,MATCH(A2144,Users!$B$2:$B$310,0)),"")</f>
        <v>Service A</v>
      </c>
      <c r="H2144" s="21" t="str">
        <f>IFERROR(INDEX(Users!$D$2:$D$310,MATCH(A2144,Users!$B$2:$B$310,0)),"")</f>
        <v>Band 3</v>
      </c>
      <c r="I2144" s="19" t="b">
        <f t="shared" si="100"/>
        <v>1</v>
      </c>
      <c r="J2144" s="33" t="str">
        <f t="shared" si="101"/>
        <v/>
      </c>
    </row>
    <row r="2145" spans="1:10">
      <c r="A2145" s="19" t="s">
        <v>320</v>
      </c>
      <c r="B2145" s="20">
        <v>45778</v>
      </c>
      <c r="C2145" s="21">
        <v>148</v>
      </c>
      <c r="D2145" s="21">
        <v>91.48333333333332</v>
      </c>
      <c r="E2145" s="21">
        <v>77.149999999999991</v>
      </c>
      <c r="F2145" s="27">
        <f t="shared" si="99"/>
        <v>0.61813063063063056</v>
      </c>
      <c r="G2145" s="21" t="str">
        <f>IFERROR(INDEX(Users!$A$2:$A$310,MATCH(A2145,Users!$B$2:$B$310,0)),"")</f>
        <v>Service A</v>
      </c>
      <c r="H2145" s="21" t="str">
        <f>IFERROR(INDEX(Users!$D$2:$D$310,MATCH(A2145,Users!$B$2:$B$310,0)),"")</f>
        <v>Band 3</v>
      </c>
      <c r="I2145" s="19" t="b">
        <f t="shared" si="100"/>
        <v>1</v>
      </c>
      <c r="J2145" s="33" t="str">
        <f t="shared" si="101"/>
        <v/>
      </c>
    </row>
    <row r="2146" spans="1:10">
      <c r="A2146" s="19" t="s">
        <v>320</v>
      </c>
      <c r="B2146" s="20">
        <v>45809</v>
      </c>
      <c r="C2146" s="21">
        <v>155.4</v>
      </c>
      <c r="D2146" s="21">
        <v>157.16333333333336</v>
      </c>
      <c r="E2146" s="21">
        <v>126.83</v>
      </c>
      <c r="F2146" s="27">
        <f t="shared" si="99"/>
        <v>1.0113470613470614</v>
      </c>
      <c r="G2146" s="21" t="str">
        <f>IFERROR(INDEX(Users!$A$2:$A$310,MATCH(A2146,Users!$B$2:$B$310,0)),"")</f>
        <v>Service A</v>
      </c>
      <c r="H2146" s="21" t="str">
        <f>IFERROR(INDEX(Users!$D$2:$D$310,MATCH(A2146,Users!$B$2:$B$310,0)),"")</f>
        <v>Band 3</v>
      </c>
      <c r="I2146" s="19" t="b">
        <f t="shared" si="100"/>
        <v>1</v>
      </c>
      <c r="J2146" s="33" t="str">
        <f t="shared" si="101"/>
        <v/>
      </c>
    </row>
    <row r="2147" spans="1:10">
      <c r="A2147" s="19" t="s">
        <v>320</v>
      </c>
      <c r="B2147" s="20">
        <v>45839</v>
      </c>
      <c r="C2147" s="21">
        <v>170.20000000000002</v>
      </c>
      <c r="D2147" s="21">
        <v>172.32000000000002</v>
      </c>
      <c r="E2147" s="21">
        <v>115.67</v>
      </c>
      <c r="F2147" s="27">
        <f t="shared" si="99"/>
        <v>1.0124559341950647</v>
      </c>
      <c r="G2147" s="21" t="str">
        <f>IFERROR(INDEX(Users!$A$2:$A$310,MATCH(A2147,Users!$B$2:$B$310,0)),"")</f>
        <v>Service A</v>
      </c>
      <c r="H2147" s="21" t="str">
        <f>IFERROR(INDEX(Users!$D$2:$D$310,MATCH(A2147,Users!$B$2:$B$310,0)),"")</f>
        <v>Band 3</v>
      </c>
      <c r="I2147" s="19" t="b">
        <f t="shared" si="100"/>
        <v>1</v>
      </c>
      <c r="J2147" s="33" t="str">
        <f t="shared" si="101"/>
        <v/>
      </c>
    </row>
    <row r="2148" spans="1:10">
      <c r="A2148" s="19" t="s">
        <v>320</v>
      </c>
      <c r="B2148" s="20">
        <v>45870</v>
      </c>
      <c r="C2148" s="21">
        <v>148</v>
      </c>
      <c r="D2148" s="21">
        <v>117.45333333333335</v>
      </c>
      <c r="E2148" s="21">
        <v>77.87</v>
      </c>
      <c r="F2148" s="27">
        <f t="shared" si="99"/>
        <v>0.79360360360360371</v>
      </c>
      <c r="G2148" s="21" t="str">
        <f>IFERROR(INDEX(Users!$A$2:$A$310,MATCH(A2148,Users!$B$2:$B$310,0)),"")</f>
        <v>Service A</v>
      </c>
      <c r="H2148" s="21" t="str">
        <f>IFERROR(INDEX(Users!$D$2:$D$310,MATCH(A2148,Users!$B$2:$B$310,0)),"")</f>
        <v>Band 3</v>
      </c>
      <c r="I2148" s="19" t="b">
        <f t="shared" si="100"/>
        <v>1</v>
      </c>
      <c r="J2148" s="33" t="str">
        <f t="shared" si="101"/>
        <v/>
      </c>
    </row>
    <row r="2149" spans="1:10">
      <c r="A2149" s="19" t="s">
        <v>320</v>
      </c>
      <c r="B2149" s="20">
        <v>45901</v>
      </c>
      <c r="C2149" s="21">
        <v>162.80000000000001</v>
      </c>
      <c r="D2149" s="21">
        <v>147.42333333333335</v>
      </c>
      <c r="E2149" s="21">
        <v>109.34</v>
      </c>
      <c r="F2149" s="27">
        <f t="shared" si="99"/>
        <v>0.90554873054873053</v>
      </c>
      <c r="G2149" s="21" t="str">
        <f>IFERROR(INDEX(Users!$A$2:$A$310,MATCH(A2149,Users!$B$2:$B$310,0)),"")</f>
        <v>Service A</v>
      </c>
      <c r="H2149" s="21" t="str">
        <f>IFERROR(INDEX(Users!$D$2:$D$310,MATCH(A2149,Users!$B$2:$B$310,0)),"")</f>
        <v>Band 3</v>
      </c>
      <c r="I2149" s="19" t="b">
        <f t="shared" si="100"/>
        <v>1</v>
      </c>
      <c r="J2149" s="33" t="str">
        <f t="shared" si="101"/>
        <v/>
      </c>
    </row>
    <row r="2150" spans="1:10">
      <c r="A2150" s="19" t="s">
        <v>320</v>
      </c>
      <c r="B2150" s="20">
        <v>45931</v>
      </c>
      <c r="C2150" s="21">
        <v>170.20000000000002</v>
      </c>
      <c r="D2150" s="21">
        <v>127.84333333333333</v>
      </c>
      <c r="E2150" s="21">
        <v>84.51</v>
      </c>
      <c r="F2150" s="27">
        <f t="shared" si="99"/>
        <v>0.75113591852722283</v>
      </c>
      <c r="G2150" s="21" t="str">
        <f>IFERROR(INDEX(Users!$A$2:$A$310,MATCH(A2150,Users!$B$2:$B$310,0)),"")</f>
        <v>Service A</v>
      </c>
      <c r="H2150" s="21" t="str">
        <f>IFERROR(INDEX(Users!$D$2:$D$310,MATCH(A2150,Users!$B$2:$B$310,0)),"")</f>
        <v>Band 3</v>
      </c>
      <c r="I2150" s="19" t="b">
        <f t="shared" si="100"/>
        <v>1</v>
      </c>
      <c r="J2150" s="33" t="str">
        <f t="shared" si="101"/>
        <v/>
      </c>
    </row>
    <row r="2151" spans="1:10">
      <c r="A2151" s="19" t="s">
        <v>320</v>
      </c>
      <c r="B2151" s="20">
        <v>45962</v>
      </c>
      <c r="C2151" s="21">
        <v>148</v>
      </c>
      <c r="D2151" s="21">
        <v>104.71666666666665</v>
      </c>
      <c r="E2151" s="21">
        <v>80.799999999999983</v>
      </c>
      <c r="F2151" s="27">
        <f t="shared" si="99"/>
        <v>0.70754504504504501</v>
      </c>
      <c r="G2151" s="21" t="str">
        <f>IFERROR(INDEX(Users!$A$2:$A$310,MATCH(A2151,Users!$B$2:$B$310,0)),"")</f>
        <v>Service A</v>
      </c>
      <c r="H2151" s="21" t="str">
        <f>IFERROR(INDEX(Users!$D$2:$D$310,MATCH(A2151,Users!$B$2:$B$310,0)),"")</f>
        <v>Band 3</v>
      </c>
      <c r="I2151" s="19" t="b">
        <f t="shared" si="100"/>
        <v>1</v>
      </c>
      <c r="J2151" s="33" t="str">
        <f t="shared" si="101"/>
        <v/>
      </c>
    </row>
    <row r="2152" spans="1:10">
      <c r="A2152" s="19" t="s">
        <v>320</v>
      </c>
      <c r="B2152" s="20">
        <v>45992</v>
      </c>
      <c r="C2152" s="21">
        <v>155.4</v>
      </c>
      <c r="D2152" s="21">
        <v>122.67999999999999</v>
      </c>
      <c r="E2152" s="21">
        <v>93.679999999999993</v>
      </c>
      <c r="F2152" s="27">
        <f t="shared" si="99"/>
        <v>0.78944658944658941</v>
      </c>
      <c r="G2152" s="21" t="str">
        <f>IFERROR(INDEX(Users!$A$2:$A$310,MATCH(A2152,Users!$B$2:$B$310,0)),"")</f>
        <v>Service A</v>
      </c>
      <c r="H2152" s="21" t="str">
        <f>IFERROR(INDEX(Users!$D$2:$D$310,MATCH(A2152,Users!$B$2:$B$310,0)),"")</f>
        <v>Band 3</v>
      </c>
      <c r="I2152" s="19" t="b">
        <f t="shared" si="100"/>
        <v>1</v>
      </c>
      <c r="J2152" s="33" t="str">
        <f t="shared" si="101"/>
        <v/>
      </c>
    </row>
    <row r="2153" spans="1:10">
      <c r="A2153" s="19" t="s">
        <v>320</v>
      </c>
      <c r="B2153" s="20">
        <v>46023</v>
      </c>
      <c r="C2153" s="21">
        <v>155.4</v>
      </c>
      <c r="D2153" s="21">
        <v>141.27666666666667</v>
      </c>
      <c r="E2153" s="21">
        <v>105.36</v>
      </c>
      <c r="F2153" s="27">
        <f t="shared" si="99"/>
        <v>0.90911625911625915</v>
      </c>
      <c r="G2153" s="21" t="str">
        <f>IFERROR(INDEX(Users!$A$2:$A$310,MATCH(A2153,Users!$B$2:$B$310,0)),"")</f>
        <v>Service A</v>
      </c>
      <c r="H2153" s="21" t="str">
        <f>IFERROR(INDEX(Users!$D$2:$D$310,MATCH(A2153,Users!$B$2:$B$310,0)),"")</f>
        <v>Band 3</v>
      </c>
      <c r="I2153" s="19" t="b">
        <f t="shared" si="100"/>
        <v>1</v>
      </c>
      <c r="J2153" s="33" t="str">
        <f t="shared" si="101"/>
        <v/>
      </c>
    </row>
    <row r="2154" spans="1:10">
      <c r="A2154" s="19" t="s">
        <v>321</v>
      </c>
      <c r="B2154" s="20">
        <v>45658</v>
      </c>
      <c r="C2154" s="21">
        <v>90</v>
      </c>
      <c r="D2154" s="21">
        <v>86.070000000000022</v>
      </c>
      <c r="E2154" s="21">
        <v>51.420000000000009</v>
      </c>
      <c r="F2154" s="27">
        <f t="shared" si="99"/>
        <v>0.95633333333333359</v>
      </c>
      <c r="G2154" s="21" t="str">
        <f>IFERROR(INDEX(Users!$A$2:$A$310,MATCH(A2154,Users!$B$2:$B$310,0)),"")</f>
        <v>Service B</v>
      </c>
      <c r="H2154" s="21" t="str">
        <f>IFERROR(INDEX(Users!$D$2:$D$310,MATCH(A2154,Users!$B$2:$B$310,0)),"")</f>
        <v>Band 3</v>
      </c>
      <c r="I2154" s="19" t="b">
        <f t="shared" si="100"/>
        <v>0</v>
      </c>
      <c r="J2154" s="33">
        <f t="shared" si="101"/>
        <v>0.95633333333333359</v>
      </c>
    </row>
    <row r="2155" spans="1:10">
      <c r="A2155" s="19" t="s">
        <v>321</v>
      </c>
      <c r="B2155" s="20">
        <v>45689</v>
      </c>
      <c r="C2155" s="21">
        <v>90</v>
      </c>
      <c r="D2155" s="21">
        <v>89.15000000000002</v>
      </c>
      <c r="E2155" s="21">
        <v>61.850000000000016</v>
      </c>
      <c r="F2155" s="27">
        <f t="shared" si="99"/>
        <v>0.99055555555555574</v>
      </c>
      <c r="G2155" s="21" t="str">
        <f>IFERROR(INDEX(Users!$A$2:$A$310,MATCH(A2155,Users!$B$2:$B$310,0)),"")</f>
        <v>Service B</v>
      </c>
      <c r="H2155" s="21" t="str">
        <f>IFERROR(INDEX(Users!$D$2:$D$310,MATCH(A2155,Users!$B$2:$B$310,0)),"")</f>
        <v>Band 3</v>
      </c>
      <c r="I2155" s="19" t="b">
        <f t="shared" si="100"/>
        <v>0</v>
      </c>
      <c r="J2155" s="33">
        <f t="shared" si="101"/>
        <v>0.99055555555555574</v>
      </c>
    </row>
    <row r="2156" spans="1:10">
      <c r="A2156" s="19" t="s">
        <v>321</v>
      </c>
      <c r="B2156" s="20">
        <v>45717</v>
      </c>
      <c r="C2156" s="21">
        <v>97.5</v>
      </c>
      <c r="D2156" s="21">
        <v>98.220000000000013</v>
      </c>
      <c r="E2156" s="21">
        <v>63.870000000000012</v>
      </c>
      <c r="F2156" s="27">
        <f t="shared" si="99"/>
        <v>1.0073846153846155</v>
      </c>
      <c r="G2156" s="21" t="str">
        <f>IFERROR(INDEX(Users!$A$2:$A$310,MATCH(A2156,Users!$B$2:$B$310,0)),"")</f>
        <v>Service B</v>
      </c>
      <c r="H2156" s="21" t="str">
        <f>IFERROR(INDEX(Users!$D$2:$D$310,MATCH(A2156,Users!$B$2:$B$310,0)),"")</f>
        <v>Band 3</v>
      </c>
      <c r="I2156" s="19" t="b">
        <f t="shared" si="100"/>
        <v>0</v>
      </c>
      <c r="J2156" s="33">
        <f t="shared" si="101"/>
        <v>1.0073846153846155</v>
      </c>
    </row>
    <row r="2157" spans="1:10">
      <c r="A2157" s="19" t="s">
        <v>321</v>
      </c>
      <c r="B2157" s="20">
        <v>45748</v>
      </c>
      <c r="C2157" s="21">
        <v>97.5</v>
      </c>
      <c r="D2157" s="21">
        <v>80.850000000000023</v>
      </c>
      <c r="E2157" s="21">
        <v>58.20000000000001</v>
      </c>
      <c r="F2157" s="27">
        <f t="shared" si="99"/>
        <v>0.82923076923076944</v>
      </c>
      <c r="G2157" s="21" t="str">
        <f>IFERROR(INDEX(Users!$A$2:$A$310,MATCH(A2157,Users!$B$2:$B$310,0)),"")</f>
        <v>Service B</v>
      </c>
      <c r="H2157" s="21" t="str">
        <f>IFERROR(INDEX(Users!$D$2:$D$310,MATCH(A2157,Users!$B$2:$B$310,0)),"")</f>
        <v>Band 3</v>
      </c>
      <c r="I2157" s="19" t="b">
        <f t="shared" si="100"/>
        <v>0</v>
      </c>
      <c r="J2157" s="33">
        <f t="shared" si="101"/>
        <v>0.82923076923076944</v>
      </c>
    </row>
    <row r="2158" spans="1:10">
      <c r="A2158" s="19" t="s">
        <v>321</v>
      </c>
      <c r="B2158" s="20">
        <v>45778</v>
      </c>
      <c r="C2158" s="21">
        <v>75</v>
      </c>
      <c r="D2158" s="21">
        <v>32.85</v>
      </c>
      <c r="E2158" s="21">
        <v>25.55</v>
      </c>
      <c r="F2158" s="27">
        <f t="shared" si="99"/>
        <v>0.438</v>
      </c>
      <c r="G2158" s="21" t="str">
        <f>IFERROR(INDEX(Users!$A$2:$A$310,MATCH(A2158,Users!$B$2:$B$310,0)),"")</f>
        <v>Service B</v>
      </c>
      <c r="H2158" s="21" t="str">
        <f>IFERROR(INDEX(Users!$D$2:$D$310,MATCH(A2158,Users!$B$2:$B$310,0)),"")</f>
        <v>Band 3</v>
      </c>
      <c r="I2158" s="19" t="b">
        <f t="shared" si="100"/>
        <v>0</v>
      </c>
      <c r="J2158" s="33">
        <f t="shared" si="101"/>
        <v>0.438</v>
      </c>
    </row>
    <row r="2159" spans="1:10">
      <c r="A2159" s="19" t="s">
        <v>321</v>
      </c>
      <c r="B2159" s="20">
        <v>45809</v>
      </c>
      <c r="C2159" s="21">
        <v>97.5</v>
      </c>
      <c r="D2159" s="21">
        <v>89.43</v>
      </c>
      <c r="E2159" s="21">
        <v>63.780000000000008</v>
      </c>
      <c r="F2159" s="27">
        <f t="shared" si="99"/>
        <v>0.91723076923076929</v>
      </c>
      <c r="G2159" s="21" t="str">
        <f>IFERROR(INDEX(Users!$A$2:$A$310,MATCH(A2159,Users!$B$2:$B$310,0)),"")</f>
        <v>Service B</v>
      </c>
      <c r="H2159" s="21" t="str">
        <f>IFERROR(INDEX(Users!$D$2:$D$310,MATCH(A2159,Users!$B$2:$B$310,0)),"")</f>
        <v>Band 3</v>
      </c>
      <c r="I2159" s="19" t="b">
        <f t="shared" si="100"/>
        <v>0</v>
      </c>
      <c r="J2159" s="33">
        <f t="shared" si="101"/>
        <v>0.91723076923076929</v>
      </c>
    </row>
    <row r="2160" spans="1:10">
      <c r="A2160" s="19" t="s">
        <v>321</v>
      </c>
      <c r="B2160" s="20">
        <v>45839</v>
      </c>
      <c r="C2160" s="21">
        <v>105</v>
      </c>
      <c r="D2160" s="21">
        <v>101.85</v>
      </c>
      <c r="E2160" s="21">
        <v>72.149999999999991</v>
      </c>
      <c r="F2160" s="27">
        <f t="shared" si="99"/>
        <v>0.97</v>
      </c>
      <c r="G2160" s="21" t="str">
        <f>IFERROR(INDEX(Users!$A$2:$A$310,MATCH(A2160,Users!$B$2:$B$310,0)),"")</f>
        <v>Service B</v>
      </c>
      <c r="H2160" s="21" t="str">
        <f>IFERROR(INDEX(Users!$D$2:$D$310,MATCH(A2160,Users!$B$2:$B$310,0)),"")</f>
        <v>Band 3</v>
      </c>
      <c r="I2160" s="19" t="b">
        <f t="shared" si="100"/>
        <v>0</v>
      </c>
      <c r="J2160" s="33">
        <f t="shared" si="101"/>
        <v>0.97</v>
      </c>
    </row>
    <row r="2161" spans="1:10">
      <c r="A2161" s="19" t="s">
        <v>321</v>
      </c>
      <c r="B2161" s="20">
        <v>45870</v>
      </c>
      <c r="C2161" s="21">
        <v>82.5</v>
      </c>
      <c r="D2161" s="21">
        <v>65.170000000000016</v>
      </c>
      <c r="E2161" s="21">
        <v>48.420000000000009</v>
      </c>
      <c r="F2161" s="27">
        <f t="shared" si="99"/>
        <v>0.78993939393939416</v>
      </c>
      <c r="G2161" s="21" t="str">
        <f>IFERROR(INDEX(Users!$A$2:$A$310,MATCH(A2161,Users!$B$2:$B$310,0)),"")</f>
        <v>Service B</v>
      </c>
      <c r="H2161" s="21" t="str">
        <f>IFERROR(INDEX(Users!$D$2:$D$310,MATCH(A2161,Users!$B$2:$B$310,0)),"")</f>
        <v>Band 3</v>
      </c>
      <c r="I2161" s="19" t="b">
        <f t="shared" si="100"/>
        <v>0</v>
      </c>
      <c r="J2161" s="33">
        <f t="shared" si="101"/>
        <v>0.78993939393939416</v>
      </c>
    </row>
    <row r="2162" spans="1:10">
      <c r="A2162" s="19" t="s">
        <v>321</v>
      </c>
      <c r="B2162" s="20">
        <v>45901</v>
      </c>
      <c r="C2162" s="21">
        <v>105</v>
      </c>
      <c r="D2162" s="21">
        <v>55.4</v>
      </c>
      <c r="E2162" s="21">
        <v>37.899999999999991</v>
      </c>
      <c r="F2162" s="27">
        <f t="shared" si="99"/>
        <v>0.52761904761904765</v>
      </c>
      <c r="G2162" s="21" t="str">
        <f>IFERROR(INDEX(Users!$A$2:$A$310,MATCH(A2162,Users!$B$2:$B$310,0)),"")</f>
        <v>Service B</v>
      </c>
      <c r="H2162" s="21" t="str">
        <f>IFERROR(INDEX(Users!$D$2:$D$310,MATCH(A2162,Users!$B$2:$B$310,0)),"")</f>
        <v>Band 3</v>
      </c>
      <c r="I2162" s="19" t="b">
        <f t="shared" si="100"/>
        <v>0</v>
      </c>
      <c r="J2162" s="33">
        <f t="shared" si="101"/>
        <v>0.52761904761904765</v>
      </c>
    </row>
    <row r="2163" spans="1:10">
      <c r="A2163" s="19" t="s">
        <v>321</v>
      </c>
      <c r="B2163" s="20">
        <v>45931</v>
      </c>
      <c r="C2163" s="21">
        <v>97.5</v>
      </c>
      <c r="D2163" s="21">
        <v>95.916666666666657</v>
      </c>
      <c r="E2163" s="21">
        <v>73.099999999999994</v>
      </c>
      <c r="F2163" s="27">
        <f t="shared" si="99"/>
        <v>0.98376068376068371</v>
      </c>
      <c r="G2163" s="21" t="str">
        <f>IFERROR(INDEX(Users!$A$2:$A$310,MATCH(A2163,Users!$B$2:$B$310,0)),"")</f>
        <v>Service B</v>
      </c>
      <c r="H2163" s="21" t="str">
        <f>IFERROR(INDEX(Users!$D$2:$D$310,MATCH(A2163,Users!$B$2:$B$310,0)),"")</f>
        <v>Band 3</v>
      </c>
      <c r="I2163" s="19" t="b">
        <f t="shared" si="100"/>
        <v>0</v>
      </c>
      <c r="J2163" s="33">
        <f t="shared" si="101"/>
        <v>0.98376068376068371</v>
      </c>
    </row>
    <row r="2164" spans="1:10">
      <c r="A2164" s="19" t="s">
        <v>321</v>
      </c>
      <c r="B2164" s="20">
        <v>45962</v>
      </c>
      <c r="C2164" s="21">
        <v>90</v>
      </c>
      <c r="D2164" s="21">
        <v>90.800000000000026</v>
      </c>
      <c r="E2164" s="21">
        <v>70.550000000000026</v>
      </c>
      <c r="F2164" s="27">
        <f t="shared" si="99"/>
        <v>1.0088888888888892</v>
      </c>
      <c r="G2164" s="21" t="str">
        <f>IFERROR(INDEX(Users!$A$2:$A$310,MATCH(A2164,Users!$B$2:$B$310,0)),"")</f>
        <v>Service B</v>
      </c>
      <c r="H2164" s="21" t="str">
        <f>IFERROR(INDEX(Users!$D$2:$D$310,MATCH(A2164,Users!$B$2:$B$310,0)),"")</f>
        <v>Band 3</v>
      </c>
      <c r="I2164" s="19" t="b">
        <f t="shared" si="100"/>
        <v>0</v>
      </c>
      <c r="J2164" s="33">
        <f t="shared" si="101"/>
        <v>1.0088888888888892</v>
      </c>
    </row>
    <row r="2165" spans="1:10">
      <c r="A2165" s="19" t="s">
        <v>321</v>
      </c>
      <c r="B2165" s="20">
        <v>45992</v>
      </c>
      <c r="C2165" s="21">
        <v>112.5</v>
      </c>
      <c r="D2165" s="21">
        <v>62.533333333333331</v>
      </c>
      <c r="E2165" s="21">
        <v>42.5</v>
      </c>
      <c r="F2165" s="27">
        <f t="shared" si="99"/>
        <v>0.55585185185185182</v>
      </c>
      <c r="G2165" s="21" t="str">
        <f>IFERROR(INDEX(Users!$A$2:$A$310,MATCH(A2165,Users!$B$2:$B$310,0)),"")</f>
        <v>Service B</v>
      </c>
      <c r="H2165" s="21" t="str">
        <f>IFERROR(INDEX(Users!$D$2:$D$310,MATCH(A2165,Users!$B$2:$B$310,0)),"")</f>
        <v>Band 3</v>
      </c>
      <c r="I2165" s="19" t="b">
        <f t="shared" si="100"/>
        <v>0</v>
      </c>
      <c r="J2165" s="33">
        <f t="shared" si="101"/>
        <v>0.55585185185185182</v>
      </c>
    </row>
    <row r="2166" spans="1:10">
      <c r="A2166" s="19" t="s">
        <v>321</v>
      </c>
      <c r="B2166" s="20">
        <v>46023</v>
      </c>
      <c r="C2166" s="21">
        <v>90</v>
      </c>
      <c r="D2166" s="21">
        <v>107.49999999999999</v>
      </c>
      <c r="E2166" s="21">
        <v>76.799999999999983</v>
      </c>
      <c r="F2166" s="27">
        <f t="shared" si="99"/>
        <v>1.1944444444444442</v>
      </c>
      <c r="G2166" s="21" t="str">
        <f>IFERROR(INDEX(Users!$A$2:$A$310,MATCH(A2166,Users!$B$2:$B$310,0)),"")</f>
        <v>Service B</v>
      </c>
      <c r="H2166" s="21" t="str">
        <f>IFERROR(INDEX(Users!$D$2:$D$310,MATCH(A2166,Users!$B$2:$B$310,0)),"")</f>
        <v>Band 3</v>
      </c>
      <c r="I2166" s="19" t="b">
        <f t="shared" si="100"/>
        <v>0</v>
      </c>
      <c r="J2166" s="33" t="str">
        <f t="shared" si="101"/>
        <v/>
      </c>
    </row>
    <row r="2167" spans="1:10">
      <c r="A2167" s="19" t="s">
        <v>323</v>
      </c>
      <c r="B2167" s="20">
        <v>45658</v>
      </c>
      <c r="C2167" s="21">
        <v>161</v>
      </c>
      <c r="D2167" s="21">
        <v>137.5</v>
      </c>
      <c r="E2167" s="21">
        <v>97</v>
      </c>
      <c r="F2167" s="27">
        <f t="shared" si="99"/>
        <v>0.85403726708074534</v>
      </c>
      <c r="G2167" s="21" t="str">
        <f>IFERROR(INDEX(Users!$A$2:$A$310,MATCH(A2167,Users!$B$2:$B$310,0)),"")</f>
        <v>Service A</v>
      </c>
      <c r="H2167" s="21" t="str">
        <f>IFERROR(INDEX(Users!$D$2:$D$310,MATCH(A2167,Users!$B$2:$B$310,0)),"")</f>
        <v>Band 3</v>
      </c>
      <c r="I2167" s="19" t="b">
        <f t="shared" si="100"/>
        <v>1</v>
      </c>
      <c r="J2167" s="33" t="str">
        <f t="shared" si="101"/>
        <v/>
      </c>
    </row>
    <row r="2168" spans="1:10">
      <c r="A2168" s="19" t="s">
        <v>323</v>
      </c>
      <c r="B2168" s="20">
        <v>45689</v>
      </c>
      <c r="C2168" s="21">
        <v>148</v>
      </c>
      <c r="D2168" s="21">
        <v>138.24333333333334</v>
      </c>
      <c r="E2168" s="21">
        <v>102.16</v>
      </c>
      <c r="F2168" s="27">
        <f t="shared" si="99"/>
        <v>0.93407657657657661</v>
      </c>
      <c r="G2168" s="21" t="str">
        <f>IFERROR(INDEX(Users!$A$2:$A$310,MATCH(A2168,Users!$B$2:$B$310,0)),"")</f>
        <v>Service A</v>
      </c>
      <c r="H2168" s="21" t="str">
        <f>IFERROR(INDEX(Users!$D$2:$D$310,MATCH(A2168,Users!$B$2:$B$310,0)),"")</f>
        <v>Band 3</v>
      </c>
      <c r="I2168" s="19" t="b">
        <f t="shared" si="100"/>
        <v>1</v>
      </c>
      <c r="J2168" s="33" t="str">
        <f t="shared" si="101"/>
        <v/>
      </c>
    </row>
    <row r="2169" spans="1:10">
      <c r="A2169" s="19" t="s">
        <v>323</v>
      </c>
      <c r="B2169" s="20">
        <v>45717</v>
      </c>
      <c r="C2169" s="21">
        <v>156</v>
      </c>
      <c r="D2169" s="21">
        <v>148.5</v>
      </c>
      <c r="E2169" s="21">
        <v>95.5</v>
      </c>
      <c r="F2169" s="27">
        <f t="shared" si="99"/>
        <v>0.95192307692307687</v>
      </c>
      <c r="G2169" s="21" t="str">
        <f>IFERROR(INDEX(Users!$A$2:$A$310,MATCH(A2169,Users!$B$2:$B$310,0)),"")</f>
        <v>Service A</v>
      </c>
      <c r="H2169" s="21" t="str">
        <f>IFERROR(INDEX(Users!$D$2:$D$310,MATCH(A2169,Users!$B$2:$B$310,0)),"")</f>
        <v>Band 3</v>
      </c>
      <c r="I2169" s="19" t="b">
        <f t="shared" si="100"/>
        <v>1</v>
      </c>
      <c r="J2169" s="33" t="str">
        <f t="shared" si="101"/>
        <v/>
      </c>
    </row>
    <row r="2170" spans="1:10">
      <c r="A2170" s="19" t="s">
        <v>323</v>
      </c>
      <c r="B2170" s="20">
        <v>45748</v>
      </c>
      <c r="C2170" s="21">
        <v>151</v>
      </c>
      <c r="D2170" s="21">
        <v>136</v>
      </c>
      <c r="E2170" s="21">
        <v>84</v>
      </c>
      <c r="F2170" s="27">
        <f t="shared" si="99"/>
        <v>0.90066225165562919</v>
      </c>
      <c r="G2170" s="21" t="str">
        <f>IFERROR(INDEX(Users!$A$2:$A$310,MATCH(A2170,Users!$B$2:$B$310,0)),"")</f>
        <v>Service A</v>
      </c>
      <c r="H2170" s="21" t="str">
        <f>IFERROR(INDEX(Users!$D$2:$D$310,MATCH(A2170,Users!$B$2:$B$310,0)),"")</f>
        <v>Band 3</v>
      </c>
      <c r="I2170" s="19" t="b">
        <f t="shared" si="100"/>
        <v>1</v>
      </c>
      <c r="J2170" s="33" t="str">
        <f t="shared" si="101"/>
        <v/>
      </c>
    </row>
    <row r="2171" spans="1:10">
      <c r="A2171" s="19" t="s">
        <v>323</v>
      </c>
      <c r="B2171" s="20">
        <v>45778</v>
      </c>
      <c r="C2171" s="21">
        <v>145</v>
      </c>
      <c r="D2171" s="21">
        <v>123.05</v>
      </c>
      <c r="E2171" s="21">
        <v>84.05</v>
      </c>
      <c r="F2171" s="27">
        <f t="shared" si="99"/>
        <v>0.84862068965517234</v>
      </c>
      <c r="G2171" s="21" t="str">
        <f>IFERROR(INDEX(Users!$A$2:$A$310,MATCH(A2171,Users!$B$2:$B$310,0)),"")</f>
        <v>Service A</v>
      </c>
      <c r="H2171" s="21" t="str">
        <f>IFERROR(INDEX(Users!$D$2:$D$310,MATCH(A2171,Users!$B$2:$B$310,0)),"")</f>
        <v>Band 3</v>
      </c>
      <c r="I2171" s="19" t="b">
        <f t="shared" si="100"/>
        <v>1</v>
      </c>
      <c r="J2171" s="33" t="str">
        <f t="shared" si="101"/>
        <v/>
      </c>
    </row>
    <row r="2172" spans="1:10">
      <c r="A2172" s="19" t="s">
        <v>323</v>
      </c>
      <c r="B2172" s="20">
        <v>45809</v>
      </c>
      <c r="C2172" s="21">
        <v>156</v>
      </c>
      <c r="D2172" s="21">
        <v>156</v>
      </c>
      <c r="E2172" s="21">
        <v>95.25</v>
      </c>
      <c r="F2172" s="27">
        <f t="shared" si="99"/>
        <v>1</v>
      </c>
      <c r="G2172" s="21" t="str">
        <f>IFERROR(INDEX(Users!$A$2:$A$310,MATCH(A2172,Users!$B$2:$B$310,0)),"")</f>
        <v>Service A</v>
      </c>
      <c r="H2172" s="21" t="str">
        <f>IFERROR(INDEX(Users!$D$2:$D$310,MATCH(A2172,Users!$B$2:$B$310,0)),"")</f>
        <v>Band 3</v>
      </c>
      <c r="I2172" s="19" t="b">
        <f t="shared" si="100"/>
        <v>1</v>
      </c>
      <c r="J2172" s="33" t="str">
        <f t="shared" si="101"/>
        <v/>
      </c>
    </row>
    <row r="2173" spans="1:10">
      <c r="A2173" s="19" t="s">
        <v>323</v>
      </c>
      <c r="B2173" s="20">
        <v>45839</v>
      </c>
      <c r="C2173" s="21">
        <v>172</v>
      </c>
      <c r="D2173" s="21">
        <v>151.08666666666667</v>
      </c>
      <c r="E2173" s="21">
        <v>88.67</v>
      </c>
      <c r="F2173" s="27">
        <f t="shared" si="99"/>
        <v>0.87841085271317831</v>
      </c>
      <c r="G2173" s="21" t="str">
        <f>IFERROR(INDEX(Users!$A$2:$A$310,MATCH(A2173,Users!$B$2:$B$310,0)),"")</f>
        <v>Service A</v>
      </c>
      <c r="H2173" s="21" t="str">
        <f>IFERROR(INDEX(Users!$D$2:$D$310,MATCH(A2173,Users!$B$2:$B$310,0)),"")</f>
        <v>Band 3</v>
      </c>
      <c r="I2173" s="19" t="b">
        <f t="shared" si="100"/>
        <v>1</v>
      </c>
      <c r="J2173" s="33" t="str">
        <f t="shared" si="101"/>
        <v/>
      </c>
    </row>
    <row r="2174" spans="1:10">
      <c r="A2174" s="19" t="s">
        <v>323</v>
      </c>
      <c r="B2174" s="20">
        <v>45870</v>
      </c>
      <c r="C2174" s="21">
        <v>145</v>
      </c>
      <c r="D2174" s="21">
        <v>129</v>
      </c>
      <c r="E2174" s="21">
        <v>85</v>
      </c>
      <c r="F2174" s="27">
        <f t="shared" si="99"/>
        <v>0.8896551724137931</v>
      </c>
      <c r="G2174" s="21" t="str">
        <f>IFERROR(INDEX(Users!$A$2:$A$310,MATCH(A2174,Users!$B$2:$B$310,0)),"")</f>
        <v>Service A</v>
      </c>
      <c r="H2174" s="21" t="str">
        <f>IFERROR(INDEX(Users!$D$2:$D$310,MATCH(A2174,Users!$B$2:$B$310,0)),"")</f>
        <v>Band 3</v>
      </c>
      <c r="I2174" s="19" t="b">
        <f t="shared" si="100"/>
        <v>1</v>
      </c>
      <c r="J2174" s="33" t="str">
        <f t="shared" si="101"/>
        <v/>
      </c>
    </row>
    <row r="2175" spans="1:10">
      <c r="A2175" s="19" t="s">
        <v>323</v>
      </c>
      <c r="B2175" s="20">
        <v>45901</v>
      </c>
      <c r="C2175" s="21">
        <v>164</v>
      </c>
      <c r="D2175" s="21">
        <v>161.5</v>
      </c>
      <c r="E2175" s="21">
        <v>111</v>
      </c>
      <c r="F2175" s="27">
        <f t="shared" si="99"/>
        <v>0.9847560975609756</v>
      </c>
      <c r="G2175" s="21" t="str">
        <f>IFERROR(INDEX(Users!$A$2:$A$310,MATCH(A2175,Users!$B$2:$B$310,0)),"")</f>
        <v>Service A</v>
      </c>
      <c r="H2175" s="21" t="str">
        <f>IFERROR(INDEX(Users!$D$2:$D$310,MATCH(A2175,Users!$B$2:$B$310,0)),"")</f>
        <v>Band 3</v>
      </c>
      <c r="I2175" s="19" t="b">
        <f t="shared" si="100"/>
        <v>1</v>
      </c>
      <c r="J2175" s="33" t="str">
        <f t="shared" si="101"/>
        <v/>
      </c>
    </row>
    <row r="2176" spans="1:10">
      <c r="A2176" s="19" t="s">
        <v>323</v>
      </c>
      <c r="B2176" s="20">
        <v>45931</v>
      </c>
      <c r="C2176" s="21">
        <v>169</v>
      </c>
      <c r="D2176" s="21">
        <v>160.5</v>
      </c>
      <c r="E2176" s="21">
        <v>113</v>
      </c>
      <c r="F2176" s="27">
        <f t="shared" si="99"/>
        <v>0.94970414201183428</v>
      </c>
      <c r="G2176" s="21" t="str">
        <f>IFERROR(INDEX(Users!$A$2:$A$310,MATCH(A2176,Users!$B$2:$B$310,0)),"")</f>
        <v>Service A</v>
      </c>
      <c r="H2176" s="21" t="str">
        <f>IFERROR(INDEX(Users!$D$2:$D$310,MATCH(A2176,Users!$B$2:$B$310,0)),"")</f>
        <v>Band 3</v>
      </c>
      <c r="I2176" s="19" t="b">
        <f t="shared" si="100"/>
        <v>1</v>
      </c>
      <c r="J2176" s="33" t="str">
        <f t="shared" si="101"/>
        <v/>
      </c>
    </row>
    <row r="2177" spans="1:10">
      <c r="A2177" s="19" t="s">
        <v>323</v>
      </c>
      <c r="B2177" s="20">
        <v>45962</v>
      </c>
      <c r="C2177" s="21">
        <v>148</v>
      </c>
      <c r="D2177" s="21">
        <v>142.5</v>
      </c>
      <c r="E2177" s="21">
        <v>108.5</v>
      </c>
      <c r="F2177" s="27">
        <f t="shared" si="99"/>
        <v>0.96283783783783783</v>
      </c>
      <c r="G2177" s="21" t="str">
        <f>IFERROR(INDEX(Users!$A$2:$A$310,MATCH(A2177,Users!$B$2:$B$310,0)),"")</f>
        <v>Service A</v>
      </c>
      <c r="H2177" s="21" t="str">
        <f>IFERROR(INDEX(Users!$D$2:$D$310,MATCH(A2177,Users!$B$2:$B$310,0)),"")</f>
        <v>Band 3</v>
      </c>
      <c r="I2177" s="19" t="b">
        <f t="shared" si="100"/>
        <v>1</v>
      </c>
      <c r="J2177" s="33" t="str">
        <f t="shared" si="101"/>
        <v/>
      </c>
    </row>
    <row r="2178" spans="1:10">
      <c r="A2178" s="19" t="s">
        <v>323</v>
      </c>
      <c r="B2178" s="20">
        <v>45992</v>
      </c>
      <c r="C2178" s="21">
        <v>159</v>
      </c>
      <c r="D2178" s="21">
        <v>67.25</v>
      </c>
      <c r="E2178" s="21">
        <v>47</v>
      </c>
      <c r="F2178" s="27">
        <f t="shared" ref="F2178:F2241" si="102">IFERROR(IF(OR(C2178="",D2178="",C2178=0),"",D2178/C2178),"")</f>
        <v>0.42295597484276731</v>
      </c>
      <c r="G2178" s="21" t="str">
        <f>IFERROR(INDEX(Users!$A$2:$A$310,MATCH(A2178,Users!$B$2:$B$310,0)),"")</f>
        <v>Service A</v>
      </c>
      <c r="H2178" s="21" t="str">
        <f>IFERROR(INDEX(Users!$D$2:$D$310,MATCH(A2178,Users!$B$2:$B$310,0)),"")</f>
        <v>Band 3</v>
      </c>
      <c r="I2178" s="19" t="b">
        <f t="shared" ref="I2178:I2241" si="103">AND(G2178="Service A",H2178="Band 3")</f>
        <v>1</v>
      </c>
      <c r="J2178" s="33" t="str">
        <f t="shared" ref="J2178:J2241" si="104">IF(AND(B2178&gt;=DATE(2025,1,1),B2178&lt;DATE(2026,1,1),G2178="Service B",OR(H2178="Band 3",H2178="Band 5"),ISNUMBER(F2178)),F2178,"")</f>
        <v/>
      </c>
    </row>
    <row r="2179" spans="1:10">
      <c r="A2179" s="19" t="s">
        <v>323</v>
      </c>
      <c r="B2179" s="20">
        <v>46023</v>
      </c>
      <c r="C2179" s="21">
        <v>153</v>
      </c>
      <c r="D2179" s="21">
        <v>144.15666666666669</v>
      </c>
      <c r="E2179" s="21">
        <v>105.99000000000001</v>
      </c>
      <c r="F2179" s="27">
        <f t="shared" si="102"/>
        <v>0.94220043572984769</v>
      </c>
      <c r="G2179" s="21" t="str">
        <f>IFERROR(INDEX(Users!$A$2:$A$310,MATCH(A2179,Users!$B$2:$B$310,0)),"")</f>
        <v>Service A</v>
      </c>
      <c r="H2179" s="21" t="str">
        <f>IFERROR(INDEX(Users!$D$2:$D$310,MATCH(A2179,Users!$B$2:$B$310,0)),"")</f>
        <v>Band 3</v>
      </c>
      <c r="I2179" s="19" t="b">
        <f t="shared" si="103"/>
        <v>1</v>
      </c>
      <c r="J2179" s="33" t="str">
        <f t="shared" si="104"/>
        <v/>
      </c>
    </row>
    <row r="2180" spans="1:10">
      <c r="A2180" s="19" t="s">
        <v>324</v>
      </c>
      <c r="B2180" s="20">
        <v>45658</v>
      </c>
      <c r="C2180" s="21">
        <v>164.44444444444443</v>
      </c>
      <c r="D2180" s="21">
        <v>186.00666666666666</v>
      </c>
      <c r="E2180" s="21">
        <v>112.58999999999999</v>
      </c>
      <c r="F2180" s="27">
        <f t="shared" si="102"/>
        <v>1.1311216216216218</v>
      </c>
      <c r="G2180" s="21" t="str">
        <f>IFERROR(INDEX(Users!$A$2:$A$310,MATCH(A2180,Users!$B$2:$B$310,0)),"")</f>
        <v>Service B</v>
      </c>
      <c r="H2180" s="21" t="str">
        <f>IFERROR(INDEX(Users!$D$2:$D$310,MATCH(A2180,Users!$B$2:$B$310,0)),"")</f>
        <v>Band 3</v>
      </c>
      <c r="I2180" s="19" t="b">
        <f t="shared" si="103"/>
        <v>0</v>
      </c>
      <c r="J2180" s="33">
        <f t="shared" si="104"/>
        <v>1.1311216216216218</v>
      </c>
    </row>
    <row r="2181" spans="1:10">
      <c r="A2181" s="19" t="s">
        <v>324</v>
      </c>
      <c r="B2181" s="20">
        <v>45689</v>
      </c>
      <c r="C2181" s="21">
        <v>148</v>
      </c>
      <c r="D2181" s="21">
        <v>153.13999999999999</v>
      </c>
      <c r="E2181" s="21">
        <v>109.69</v>
      </c>
      <c r="F2181" s="27">
        <f t="shared" si="102"/>
        <v>1.0347297297297295</v>
      </c>
      <c r="G2181" s="21" t="str">
        <f>IFERROR(INDEX(Users!$A$2:$A$310,MATCH(A2181,Users!$B$2:$B$310,0)),"")</f>
        <v>Service B</v>
      </c>
      <c r="H2181" s="21" t="str">
        <f>IFERROR(INDEX(Users!$D$2:$D$310,MATCH(A2181,Users!$B$2:$B$310,0)),"")</f>
        <v>Band 3</v>
      </c>
      <c r="I2181" s="19" t="b">
        <f t="shared" si="103"/>
        <v>0</v>
      </c>
      <c r="J2181" s="33">
        <f t="shared" si="104"/>
        <v>1.0347297297297295</v>
      </c>
    </row>
    <row r="2182" spans="1:10">
      <c r="A2182" s="19" t="s">
        <v>325</v>
      </c>
      <c r="B2182" s="20">
        <v>45658</v>
      </c>
      <c r="C2182" s="21">
        <v>162.80000000000001</v>
      </c>
      <c r="D2182" s="21">
        <v>118.97999999999999</v>
      </c>
      <c r="E2182" s="21">
        <v>83.08</v>
      </c>
      <c r="F2182" s="27">
        <f t="shared" si="102"/>
        <v>0.73083538083538069</v>
      </c>
      <c r="G2182" s="21" t="str">
        <f>IFERROR(INDEX(Users!$A$2:$A$310,MATCH(A2182,Users!$B$2:$B$310,0)),"")</f>
        <v>Service A</v>
      </c>
      <c r="H2182" s="21" t="str">
        <f>IFERROR(INDEX(Users!$D$2:$D$310,MATCH(A2182,Users!$B$2:$B$310,0)),"")</f>
        <v>Band 3</v>
      </c>
      <c r="I2182" s="19" t="b">
        <f t="shared" si="103"/>
        <v>1</v>
      </c>
      <c r="J2182" s="33" t="str">
        <f t="shared" si="104"/>
        <v/>
      </c>
    </row>
    <row r="2183" spans="1:10">
      <c r="A2183" s="19" t="s">
        <v>325</v>
      </c>
      <c r="B2183" s="20">
        <v>45689</v>
      </c>
      <c r="C2183" s="21">
        <v>148</v>
      </c>
      <c r="D2183" s="21">
        <v>76.08</v>
      </c>
      <c r="E2183" s="21">
        <v>40.08</v>
      </c>
      <c r="F2183" s="27">
        <f t="shared" si="102"/>
        <v>0.51405405405405402</v>
      </c>
      <c r="G2183" s="21" t="str">
        <f>IFERROR(INDEX(Users!$A$2:$A$310,MATCH(A2183,Users!$B$2:$B$310,0)),"")</f>
        <v>Service A</v>
      </c>
      <c r="H2183" s="21" t="str">
        <f>IFERROR(INDEX(Users!$D$2:$D$310,MATCH(A2183,Users!$B$2:$B$310,0)),"")</f>
        <v>Band 3</v>
      </c>
      <c r="I2183" s="19" t="b">
        <f t="shared" si="103"/>
        <v>1</v>
      </c>
      <c r="J2183" s="33" t="str">
        <f t="shared" si="104"/>
        <v/>
      </c>
    </row>
    <row r="2184" spans="1:10">
      <c r="A2184" s="19" t="s">
        <v>325</v>
      </c>
      <c r="B2184" s="20">
        <v>45717</v>
      </c>
      <c r="C2184" s="21">
        <v>155.4</v>
      </c>
      <c r="D2184" s="21">
        <v>38.5</v>
      </c>
      <c r="E2184" s="21">
        <v>32</v>
      </c>
      <c r="F2184" s="27">
        <f t="shared" si="102"/>
        <v>0.24774774774774774</v>
      </c>
      <c r="G2184" s="21" t="str">
        <f>IFERROR(INDEX(Users!$A$2:$A$310,MATCH(A2184,Users!$B$2:$B$310,0)),"")</f>
        <v>Service A</v>
      </c>
      <c r="H2184" s="21" t="str">
        <f>IFERROR(INDEX(Users!$D$2:$D$310,MATCH(A2184,Users!$B$2:$B$310,0)),"")</f>
        <v>Band 3</v>
      </c>
      <c r="I2184" s="19" t="b">
        <f t="shared" si="103"/>
        <v>1</v>
      </c>
      <c r="J2184" s="33" t="str">
        <f t="shared" si="104"/>
        <v/>
      </c>
    </row>
    <row r="2185" spans="1:10">
      <c r="A2185" s="19" t="s">
        <v>325</v>
      </c>
      <c r="B2185" s="20">
        <v>45748</v>
      </c>
      <c r="C2185" s="21">
        <v>148</v>
      </c>
      <c r="D2185" s="21">
        <v>82.4</v>
      </c>
      <c r="E2185" s="21">
        <v>43</v>
      </c>
      <c r="F2185" s="27">
        <f t="shared" si="102"/>
        <v>0.55675675675675684</v>
      </c>
      <c r="G2185" s="21" t="str">
        <f>IFERROR(INDEX(Users!$A$2:$A$310,MATCH(A2185,Users!$B$2:$B$310,0)),"")</f>
        <v>Service A</v>
      </c>
      <c r="H2185" s="21" t="str">
        <f>IFERROR(INDEX(Users!$D$2:$D$310,MATCH(A2185,Users!$B$2:$B$310,0)),"")</f>
        <v>Band 3</v>
      </c>
      <c r="I2185" s="19" t="b">
        <f t="shared" si="103"/>
        <v>1</v>
      </c>
      <c r="J2185" s="33" t="str">
        <f t="shared" si="104"/>
        <v/>
      </c>
    </row>
    <row r="2186" spans="1:10">
      <c r="A2186" s="19" t="s">
        <v>325</v>
      </c>
      <c r="B2186" s="20">
        <v>45778</v>
      </c>
      <c r="C2186" s="21">
        <v>148</v>
      </c>
      <c r="D2186" s="21">
        <v>7</v>
      </c>
      <c r="E2186" s="21"/>
      <c r="F2186" s="27">
        <f t="shared" si="102"/>
        <v>4.72972972972973E-2</v>
      </c>
      <c r="G2186" s="21" t="str">
        <f>IFERROR(INDEX(Users!$A$2:$A$310,MATCH(A2186,Users!$B$2:$B$310,0)),"")</f>
        <v>Service A</v>
      </c>
      <c r="H2186" s="21" t="str">
        <f>IFERROR(INDEX(Users!$D$2:$D$310,MATCH(A2186,Users!$B$2:$B$310,0)),"")</f>
        <v>Band 3</v>
      </c>
      <c r="I2186" s="19" t="b">
        <f t="shared" si="103"/>
        <v>1</v>
      </c>
      <c r="J2186" s="33" t="str">
        <f t="shared" si="104"/>
        <v/>
      </c>
    </row>
    <row r="2187" spans="1:10">
      <c r="A2187" s="19" t="s">
        <v>325</v>
      </c>
      <c r="B2187" s="20">
        <v>45809</v>
      </c>
      <c r="C2187" s="21">
        <v>155.4</v>
      </c>
      <c r="D2187" s="21">
        <v>49.5</v>
      </c>
      <c r="E2187" s="21"/>
      <c r="F2187" s="27">
        <f t="shared" si="102"/>
        <v>0.31853281853281851</v>
      </c>
      <c r="G2187" s="21" t="str">
        <f>IFERROR(INDEX(Users!$A$2:$A$310,MATCH(A2187,Users!$B$2:$B$310,0)),"")</f>
        <v>Service A</v>
      </c>
      <c r="H2187" s="21" t="str">
        <f>IFERROR(INDEX(Users!$D$2:$D$310,MATCH(A2187,Users!$B$2:$B$310,0)),"")</f>
        <v>Band 3</v>
      </c>
      <c r="I2187" s="19" t="b">
        <f t="shared" si="103"/>
        <v>1</v>
      </c>
      <c r="J2187" s="33" t="str">
        <f t="shared" si="104"/>
        <v/>
      </c>
    </row>
    <row r="2188" spans="1:10">
      <c r="A2188" s="19" t="s">
        <v>325</v>
      </c>
      <c r="B2188" s="20">
        <v>45839</v>
      </c>
      <c r="C2188" s="21">
        <v>170.20000000000002</v>
      </c>
      <c r="D2188" s="21">
        <v>30</v>
      </c>
      <c r="E2188" s="21">
        <v>3.5</v>
      </c>
      <c r="F2188" s="27">
        <f t="shared" si="102"/>
        <v>0.1762632197414806</v>
      </c>
      <c r="G2188" s="21" t="str">
        <f>IFERROR(INDEX(Users!$A$2:$A$310,MATCH(A2188,Users!$B$2:$B$310,0)),"")</f>
        <v>Service A</v>
      </c>
      <c r="H2188" s="21" t="str">
        <f>IFERROR(INDEX(Users!$D$2:$D$310,MATCH(A2188,Users!$B$2:$B$310,0)),"")</f>
        <v>Band 3</v>
      </c>
      <c r="I2188" s="19" t="b">
        <f t="shared" si="103"/>
        <v>1</v>
      </c>
      <c r="J2188" s="33" t="str">
        <f t="shared" si="104"/>
        <v/>
      </c>
    </row>
    <row r="2189" spans="1:10">
      <c r="A2189" s="19" t="s">
        <v>325</v>
      </c>
      <c r="B2189" s="20">
        <v>45870</v>
      </c>
      <c r="C2189" s="21">
        <v>148</v>
      </c>
      <c r="D2189" s="21">
        <v>104.42</v>
      </c>
      <c r="E2189" s="21">
        <v>59.92</v>
      </c>
      <c r="F2189" s="27">
        <f t="shared" si="102"/>
        <v>0.70554054054054061</v>
      </c>
      <c r="G2189" s="21" t="str">
        <f>IFERROR(INDEX(Users!$A$2:$A$310,MATCH(A2189,Users!$B$2:$B$310,0)),"")</f>
        <v>Service A</v>
      </c>
      <c r="H2189" s="21" t="str">
        <f>IFERROR(INDEX(Users!$D$2:$D$310,MATCH(A2189,Users!$B$2:$B$310,0)),"")</f>
        <v>Band 3</v>
      </c>
      <c r="I2189" s="19" t="b">
        <f t="shared" si="103"/>
        <v>1</v>
      </c>
      <c r="J2189" s="33" t="str">
        <f t="shared" si="104"/>
        <v/>
      </c>
    </row>
    <row r="2190" spans="1:10">
      <c r="A2190" s="19" t="s">
        <v>325</v>
      </c>
      <c r="B2190" s="20">
        <v>45901</v>
      </c>
      <c r="C2190" s="21">
        <v>162.80000000000001</v>
      </c>
      <c r="D2190" s="21">
        <v>112</v>
      </c>
      <c r="E2190" s="21">
        <v>84</v>
      </c>
      <c r="F2190" s="27">
        <f t="shared" si="102"/>
        <v>0.68796068796068788</v>
      </c>
      <c r="G2190" s="21" t="str">
        <f>IFERROR(INDEX(Users!$A$2:$A$310,MATCH(A2190,Users!$B$2:$B$310,0)),"")</f>
        <v>Service A</v>
      </c>
      <c r="H2190" s="21" t="str">
        <f>IFERROR(INDEX(Users!$D$2:$D$310,MATCH(A2190,Users!$B$2:$B$310,0)),"")</f>
        <v>Band 3</v>
      </c>
      <c r="I2190" s="19" t="b">
        <f t="shared" si="103"/>
        <v>1</v>
      </c>
      <c r="J2190" s="33" t="str">
        <f t="shared" si="104"/>
        <v/>
      </c>
    </row>
    <row r="2191" spans="1:10">
      <c r="A2191" s="19" t="s">
        <v>325</v>
      </c>
      <c r="B2191" s="20">
        <v>45931</v>
      </c>
      <c r="C2191" s="21">
        <v>170.20000000000002</v>
      </c>
      <c r="D2191" s="21">
        <v>35.5</v>
      </c>
      <c r="E2191" s="21">
        <v>16</v>
      </c>
      <c r="F2191" s="27">
        <f t="shared" si="102"/>
        <v>0.20857814336075203</v>
      </c>
      <c r="G2191" s="21" t="str">
        <f>IFERROR(INDEX(Users!$A$2:$A$310,MATCH(A2191,Users!$B$2:$B$310,0)),"")</f>
        <v>Service A</v>
      </c>
      <c r="H2191" s="21" t="str">
        <f>IFERROR(INDEX(Users!$D$2:$D$310,MATCH(A2191,Users!$B$2:$B$310,0)),"")</f>
        <v>Band 3</v>
      </c>
      <c r="I2191" s="19" t="b">
        <f t="shared" si="103"/>
        <v>1</v>
      </c>
      <c r="J2191" s="33" t="str">
        <f t="shared" si="104"/>
        <v/>
      </c>
    </row>
    <row r="2192" spans="1:10">
      <c r="A2192" s="19" t="s">
        <v>325</v>
      </c>
      <c r="B2192" s="20">
        <v>45962</v>
      </c>
      <c r="C2192" s="21">
        <v>148</v>
      </c>
      <c r="D2192" s="21">
        <v>74</v>
      </c>
      <c r="E2192" s="21">
        <v>49.5</v>
      </c>
      <c r="F2192" s="27">
        <f t="shared" si="102"/>
        <v>0.5</v>
      </c>
      <c r="G2192" s="21" t="str">
        <f>IFERROR(INDEX(Users!$A$2:$A$310,MATCH(A2192,Users!$B$2:$B$310,0)),"")</f>
        <v>Service A</v>
      </c>
      <c r="H2192" s="21" t="str">
        <f>IFERROR(INDEX(Users!$D$2:$D$310,MATCH(A2192,Users!$B$2:$B$310,0)),"")</f>
        <v>Band 3</v>
      </c>
      <c r="I2192" s="19" t="b">
        <f t="shared" si="103"/>
        <v>1</v>
      </c>
      <c r="J2192" s="33" t="str">
        <f t="shared" si="104"/>
        <v/>
      </c>
    </row>
    <row r="2193" spans="1:10">
      <c r="A2193" s="19" t="s">
        <v>325</v>
      </c>
      <c r="B2193" s="20">
        <v>45992</v>
      </c>
      <c r="C2193" s="21">
        <v>155.4</v>
      </c>
      <c r="D2193" s="21"/>
      <c r="E2193" s="21"/>
      <c r="F2193" s="27" t="str">
        <f t="shared" si="102"/>
        <v/>
      </c>
      <c r="G2193" s="21" t="str">
        <f>IFERROR(INDEX(Users!$A$2:$A$310,MATCH(A2193,Users!$B$2:$B$310,0)),"")</f>
        <v>Service A</v>
      </c>
      <c r="H2193" s="21" t="str">
        <f>IFERROR(INDEX(Users!$D$2:$D$310,MATCH(A2193,Users!$B$2:$B$310,0)),"")</f>
        <v>Band 3</v>
      </c>
      <c r="I2193" s="19" t="b">
        <f t="shared" si="103"/>
        <v>1</v>
      </c>
      <c r="J2193" s="33" t="str">
        <f t="shared" si="104"/>
        <v/>
      </c>
    </row>
    <row r="2194" spans="1:10">
      <c r="A2194" s="19" t="s">
        <v>325</v>
      </c>
      <c r="B2194" s="20">
        <v>46023</v>
      </c>
      <c r="C2194" s="21">
        <v>155.4</v>
      </c>
      <c r="D2194" s="21"/>
      <c r="E2194" s="21"/>
      <c r="F2194" s="27" t="str">
        <f t="shared" si="102"/>
        <v/>
      </c>
      <c r="G2194" s="21" t="str">
        <f>IFERROR(INDEX(Users!$A$2:$A$310,MATCH(A2194,Users!$B$2:$B$310,0)),"")</f>
        <v>Service A</v>
      </c>
      <c r="H2194" s="21" t="str">
        <f>IFERROR(INDEX(Users!$D$2:$D$310,MATCH(A2194,Users!$B$2:$B$310,0)),"")</f>
        <v>Band 3</v>
      </c>
      <c r="I2194" s="19" t="b">
        <f t="shared" si="103"/>
        <v>1</v>
      </c>
      <c r="J2194" s="33" t="str">
        <f t="shared" si="104"/>
        <v/>
      </c>
    </row>
    <row r="2195" spans="1:10">
      <c r="A2195" s="19" t="s">
        <v>326</v>
      </c>
      <c r="B2195" s="20">
        <v>45717</v>
      </c>
      <c r="C2195" s="21">
        <v>44.400000000000006</v>
      </c>
      <c r="D2195" s="21"/>
      <c r="E2195" s="21"/>
      <c r="F2195" s="27" t="str">
        <f t="shared" si="102"/>
        <v/>
      </c>
      <c r="G2195" s="21" t="str">
        <f>IFERROR(INDEX(Users!$A$2:$A$310,MATCH(A2195,Users!$B$2:$B$310,0)),"")</f>
        <v>Service B</v>
      </c>
      <c r="H2195" s="21" t="str">
        <f>IFERROR(INDEX(Users!$D$2:$D$310,MATCH(A2195,Users!$B$2:$B$310,0)),"")</f>
        <v>Band 5</v>
      </c>
      <c r="I2195" s="19" t="b">
        <f t="shared" si="103"/>
        <v>0</v>
      </c>
      <c r="J2195" s="33" t="str">
        <f t="shared" si="104"/>
        <v/>
      </c>
    </row>
    <row r="2196" spans="1:10">
      <c r="A2196" s="19" t="s">
        <v>326</v>
      </c>
      <c r="B2196" s="20">
        <v>45748</v>
      </c>
      <c r="C2196" s="21">
        <v>148</v>
      </c>
      <c r="D2196" s="21">
        <v>22.5</v>
      </c>
      <c r="E2196" s="21"/>
      <c r="F2196" s="27">
        <f t="shared" si="102"/>
        <v>0.15202702702702703</v>
      </c>
      <c r="G2196" s="21" t="str">
        <f>IFERROR(INDEX(Users!$A$2:$A$310,MATCH(A2196,Users!$B$2:$B$310,0)),"")</f>
        <v>Service B</v>
      </c>
      <c r="H2196" s="21" t="str">
        <f>IFERROR(INDEX(Users!$D$2:$D$310,MATCH(A2196,Users!$B$2:$B$310,0)),"")</f>
        <v>Band 5</v>
      </c>
      <c r="I2196" s="19" t="b">
        <f t="shared" si="103"/>
        <v>0</v>
      </c>
      <c r="J2196" s="33">
        <f t="shared" si="104"/>
        <v>0.15202702702702703</v>
      </c>
    </row>
    <row r="2197" spans="1:10">
      <c r="A2197" s="19" t="s">
        <v>326</v>
      </c>
      <c r="B2197" s="20">
        <v>45778</v>
      </c>
      <c r="C2197" s="21">
        <v>148</v>
      </c>
      <c r="D2197" s="21">
        <v>99.39</v>
      </c>
      <c r="E2197" s="21">
        <v>15.64</v>
      </c>
      <c r="F2197" s="27">
        <f t="shared" si="102"/>
        <v>0.67155405405405411</v>
      </c>
      <c r="G2197" s="21" t="str">
        <f>IFERROR(INDEX(Users!$A$2:$A$310,MATCH(A2197,Users!$B$2:$B$310,0)),"")</f>
        <v>Service B</v>
      </c>
      <c r="H2197" s="21" t="str">
        <f>IFERROR(INDEX(Users!$D$2:$D$310,MATCH(A2197,Users!$B$2:$B$310,0)),"")</f>
        <v>Band 5</v>
      </c>
      <c r="I2197" s="19" t="b">
        <f t="shared" si="103"/>
        <v>0</v>
      </c>
      <c r="J2197" s="33">
        <f t="shared" si="104"/>
        <v>0.67155405405405411</v>
      </c>
    </row>
    <row r="2198" spans="1:10">
      <c r="A2198" s="19" t="s">
        <v>326</v>
      </c>
      <c r="B2198" s="20">
        <v>45809</v>
      </c>
      <c r="C2198" s="21">
        <v>155.4</v>
      </c>
      <c r="D2198" s="21">
        <v>90.816666666666663</v>
      </c>
      <c r="E2198" s="21">
        <v>23.150000000000006</v>
      </c>
      <c r="F2198" s="27">
        <f t="shared" si="102"/>
        <v>0.58440583440583438</v>
      </c>
      <c r="G2198" s="21" t="str">
        <f>IFERROR(INDEX(Users!$A$2:$A$310,MATCH(A2198,Users!$B$2:$B$310,0)),"")</f>
        <v>Service B</v>
      </c>
      <c r="H2198" s="21" t="str">
        <f>IFERROR(INDEX(Users!$D$2:$D$310,MATCH(A2198,Users!$B$2:$B$310,0)),"")</f>
        <v>Band 5</v>
      </c>
      <c r="I2198" s="19" t="b">
        <f t="shared" si="103"/>
        <v>0</v>
      </c>
      <c r="J2198" s="33">
        <f t="shared" si="104"/>
        <v>0.58440583440583438</v>
      </c>
    </row>
    <row r="2199" spans="1:10">
      <c r="A2199" s="19" t="s">
        <v>326</v>
      </c>
      <c r="B2199" s="20">
        <v>45839</v>
      </c>
      <c r="C2199" s="21">
        <v>170.20000000000002</v>
      </c>
      <c r="D2199" s="21">
        <v>132.71666666666667</v>
      </c>
      <c r="E2199" s="21">
        <v>55.7</v>
      </c>
      <c r="F2199" s="27">
        <f t="shared" si="102"/>
        <v>0.77976889933411664</v>
      </c>
      <c r="G2199" s="21" t="str">
        <f>IFERROR(INDEX(Users!$A$2:$A$310,MATCH(A2199,Users!$B$2:$B$310,0)),"")</f>
        <v>Service B</v>
      </c>
      <c r="H2199" s="21" t="str">
        <f>IFERROR(INDEX(Users!$D$2:$D$310,MATCH(A2199,Users!$B$2:$B$310,0)),"")</f>
        <v>Band 5</v>
      </c>
      <c r="I2199" s="19" t="b">
        <f t="shared" si="103"/>
        <v>0</v>
      </c>
      <c r="J2199" s="33">
        <f t="shared" si="104"/>
        <v>0.77976889933411664</v>
      </c>
    </row>
    <row r="2200" spans="1:10">
      <c r="A2200" s="19" t="s">
        <v>326</v>
      </c>
      <c r="B2200" s="20">
        <v>45870</v>
      </c>
      <c r="C2200" s="21">
        <v>148</v>
      </c>
      <c r="D2200" s="21">
        <v>106.81000000000002</v>
      </c>
      <c r="E2200" s="21">
        <v>66.310000000000031</v>
      </c>
      <c r="F2200" s="27">
        <f t="shared" si="102"/>
        <v>0.72168918918918934</v>
      </c>
      <c r="G2200" s="21" t="str">
        <f>IFERROR(INDEX(Users!$A$2:$A$310,MATCH(A2200,Users!$B$2:$B$310,0)),"")</f>
        <v>Service B</v>
      </c>
      <c r="H2200" s="21" t="str">
        <f>IFERROR(INDEX(Users!$D$2:$D$310,MATCH(A2200,Users!$B$2:$B$310,0)),"")</f>
        <v>Band 5</v>
      </c>
      <c r="I2200" s="19" t="b">
        <f t="shared" si="103"/>
        <v>0</v>
      </c>
      <c r="J2200" s="33">
        <f t="shared" si="104"/>
        <v>0.72168918918918934</v>
      </c>
    </row>
    <row r="2201" spans="1:10">
      <c r="A2201" s="19" t="s">
        <v>326</v>
      </c>
      <c r="B2201" s="20">
        <v>45901</v>
      </c>
      <c r="C2201" s="21">
        <v>162.80000000000001</v>
      </c>
      <c r="D2201" s="21">
        <v>117.04333333333338</v>
      </c>
      <c r="E2201" s="21">
        <v>78.460000000000051</v>
      </c>
      <c r="F2201" s="27">
        <f t="shared" si="102"/>
        <v>0.71893939393939421</v>
      </c>
      <c r="G2201" s="21" t="str">
        <f>IFERROR(INDEX(Users!$A$2:$A$310,MATCH(A2201,Users!$B$2:$B$310,0)),"")</f>
        <v>Service B</v>
      </c>
      <c r="H2201" s="21" t="str">
        <f>IFERROR(INDEX(Users!$D$2:$D$310,MATCH(A2201,Users!$B$2:$B$310,0)),"")</f>
        <v>Band 5</v>
      </c>
      <c r="I2201" s="19" t="b">
        <f t="shared" si="103"/>
        <v>0</v>
      </c>
      <c r="J2201" s="33">
        <f t="shared" si="104"/>
        <v>0.71893939393939421</v>
      </c>
    </row>
    <row r="2202" spans="1:10">
      <c r="A2202" s="19" t="s">
        <v>326</v>
      </c>
      <c r="B2202" s="20">
        <v>45931</v>
      </c>
      <c r="C2202" s="21">
        <v>170.20000000000002</v>
      </c>
      <c r="D2202" s="21">
        <v>168.16666666666677</v>
      </c>
      <c r="E2202" s="21">
        <v>98.500000000000099</v>
      </c>
      <c r="F2202" s="27">
        <f t="shared" si="102"/>
        <v>0.9880532706619668</v>
      </c>
      <c r="G2202" s="21" t="str">
        <f>IFERROR(INDEX(Users!$A$2:$A$310,MATCH(A2202,Users!$B$2:$B$310,0)),"")</f>
        <v>Service B</v>
      </c>
      <c r="H2202" s="21" t="str">
        <f>IFERROR(INDEX(Users!$D$2:$D$310,MATCH(A2202,Users!$B$2:$B$310,0)),"")</f>
        <v>Band 5</v>
      </c>
      <c r="I2202" s="19" t="b">
        <f t="shared" si="103"/>
        <v>0</v>
      </c>
      <c r="J2202" s="33">
        <f t="shared" si="104"/>
        <v>0.9880532706619668</v>
      </c>
    </row>
    <row r="2203" spans="1:10">
      <c r="A2203" s="19" t="s">
        <v>326</v>
      </c>
      <c r="B2203" s="20">
        <v>45962</v>
      </c>
      <c r="C2203" s="21">
        <v>148</v>
      </c>
      <c r="D2203" s="21">
        <v>130.65666666666667</v>
      </c>
      <c r="E2203" s="21">
        <v>67.489999999999995</v>
      </c>
      <c r="F2203" s="27">
        <f t="shared" si="102"/>
        <v>0.88281531531531532</v>
      </c>
      <c r="G2203" s="21" t="str">
        <f>IFERROR(INDEX(Users!$A$2:$A$310,MATCH(A2203,Users!$B$2:$B$310,0)),"")</f>
        <v>Service B</v>
      </c>
      <c r="H2203" s="21" t="str">
        <f>IFERROR(INDEX(Users!$D$2:$D$310,MATCH(A2203,Users!$B$2:$B$310,0)),"")</f>
        <v>Band 5</v>
      </c>
      <c r="I2203" s="19" t="b">
        <f t="shared" si="103"/>
        <v>0</v>
      </c>
      <c r="J2203" s="33">
        <f t="shared" si="104"/>
        <v>0.88281531531531532</v>
      </c>
    </row>
    <row r="2204" spans="1:10">
      <c r="A2204" s="19" t="s">
        <v>326</v>
      </c>
      <c r="B2204" s="20">
        <v>45992</v>
      </c>
      <c r="C2204" s="21">
        <v>155.4</v>
      </c>
      <c r="D2204" s="21">
        <v>90.226666666666674</v>
      </c>
      <c r="E2204" s="21">
        <v>15.06</v>
      </c>
      <c r="F2204" s="27">
        <f t="shared" si="102"/>
        <v>0.58060918060918065</v>
      </c>
      <c r="G2204" s="21" t="str">
        <f>IFERROR(INDEX(Users!$A$2:$A$310,MATCH(A2204,Users!$B$2:$B$310,0)),"")</f>
        <v>Service B</v>
      </c>
      <c r="H2204" s="21" t="str">
        <f>IFERROR(INDEX(Users!$D$2:$D$310,MATCH(A2204,Users!$B$2:$B$310,0)),"")</f>
        <v>Band 5</v>
      </c>
      <c r="I2204" s="19" t="b">
        <f t="shared" si="103"/>
        <v>0</v>
      </c>
      <c r="J2204" s="33">
        <f t="shared" si="104"/>
        <v>0.58060918060918065</v>
      </c>
    </row>
    <row r="2205" spans="1:10">
      <c r="A2205" s="19" t="s">
        <v>326</v>
      </c>
      <c r="B2205" s="20">
        <v>46023</v>
      </c>
      <c r="C2205" s="21">
        <v>155.4</v>
      </c>
      <c r="D2205" s="21">
        <v>142.5</v>
      </c>
      <c r="E2205" s="21"/>
      <c r="F2205" s="27">
        <f t="shared" si="102"/>
        <v>0.91698841698841693</v>
      </c>
      <c r="G2205" s="21" t="str">
        <f>IFERROR(INDEX(Users!$A$2:$A$310,MATCH(A2205,Users!$B$2:$B$310,0)),"")</f>
        <v>Service B</v>
      </c>
      <c r="H2205" s="21" t="str">
        <f>IFERROR(INDEX(Users!$D$2:$D$310,MATCH(A2205,Users!$B$2:$B$310,0)),"")</f>
        <v>Band 5</v>
      </c>
      <c r="I2205" s="19" t="b">
        <f t="shared" si="103"/>
        <v>0</v>
      </c>
      <c r="J2205" s="33" t="str">
        <f t="shared" si="104"/>
        <v/>
      </c>
    </row>
    <row r="2206" spans="1:10">
      <c r="A2206" s="19" t="s">
        <v>327</v>
      </c>
      <c r="B2206" s="20">
        <v>45658</v>
      </c>
      <c r="C2206" s="21">
        <v>162.80000000000001</v>
      </c>
      <c r="D2206" s="21">
        <v>152.5</v>
      </c>
      <c r="E2206" s="21">
        <v>119.75</v>
      </c>
      <c r="F2206" s="27">
        <f t="shared" si="102"/>
        <v>0.93673218673218661</v>
      </c>
      <c r="G2206" s="21" t="str">
        <f>IFERROR(INDEX(Users!$A$2:$A$310,MATCH(A2206,Users!$B$2:$B$310,0)),"")</f>
        <v>Service A</v>
      </c>
      <c r="H2206" s="21" t="str">
        <f>IFERROR(INDEX(Users!$D$2:$D$310,MATCH(A2206,Users!$B$2:$B$310,0)),"")</f>
        <v>Band 3</v>
      </c>
      <c r="I2206" s="19" t="b">
        <f t="shared" si="103"/>
        <v>1</v>
      </c>
      <c r="J2206" s="33" t="str">
        <f t="shared" si="104"/>
        <v/>
      </c>
    </row>
    <row r="2207" spans="1:10">
      <c r="A2207" s="19" t="s">
        <v>327</v>
      </c>
      <c r="B2207" s="20">
        <v>45689</v>
      </c>
      <c r="C2207" s="21">
        <v>148</v>
      </c>
      <c r="D2207" s="21">
        <v>81.5</v>
      </c>
      <c r="E2207" s="21">
        <v>64</v>
      </c>
      <c r="F2207" s="27">
        <f t="shared" si="102"/>
        <v>0.55067567567567566</v>
      </c>
      <c r="G2207" s="21" t="str">
        <f>IFERROR(INDEX(Users!$A$2:$A$310,MATCH(A2207,Users!$B$2:$B$310,0)),"")</f>
        <v>Service A</v>
      </c>
      <c r="H2207" s="21" t="str">
        <f>IFERROR(INDEX(Users!$D$2:$D$310,MATCH(A2207,Users!$B$2:$B$310,0)),"")</f>
        <v>Band 3</v>
      </c>
      <c r="I2207" s="19" t="b">
        <f t="shared" si="103"/>
        <v>1</v>
      </c>
      <c r="J2207" s="33" t="str">
        <f t="shared" si="104"/>
        <v/>
      </c>
    </row>
    <row r="2208" spans="1:10">
      <c r="A2208" s="19" t="s">
        <v>327</v>
      </c>
      <c r="B2208" s="20">
        <v>45717</v>
      </c>
      <c r="C2208" s="21">
        <v>155.4</v>
      </c>
      <c r="D2208" s="21">
        <v>155.5</v>
      </c>
      <c r="E2208" s="21">
        <v>106.5</v>
      </c>
      <c r="F2208" s="27">
        <f t="shared" si="102"/>
        <v>1.0006435006435006</v>
      </c>
      <c r="G2208" s="21" t="str">
        <f>IFERROR(INDEX(Users!$A$2:$A$310,MATCH(A2208,Users!$B$2:$B$310,0)),"")</f>
        <v>Service A</v>
      </c>
      <c r="H2208" s="21" t="str">
        <f>IFERROR(INDEX(Users!$D$2:$D$310,MATCH(A2208,Users!$B$2:$B$310,0)),"")</f>
        <v>Band 3</v>
      </c>
      <c r="I2208" s="19" t="b">
        <f t="shared" si="103"/>
        <v>1</v>
      </c>
      <c r="J2208" s="33" t="str">
        <f t="shared" si="104"/>
        <v/>
      </c>
    </row>
    <row r="2209" spans="1:10">
      <c r="A2209" s="19" t="s">
        <v>327</v>
      </c>
      <c r="B2209" s="20">
        <v>45748</v>
      </c>
      <c r="C2209" s="21">
        <v>148</v>
      </c>
      <c r="D2209" s="21">
        <v>148.13999999999999</v>
      </c>
      <c r="E2209" s="21">
        <v>107.74</v>
      </c>
      <c r="F2209" s="27">
        <f t="shared" si="102"/>
        <v>1.0009459459459458</v>
      </c>
      <c r="G2209" s="21" t="str">
        <f>IFERROR(INDEX(Users!$A$2:$A$310,MATCH(A2209,Users!$B$2:$B$310,0)),"")</f>
        <v>Service A</v>
      </c>
      <c r="H2209" s="21" t="str">
        <f>IFERROR(INDEX(Users!$D$2:$D$310,MATCH(A2209,Users!$B$2:$B$310,0)),"")</f>
        <v>Band 3</v>
      </c>
      <c r="I2209" s="19" t="b">
        <f t="shared" si="103"/>
        <v>1</v>
      </c>
      <c r="J2209" s="33" t="str">
        <f t="shared" si="104"/>
        <v/>
      </c>
    </row>
    <row r="2210" spans="1:10">
      <c r="A2210" s="19" t="s">
        <v>327</v>
      </c>
      <c r="B2210" s="20">
        <v>45778</v>
      </c>
      <c r="C2210" s="21">
        <v>148</v>
      </c>
      <c r="D2210" s="21">
        <v>81.67</v>
      </c>
      <c r="E2210" s="21">
        <v>62.17</v>
      </c>
      <c r="F2210" s="27">
        <f t="shared" si="102"/>
        <v>0.55182432432432438</v>
      </c>
      <c r="G2210" s="21" t="str">
        <f>IFERROR(INDEX(Users!$A$2:$A$310,MATCH(A2210,Users!$B$2:$B$310,0)),"")</f>
        <v>Service A</v>
      </c>
      <c r="H2210" s="21" t="str">
        <f>IFERROR(INDEX(Users!$D$2:$D$310,MATCH(A2210,Users!$B$2:$B$310,0)),"")</f>
        <v>Band 3</v>
      </c>
      <c r="I2210" s="19" t="b">
        <f t="shared" si="103"/>
        <v>1</v>
      </c>
      <c r="J2210" s="33" t="str">
        <f t="shared" si="104"/>
        <v/>
      </c>
    </row>
    <row r="2211" spans="1:10">
      <c r="A2211" s="19" t="s">
        <v>327</v>
      </c>
      <c r="B2211" s="20">
        <v>45809</v>
      </c>
      <c r="C2211" s="21">
        <v>155.4</v>
      </c>
      <c r="D2211" s="21">
        <v>119</v>
      </c>
      <c r="E2211" s="21">
        <v>79.5</v>
      </c>
      <c r="F2211" s="27">
        <f t="shared" si="102"/>
        <v>0.76576576576576572</v>
      </c>
      <c r="G2211" s="21" t="str">
        <f>IFERROR(INDEX(Users!$A$2:$A$310,MATCH(A2211,Users!$B$2:$B$310,0)),"")</f>
        <v>Service A</v>
      </c>
      <c r="H2211" s="21" t="str">
        <f>IFERROR(INDEX(Users!$D$2:$D$310,MATCH(A2211,Users!$B$2:$B$310,0)),"")</f>
        <v>Band 3</v>
      </c>
      <c r="I2211" s="19" t="b">
        <f t="shared" si="103"/>
        <v>1</v>
      </c>
      <c r="J2211" s="33" t="str">
        <f t="shared" si="104"/>
        <v/>
      </c>
    </row>
    <row r="2212" spans="1:10">
      <c r="A2212" s="19" t="s">
        <v>327</v>
      </c>
      <c r="B2212" s="20">
        <v>45839</v>
      </c>
      <c r="C2212" s="21">
        <v>170.20000000000002</v>
      </c>
      <c r="D2212" s="21">
        <v>167.5</v>
      </c>
      <c r="E2212" s="21">
        <v>117.5</v>
      </c>
      <c r="F2212" s="27">
        <f t="shared" si="102"/>
        <v>0.98413631022326664</v>
      </c>
      <c r="G2212" s="21" t="str">
        <f>IFERROR(INDEX(Users!$A$2:$A$310,MATCH(A2212,Users!$B$2:$B$310,0)),"")</f>
        <v>Service A</v>
      </c>
      <c r="H2212" s="21" t="str">
        <f>IFERROR(INDEX(Users!$D$2:$D$310,MATCH(A2212,Users!$B$2:$B$310,0)),"")</f>
        <v>Band 3</v>
      </c>
      <c r="I2212" s="19" t="b">
        <f t="shared" si="103"/>
        <v>1</v>
      </c>
      <c r="J2212" s="33" t="str">
        <f t="shared" si="104"/>
        <v/>
      </c>
    </row>
    <row r="2213" spans="1:10">
      <c r="A2213" s="19" t="s">
        <v>327</v>
      </c>
      <c r="B2213" s="20">
        <v>45870</v>
      </c>
      <c r="C2213" s="21">
        <v>148</v>
      </c>
      <c r="D2213" s="21">
        <v>111.5</v>
      </c>
      <c r="E2213" s="21">
        <v>78.5</v>
      </c>
      <c r="F2213" s="27">
        <f t="shared" si="102"/>
        <v>0.7533783783783784</v>
      </c>
      <c r="G2213" s="21" t="str">
        <f>IFERROR(INDEX(Users!$A$2:$A$310,MATCH(A2213,Users!$B$2:$B$310,0)),"")</f>
        <v>Service A</v>
      </c>
      <c r="H2213" s="21" t="str">
        <f>IFERROR(INDEX(Users!$D$2:$D$310,MATCH(A2213,Users!$B$2:$B$310,0)),"")</f>
        <v>Band 3</v>
      </c>
      <c r="I2213" s="19" t="b">
        <f t="shared" si="103"/>
        <v>1</v>
      </c>
      <c r="J2213" s="33" t="str">
        <f t="shared" si="104"/>
        <v/>
      </c>
    </row>
    <row r="2214" spans="1:10">
      <c r="A2214" s="19" t="s">
        <v>327</v>
      </c>
      <c r="B2214" s="20">
        <v>45901</v>
      </c>
      <c r="C2214" s="21">
        <v>162.80000000000001</v>
      </c>
      <c r="D2214" s="21">
        <v>158.19999999999999</v>
      </c>
      <c r="E2214" s="21">
        <v>71</v>
      </c>
      <c r="F2214" s="27">
        <f t="shared" si="102"/>
        <v>0.97174447174447165</v>
      </c>
      <c r="G2214" s="21" t="str">
        <f>IFERROR(INDEX(Users!$A$2:$A$310,MATCH(A2214,Users!$B$2:$B$310,0)),"")</f>
        <v>Service A</v>
      </c>
      <c r="H2214" s="21" t="str">
        <f>IFERROR(INDEX(Users!$D$2:$D$310,MATCH(A2214,Users!$B$2:$B$310,0)),"")</f>
        <v>Band 3</v>
      </c>
      <c r="I2214" s="19" t="b">
        <f t="shared" si="103"/>
        <v>1</v>
      </c>
      <c r="J2214" s="33" t="str">
        <f t="shared" si="104"/>
        <v/>
      </c>
    </row>
    <row r="2215" spans="1:10">
      <c r="A2215" s="19" t="s">
        <v>327</v>
      </c>
      <c r="B2215" s="20">
        <v>45931</v>
      </c>
      <c r="C2215" s="21">
        <v>170.20000000000002</v>
      </c>
      <c r="D2215" s="21">
        <v>147.9</v>
      </c>
      <c r="E2215" s="21">
        <v>94.5</v>
      </c>
      <c r="F2215" s="27">
        <f t="shared" si="102"/>
        <v>0.86897767332549936</v>
      </c>
      <c r="G2215" s="21" t="str">
        <f>IFERROR(INDEX(Users!$A$2:$A$310,MATCH(A2215,Users!$B$2:$B$310,0)),"")</f>
        <v>Service A</v>
      </c>
      <c r="H2215" s="21" t="str">
        <f>IFERROR(INDEX(Users!$D$2:$D$310,MATCH(A2215,Users!$B$2:$B$310,0)),"")</f>
        <v>Band 3</v>
      </c>
      <c r="I2215" s="19" t="b">
        <f t="shared" si="103"/>
        <v>1</v>
      </c>
      <c r="J2215" s="33" t="str">
        <f t="shared" si="104"/>
        <v/>
      </c>
    </row>
    <row r="2216" spans="1:10">
      <c r="A2216" s="19" t="s">
        <v>327</v>
      </c>
      <c r="B2216" s="20">
        <v>45962</v>
      </c>
      <c r="C2216" s="21">
        <v>148</v>
      </c>
      <c r="D2216" s="21">
        <v>148</v>
      </c>
      <c r="E2216" s="21">
        <v>103.5</v>
      </c>
      <c r="F2216" s="27">
        <f t="shared" si="102"/>
        <v>1</v>
      </c>
      <c r="G2216" s="21" t="str">
        <f>IFERROR(INDEX(Users!$A$2:$A$310,MATCH(A2216,Users!$B$2:$B$310,0)),"")</f>
        <v>Service A</v>
      </c>
      <c r="H2216" s="21" t="str">
        <f>IFERROR(INDEX(Users!$D$2:$D$310,MATCH(A2216,Users!$B$2:$B$310,0)),"")</f>
        <v>Band 3</v>
      </c>
      <c r="I2216" s="19" t="b">
        <f t="shared" si="103"/>
        <v>1</v>
      </c>
      <c r="J2216" s="33" t="str">
        <f t="shared" si="104"/>
        <v/>
      </c>
    </row>
    <row r="2217" spans="1:10">
      <c r="A2217" s="19" t="s">
        <v>327</v>
      </c>
      <c r="B2217" s="20">
        <v>45992</v>
      </c>
      <c r="C2217" s="21">
        <v>155.4</v>
      </c>
      <c r="D2217" s="21">
        <v>156.5</v>
      </c>
      <c r="E2217" s="21">
        <v>108.5</v>
      </c>
      <c r="F2217" s="27">
        <f t="shared" si="102"/>
        <v>1.0070785070785071</v>
      </c>
      <c r="G2217" s="21" t="str">
        <f>IFERROR(INDEX(Users!$A$2:$A$310,MATCH(A2217,Users!$B$2:$B$310,0)),"")</f>
        <v>Service A</v>
      </c>
      <c r="H2217" s="21" t="str">
        <f>IFERROR(INDEX(Users!$D$2:$D$310,MATCH(A2217,Users!$B$2:$B$310,0)),"")</f>
        <v>Band 3</v>
      </c>
      <c r="I2217" s="19" t="b">
        <f t="shared" si="103"/>
        <v>1</v>
      </c>
      <c r="J2217" s="33" t="str">
        <f t="shared" si="104"/>
        <v/>
      </c>
    </row>
    <row r="2218" spans="1:10">
      <c r="A2218" s="19" t="s">
        <v>327</v>
      </c>
      <c r="B2218" s="20">
        <v>46023</v>
      </c>
      <c r="C2218" s="21">
        <v>155.4</v>
      </c>
      <c r="D2218" s="21">
        <v>96.5</v>
      </c>
      <c r="E2218" s="21">
        <v>58.5</v>
      </c>
      <c r="F2218" s="27">
        <f t="shared" si="102"/>
        <v>0.620978120978121</v>
      </c>
      <c r="G2218" s="21" t="str">
        <f>IFERROR(INDEX(Users!$A$2:$A$310,MATCH(A2218,Users!$B$2:$B$310,0)),"")</f>
        <v>Service A</v>
      </c>
      <c r="H2218" s="21" t="str">
        <f>IFERROR(INDEX(Users!$D$2:$D$310,MATCH(A2218,Users!$B$2:$B$310,0)),"")</f>
        <v>Band 3</v>
      </c>
      <c r="I2218" s="19" t="b">
        <f t="shared" si="103"/>
        <v>1</v>
      </c>
      <c r="J2218" s="33" t="str">
        <f t="shared" si="104"/>
        <v/>
      </c>
    </row>
    <row r="2219" spans="1:10">
      <c r="A2219" s="19" t="s">
        <v>328</v>
      </c>
      <c r="B2219" s="20">
        <v>45717</v>
      </c>
      <c r="C2219" s="21">
        <v>118.4</v>
      </c>
      <c r="D2219" s="21">
        <v>134.93333333333334</v>
      </c>
      <c r="E2219" s="21">
        <v>2</v>
      </c>
      <c r="F2219" s="27">
        <f t="shared" si="102"/>
        <v>1.1396396396396395</v>
      </c>
      <c r="G2219" s="21" t="str">
        <f>IFERROR(INDEX(Users!$A$2:$A$310,MATCH(A2219,Users!$B$2:$B$310,0)),"")</f>
        <v>Service B</v>
      </c>
      <c r="H2219" s="21" t="str">
        <f>IFERROR(INDEX(Users!$D$2:$D$310,MATCH(A2219,Users!$B$2:$B$310,0)),"")</f>
        <v>Band 3</v>
      </c>
      <c r="I2219" s="19" t="b">
        <f t="shared" si="103"/>
        <v>0</v>
      </c>
      <c r="J2219" s="33">
        <f t="shared" si="104"/>
        <v>1.1396396396396395</v>
      </c>
    </row>
    <row r="2220" spans="1:10">
      <c r="A2220" s="19" t="s">
        <v>328</v>
      </c>
      <c r="B2220" s="20">
        <v>45748</v>
      </c>
      <c r="C2220" s="21">
        <v>148</v>
      </c>
      <c r="D2220" s="21">
        <v>115.37333333333336</v>
      </c>
      <c r="E2220" s="21">
        <v>7.54</v>
      </c>
      <c r="F2220" s="27">
        <f t="shared" si="102"/>
        <v>0.7795495495495498</v>
      </c>
      <c r="G2220" s="21" t="str">
        <f>IFERROR(INDEX(Users!$A$2:$A$310,MATCH(A2220,Users!$B$2:$B$310,0)),"")</f>
        <v>Service B</v>
      </c>
      <c r="H2220" s="21" t="str">
        <f>IFERROR(INDEX(Users!$D$2:$D$310,MATCH(A2220,Users!$B$2:$B$310,0)),"")</f>
        <v>Band 3</v>
      </c>
      <c r="I2220" s="19" t="b">
        <f t="shared" si="103"/>
        <v>0</v>
      </c>
      <c r="J2220" s="33">
        <f t="shared" si="104"/>
        <v>0.7795495495495498</v>
      </c>
    </row>
    <row r="2221" spans="1:10">
      <c r="A2221" s="19" t="s">
        <v>328</v>
      </c>
      <c r="B2221" s="20">
        <v>45778</v>
      </c>
      <c r="C2221" s="21">
        <v>148</v>
      </c>
      <c r="D2221" s="21">
        <v>115.6</v>
      </c>
      <c r="E2221" s="21">
        <v>51.1</v>
      </c>
      <c r="F2221" s="27">
        <f t="shared" si="102"/>
        <v>0.7810810810810811</v>
      </c>
      <c r="G2221" s="21" t="str">
        <f>IFERROR(INDEX(Users!$A$2:$A$310,MATCH(A2221,Users!$B$2:$B$310,0)),"")</f>
        <v>Service B</v>
      </c>
      <c r="H2221" s="21" t="str">
        <f>IFERROR(INDEX(Users!$D$2:$D$310,MATCH(A2221,Users!$B$2:$B$310,0)),"")</f>
        <v>Band 3</v>
      </c>
      <c r="I2221" s="19" t="b">
        <f t="shared" si="103"/>
        <v>0</v>
      </c>
      <c r="J2221" s="33">
        <f t="shared" si="104"/>
        <v>0.7810810810810811</v>
      </c>
    </row>
    <row r="2222" spans="1:10">
      <c r="A2222" s="19" t="s">
        <v>328</v>
      </c>
      <c r="B2222" s="20">
        <v>45809</v>
      </c>
      <c r="C2222" s="21">
        <v>155.4</v>
      </c>
      <c r="D2222" s="21">
        <v>96.900000000000034</v>
      </c>
      <c r="E2222" s="21">
        <v>60.150000000000034</v>
      </c>
      <c r="F2222" s="27">
        <f t="shared" si="102"/>
        <v>0.62355212355212375</v>
      </c>
      <c r="G2222" s="21" t="str">
        <f>IFERROR(INDEX(Users!$A$2:$A$310,MATCH(A2222,Users!$B$2:$B$310,0)),"")</f>
        <v>Service B</v>
      </c>
      <c r="H2222" s="21" t="str">
        <f>IFERROR(INDEX(Users!$D$2:$D$310,MATCH(A2222,Users!$B$2:$B$310,0)),"")</f>
        <v>Band 3</v>
      </c>
      <c r="I2222" s="19" t="b">
        <f t="shared" si="103"/>
        <v>0</v>
      </c>
      <c r="J2222" s="33">
        <f t="shared" si="104"/>
        <v>0.62355212355212375</v>
      </c>
    </row>
    <row r="2223" spans="1:10">
      <c r="A2223" s="19" t="s">
        <v>328</v>
      </c>
      <c r="B2223" s="20">
        <v>45839</v>
      </c>
      <c r="C2223" s="21">
        <v>170.20000000000002</v>
      </c>
      <c r="D2223" s="21">
        <v>143.30666666666667</v>
      </c>
      <c r="E2223" s="21">
        <v>127.69000000000001</v>
      </c>
      <c r="F2223" s="27">
        <f t="shared" si="102"/>
        <v>0.84198981590285937</v>
      </c>
      <c r="G2223" s="21" t="str">
        <f>IFERROR(INDEX(Users!$A$2:$A$310,MATCH(A2223,Users!$B$2:$B$310,0)),"")</f>
        <v>Service B</v>
      </c>
      <c r="H2223" s="21" t="str">
        <f>IFERROR(INDEX(Users!$D$2:$D$310,MATCH(A2223,Users!$B$2:$B$310,0)),"")</f>
        <v>Band 3</v>
      </c>
      <c r="I2223" s="19" t="b">
        <f t="shared" si="103"/>
        <v>0</v>
      </c>
      <c r="J2223" s="33">
        <f t="shared" si="104"/>
        <v>0.84198981590285937</v>
      </c>
    </row>
    <row r="2224" spans="1:10">
      <c r="A2224" s="19" t="s">
        <v>328</v>
      </c>
      <c r="B2224" s="20">
        <v>45870</v>
      </c>
      <c r="C2224" s="21">
        <v>148</v>
      </c>
      <c r="D2224" s="21">
        <v>85.426666666666677</v>
      </c>
      <c r="E2224" s="21">
        <v>74.260000000000005</v>
      </c>
      <c r="F2224" s="27">
        <f t="shared" si="102"/>
        <v>0.57720720720720731</v>
      </c>
      <c r="G2224" s="21" t="str">
        <f>IFERROR(INDEX(Users!$A$2:$A$310,MATCH(A2224,Users!$B$2:$B$310,0)),"")</f>
        <v>Service B</v>
      </c>
      <c r="H2224" s="21" t="str">
        <f>IFERROR(INDEX(Users!$D$2:$D$310,MATCH(A2224,Users!$B$2:$B$310,0)),"")</f>
        <v>Band 3</v>
      </c>
      <c r="I2224" s="19" t="b">
        <f t="shared" si="103"/>
        <v>0</v>
      </c>
      <c r="J2224" s="33">
        <f t="shared" si="104"/>
        <v>0.57720720720720731</v>
      </c>
    </row>
    <row r="2225" spans="1:10">
      <c r="A2225" s="19" t="s">
        <v>328</v>
      </c>
      <c r="B2225" s="20">
        <v>45901</v>
      </c>
      <c r="C2225" s="21">
        <v>148</v>
      </c>
      <c r="D2225" s="21">
        <v>107.49666666666666</v>
      </c>
      <c r="E2225" s="21">
        <v>92.22999999999999</v>
      </c>
      <c r="F2225" s="27">
        <f t="shared" si="102"/>
        <v>0.72632882882882877</v>
      </c>
      <c r="G2225" s="21" t="str">
        <f>IFERROR(INDEX(Users!$A$2:$A$310,MATCH(A2225,Users!$B$2:$B$310,0)),"")</f>
        <v>Service B</v>
      </c>
      <c r="H2225" s="21" t="str">
        <f>IFERROR(INDEX(Users!$D$2:$D$310,MATCH(A2225,Users!$B$2:$B$310,0)),"")</f>
        <v>Band 3</v>
      </c>
      <c r="I2225" s="19" t="b">
        <f t="shared" si="103"/>
        <v>0</v>
      </c>
      <c r="J2225" s="33">
        <f t="shared" si="104"/>
        <v>0.72632882882882877</v>
      </c>
    </row>
    <row r="2226" spans="1:10">
      <c r="A2226" s="19" t="s">
        <v>329</v>
      </c>
      <c r="B2226" s="20">
        <v>45658</v>
      </c>
      <c r="C2226" s="21">
        <v>157.25</v>
      </c>
      <c r="D2226" s="21">
        <v>155.76333333333329</v>
      </c>
      <c r="E2226" s="21">
        <v>132.42999999999995</v>
      </c>
      <c r="F2226" s="27">
        <f t="shared" si="102"/>
        <v>0.99054583995760437</v>
      </c>
      <c r="G2226" s="21" t="str">
        <f>IFERROR(INDEX(Users!$A$2:$A$310,MATCH(A2226,Users!$B$2:$B$310,0)),"")</f>
        <v>Service B</v>
      </c>
      <c r="H2226" s="21" t="str">
        <f>IFERROR(INDEX(Users!$D$2:$D$310,MATCH(A2226,Users!$B$2:$B$310,0)),"")</f>
        <v>Band 3</v>
      </c>
      <c r="I2226" s="19" t="b">
        <f t="shared" si="103"/>
        <v>0</v>
      </c>
      <c r="J2226" s="33">
        <f t="shared" si="104"/>
        <v>0.99054583995760437</v>
      </c>
    </row>
    <row r="2227" spans="1:10">
      <c r="A2227" s="19" t="s">
        <v>329</v>
      </c>
      <c r="B2227" s="20">
        <v>45689</v>
      </c>
      <c r="C2227" s="21">
        <v>148</v>
      </c>
      <c r="D2227" s="21">
        <v>131.99</v>
      </c>
      <c r="E2227" s="21">
        <v>109.99000000000002</v>
      </c>
      <c r="F2227" s="27">
        <f t="shared" si="102"/>
        <v>0.89182432432432435</v>
      </c>
      <c r="G2227" s="21" t="str">
        <f>IFERROR(INDEX(Users!$A$2:$A$310,MATCH(A2227,Users!$B$2:$B$310,0)),"")</f>
        <v>Service B</v>
      </c>
      <c r="H2227" s="21" t="str">
        <f>IFERROR(INDEX(Users!$D$2:$D$310,MATCH(A2227,Users!$B$2:$B$310,0)),"")</f>
        <v>Band 3</v>
      </c>
      <c r="I2227" s="19" t="b">
        <f t="shared" si="103"/>
        <v>0</v>
      </c>
      <c r="J2227" s="33">
        <f t="shared" si="104"/>
        <v>0.89182432432432435</v>
      </c>
    </row>
    <row r="2228" spans="1:10">
      <c r="A2228" s="19" t="s">
        <v>329</v>
      </c>
      <c r="B2228" s="20">
        <v>45717</v>
      </c>
      <c r="C2228" s="21">
        <v>157.25</v>
      </c>
      <c r="D2228" s="21">
        <v>109.3133333333333</v>
      </c>
      <c r="E2228" s="21">
        <v>78.529999999999973</v>
      </c>
      <c r="F2228" s="27">
        <f t="shared" si="102"/>
        <v>0.6951563328033914</v>
      </c>
      <c r="G2228" s="21" t="str">
        <f>IFERROR(INDEX(Users!$A$2:$A$310,MATCH(A2228,Users!$B$2:$B$310,0)),"")</f>
        <v>Service B</v>
      </c>
      <c r="H2228" s="21" t="str">
        <f>IFERROR(INDEX(Users!$D$2:$D$310,MATCH(A2228,Users!$B$2:$B$310,0)),"")</f>
        <v>Band 3</v>
      </c>
      <c r="I2228" s="19" t="b">
        <f t="shared" si="103"/>
        <v>0</v>
      </c>
      <c r="J2228" s="33">
        <f t="shared" si="104"/>
        <v>0.6951563328033914</v>
      </c>
    </row>
    <row r="2229" spans="1:10">
      <c r="A2229" s="19" t="s">
        <v>329</v>
      </c>
      <c r="B2229" s="20">
        <v>45748</v>
      </c>
      <c r="C2229" s="21">
        <v>157.25</v>
      </c>
      <c r="D2229" s="21">
        <v>113.6933333333333</v>
      </c>
      <c r="E2229" s="21">
        <v>93.909999999999968</v>
      </c>
      <c r="F2229" s="27">
        <f t="shared" si="102"/>
        <v>0.72301006889242159</v>
      </c>
      <c r="G2229" s="21" t="str">
        <f>IFERROR(INDEX(Users!$A$2:$A$310,MATCH(A2229,Users!$B$2:$B$310,0)),"")</f>
        <v>Service B</v>
      </c>
      <c r="H2229" s="21" t="str">
        <f>IFERROR(INDEX(Users!$D$2:$D$310,MATCH(A2229,Users!$B$2:$B$310,0)),"")</f>
        <v>Band 3</v>
      </c>
      <c r="I2229" s="19" t="b">
        <f t="shared" si="103"/>
        <v>0</v>
      </c>
      <c r="J2229" s="33">
        <f t="shared" si="104"/>
        <v>0.72301006889242159</v>
      </c>
    </row>
    <row r="2230" spans="1:10">
      <c r="A2230" s="19" t="s">
        <v>329</v>
      </c>
      <c r="B2230" s="20">
        <v>45778</v>
      </c>
      <c r="C2230" s="21">
        <v>138.75</v>
      </c>
      <c r="D2230" s="21">
        <v>118.28333333333332</v>
      </c>
      <c r="E2230" s="21">
        <v>94.649999999999991</v>
      </c>
      <c r="F2230" s="27">
        <f t="shared" si="102"/>
        <v>0.85249249249249237</v>
      </c>
      <c r="G2230" s="21" t="str">
        <f>IFERROR(INDEX(Users!$A$2:$A$310,MATCH(A2230,Users!$B$2:$B$310,0)),"")</f>
        <v>Service B</v>
      </c>
      <c r="H2230" s="21" t="str">
        <f>IFERROR(INDEX(Users!$D$2:$D$310,MATCH(A2230,Users!$B$2:$B$310,0)),"")</f>
        <v>Band 3</v>
      </c>
      <c r="I2230" s="19" t="b">
        <f t="shared" si="103"/>
        <v>0</v>
      </c>
      <c r="J2230" s="33">
        <f t="shared" si="104"/>
        <v>0.85249249249249237</v>
      </c>
    </row>
    <row r="2231" spans="1:10">
      <c r="A2231" s="19" t="s">
        <v>329</v>
      </c>
      <c r="B2231" s="20">
        <v>45809</v>
      </c>
      <c r="C2231" s="21">
        <v>157.25</v>
      </c>
      <c r="D2231" s="21">
        <v>131.79000000000002</v>
      </c>
      <c r="E2231" s="21">
        <v>107.14000000000003</v>
      </c>
      <c r="F2231" s="27">
        <f t="shared" si="102"/>
        <v>0.8380922098569159</v>
      </c>
      <c r="G2231" s="21" t="str">
        <f>IFERROR(INDEX(Users!$A$2:$A$310,MATCH(A2231,Users!$B$2:$B$310,0)),"")</f>
        <v>Service B</v>
      </c>
      <c r="H2231" s="21" t="str">
        <f>IFERROR(INDEX(Users!$D$2:$D$310,MATCH(A2231,Users!$B$2:$B$310,0)),"")</f>
        <v>Band 3</v>
      </c>
      <c r="I2231" s="19" t="b">
        <f t="shared" si="103"/>
        <v>0</v>
      </c>
      <c r="J2231" s="33">
        <f t="shared" si="104"/>
        <v>0.8380922098569159</v>
      </c>
    </row>
    <row r="2232" spans="1:10">
      <c r="A2232" s="19" t="s">
        <v>329</v>
      </c>
      <c r="B2232" s="20">
        <v>45839</v>
      </c>
      <c r="C2232" s="21">
        <v>175.75</v>
      </c>
      <c r="D2232" s="21">
        <v>111.42666666666665</v>
      </c>
      <c r="E2232" s="21">
        <v>98.20999999999998</v>
      </c>
      <c r="F2232" s="27">
        <f t="shared" si="102"/>
        <v>0.63400663821716441</v>
      </c>
      <c r="G2232" s="21" t="str">
        <f>IFERROR(INDEX(Users!$A$2:$A$310,MATCH(A2232,Users!$B$2:$B$310,0)),"")</f>
        <v>Service B</v>
      </c>
      <c r="H2232" s="21" t="str">
        <f>IFERROR(INDEX(Users!$D$2:$D$310,MATCH(A2232,Users!$B$2:$B$310,0)),"")</f>
        <v>Band 3</v>
      </c>
      <c r="I2232" s="19" t="b">
        <f t="shared" si="103"/>
        <v>0</v>
      </c>
      <c r="J2232" s="33">
        <f t="shared" si="104"/>
        <v>0.63400663821716441</v>
      </c>
    </row>
    <row r="2233" spans="1:10">
      <c r="A2233" s="19" t="s">
        <v>329</v>
      </c>
      <c r="B2233" s="20">
        <v>45870</v>
      </c>
      <c r="C2233" s="21">
        <v>138.75</v>
      </c>
      <c r="D2233" s="21">
        <v>111.76333333333334</v>
      </c>
      <c r="E2233" s="21">
        <v>96.58</v>
      </c>
      <c r="F2233" s="27">
        <f t="shared" si="102"/>
        <v>0.80550150150150157</v>
      </c>
      <c r="G2233" s="21" t="str">
        <f>IFERROR(INDEX(Users!$A$2:$A$310,MATCH(A2233,Users!$B$2:$B$310,0)),"")</f>
        <v>Service B</v>
      </c>
      <c r="H2233" s="21" t="str">
        <f>IFERROR(INDEX(Users!$D$2:$D$310,MATCH(A2233,Users!$B$2:$B$310,0)),"")</f>
        <v>Band 3</v>
      </c>
      <c r="I2233" s="19" t="b">
        <f t="shared" si="103"/>
        <v>0</v>
      </c>
      <c r="J2233" s="33">
        <f t="shared" si="104"/>
        <v>0.80550150150150157</v>
      </c>
    </row>
    <row r="2234" spans="1:10">
      <c r="A2234" s="19" t="s">
        <v>329</v>
      </c>
      <c r="B2234" s="20">
        <v>45901</v>
      </c>
      <c r="C2234" s="21">
        <v>166.5</v>
      </c>
      <c r="D2234" s="21">
        <v>142.46333333333334</v>
      </c>
      <c r="E2234" s="21">
        <v>124.68</v>
      </c>
      <c r="F2234" s="27">
        <f t="shared" si="102"/>
        <v>0.85563563563563572</v>
      </c>
      <c r="G2234" s="21" t="str">
        <f>IFERROR(INDEX(Users!$A$2:$A$310,MATCH(A2234,Users!$B$2:$B$310,0)),"")</f>
        <v>Service B</v>
      </c>
      <c r="H2234" s="21" t="str">
        <f>IFERROR(INDEX(Users!$D$2:$D$310,MATCH(A2234,Users!$B$2:$B$310,0)),"")</f>
        <v>Band 3</v>
      </c>
      <c r="I2234" s="19" t="b">
        <f t="shared" si="103"/>
        <v>0</v>
      </c>
      <c r="J2234" s="33">
        <f t="shared" si="104"/>
        <v>0.85563563563563572</v>
      </c>
    </row>
    <row r="2235" spans="1:10">
      <c r="A2235" s="19" t="s">
        <v>329</v>
      </c>
      <c r="B2235" s="20">
        <v>45931</v>
      </c>
      <c r="C2235" s="21">
        <v>166.5</v>
      </c>
      <c r="D2235" s="21">
        <v>149.8133333333333</v>
      </c>
      <c r="E2235" s="21">
        <v>131.42999999999998</v>
      </c>
      <c r="F2235" s="27">
        <f t="shared" si="102"/>
        <v>0.89977977977977963</v>
      </c>
      <c r="G2235" s="21" t="str">
        <f>IFERROR(INDEX(Users!$A$2:$A$310,MATCH(A2235,Users!$B$2:$B$310,0)),"")</f>
        <v>Service B</v>
      </c>
      <c r="H2235" s="21" t="str">
        <f>IFERROR(INDEX(Users!$D$2:$D$310,MATCH(A2235,Users!$B$2:$B$310,0)),"")</f>
        <v>Band 3</v>
      </c>
      <c r="I2235" s="19" t="b">
        <f t="shared" si="103"/>
        <v>0</v>
      </c>
      <c r="J2235" s="33">
        <f t="shared" si="104"/>
        <v>0.89977977977977963</v>
      </c>
    </row>
    <row r="2236" spans="1:10">
      <c r="A2236" s="19" t="s">
        <v>329</v>
      </c>
      <c r="B2236" s="20">
        <v>45962</v>
      </c>
      <c r="C2236" s="21">
        <v>148</v>
      </c>
      <c r="D2236" s="21">
        <v>131.23666666666668</v>
      </c>
      <c r="E2236" s="21">
        <v>111.82000000000001</v>
      </c>
      <c r="F2236" s="27">
        <f t="shared" si="102"/>
        <v>0.88673423423423436</v>
      </c>
      <c r="G2236" s="21" t="str">
        <f>IFERROR(INDEX(Users!$A$2:$A$310,MATCH(A2236,Users!$B$2:$B$310,0)),"")</f>
        <v>Service B</v>
      </c>
      <c r="H2236" s="21" t="str">
        <f>IFERROR(INDEX(Users!$D$2:$D$310,MATCH(A2236,Users!$B$2:$B$310,0)),"")</f>
        <v>Band 3</v>
      </c>
      <c r="I2236" s="19" t="b">
        <f t="shared" si="103"/>
        <v>0</v>
      </c>
      <c r="J2236" s="33">
        <f t="shared" si="104"/>
        <v>0.88673423423423436</v>
      </c>
    </row>
    <row r="2237" spans="1:10">
      <c r="A2237" s="19" t="s">
        <v>329</v>
      </c>
      <c r="B2237" s="20">
        <v>45992</v>
      </c>
      <c r="C2237" s="21">
        <v>166.5</v>
      </c>
      <c r="D2237" s="21">
        <v>102.96000000000001</v>
      </c>
      <c r="E2237" s="21">
        <v>91.81</v>
      </c>
      <c r="F2237" s="27">
        <f t="shared" si="102"/>
        <v>0.61837837837837839</v>
      </c>
      <c r="G2237" s="21" t="str">
        <f>IFERROR(INDEX(Users!$A$2:$A$310,MATCH(A2237,Users!$B$2:$B$310,0)),"")</f>
        <v>Service B</v>
      </c>
      <c r="H2237" s="21" t="str">
        <f>IFERROR(INDEX(Users!$D$2:$D$310,MATCH(A2237,Users!$B$2:$B$310,0)),"")</f>
        <v>Band 3</v>
      </c>
      <c r="I2237" s="19" t="b">
        <f t="shared" si="103"/>
        <v>0</v>
      </c>
      <c r="J2237" s="33">
        <f t="shared" si="104"/>
        <v>0.61837837837837839</v>
      </c>
    </row>
    <row r="2238" spans="1:10">
      <c r="A2238" s="19" t="s">
        <v>329</v>
      </c>
      <c r="B2238" s="20">
        <v>46023</v>
      </c>
      <c r="C2238" s="21">
        <v>148</v>
      </c>
      <c r="D2238" s="21">
        <v>132.83666666666667</v>
      </c>
      <c r="E2238" s="21">
        <v>114.52000000000001</v>
      </c>
      <c r="F2238" s="27">
        <f t="shared" si="102"/>
        <v>0.89754504504504506</v>
      </c>
      <c r="G2238" s="21" t="str">
        <f>IFERROR(INDEX(Users!$A$2:$A$310,MATCH(A2238,Users!$B$2:$B$310,0)),"")</f>
        <v>Service B</v>
      </c>
      <c r="H2238" s="21" t="str">
        <f>IFERROR(INDEX(Users!$D$2:$D$310,MATCH(A2238,Users!$B$2:$B$310,0)),"")</f>
        <v>Band 3</v>
      </c>
      <c r="I2238" s="19" t="b">
        <f t="shared" si="103"/>
        <v>0</v>
      </c>
      <c r="J2238" s="33" t="str">
        <f t="shared" si="104"/>
        <v/>
      </c>
    </row>
    <row r="2239" spans="1:10">
      <c r="A2239" s="19" t="s">
        <v>330</v>
      </c>
      <c r="B2239" s="20">
        <v>45658</v>
      </c>
      <c r="C2239" s="21">
        <v>162.79999999999998</v>
      </c>
      <c r="D2239" s="21">
        <v>125.81333333333333</v>
      </c>
      <c r="E2239" s="21">
        <v>36.979999999999997</v>
      </c>
      <c r="F2239" s="27">
        <f t="shared" si="102"/>
        <v>0.77280917280917294</v>
      </c>
      <c r="G2239" s="21" t="str">
        <f>IFERROR(INDEX(Users!$A$2:$A$310,MATCH(A2239,Users!$B$2:$B$310,0)),"")</f>
        <v>Service B</v>
      </c>
      <c r="H2239" s="21" t="str">
        <f>IFERROR(INDEX(Users!$D$2:$D$310,MATCH(A2239,Users!$B$2:$B$310,0)),"")</f>
        <v>Band 3</v>
      </c>
      <c r="I2239" s="19" t="b">
        <f t="shared" si="103"/>
        <v>0</v>
      </c>
      <c r="J2239" s="33">
        <f t="shared" si="104"/>
        <v>0.77280917280917294</v>
      </c>
    </row>
    <row r="2240" spans="1:10">
      <c r="A2240" s="19" t="s">
        <v>330</v>
      </c>
      <c r="B2240" s="20">
        <v>45689</v>
      </c>
      <c r="C2240" s="21">
        <v>148</v>
      </c>
      <c r="D2240" s="21">
        <v>119.51333333333335</v>
      </c>
      <c r="E2240" s="21">
        <v>62.180000000000007</v>
      </c>
      <c r="F2240" s="27">
        <f t="shared" si="102"/>
        <v>0.80752252252252266</v>
      </c>
      <c r="G2240" s="21" t="str">
        <f>IFERROR(INDEX(Users!$A$2:$A$310,MATCH(A2240,Users!$B$2:$B$310,0)),"")</f>
        <v>Service B</v>
      </c>
      <c r="H2240" s="21" t="str">
        <f>IFERROR(INDEX(Users!$D$2:$D$310,MATCH(A2240,Users!$B$2:$B$310,0)),"")</f>
        <v>Band 3</v>
      </c>
      <c r="I2240" s="19" t="b">
        <f t="shared" si="103"/>
        <v>0</v>
      </c>
      <c r="J2240" s="33">
        <f t="shared" si="104"/>
        <v>0.80752252252252266</v>
      </c>
    </row>
    <row r="2241" spans="1:10">
      <c r="A2241" s="19" t="s">
        <v>330</v>
      </c>
      <c r="B2241" s="20">
        <v>45717</v>
      </c>
      <c r="C2241" s="21">
        <v>155.4</v>
      </c>
      <c r="D2241" s="21">
        <v>129.39999999999998</v>
      </c>
      <c r="E2241" s="21">
        <v>57.65</v>
      </c>
      <c r="F2241" s="27">
        <f t="shared" si="102"/>
        <v>0.83268983268983254</v>
      </c>
      <c r="G2241" s="21" t="str">
        <f>IFERROR(INDEX(Users!$A$2:$A$310,MATCH(A2241,Users!$B$2:$B$310,0)),"")</f>
        <v>Service B</v>
      </c>
      <c r="H2241" s="21" t="str">
        <f>IFERROR(INDEX(Users!$D$2:$D$310,MATCH(A2241,Users!$B$2:$B$310,0)),"")</f>
        <v>Band 3</v>
      </c>
      <c r="I2241" s="19" t="b">
        <f t="shared" si="103"/>
        <v>0</v>
      </c>
      <c r="J2241" s="33">
        <f t="shared" si="104"/>
        <v>0.83268983268983254</v>
      </c>
    </row>
    <row r="2242" spans="1:10">
      <c r="A2242" s="19" t="s">
        <v>330</v>
      </c>
      <c r="B2242" s="20">
        <v>45748</v>
      </c>
      <c r="C2242" s="21">
        <v>148</v>
      </c>
      <c r="D2242" s="21">
        <v>113.82333333333332</v>
      </c>
      <c r="E2242" s="21">
        <v>56.24</v>
      </c>
      <c r="F2242" s="27">
        <f t="shared" ref="F2242:F2305" si="105">IFERROR(IF(OR(C2242="",D2242="",C2242=0),"",D2242/C2242),"")</f>
        <v>0.76907657657657646</v>
      </c>
      <c r="G2242" s="21" t="str">
        <f>IFERROR(INDEX(Users!$A$2:$A$310,MATCH(A2242,Users!$B$2:$B$310,0)),"")</f>
        <v>Service B</v>
      </c>
      <c r="H2242" s="21" t="str">
        <f>IFERROR(INDEX(Users!$D$2:$D$310,MATCH(A2242,Users!$B$2:$B$310,0)),"")</f>
        <v>Band 3</v>
      </c>
      <c r="I2242" s="19" t="b">
        <f t="shared" ref="I2242:I2305" si="106">AND(G2242="Service A",H2242="Band 3")</f>
        <v>0</v>
      </c>
      <c r="J2242" s="33">
        <f t="shared" ref="J2242:J2305" si="107">IF(AND(B2242&gt;=DATE(2025,1,1),B2242&lt;DATE(2026,1,1),G2242="Service B",OR(H2242="Band 3",H2242="Band 5"),ISNUMBER(F2242)),F2242,"")</f>
        <v>0.76907657657657646</v>
      </c>
    </row>
    <row r="2243" spans="1:10">
      <c r="A2243" s="19" t="s">
        <v>330</v>
      </c>
      <c r="B2243" s="20">
        <v>45778</v>
      </c>
      <c r="C2243" s="21">
        <v>148</v>
      </c>
      <c r="D2243" s="21">
        <v>123.72999999999999</v>
      </c>
      <c r="E2243" s="21">
        <v>72.22999999999999</v>
      </c>
      <c r="F2243" s="27">
        <f t="shared" si="105"/>
        <v>0.8360135135135135</v>
      </c>
      <c r="G2243" s="21" t="str">
        <f>IFERROR(INDEX(Users!$A$2:$A$310,MATCH(A2243,Users!$B$2:$B$310,0)),"")</f>
        <v>Service B</v>
      </c>
      <c r="H2243" s="21" t="str">
        <f>IFERROR(INDEX(Users!$D$2:$D$310,MATCH(A2243,Users!$B$2:$B$310,0)),"")</f>
        <v>Band 3</v>
      </c>
      <c r="I2243" s="19" t="b">
        <f t="shared" si="106"/>
        <v>0</v>
      </c>
      <c r="J2243" s="33">
        <f t="shared" si="107"/>
        <v>0.8360135135135135</v>
      </c>
    </row>
    <row r="2244" spans="1:10">
      <c r="A2244" s="19" t="s">
        <v>330</v>
      </c>
      <c r="B2244" s="20">
        <v>45809</v>
      </c>
      <c r="C2244" s="21">
        <v>155.4</v>
      </c>
      <c r="D2244" s="21">
        <v>125.13000000000001</v>
      </c>
      <c r="E2244" s="21">
        <v>41.38000000000001</v>
      </c>
      <c r="F2244" s="27">
        <f t="shared" si="105"/>
        <v>0.80521235521235524</v>
      </c>
      <c r="G2244" s="21" t="str">
        <f>IFERROR(INDEX(Users!$A$2:$A$310,MATCH(A2244,Users!$B$2:$B$310,0)),"")</f>
        <v>Service B</v>
      </c>
      <c r="H2244" s="21" t="str">
        <f>IFERROR(INDEX(Users!$D$2:$D$310,MATCH(A2244,Users!$B$2:$B$310,0)),"")</f>
        <v>Band 3</v>
      </c>
      <c r="I2244" s="19" t="b">
        <f t="shared" si="106"/>
        <v>0</v>
      </c>
      <c r="J2244" s="33">
        <f t="shared" si="107"/>
        <v>0.80521235521235524</v>
      </c>
    </row>
    <row r="2245" spans="1:10">
      <c r="A2245" s="19" t="s">
        <v>330</v>
      </c>
      <c r="B2245" s="20">
        <v>45839</v>
      </c>
      <c r="C2245" s="21">
        <v>170.2</v>
      </c>
      <c r="D2245" s="21">
        <v>122.06666666666668</v>
      </c>
      <c r="E2245" s="21">
        <v>64.650000000000006</v>
      </c>
      <c r="F2245" s="27">
        <f t="shared" si="105"/>
        <v>0.71719545632589121</v>
      </c>
      <c r="G2245" s="21" t="str">
        <f>IFERROR(INDEX(Users!$A$2:$A$310,MATCH(A2245,Users!$B$2:$B$310,0)),"")</f>
        <v>Service B</v>
      </c>
      <c r="H2245" s="21" t="str">
        <f>IFERROR(INDEX(Users!$D$2:$D$310,MATCH(A2245,Users!$B$2:$B$310,0)),"")</f>
        <v>Band 3</v>
      </c>
      <c r="I2245" s="19" t="b">
        <f t="shared" si="106"/>
        <v>0</v>
      </c>
      <c r="J2245" s="33">
        <f t="shared" si="107"/>
        <v>0.71719545632589121</v>
      </c>
    </row>
    <row r="2246" spans="1:10">
      <c r="A2246" s="19" t="s">
        <v>330</v>
      </c>
      <c r="B2246" s="20">
        <v>45870</v>
      </c>
      <c r="C2246" s="21">
        <v>148</v>
      </c>
      <c r="D2246" s="21">
        <v>54.08</v>
      </c>
      <c r="E2246" s="21">
        <v>26.83</v>
      </c>
      <c r="F2246" s="27">
        <f t="shared" si="105"/>
        <v>0.36540540540540539</v>
      </c>
      <c r="G2246" s="21" t="str">
        <f>IFERROR(INDEX(Users!$A$2:$A$310,MATCH(A2246,Users!$B$2:$B$310,0)),"")</f>
        <v>Service B</v>
      </c>
      <c r="H2246" s="21" t="str">
        <f>IFERROR(INDEX(Users!$D$2:$D$310,MATCH(A2246,Users!$B$2:$B$310,0)),"")</f>
        <v>Band 3</v>
      </c>
      <c r="I2246" s="19" t="b">
        <f t="shared" si="106"/>
        <v>0</v>
      </c>
      <c r="J2246" s="33">
        <f t="shared" si="107"/>
        <v>0.36540540540540539</v>
      </c>
    </row>
    <row r="2247" spans="1:10">
      <c r="A2247" s="19" t="s">
        <v>330</v>
      </c>
      <c r="B2247" s="20">
        <v>45901</v>
      </c>
      <c r="C2247" s="21">
        <v>162.80000000000001</v>
      </c>
      <c r="D2247" s="21">
        <v>152.84</v>
      </c>
      <c r="E2247" s="21">
        <v>90.34</v>
      </c>
      <c r="F2247" s="27">
        <f t="shared" si="105"/>
        <v>0.93882063882063882</v>
      </c>
      <c r="G2247" s="21" t="str">
        <f>IFERROR(INDEX(Users!$A$2:$A$310,MATCH(A2247,Users!$B$2:$B$310,0)),"")</f>
        <v>Service B</v>
      </c>
      <c r="H2247" s="21" t="str">
        <f>IFERROR(INDEX(Users!$D$2:$D$310,MATCH(A2247,Users!$B$2:$B$310,0)),"")</f>
        <v>Band 3</v>
      </c>
      <c r="I2247" s="19" t="b">
        <f t="shared" si="106"/>
        <v>0</v>
      </c>
      <c r="J2247" s="33">
        <f t="shared" si="107"/>
        <v>0.93882063882063882</v>
      </c>
    </row>
    <row r="2248" spans="1:10">
      <c r="A2248" s="19" t="s">
        <v>330</v>
      </c>
      <c r="B2248" s="20">
        <v>45931</v>
      </c>
      <c r="C2248" s="21">
        <v>170.2</v>
      </c>
      <c r="D2248" s="21">
        <v>141.16</v>
      </c>
      <c r="E2248" s="21">
        <v>54.66</v>
      </c>
      <c r="F2248" s="27">
        <f t="shared" si="105"/>
        <v>0.82937720329024678</v>
      </c>
      <c r="G2248" s="21" t="str">
        <f>IFERROR(INDEX(Users!$A$2:$A$310,MATCH(A2248,Users!$B$2:$B$310,0)),"")</f>
        <v>Service B</v>
      </c>
      <c r="H2248" s="21" t="str">
        <f>IFERROR(INDEX(Users!$D$2:$D$310,MATCH(A2248,Users!$B$2:$B$310,0)),"")</f>
        <v>Band 3</v>
      </c>
      <c r="I2248" s="19" t="b">
        <f t="shared" si="106"/>
        <v>0</v>
      </c>
      <c r="J2248" s="33">
        <f t="shared" si="107"/>
        <v>0.82937720329024678</v>
      </c>
    </row>
    <row r="2249" spans="1:10">
      <c r="A2249" s="19" t="s">
        <v>330</v>
      </c>
      <c r="B2249" s="20">
        <v>45962</v>
      </c>
      <c r="C2249" s="21">
        <v>148</v>
      </c>
      <c r="D2249" s="21">
        <v>135.39000000000001</v>
      </c>
      <c r="E2249" s="21">
        <v>64.990000000000009</v>
      </c>
      <c r="F2249" s="27">
        <f t="shared" si="105"/>
        <v>0.91479729729729742</v>
      </c>
      <c r="G2249" s="21" t="str">
        <f>IFERROR(INDEX(Users!$A$2:$A$310,MATCH(A2249,Users!$B$2:$B$310,0)),"")</f>
        <v>Service B</v>
      </c>
      <c r="H2249" s="21" t="str">
        <f>IFERROR(INDEX(Users!$D$2:$D$310,MATCH(A2249,Users!$B$2:$B$310,0)),"")</f>
        <v>Band 3</v>
      </c>
      <c r="I2249" s="19" t="b">
        <f t="shared" si="106"/>
        <v>0</v>
      </c>
      <c r="J2249" s="33">
        <f t="shared" si="107"/>
        <v>0.91479729729729742</v>
      </c>
    </row>
    <row r="2250" spans="1:10">
      <c r="A2250" s="19" t="s">
        <v>330</v>
      </c>
      <c r="B2250" s="20">
        <v>45992</v>
      </c>
      <c r="C2250" s="21">
        <v>155.4</v>
      </c>
      <c r="D2250" s="21">
        <v>106</v>
      </c>
      <c r="E2250" s="21">
        <v>60.5</v>
      </c>
      <c r="F2250" s="27">
        <f t="shared" si="105"/>
        <v>0.68211068211068204</v>
      </c>
      <c r="G2250" s="21" t="str">
        <f>IFERROR(INDEX(Users!$A$2:$A$310,MATCH(A2250,Users!$B$2:$B$310,0)),"")</f>
        <v>Service B</v>
      </c>
      <c r="H2250" s="21" t="str">
        <f>IFERROR(INDEX(Users!$D$2:$D$310,MATCH(A2250,Users!$B$2:$B$310,0)),"")</f>
        <v>Band 3</v>
      </c>
      <c r="I2250" s="19" t="b">
        <f t="shared" si="106"/>
        <v>0</v>
      </c>
      <c r="J2250" s="33">
        <f t="shared" si="107"/>
        <v>0.68211068211068204</v>
      </c>
    </row>
    <row r="2251" spans="1:10">
      <c r="A2251" s="19" t="s">
        <v>330</v>
      </c>
      <c r="B2251" s="20">
        <v>46023</v>
      </c>
      <c r="C2251" s="21">
        <v>155.39999999999998</v>
      </c>
      <c r="D2251" s="21">
        <v>134.22</v>
      </c>
      <c r="E2251" s="21">
        <v>81.47</v>
      </c>
      <c r="F2251" s="27">
        <f t="shared" si="105"/>
        <v>0.86370656370656385</v>
      </c>
      <c r="G2251" s="21" t="str">
        <f>IFERROR(INDEX(Users!$A$2:$A$310,MATCH(A2251,Users!$B$2:$B$310,0)),"")</f>
        <v>Service B</v>
      </c>
      <c r="H2251" s="21" t="str">
        <f>IFERROR(INDEX(Users!$D$2:$D$310,MATCH(A2251,Users!$B$2:$B$310,0)),"")</f>
        <v>Band 3</v>
      </c>
      <c r="I2251" s="19" t="b">
        <f t="shared" si="106"/>
        <v>0</v>
      </c>
      <c r="J2251" s="33" t="str">
        <f t="shared" si="107"/>
        <v/>
      </c>
    </row>
    <row r="2252" spans="1:10">
      <c r="A2252" s="19" t="s">
        <v>332</v>
      </c>
      <c r="B2252" s="20">
        <v>45658</v>
      </c>
      <c r="C2252" s="21">
        <v>162.80000000000001</v>
      </c>
      <c r="D2252" s="21"/>
      <c r="E2252" s="21"/>
      <c r="F2252" s="27" t="str">
        <f t="shared" si="105"/>
        <v/>
      </c>
      <c r="G2252" s="21" t="str">
        <f>IFERROR(INDEX(Users!$A$2:$A$310,MATCH(A2252,Users!$B$2:$B$310,0)),"")</f>
        <v>Service A</v>
      </c>
      <c r="H2252" s="21" t="str">
        <f>IFERROR(INDEX(Users!$D$2:$D$310,MATCH(A2252,Users!$B$2:$B$310,0)),"")</f>
        <v>Band 3</v>
      </c>
      <c r="I2252" s="19" t="b">
        <f t="shared" si="106"/>
        <v>1</v>
      </c>
      <c r="J2252" s="33" t="str">
        <f t="shared" si="107"/>
        <v/>
      </c>
    </row>
    <row r="2253" spans="1:10">
      <c r="A2253" s="19" t="s">
        <v>332</v>
      </c>
      <c r="B2253" s="20">
        <v>45689</v>
      </c>
      <c r="C2253" s="21">
        <v>148</v>
      </c>
      <c r="D2253" s="21">
        <v>75.739999999999995</v>
      </c>
      <c r="E2253" s="21">
        <v>27.489999999999995</v>
      </c>
      <c r="F2253" s="27">
        <f t="shared" si="105"/>
        <v>0.51175675675675669</v>
      </c>
      <c r="G2253" s="21" t="str">
        <f>IFERROR(INDEX(Users!$A$2:$A$310,MATCH(A2253,Users!$B$2:$B$310,0)),"")</f>
        <v>Service A</v>
      </c>
      <c r="H2253" s="21" t="str">
        <f>IFERROR(INDEX(Users!$D$2:$D$310,MATCH(A2253,Users!$B$2:$B$310,0)),"")</f>
        <v>Band 3</v>
      </c>
      <c r="I2253" s="19" t="b">
        <f t="shared" si="106"/>
        <v>1</v>
      </c>
      <c r="J2253" s="33" t="str">
        <f t="shared" si="107"/>
        <v/>
      </c>
    </row>
    <row r="2254" spans="1:10">
      <c r="A2254" s="19" t="s">
        <v>332</v>
      </c>
      <c r="B2254" s="20">
        <v>45717</v>
      </c>
      <c r="C2254" s="21">
        <v>155.4</v>
      </c>
      <c r="D2254" s="21">
        <v>30.400000000000006</v>
      </c>
      <c r="E2254" s="21">
        <v>8.65</v>
      </c>
      <c r="F2254" s="27">
        <f t="shared" si="105"/>
        <v>0.19562419562419564</v>
      </c>
      <c r="G2254" s="21" t="str">
        <f>IFERROR(INDEX(Users!$A$2:$A$310,MATCH(A2254,Users!$B$2:$B$310,0)),"")</f>
        <v>Service A</v>
      </c>
      <c r="H2254" s="21" t="str">
        <f>IFERROR(INDEX(Users!$D$2:$D$310,MATCH(A2254,Users!$B$2:$B$310,0)),"")</f>
        <v>Band 3</v>
      </c>
      <c r="I2254" s="19" t="b">
        <f t="shared" si="106"/>
        <v>1</v>
      </c>
      <c r="J2254" s="33" t="str">
        <f t="shared" si="107"/>
        <v/>
      </c>
    </row>
    <row r="2255" spans="1:10">
      <c r="A2255" s="19" t="s">
        <v>332</v>
      </c>
      <c r="B2255" s="20">
        <v>45748</v>
      </c>
      <c r="C2255" s="21">
        <v>148</v>
      </c>
      <c r="D2255" s="21">
        <v>9.8333333333333339</v>
      </c>
      <c r="E2255" s="21"/>
      <c r="F2255" s="27">
        <f t="shared" si="105"/>
        <v>6.6441441441441443E-2</v>
      </c>
      <c r="G2255" s="21" t="str">
        <f>IFERROR(INDEX(Users!$A$2:$A$310,MATCH(A2255,Users!$B$2:$B$310,0)),"")</f>
        <v>Service A</v>
      </c>
      <c r="H2255" s="21" t="str">
        <f>IFERROR(INDEX(Users!$D$2:$D$310,MATCH(A2255,Users!$B$2:$B$310,0)),"")</f>
        <v>Band 3</v>
      </c>
      <c r="I2255" s="19" t="b">
        <f t="shared" si="106"/>
        <v>1</v>
      </c>
      <c r="J2255" s="33" t="str">
        <f t="shared" si="107"/>
        <v/>
      </c>
    </row>
    <row r="2256" spans="1:10">
      <c r="A2256" s="19" t="s">
        <v>332</v>
      </c>
      <c r="B2256" s="20">
        <v>45778</v>
      </c>
      <c r="C2256" s="21">
        <v>148</v>
      </c>
      <c r="D2256" s="21">
        <v>60.263333333333343</v>
      </c>
      <c r="E2256" s="21">
        <v>34.680000000000007</v>
      </c>
      <c r="F2256" s="27">
        <f t="shared" si="105"/>
        <v>0.40718468468468477</v>
      </c>
      <c r="G2256" s="21" t="str">
        <f>IFERROR(INDEX(Users!$A$2:$A$310,MATCH(A2256,Users!$B$2:$B$310,0)),"")</f>
        <v>Service A</v>
      </c>
      <c r="H2256" s="21" t="str">
        <f>IFERROR(INDEX(Users!$D$2:$D$310,MATCH(A2256,Users!$B$2:$B$310,0)),"")</f>
        <v>Band 3</v>
      </c>
      <c r="I2256" s="19" t="b">
        <f t="shared" si="106"/>
        <v>1</v>
      </c>
      <c r="J2256" s="33" t="str">
        <f t="shared" si="107"/>
        <v/>
      </c>
    </row>
    <row r="2257" spans="1:10">
      <c r="A2257" s="19" t="s">
        <v>332</v>
      </c>
      <c r="B2257" s="20">
        <v>45809</v>
      </c>
      <c r="C2257" s="21">
        <v>155.4</v>
      </c>
      <c r="D2257" s="21">
        <v>4</v>
      </c>
      <c r="E2257" s="21"/>
      <c r="F2257" s="27">
        <f t="shared" si="105"/>
        <v>2.5740025740025738E-2</v>
      </c>
      <c r="G2257" s="21" t="str">
        <f>IFERROR(INDEX(Users!$A$2:$A$310,MATCH(A2257,Users!$B$2:$B$310,0)),"")</f>
        <v>Service A</v>
      </c>
      <c r="H2257" s="21" t="str">
        <f>IFERROR(INDEX(Users!$D$2:$D$310,MATCH(A2257,Users!$B$2:$B$310,0)),"")</f>
        <v>Band 3</v>
      </c>
      <c r="I2257" s="19" t="b">
        <f t="shared" si="106"/>
        <v>1</v>
      </c>
      <c r="J2257" s="33" t="str">
        <f t="shared" si="107"/>
        <v/>
      </c>
    </row>
    <row r="2258" spans="1:10">
      <c r="A2258" s="19" t="s">
        <v>332</v>
      </c>
      <c r="B2258" s="20">
        <v>45839</v>
      </c>
      <c r="C2258" s="21">
        <v>170.20000000000002</v>
      </c>
      <c r="D2258" s="21">
        <v>118.23333333333335</v>
      </c>
      <c r="E2258" s="21">
        <v>48.4</v>
      </c>
      <c r="F2258" s="27">
        <f t="shared" si="105"/>
        <v>0.69467293380336859</v>
      </c>
      <c r="G2258" s="21" t="str">
        <f>IFERROR(INDEX(Users!$A$2:$A$310,MATCH(A2258,Users!$B$2:$B$310,0)),"")</f>
        <v>Service A</v>
      </c>
      <c r="H2258" s="21" t="str">
        <f>IFERROR(INDEX(Users!$D$2:$D$310,MATCH(A2258,Users!$B$2:$B$310,0)),"")</f>
        <v>Band 3</v>
      </c>
      <c r="I2258" s="19" t="b">
        <f t="shared" si="106"/>
        <v>1</v>
      </c>
      <c r="J2258" s="33" t="str">
        <f t="shared" si="107"/>
        <v/>
      </c>
    </row>
    <row r="2259" spans="1:10">
      <c r="A2259" s="19" t="s">
        <v>332</v>
      </c>
      <c r="B2259" s="20">
        <v>45870</v>
      </c>
      <c r="C2259" s="21">
        <v>148</v>
      </c>
      <c r="D2259" s="21">
        <v>119.01666666666667</v>
      </c>
      <c r="E2259" s="21">
        <v>62.750000000000007</v>
      </c>
      <c r="F2259" s="27">
        <f t="shared" si="105"/>
        <v>0.8041666666666667</v>
      </c>
      <c r="G2259" s="21" t="str">
        <f>IFERROR(INDEX(Users!$A$2:$A$310,MATCH(A2259,Users!$B$2:$B$310,0)),"")</f>
        <v>Service A</v>
      </c>
      <c r="H2259" s="21" t="str">
        <f>IFERROR(INDEX(Users!$D$2:$D$310,MATCH(A2259,Users!$B$2:$B$310,0)),"")</f>
        <v>Band 3</v>
      </c>
      <c r="I2259" s="19" t="b">
        <f t="shared" si="106"/>
        <v>1</v>
      </c>
      <c r="J2259" s="33" t="str">
        <f t="shared" si="107"/>
        <v/>
      </c>
    </row>
    <row r="2260" spans="1:10">
      <c r="A2260" s="19" t="s">
        <v>332</v>
      </c>
      <c r="B2260" s="20">
        <v>45901</v>
      </c>
      <c r="C2260" s="21">
        <v>162.80000000000001</v>
      </c>
      <c r="D2260" s="21">
        <v>133.19</v>
      </c>
      <c r="E2260" s="21">
        <v>61.040000000000006</v>
      </c>
      <c r="F2260" s="27">
        <f t="shared" si="105"/>
        <v>0.81812039312039309</v>
      </c>
      <c r="G2260" s="21" t="str">
        <f>IFERROR(INDEX(Users!$A$2:$A$310,MATCH(A2260,Users!$B$2:$B$310,0)),"")</f>
        <v>Service A</v>
      </c>
      <c r="H2260" s="21" t="str">
        <f>IFERROR(INDEX(Users!$D$2:$D$310,MATCH(A2260,Users!$B$2:$B$310,0)),"")</f>
        <v>Band 3</v>
      </c>
      <c r="I2260" s="19" t="b">
        <f t="shared" si="106"/>
        <v>1</v>
      </c>
      <c r="J2260" s="33" t="str">
        <f t="shared" si="107"/>
        <v/>
      </c>
    </row>
    <row r="2261" spans="1:10">
      <c r="A2261" s="19" t="s">
        <v>332</v>
      </c>
      <c r="B2261" s="20">
        <v>45931</v>
      </c>
      <c r="C2261" s="21">
        <v>170.20000000000002</v>
      </c>
      <c r="D2261" s="21">
        <v>84.17</v>
      </c>
      <c r="E2261" s="21">
        <v>47.67</v>
      </c>
      <c r="F2261" s="27">
        <f t="shared" si="105"/>
        <v>0.49453584018801405</v>
      </c>
      <c r="G2261" s="21" t="str">
        <f>IFERROR(INDEX(Users!$A$2:$A$310,MATCH(A2261,Users!$B$2:$B$310,0)),"")</f>
        <v>Service A</v>
      </c>
      <c r="H2261" s="21" t="str">
        <f>IFERROR(INDEX(Users!$D$2:$D$310,MATCH(A2261,Users!$B$2:$B$310,0)),"")</f>
        <v>Band 3</v>
      </c>
      <c r="I2261" s="19" t="b">
        <f t="shared" si="106"/>
        <v>1</v>
      </c>
      <c r="J2261" s="33" t="str">
        <f t="shared" si="107"/>
        <v/>
      </c>
    </row>
    <row r="2262" spans="1:10">
      <c r="A2262" s="19" t="s">
        <v>332</v>
      </c>
      <c r="B2262" s="20">
        <v>45962</v>
      </c>
      <c r="C2262" s="21">
        <v>148</v>
      </c>
      <c r="D2262" s="21">
        <v>138.49666666666667</v>
      </c>
      <c r="E2262" s="21">
        <v>92.08</v>
      </c>
      <c r="F2262" s="27">
        <f t="shared" si="105"/>
        <v>0.93578828828828831</v>
      </c>
      <c r="G2262" s="21" t="str">
        <f>IFERROR(INDEX(Users!$A$2:$A$310,MATCH(A2262,Users!$B$2:$B$310,0)),"")</f>
        <v>Service A</v>
      </c>
      <c r="H2262" s="21" t="str">
        <f>IFERROR(INDEX(Users!$D$2:$D$310,MATCH(A2262,Users!$B$2:$B$310,0)),"")</f>
        <v>Band 3</v>
      </c>
      <c r="I2262" s="19" t="b">
        <f t="shared" si="106"/>
        <v>1</v>
      </c>
      <c r="J2262" s="33" t="str">
        <f t="shared" si="107"/>
        <v/>
      </c>
    </row>
    <row r="2263" spans="1:10">
      <c r="A2263" s="19" t="s">
        <v>332</v>
      </c>
      <c r="B2263" s="20">
        <v>45992</v>
      </c>
      <c r="C2263" s="21">
        <v>7.4</v>
      </c>
      <c r="D2263" s="21">
        <v>9.4166666666666661</v>
      </c>
      <c r="E2263" s="21">
        <v>8.25</v>
      </c>
      <c r="F2263" s="27">
        <f t="shared" si="105"/>
        <v>1.2725225225225223</v>
      </c>
      <c r="G2263" s="21" t="str">
        <f>IFERROR(INDEX(Users!$A$2:$A$310,MATCH(A2263,Users!$B$2:$B$310,0)),"")</f>
        <v>Service A</v>
      </c>
      <c r="H2263" s="21" t="str">
        <f>IFERROR(INDEX(Users!$D$2:$D$310,MATCH(A2263,Users!$B$2:$B$310,0)),"")</f>
        <v>Band 3</v>
      </c>
      <c r="I2263" s="19" t="b">
        <f t="shared" si="106"/>
        <v>1</v>
      </c>
      <c r="J2263" s="33" t="str">
        <f t="shared" si="107"/>
        <v/>
      </c>
    </row>
    <row r="2264" spans="1:10">
      <c r="A2264" s="19" t="s">
        <v>333</v>
      </c>
      <c r="B2264" s="20">
        <v>45689</v>
      </c>
      <c r="C2264" s="21">
        <v>37</v>
      </c>
      <c r="D2264" s="21">
        <v>44.4</v>
      </c>
      <c r="E2264" s="21"/>
      <c r="F2264" s="27">
        <f t="shared" si="105"/>
        <v>1.2</v>
      </c>
      <c r="G2264" s="21" t="str">
        <f>IFERROR(INDEX(Users!$A$2:$A$310,MATCH(A2264,Users!$B$2:$B$310,0)),"")</f>
        <v>Service A</v>
      </c>
      <c r="H2264" s="21" t="str">
        <f>IFERROR(INDEX(Users!$D$2:$D$310,MATCH(A2264,Users!$B$2:$B$310,0)),"")</f>
        <v>Band 3</v>
      </c>
      <c r="I2264" s="19" t="b">
        <f t="shared" si="106"/>
        <v>1</v>
      </c>
      <c r="J2264" s="33" t="str">
        <f t="shared" si="107"/>
        <v/>
      </c>
    </row>
    <row r="2265" spans="1:10">
      <c r="A2265" s="19" t="s">
        <v>333</v>
      </c>
      <c r="B2265" s="20">
        <v>45717</v>
      </c>
      <c r="C2265" s="21">
        <v>155.4</v>
      </c>
      <c r="D2265" s="21">
        <v>156.50000000000006</v>
      </c>
      <c r="E2265" s="21"/>
      <c r="F2265" s="27">
        <f t="shared" si="105"/>
        <v>1.0070785070785073</v>
      </c>
      <c r="G2265" s="21" t="str">
        <f>IFERROR(INDEX(Users!$A$2:$A$310,MATCH(A2265,Users!$B$2:$B$310,0)),"")</f>
        <v>Service A</v>
      </c>
      <c r="H2265" s="21" t="str">
        <f>IFERROR(INDEX(Users!$D$2:$D$310,MATCH(A2265,Users!$B$2:$B$310,0)),"")</f>
        <v>Band 3</v>
      </c>
      <c r="I2265" s="19" t="b">
        <f t="shared" si="106"/>
        <v>1</v>
      </c>
      <c r="J2265" s="33" t="str">
        <f t="shared" si="107"/>
        <v/>
      </c>
    </row>
    <row r="2266" spans="1:10">
      <c r="A2266" s="19" t="s">
        <v>333</v>
      </c>
      <c r="B2266" s="20">
        <v>45748</v>
      </c>
      <c r="C2266" s="21">
        <v>148</v>
      </c>
      <c r="D2266" s="21">
        <v>96.200000000000017</v>
      </c>
      <c r="E2266" s="21"/>
      <c r="F2266" s="27">
        <f t="shared" si="105"/>
        <v>0.65000000000000013</v>
      </c>
      <c r="G2266" s="21" t="str">
        <f>IFERROR(INDEX(Users!$A$2:$A$310,MATCH(A2266,Users!$B$2:$B$310,0)),"")</f>
        <v>Service A</v>
      </c>
      <c r="H2266" s="21" t="str">
        <f>IFERROR(INDEX(Users!$D$2:$D$310,MATCH(A2266,Users!$B$2:$B$310,0)),"")</f>
        <v>Band 3</v>
      </c>
      <c r="I2266" s="19" t="b">
        <f t="shared" si="106"/>
        <v>1</v>
      </c>
      <c r="J2266" s="33" t="str">
        <f t="shared" si="107"/>
        <v/>
      </c>
    </row>
    <row r="2267" spans="1:10">
      <c r="A2267" s="19" t="s">
        <v>333</v>
      </c>
      <c r="B2267" s="20">
        <v>45778</v>
      </c>
      <c r="C2267" s="21">
        <v>148</v>
      </c>
      <c r="D2267" s="21">
        <v>155.40000000000003</v>
      </c>
      <c r="E2267" s="21">
        <v>37</v>
      </c>
      <c r="F2267" s="27">
        <f t="shared" si="105"/>
        <v>1.0500000000000003</v>
      </c>
      <c r="G2267" s="21" t="str">
        <f>IFERROR(INDEX(Users!$A$2:$A$310,MATCH(A2267,Users!$B$2:$B$310,0)),"")</f>
        <v>Service A</v>
      </c>
      <c r="H2267" s="21" t="str">
        <f>IFERROR(INDEX(Users!$D$2:$D$310,MATCH(A2267,Users!$B$2:$B$310,0)),"")</f>
        <v>Band 3</v>
      </c>
      <c r="I2267" s="19" t="b">
        <f t="shared" si="106"/>
        <v>1</v>
      </c>
      <c r="J2267" s="33" t="str">
        <f t="shared" si="107"/>
        <v/>
      </c>
    </row>
    <row r="2268" spans="1:10">
      <c r="A2268" s="19" t="s">
        <v>333</v>
      </c>
      <c r="B2268" s="20">
        <v>45809</v>
      </c>
      <c r="C2268" s="21">
        <v>155.4</v>
      </c>
      <c r="D2268" s="21">
        <v>149.50000000000003</v>
      </c>
      <c r="E2268" s="21">
        <v>115.20000000000002</v>
      </c>
      <c r="F2268" s="27">
        <f t="shared" si="105"/>
        <v>0.96203346203346218</v>
      </c>
      <c r="G2268" s="21" t="str">
        <f>IFERROR(INDEX(Users!$A$2:$A$310,MATCH(A2268,Users!$B$2:$B$310,0)),"")</f>
        <v>Service A</v>
      </c>
      <c r="H2268" s="21" t="str">
        <f>IFERROR(INDEX(Users!$D$2:$D$310,MATCH(A2268,Users!$B$2:$B$310,0)),"")</f>
        <v>Band 3</v>
      </c>
      <c r="I2268" s="19" t="b">
        <f t="shared" si="106"/>
        <v>1</v>
      </c>
      <c r="J2268" s="33" t="str">
        <f t="shared" si="107"/>
        <v/>
      </c>
    </row>
    <row r="2269" spans="1:10">
      <c r="A2269" s="19" t="s">
        <v>333</v>
      </c>
      <c r="B2269" s="20">
        <v>45839</v>
      </c>
      <c r="C2269" s="21">
        <v>170.20000000000002</v>
      </c>
      <c r="D2269" s="21">
        <v>157.68</v>
      </c>
      <c r="E2269" s="21">
        <v>114.88000000000001</v>
      </c>
      <c r="F2269" s="27">
        <f t="shared" si="105"/>
        <v>0.92643948296122203</v>
      </c>
      <c r="G2269" s="21" t="str">
        <f>IFERROR(INDEX(Users!$A$2:$A$310,MATCH(A2269,Users!$B$2:$B$310,0)),"")</f>
        <v>Service A</v>
      </c>
      <c r="H2269" s="21" t="str">
        <f>IFERROR(INDEX(Users!$D$2:$D$310,MATCH(A2269,Users!$B$2:$B$310,0)),"")</f>
        <v>Band 3</v>
      </c>
      <c r="I2269" s="19" t="b">
        <f t="shared" si="106"/>
        <v>1</v>
      </c>
      <c r="J2269" s="33" t="str">
        <f t="shared" si="107"/>
        <v/>
      </c>
    </row>
    <row r="2270" spans="1:10">
      <c r="A2270" s="19" t="s">
        <v>333</v>
      </c>
      <c r="B2270" s="20">
        <v>45870</v>
      </c>
      <c r="C2270" s="21">
        <v>148</v>
      </c>
      <c r="D2270" s="21">
        <v>80.7</v>
      </c>
      <c r="E2270" s="21">
        <v>64.400000000000006</v>
      </c>
      <c r="F2270" s="27">
        <f t="shared" si="105"/>
        <v>0.54527027027027031</v>
      </c>
      <c r="G2270" s="21" t="str">
        <f>IFERROR(INDEX(Users!$A$2:$A$310,MATCH(A2270,Users!$B$2:$B$310,0)),"")</f>
        <v>Service A</v>
      </c>
      <c r="H2270" s="21" t="str">
        <f>IFERROR(INDEX(Users!$D$2:$D$310,MATCH(A2270,Users!$B$2:$B$310,0)),"")</f>
        <v>Band 3</v>
      </c>
      <c r="I2270" s="19" t="b">
        <f t="shared" si="106"/>
        <v>1</v>
      </c>
      <c r="J2270" s="33" t="str">
        <f t="shared" si="107"/>
        <v/>
      </c>
    </row>
    <row r="2271" spans="1:10">
      <c r="A2271" s="19" t="s">
        <v>333</v>
      </c>
      <c r="B2271" s="20">
        <v>45901</v>
      </c>
      <c r="C2271" s="21">
        <v>162.80000000000001</v>
      </c>
      <c r="D2271" s="21">
        <v>162.84</v>
      </c>
      <c r="E2271" s="21">
        <v>128.74</v>
      </c>
      <c r="F2271" s="27">
        <f t="shared" si="105"/>
        <v>1.0002457002457001</v>
      </c>
      <c r="G2271" s="21" t="str">
        <f>IFERROR(INDEX(Users!$A$2:$A$310,MATCH(A2271,Users!$B$2:$B$310,0)),"")</f>
        <v>Service A</v>
      </c>
      <c r="H2271" s="21" t="str">
        <f>IFERROR(INDEX(Users!$D$2:$D$310,MATCH(A2271,Users!$B$2:$B$310,0)),"")</f>
        <v>Band 3</v>
      </c>
      <c r="I2271" s="19" t="b">
        <f t="shared" si="106"/>
        <v>1</v>
      </c>
      <c r="J2271" s="33" t="str">
        <f t="shared" si="107"/>
        <v/>
      </c>
    </row>
    <row r="2272" spans="1:10">
      <c r="A2272" s="19" t="s">
        <v>333</v>
      </c>
      <c r="B2272" s="20">
        <v>45931</v>
      </c>
      <c r="C2272" s="21">
        <v>170.20000000000002</v>
      </c>
      <c r="D2272" s="21">
        <v>163</v>
      </c>
      <c r="E2272" s="21">
        <v>124.20000000000002</v>
      </c>
      <c r="F2272" s="27">
        <f t="shared" si="105"/>
        <v>0.95769682726204453</v>
      </c>
      <c r="G2272" s="21" t="str">
        <f>IFERROR(INDEX(Users!$A$2:$A$310,MATCH(A2272,Users!$B$2:$B$310,0)),"")</f>
        <v>Service A</v>
      </c>
      <c r="H2272" s="21" t="str">
        <f>IFERROR(INDEX(Users!$D$2:$D$310,MATCH(A2272,Users!$B$2:$B$310,0)),"")</f>
        <v>Band 3</v>
      </c>
      <c r="I2272" s="19" t="b">
        <f t="shared" si="106"/>
        <v>1</v>
      </c>
      <c r="J2272" s="33" t="str">
        <f t="shared" si="107"/>
        <v/>
      </c>
    </row>
    <row r="2273" spans="1:10">
      <c r="A2273" s="19" t="s">
        <v>333</v>
      </c>
      <c r="B2273" s="20">
        <v>45962</v>
      </c>
      <c r="C2273" s="21">
        <v>148</v>
      </c>
      <c r="D2273" s="21">
        <v>145.81</v>
      </c>
      <c r="E2273" s="21">
        <v>132.01</v>
      </c>
      <c r="F2273" s="27">
        <f t="shared" si="105"/>
        <v>0.98520270270270272</v>
      </c>
      <c r="G2273" s="21" t="str">
        <f>IFERROR(INDEX(Users!$A$2:$A$310,MATCH(A2273,Users!$B$2:$B$310,0)),"")</f>
        <v>Service A</v>
      </c>
      <c r="H2273" s="21" t="str">
        <f>IFERROR(INDEX(Users!$D$2:$D$310,MATCH(A2273,Users!$B$2:$B$310,0)),"")</f>
        <v>Band 3</v>
      </c>
      <c r="I2273" s="19" t="b">
        <f t="shared" si="106"/>
        <v>1</v>
      </c>
      <c r="J2273" s="33" t="str">
        <f t="shared" si="107"/>
        <v/>
      </c>
    </row>
    <row r="2274" spans="1:10">
      <c r="A2274" s="19" t="s">
        <v>333</v>
      </c>
      <c r="B2274" s="20">
        <v>45992</v>
      </c>
      <c r="C2274" s="21">
        <v>155.4</v>
      </c>
      <c r="D2274" s="21">
        <v>149.64000000000001</v>
      </c>
      <c r="E2274" s="21">
        <v>117.29000000000002</v>
      </c>
      <c r="F2274" s="27">
        <f t="shared" si="105"/>
        <v>0.96293436293436296</v>
      </c>
      <c r="G2274" s="21" t="str">
        <f>IFERROR(INDEX(Users!$A$2:$A$310,MATCH(A2274,Users!$B$2:$B$310,0)),"")</f>
        <v>Service A</v>
      </c>
      <c r="H2274" s="21" t="str">
        <f>IFERROR(INDEX(Users!$D$2:$D$310,MATCH(A2274,Users!$B$2:$B$310,0)),"")</f>
        <v>Band 3</v>
      </c>
      <c r="I2274" s="19" t="b">
        <f t="shared" si="106"/>
        <v>1</v>
      </c>
      <c r="J2274" s="33" t="str">
        <f t="shared" si="107"/>
        <v/>
      </c>
    </row>
    <row r="2275" spans="1:10">
      <c r="A2275" s="19" t="s">
        <v>333</v>
      </c>
      <c r="B2275" s="20">
        <v>46023</v>
      </c>
      <c r="C2275" s="21">
        <v>155.4</v>
      </c>
      <c r="D2275" s="21">
        <v>157.18</v>
      </c>
      <c r="E2275" s="21">
        <v>137.88</v>
      </c>
      <c r="F2275" s="27">
        <f t="shared" si="105"/>
        <v>1.0114543114543115</v>
      </c>
      <c r="G2275" s="21" t="str">
        <f>IFERROR(INDEX(Users!$A$2:$A$310,MATCH(A2275,Users!$B$2:$B$310,0)),"")</f>
        <v>Service A</v>
      </c>
      <c r="H2275" s="21" t="str">
        <f>IFERROR(INDEX(Users!$D$2:$D$310,MATCH(A2275,Users!$B$2:$B$310,0)),"")</f>
        <v>Band 3</v>
      </c>
      <c r="I2275" s="19" t="b">
        <f t="shared" si="106"/>
        <v>1</v>
      </c>
      <c r="J2275" s="33" t="str">
        <f t="shared" si="107"/>
        <v/>
      </c>
    </row>
    <row r="2276" spans="1:10">
      <c r="A2276" s="19" t="s">
        <v>334</v>
      </c>
      <c r="B2276" s="20">
        <v>45658</v>
      </c>
      <c r="C2276" s="21">
        <v>162.80000000000001</v>
      </c>
      <c r="D2276" s="21">
        <v>108.31999999999998</v>
      </c>
      <c r="E2276" s="21">
        <v>35.870000000000005</v>
      </c>
      <c r="F2276" s="27">
        <f t="shared" si="105"/>
        <v>0.66535626535626513</v>
      </c>
      <c r="G2276" s="21" t="str">
        <f>IFERROR(INDEX(Users!$A$2:$A$310,MATCH(A2276,Users!$B$2:$B$310,0)),"")</f>
        <v>Service C</v>
      </c>
      <c r="H2276" s="21" t="str">
        <f>IFERROR(INDEX(Users!$D$2:$D$310,MATCH(A2276,Users!$B$2:$B$310,0)),"")</f>
        <v>Band 5</v>
      </c>
      <c r="I2276" s="19" t="b">
        <f t="shared" si="106"/>
        <v>0</v>
      </c>
      <c r="J2276" s="33" t="str">
        <f t="shared" si="107"/>
        <v/>
      </c>
    </row>
    <row r="2277" spans="1:10">
      <c r="A2277" s="19" t="s">
        <v>334</v>
      </c>
      <c r="B2277" s="20">
        <v>45689</v>
      </c>
      <c r="C2277" s="21">
        <v>148</v>
      </c>
      <c r="D2277" s="21">
        <v>75.846666666666664</v>
      </c>
      <c r="E2277" s="21">
        <v>17.830000000000002</v>
      </c>
      <c r="F2277" s="27">
        <f t="shared" si="105"/>
        <v>0.51247747747747741</v>
      </c>
      <c r="G2277" s="21" t="str">
        <f>IFERROR(INDEX(Users!$A$2:$A$310,MATCH(A2277,Users!$B$2:$B$310,0)),"")</f>
        <v>Service C</v>
      </c>
      <c r="H2277" s="21" t="str">
        <f>IFERROR(INDEX(Users!$D$2:$D$310,MATCH(A2277,Users!$B$2:$B$310,0)),"")</f>
        <v>Band 5</v>
      </c>
      <c r="I2277" s="19" t="b">
        <f t="shared" si="106"/>
        <v>0</v>
      </c>
      <c r="J2277" s="33" t="str">
        <f t="shared" si="107"/>
        <v/>
      </c>
    </row>
    <row r="2278" spans="1:10">
      <c r="A2278" s="19" t="s">
        <v>334</v>
      </c>
      <c r="B2278" s="20">
        <v>45717</v>
      </c>
      <c r="C2278" s="21">
        <v>155.4</v>
      </c>
      <c r="D2278" s="21">
        <v>156.51</v>
      </c>
      <c r="E2278" s="21">
        <v>44.01</v>
      </c>
      <c r="F2278" s="27">
        <f t="shared" si="105"/>
        <v>1.0071428571428571</v>
      </c>
      <c r="G2278" s="21" t="str">
        <f>IFERROR(INDEX(Users!$A$2:$A$310,MATCH(A2278,Users!$B$2:$B$310,0)),"")</f>
        <v>Service C</v>
      </c>
      <c r="H2278" s="21" t="str">
        <f>IFERROR(INDEX(Users!$D$2:$D$310,MATCH(A2278,Users!$B$2:$B$310,0)),"")</f>
        <v>Band 5</v>
      </c>
      <c r="I2278" s="19" t="b">
        <f t="shared" si="106"/>
        <v>0</v>
      </c>
      <c r="J2278" s="33" t="str">
        <f t="shared" si="107"/>
        <v/>
      </c>
    </row>
    <row r="2279" spans="1:10">
      <c r="A2279" s="19" t="s">
        <v>334</v>
      </c>
      <c r="B2279" s="20">
        <v>45748</v>
      </c>
      <c r="C2279" s="21">
        <v>148</v>
      </c>
      <c r="D2279" s="21">
        <v>141.16333333333333</v>
      </c>
      <c r="E2279" s="21">
        <v>40.43</v>
      </c>
      <c r="F2279" s="27">
        <f t="shared" si="105"/>
        <v>0.95380630630630625</v>
      </c>
      <c r="G2279" s="21" t="str">
        <f>IFERROR(INDEX(Users!$A$2:$A$310,MATCH(A2279,Users!$B$2:$B$310,0)),"")</f>
        <v>Service C</v>
      </c>
      <c r="H2279" s="21" t="str">
        <f>IFERROR(INDEX(Users!$D$2:$D$310,MATCH(A2279,Users!$B$2:$B$310,0)),"")</f>
        <v>Band 5</v>
      </c>
      <c r="I2279" s="19" t="b">
        <f t="shared" si="106"/>
        <v>0</v>
      </c>
      <c r="J2279" s="33" t="str">
        <f t="shared" si="107"/>
        <v/>
      </c>
    </row>
    <row r="2280" spans="1:10">
      <c r="A2280" s="19" t="s">
        <v>334</v>
      </c>
      <c r="B2280" s="20">
        <v>45778</v>
      </c>
      <c r="C2280" s="21">
        <v>148</v>
      </c>
      <c r="D2280" s="21">
        <v>120.09333333333333</v>
      </c>
      <c r="E2280" s="21">
        <v>22.060000000000002</v>
      </c>
      <c r="F2280" s="27">
        <f t="shared" si="105"/>
        <v>0.81144144144144148</v>
      </c>
      <c r="G2280" s="21" t="str">
        <f>IFERROR(INDEX(Users!$A$2:$A$310,MATCH(A2280,Users!$B$2:$B$310,0)),"")</f>
        <v>Service C</v>
      </c>
      <c r="H2280" s="21" t="str">
        <f>IFERROR(INDEX(Users!$D$2:$D$310,MATCH(A2280,Users!$B$2:$B$310,0)),"")</f>
        <v>Band 5</v>
      </c>
      <c r="I2280" s="19" t="b">
        <f t="shared" si="106"/>
        <v>0</v>
      </c>
      <c r="J2280" s="33" t="str">
        <f t="shared" si="107"/>
        <v/>
      </c>
    </row>
    <row r="2281" spans="1:10">
      <c r="A2281" s="19" t="s">
        <v>334</v>
      </c>
      <c r="B2281" s="20">
        <v>45809</v>
      </c>
      <c r="C2281" s="21">
        <v>155.4</v>
      </c>
      <c r="D2281" s="21">
        <v>164.70000000000002</v>
      </c>
      <c r="E2281" s="21">
        <v>21.250000000000011</v>
      </c>
      <c r="F2281" s="27">
        <f t="shared" si="105"/>
        <v>1.0598455598455598</v>
      </c>
      <c r="G2281" s="21" t="str">
        <f>IFERROR(INDEX(Users!$A$2:$A$310,MATCH(A2281,Users!$B$2:$B$310,0)),"")</f>
        <v>Service C</v>
      </c>
      <c r="H2281" s="21" t="str">
        <f>IFERROR(INDEX(Users!$D$2:$D$310,MATCH(A2281,Users!$B$2:$B$310,0)),"")</f>
        <v>Band 5</v>
      </c>
      <c r="I2281" s="19" t="b">
        <f t="shared" si="106"/>
        <v>0</v>
      </c>
      <c r="J2281" s="33" t="str">
        <f t="shared" si="107"/>
        <v/>
      </c>
    </row>
    <row r="2282" spans="1:10">
      <c r="A2282" s="19" t="s">
        <v>334</v>
      </c>
      <c r="B2282" s="20">
        <v>45839</v>
      </c>
      <c r="C2282" s="21">
        <v>170.20000000000002</v>
      </c>
      <c r="D2282" s="21">
        <v>156.78333333333333</v>
      </c>
      <c r="E2282" s="21">
        <v>33.150000000000006</v>
      </c>
      <c r="F2282" s="27">
        <f t="shared" si="105"/>
        <v>0.92117117117117109</v>
      </c>
      <c r="G2282" s="21" t="str">
        <f>IFERROR(INDEX(Users!$A$2:$A$310,MATCH(A2282,Users!$B$2:$B$310,0)),"")</f>
        <v>Service C</v>
      </c>
      <c r="H2282" s="21" t="str">
        <f>IFERROR(INDEX(Users!$D$2:$D$310,MATCH(A2282,Users!$B$2:$B$310,0)),"")</f>
        <v>Band 5</v>
      </c>
      <c r="I2282" s="19" t="b">
        <f t="shared" si="106"/>
        <v>0</v>
      </c>
      <c r="J2282" s="33" t="str">
        <f t="shared" si="107"/>
        <v/>
      </c>
    </row>
    <row r="2283" spans="1:10">
      <c r="A2283" s="19" t="s">
        <v>334</v>
      </c>
      <c r="B2283" s="20">
        <v>45870</v>
      </c>
      <c r="C2283" s="21">
        <v>148</v>
      </c>
      <c r="D2283" s="21">
        <v>134.99</v>
      </c>
      <c r="E2283" s="21">
        <v>24.139999999999997</v>
      </c>
      <c r="F2283" s="27">
        <f t="shared" si="105"/>
        <v>0.91209459459459463</v>
      </c>
      <c r="G2283" s="21" t="str">
        <f>IFERROR(INDEX(Users!$A$2:$A$310,MATCH(A2283,Users!$B$2:$B$310,0)),"")</f>
        <v>Service C</v>
      </c>
      <c r="H2283" s="21" t="str">
        <f>IFERROR(INDEX(Users!$D$2:$D$310,MATCH(A2283,Users!$B$2:$B$310,0)),"")</f>
        <v>Band 5</v>
      </c>
      <c r="I2283" s="19" t="b">
        <f t="shared" si="106"/>
        <v>0</v>
      </c>
      <c r="J2283" s="33" t="str">
        <f t="shared" si="107"/>
        <v/>
      </c>
    </row>
    <row r="2284" spans="1:10">
      <c r="A2284" s="19" t="s">
        <v>334</v>
      </c>
      <c r="B2284" s="20">
        <v>45901</v>
      </c>
      <c r="C2284" s="21">
        <v>162.80000000000001</v>
      </c>
      <c r="D2284" s="21">
        <v>169.01333333333332</v>
      </c>
      <c r="E2284" s="21">
        <v>19.379999999999995</v>
      </c>
      <c r="F2284" s="27">
        <f t="shared" si="105"/>
        <v>1.0381654381654379</v>
      </c>
      <c r="G2284" s="21" t="str">
        <f>IFERROR(INDEX(Users!$A$2:$A$310,MATCH(A2284,Users!$B$2:$B$310,0)),"")</f>
        <v>Service C</v>
      </c>
      <c r="H2284" s="21" t="str">
        <f>IFERROR(INDEX(Users!$D$2:$D$310,MATCH(A2284,Users!$B$2:$B$310,0)),"")</f>
        <v>Band 5</v>
      </c>
      <c r="I2284" s="19" t="b">
        <f t="shared" si="106"/>
        <v>0</v>
      </c>
      <c r="J2284" s="33" t="str">
        <f t="shared" si="107"/>
        <v/>
      </c>
    </row>
    <row r="2285" spans="1:10">
      <c r="A2285" s="19" t="s">
        <v>334</v>
      </c>
      <c r="B2285" s="20">
        <v>45931</v>
      </c>
      <c r="C2285" s="21">
        <v>170.20000000000002</v>
      </c>
      <c r="D2285" s="21">
        <v>170.05666666666664</v>
      </c>
      <c r="E2285" s="21">
        <v>13.59</v>
      </c>
      <c r="F2285" s="27">
        <f t="shared" si="105"/>
        <v>0.99915785350567932</v>
      </c>
      <c r="G2285" s="21" t="str">
        <f>IFERROR(INDEX(Users!$A$2:$A$310,MATCH(A2285,Users!$B$2:$B$310,0)),"")</f>
        <v>Service C</v>
      </c>
      <c r="H2285" s="21" t="str">
        <f>IFERROR(INDEX(Users!$D$2:$D$310,MATCH(A2285,Users!$B$2:$B$310,0)),"")</f>
        <v>Band 5</v>
      </c>
      <c r="I2285" s="19" t="b">
        <f t="shared" si="106"/>
        <v>0</v>
      </c>
      <c r="J2285" s="33" t="str">
        <f t="shared" si="107"/>
        <v/>
      </c>
    </row>
    <row r="2286" spans="1:10">
      <c r="A2286" s="19" t="s">
        <v>334</v>
      </c>
      <c r="B2286" s="20">
        <v>45962</v>
      </c>
      <c r="C2286" s="21">
        <v>148</v>
      </c>
      <c r="D2286" s="21">
        <v>66.850000000000009</v>
      </c>
      <c r="E2286" s="21"/>
      <c r="F2286" s="27">
        <f t="shared" si="105"/>
        <v>0.45168918918918927</v>
      </c>
      <c r="G2286" s="21" t="str">
        <f>IFERROR(INDEX(Users!$A$2:$A$310,MATCH(A2286,Users!$B$2:$B$310,0)),"")</f>
        <v>Service C</v>
      </c>
      <c r="H2286" s="21" t="str">
        <f>IFERROR(INDEX(Users!$D$2:$D$310,MATCH(A2286,Users!$B$2:$B$310,0)),"")</f>
        <v>Band 5</v>
      </c>
      <c r="I2286" s="19" t="b">
        <f t="shared" si="106"/>
        <v>0</v>
      </c>
      <c r="J2286" s="33" t="str">
        <f t="shared" si="107"/>
        <v/>
      </c>
    </row>
    <row r="2287" spans="1:10">
      <c r="A2287" s="19" t="s">
        <v>336</v>
      </c>
      <c r="B2287" s="20">
        <v>45658</v>
      </c>
      <c r="C2287" s="21">
        <v>162.80000000000001</v>
      </c>
      <c r="D2287" s="21">
        <v>163.07722222222222</v>
      </c>
      <c r="E2287" s="21">
        <v>101.41</v>
      </c>
      <c r="F2287" s="27">
        <f t="shared" si="105"/>
        <v>1.0017028392028391</v>
      </c>
      <c r="G2287" s="21" t="str">
        <f>IFERROR(INDEX(Users!$A$2:$A$310,MATCH(A2287,Users!$B$2:$B$310,0)),"")</f>
        <v>Service A</v>
      </c>
      <c r="H2287" s="21" t="str">
        <f>IFERROR(INDEX(Users!$D$2:$D$310,MATCH(A2287,Users!$B$2:$B$310,0)),"")</f>
        <v>Band 3</v>
      </c>
      <c r="I2287" s="19" t="b">
        <f t="shared" si="106"/>
        <v>1</v>
      </c>
      <c r="J2287" s="33" t="str">
        <f t="shared" si="107"/>
        <v/>
      </c>
    </row>
    <row r="2288" spans="1:10">
      <c r="A2288" s="19" t="s">
        <v>336</v>
      </c>
      <c r="B2288" s="20">
        <v>45689</v>
      </c>
      <c r="C2288" s="21">
        <v>148</v>
      </c>
      <c r="D2288" s="21">
        <v>124.71250000000001</v>
      </c>
      <c r="E2288" s="21">
        <v>72.680000000000007</v>
      </c>
      <c r="F2288" s="27">
        <f t="shared" si="105"/>
        <v>0.84265202702702702</v>
      </c>
      <c r="G2288" s="21" t="str">
        <f>IFERROR(INDEX(Users!$A$2:$A$310,MATCH(A2288,Users!$B$2:$B$310,0)),"")</f>
        <v>Service A</v>
      </c>
      <c r="H2288" s="21" t="str">
        <f>IFERROR(INDEX(Users!$D$2:$D$310,MATCH(A2288,Users!$B$2:$B$310,0)),"")</f>
        <v>Band 3</v>
      </c>
      <c r="I2288" s="19" t="b">
        <f t="shared" si="106"/>
        <v>1</v>
      </c>
      <c r="J2288" s="33" t="str">
        <f t="shared" si="107"/>
        <v/>
      </c>
    </row>
    <row r="2289" spans="1:10">
      <c r="A2289" s="19" t="s">
        <v>336</v>
      </c>
      <c r="B2289" s="20">
        <v>45717</v>
      </c>
      <c r="C2289" s="21">
        <v>155.4</v>
      </c>
      <c r="D2289" s="21">
        <v>157.45749999999998</v>
      </c>
      <c r="E2289" s="21">
        <v>110.08</v>
      </c>
      <c r="F2289" s="27">
        <f t="shared" si="105"/>
        <v>1.0132400257400256</v>
      </c>
      <c r="G2289" s="21" t="str">
        <f>IFERROR(INDEX(Users!$A$2:$A$310,MATCH(A2289,Users!$B$2:$B$310,0)),"")</f>
        <v>Service A</v>
      </c>
      <c r="H2289" s="21" t="str">
        <f>IFERROR(INDEX(Users!$D$2:$D$310,MATCH(A2289,Users!$B$2:$B$310,0)),"")</f>
        <v>Band 3</v>
      </c>
      <c r="I2289" s="19" t="b">
        <f t="shared" si="106"/>
        <v>1</v>
      </c>
      <c r="J2289" s="33" t="str">
        <f t="shared" si="107"/>
        <v/>
      </c>
    </row>
    <row r="2290" spans="1:10">
      <c r="A2290" s="19" t="s">
        <v>336</v>
      </c>
      <c r="B2290" s="20">
        <v>45748</v>
      </c>
      <c r="C2290" s="21">
        <v>148</v>
      </c>
      <c r="D2290" s="21">
        <v>112.26666666666667</v>
      </c>
      <c r="E2290" s="21">
        <v>87</v>
      </c>
      <c r="F2290" s="27">
        <f t="shared" si="105"/>
        <v>0.75855855855855858</v>
      </c>
      <c r="G2290" s="21" t="str">
        <f>IFERROR(INDEX(Users!$A$2:$A$310,MATCH(A2290,Users!$B$2:$B$310,0)),"")</f>
        <v>Service A</v>
      </c>
      <c r="H2290" s="21" t="str">
        <f>IFERROR(INDEX(Users!$D$2:$D$310,MATCH(A2290,Users!$B$2:$B$310,0)),"")</f>
        <v>Band 3</v>
      </c>
      <c r="I2290" s="19" t="b">
        <f t="shared" si="106"/>
        <v>1</v>
      </c>
      <c r="J2290" s="33" t="str">
        <f t="shared" si="107"/>
        <v/>
      </c>
    </row>
    <row r="2291" spans="1:10">
      <c r="A2291" s="19" t="s">
        <v>336</v>
      </c>
      <c r="B2291" s="20">
        <v>45778</v>
      </c>
      <c r="C2291" s="21">
        <v>148</v>
      </c>
      <c r="D2291" s="21">
        <v>116.75</v>
      </c>
      <c r="E2291" s="21">
        <v>80.8</v>
      </c>
      <c r="F2291" s="27">
        <f t="shared" si="105"/>
        <v>0.78885135135135132</v>
      </c>
      <c r="G2291" s="21" t="str">
        <f>IFERROR(INDEX(Users!$A$2:$A$310,MATCH(A2291,Users!$B$2:$B$310,0)),"")</f>
        <v>Service A</v>
      </c>
      <c r="H2291" s="21" t="str">
        <f>IFERROR(INDEX(Users!$D$2:$D$310,MATCH(A2291,Users!$B$2:$B$310,0)),"")</f>
        <v>Band 3</v>
      </c>
      <c r="I2291" s="19" t="b">
        <f t="shared" si="106"/>
        <v>1</v>
      </c>
      <c r="J2291" s="33" t="str">
        <f t="shared" si="107"/>
        <v/>
      </c>
    </row>
    <row r="2292" spans="1:10">
      <c r="A2292" s="19" t="s">
        <v>336</v>
      </c>
      <c r="B2292" s="20">
        <v>45809</v>
      </c>
      <c r="C2292" s="21">
        <v>155.4</v>
      </c>
      <c r="D2292" s="21">
        <v>146.37</v>
      </c>
      <c r="E2292" s="21">
        <v>82.42</v>
      </c>
      <c r="F2292" s="27">
        <f t="shared" si="105"/>
        <v>0.94189189189189193</v>
      </c>
      <c r="G2292" s="21" t="str">
        <f>IFERROR(INDEX(Users!$A$2:$A$310,MATCH(A2292,Users!$B$2:$B$310,0)),"")</f>
        <v>Service A</v>
      </c>
      <c r="H2292" s="21" t="str">
        <f>IFERROR(INDEX(Users!$D$2:$D$310,MATCH(A2292,Users!$B$2:$B$310,0)),"")</f>
        <v>Band 3</v>
      </c>
      <c r="I2292" s="19" t="b">
        <f t="shared" si="106"/>
        <v>1</v>
      </c>
      <c r="J2292" s="33" t="str">
        <f t="shared" si="107"/>
        <v/>
      </c>
    </row>
    <row r="2293" spans="1:10">
      <c r="A2293" s="19" t="s">
        <v>336</v>
      </c>
      <c r="B2293" s="20">
        <v>45839</v>
      </c>
      <c r="C2293" s="21">
        <v>170.20000000000002</v>
      </c>
      <c r="D2293" s="21">
        <v>132.91999999999999</v>
      </c>
      <c r="E2293" s="21">
        <v>86.32</v>
      </c>
      <c r="F2293" s="27">
        <f t="shared" si="105"/>
        <v>0.7809635722679199</v>
      </c>
      <c r="G2293" s="21" t="str">
        <f>IFERROR(INDEX(Users!$A$2:$A$310,MATCH(A2293,Users!$B$2:$B$310,0)),"")</f>
        <v>Service A</v>
      </c>
      <c r="H2293" s="21" t="str">
        <f>IFERROR(INDEX(Users!$D$2:$D$310,MATCH(A2293,Users!$B$2:$B$310,0)),"")</f>
        <v>Band 3</v>
      </c>
      <c r="I2293" s="19" t="b">
        <f t="shared" si="106"/>
        <v>1</v>
      </c>
      <c r="J2293" s="33" t="str">
        <f t="shared" si="107"/>
        <v/>
      </c>
    </row>
    <row r="2294" spans="1:10">
      <c r="A2294" s="19" t="s">
        <v>336</v>
      </c>
      <c r="B2294" s="20">
        <v>45870</v>
      </c>
      <c r="C2294" s="21">
        <v>148</v>
      </c>
      <c r="D2294" s="21">
        <v>75.75</v>
      </c>
      <c r="E2294" s="21">
        <v>49.25</v>
      </c>
      <c r="F2294" s="27">
        <f t="shared" si="105"/>
        <v>0.51182432432432434</v>
      </c>
      <c r="G2294" s="21" t="str">
        <f>IFERROR(INDEX(Users!$A$2:$A$310,MATCH(A2294,Users!$B$2:$B$310,0)),"")</f>
        <v>Service A</v>
      </c>
      <c r="H2294" s="21" t="str">
        <f>IFERROR(INDEX(Users!$D$2:$D$310,MATCH(A2294,Users!$B$2:$B$310,0)),"")</f>
        <v>Band 3</v>
      </c>
      <c r="I2294" s="19" t="b">
        <f t="shared" si="106"/>
        <v>1</v>
      </c>
      <c r="J2294" s="33" t="str">
        <f t="shared" si="107"/>
        <v/>
      </c>
    </row>
    <row r="2295" spans="1:10">
      <c r="A2295" s="19" t="s">
        <v>336</v>
      </c>
      <c r="B2295" s="20">
        <v>45901</v>
      </c>
      <c r="C2295" s="21">
        <v>162.80000000000001</v>
      </c>
      <c r="D2295" s="21">
        <v>161.24666666666667</v>
      </c>
      <c r="E2295" s="21">
        <v>120.33</v>
      </c>
      <c r="F2295" s="27">
        <f t="shared" si="105"/>
        <v>0.9904586404586404</v>
      </c>
      <c r="G2295" s="21" t="str">
        <f>IFERROR(INDEX(Users!$A$2:$A$310,MATCH(A2295,Users!$B$2:$B$310,0)),"")</f>
        <v>Service A</v>
      </c>
      <c r="H2295" s="21" t="str">
        <f>IFERROR(INDEX(Users!$D$2:$D$310,MATCH(A2295,Users!$B$2:$B$310,0)),"")</f>
        <v>Band 3</v>
      </c>
      <c r="I2295" s="19" t="b">
        <f t="shared" si="106"/>
        <v>1</v>
      </c>
      <c r="J2295" s="33" t="str">
        <f t="shared" si="107"/>
        <v/>
      </c>
    </row>
    <row r="2296" spans="1:10">
      <c r="A2296" s="19" t="s">
        <v>336</v>
      </c>
      <c r="B2296" s="20">
        <v>45931</v>
      </c>
      <c r="C2296" s="21">
        <v>170.20000000000002</v>
      </c>
      <c r="D2296" s="21">
        <v>98.5</v>
      </c>
      <c r="E2296" s="21">
        <v>65.5</v>
      </c>
      <c r="F2296" s="27">
        <f t="shared" si="105"/>
        <v>0.57873090481786127</v>
      </c>
      <c r="G2296" s="21" t="str">
        <f>IFERROR(INDEX(Users!$A$2:$A$310,MATCH(A2296,Users!$B$2:$B$310,0)),"")</f>
        <v>Service A</v>
      </c>
      <c r="H2296" s="21" t="str">
        <f>IFERROR(INDEX(Users!$D$2:$D$310,MATCH(A2296,Users!$B$2:$B$310,0)),"")</f>
        <v>Band 3</v>
      </c>
      <c r="I2296" s="19" t="b">
        <f t="shared" si="106"/>
        <v>1</v>
      </c>
      <c r="J2296" s="33" t="str">
        <f t="shared" si="107"/>
        <v/>
      </c>
    </row>
    <row r="2297" spans="1:10">
      <c r="A2297" s="19" t="s">
        <v>336</v>
      </c>
      <c r="B2297" s="20">
        <v>45962</v>
      </c>
      <c r="C2297" s="21">
        <v>148</v>
      </c>
      <c r="D2297" s="21">
        <v>150.32999999999998</v>
      </c>
      <c r="E2297" s="21">
        <v>98.83</v>
      </c>
      <c r="F2297" s="27">
        <f t="shared" si="105"/>
        <v>1.0157432432432432</v>
      </c>
      <c r="G2297" s="21" t="str">
        <f>IFERROR(INDEX(Users!$A$2:$A$310,MATCH(A2297,Users!$B$2:$B$310,0)),"")</f>
        <v>Service A</v>
      </c>
      <c r="H2297" s="21" t="str">
        <f>IFERROR(INDEX(Users!$D$2:$D$310,MATCH(A2297,Users!$B$2:$B$310,0)),"")</f>
        <v>Band 3</v>
      </c>
      <c r="I2297" s="19" t="b">
        <f t="shared" si="106"/>
        <v>1</v>
      </c>
      <c r="J2297" s="33" t="str">
        <f t="shared" si="107"/>
        <v/>
      </c>
    </row>
    <row r="2298" spans="1:10">
      <c r="A2298" s="19" t="s">
        <v>336</v>
      </c>
      <c r="B2298" s="20">
        <v>45992</v>
      </c>
      <c r="C2298" s="21">
        <v>155.4</v>
      </c>
      <c r="D2298" s="21">
        <v>157.08333333333331</v>
      </c>
      <c r="E2298" s="21">
        <v>61.5</v>
      </c>
      <c r="F2298" s="27">
        <f t="shared" si="105"/>
        <v>1.0108322608322606</v>
      </c>
      <c r="G2298" s="21" t="str">
        <f>IFERROR(INDEX(Users!$A$2:$A$310,MATCH(A2298,Users!$B$2:$B$310,0)),"")</f>
        <v>Service A</v>
      </c>
      <c r="H2298" s="21" t="str">
        <f>IFERROR(INDEX(Users!$D$2:$D$310,MATCH(A2298,Users!$B$2:$B$310,0)),"")</f>
        <v>Band 3</v>
      </c>
      <c r="I2298" s="19" t="b">
        <f t="shared" si="106"/>
        <v>1</v>
      </c>
      <c r="J2298" s="33" t="str">
        <f t="shared" si="107"/>
        <v/>
      </c>
    </row>
    <row r="2299" spans="1:10">
      <c r="A2299" s="19" t="s">
        <v>336</v>
      </c>
      <c r="B2299" s="20">
        <v>46023</v>
      </c>
      <c r="C2299" s="21">
        <v>155.4</v>
      </c>
      <c r="D2299" s="21">
        <v>131.66333333333333</v>
      </c>
      <c r="E2299" s="21">
        <v>72.58</v>
      </c>
      <c r="F2299" s="27">
        <f t="shared" si="105"/>
        <v>0.84725439725439722</v>
      </c>
      <c r="G2299" s="21" t="str">
        <f>IFERROR(INDEX(Users!$A$2:$A$310,MATCH(A2299,Users!$B$2:$B$310,0)),"")</f>
        <v>Service A</v>
      </c>
      <c r="H2299" s="21" t="str">
        <f>IFERROR(INDEX(Users!$D$2:$D$310,MATCH(A2299,Users!$B$2:$B$310,0)),"")</f>
        <v>Band 3</v>
      </c>
      <c r="I2299" s="19" t="b">
        <f t="shared" si="106"/>
        <v>1</v>
      </c>
      <c r="J2299" s="33" t="str">
        <f t="shared" si="107"/>
        <v/>
      </c>
    </row>
    <row r="2300" spans="1:10">
      <c r="A2300" s="19" t="s">
        <v>340</v>
      </c>
      <c r="B2300" s="20">
        <v>45658</v>
      </c>
      <c r="C2300" s="21">
        <v>162.80000000000001</v>
      </c>
      <c r="D2300" s="21">
        <v>130.85666666666668</v>
      </c>
      <c r="E2300" s="21">
        <v>105.69000000000001</v>
      </c>
      <c r="F2300" s="27">
        <f t="shared" si="105"/>
        <v>0.80378787878787883</v>
      </c>
      <c r="G2300" s="21" t="str">
        <f>IFERROR(INDEX(Users!$A$2:$A$310,MATCH(A2300,Users!$B$2:$B$310,0)),"")</f>
        <v>Service B</v>
      </c>
      <c r="H2300" s="21" t="str">
        <f>IFERROR(INDEX(Users!$D$2:$D$310,MATCH(A2300,Users!$B$2:$B$310,0)),"")</f>
        <v>Band 5</v>
      </c>
      <c r="I2300" s="19" t="b">
        <f t="shared" si="106"/>
        <v>0</v>
      </c>
      <c r="J2300" s="33">
        <f t="shared" si="107"/>
        <v>0.80378787878787883</v>
      </c>
    </row>
    <row r="2301" spans="1:10">
      <c r="A2301" s="19" t="s">
        <v>340</v>
      </c>
      <c r="B2301" s="20">
        <v>45689</v>
      </c>
      <c r="C2301" s="21">
        <v>148</v>
      </c>
      <c r="D2301" s="21">
        <v>138.79999999999998</v>
      </c>
      <c r="E2301" s="21">
        <v>93.75</v>
      </c>
      <c r="F2301" s="27">
        <f t="shared" si="105"/>
        <v>0.9378378378378377</v>
      </c>
      <c r="G2301" s="21" t="str">
        <f>IFERROR(INDEX(Users!$A$2:$A$310,MATCH(A2301,Users!$B$2:$B$310,0)),"")</f>
        <v>Service B</v>
      </c>
      <c r="H2301" s="21" t="str">
        <f>IFERROR(INDEX(Users!$D$2:$D$310,MATCH(A2301,Users!$B$2:$B$310,0)),"")</f>
        <v>Band 5</v>
      </c>
      <c r="I2301" s="19" t="b">
        <f t="shared" si="106"/>
        <v>0</v>
      </c>
      <c r="J2301" s="33">
        <f t="shared" si="107"/>
        <v>0.9378378378378377</v>
      </c>
    </row>
    <row r="2302" spans="1:10">
      <c r="A2302" s="19" t="s">
        <v>340</v>
      </c>
      <c r="B2302" s="20">
        <v>45717</v>
      </c>
      <c r="C2302" s="21">
        <v>155.4</v>
      </c>
      <c r="D2302" s="21">
        <v>120.47333333333333</v>
      </c>
      <c r="E2302" s="21">
        <v>94.14</v>
      </c>
      <c r="F2302" s="27">
        <f t="shared" si="105"/>
        <v>0.77524667524667523</v>
      </c>
      <c r="G2302" s="21" t="str">
        <f>IFERROR(INDEX(Users!$A$2:$A$310,MATCH(A2302,Users!$B$2:$B$310,0)),"")</f>
        <v>Service B</v>
      </c>
      <c r="H2302" s="21" t="str">
        <f>IFERROR(INDEX(Users!$D$2:$D$310,MATCH(A2302,Users!$B$2:$B$310,0)),"")</f>
        <v>Band 5</v>
      </c>
      <c r="I2302" s="19" t="b">
        <f t="shared" si="106"/>
        <v>0</v>
      </c>
      <c r="J2302" s="33">
        <f t="shared" si="107"/>
        <v>0.77524667524667523</v>
      </c>
    </row>
    <row r="2303" spans="1:10">
      <c r="A2303" s="19" t="s">
        <v>340</v>
      </c>
      <c r="B2303" s="20">
        <v>45748</v>
      </c>
      <c r="C2303" s="21">
        <v>148</v>
      </c>
      <c r="D2303" s="21">
        <v>124.71666666666665</v>
      </c>
      <c r="E2303" s="21">
        <v>105.29999999999998</v>
      </c>
      <c r="F2303" s="27">
        <f t="shared" si="105"/>
        <v>0.84268018018018009</v>
      </c>
      <c r="G2303" s="21" t="str">
        <f>IFERROR(INDEX(Users!$A$2:$A$310,MATCH(A2303,Users!$B$2:$B$310,0)),"")</f>
        <v>Service B</v>
      </c>
      <c r="H2303" s="21" t="str">
        <f>IFERROR(INDEX(Users!$D$2:$D$310,MATCH(A2303,Users!$B$2:$B$310,0)),"")</f>
        <v>Band 5</v>
      </c>
      <c r="I2303" s="19" t="b">
        <f t="shared" si="106"/>
        <v>0</v>
      </c>
      <c r="J2303" s="33">
        <f t="shared" si="107"/>
        <v>0.84268018018018009</v>
      </c>
    </row>
    <row r="2304" spans="1:10">
      <c r="A2304" s="19" t="s">
        <v>340</v>
      </c>
      <c r="B2304" s="20">
        <v>45778</v>
      </c>
      <c r="C2304" s="21">
        <v>148</v>
      </c>
      <c r="D2304" s="21">
        <v>131.22666666666666</v>
      </c>
      <c r="E2304" s="21">
        <v>101.80999999999999</v>
      </c>
      <c r="F2304" s="27">
        <f t="shared" si="105"/>
        <v>0.8866666666666666</v>
      </c>
      <c r="G2304" s="21" t="str">
        <f>IFERROR(INDEX(Users!$A$2:$A$310,MATCH(A2304,Users!$B$2:$B$310,0)),"")</f>
        <v>Service B</v>
      </c>
      <c r="H2304" s="21" t="str">
        <f>IFERROR(INDEX(Users!$D$2:$D$310,MATCH(A2304,Users!$B$2:$B$310,0)),"")</f>
        <v>Band 5</v>
      </c>
      <c r="I2304" s="19" t="b">
        <f t="shared" si="106"/>
        <v>0</v>
      </c>
      <c r="J2304" s="33">
        <f t="shared" si="107"/>
        <v>0.8866666666666666</v>
      </c>
    </row>
    <row r="2305" spans="1:10">
      <c r="A2305" s="19" t="s">
        <v>340</v>
      </c>
      <c r="B2305" s="20">
        <v>45809</v>
      </c>
      <c r="C2305" s="21">
        <v>155.4</v>
      </c>
      <c r="D2305" s="21">
        <v>126.05666666666663</v>
      </c>
      <c r="E2305" s="21">
        <v>93.789999999999964</v>
      </c>
      <c r="F2305" s="27">
        <f t="shared" si="105"/>
        <v>0.81117546117546091</v>
      </c>
      <c r="G2305" s="21" t="str">
        <f>IFERROR(INDEX(Users!$A$2:$A$310,MATCH(A2305,Users!$B$2:$B$310,0)),"")</f>
        <v>Service B</v>
      </c>
      <c r="H2305" s="21" t="str">
        <f>IFERROR(INDEX(Users!$D$2:$D$310,MATCH(A2305,Users!$B$2:$B$310,0)),"")</f>
        <v>Band 5</v>
      </c>
      <c r="I2305" s="19" t="b">
        <f t="shared" si="106"/>
        <v>0</v>
      </c>
      <c r="J2305" s="33">
        <f t="shared" si="107"/>
        <v>0.81117546117546091</v>
      </c>
    </row>
    <row r="2306" spans="1:10">
      <c r="A2306" s="19" t="s">
        <v>340</v>
      </c>
      <c r="B2306" s="20">
        <v>45839</v>
      </c>
      <c r="C2306" s="21">
        <v>170.20000000000002</v>
      </c>
      <c r="D2306" s="21">
        <v>142.95666666666662</v>
      </c>
      <c r="E2306" s="21">
        <v>105.53999999999995</v>
      </c>
      <c r="F2306" s="27">
        <f t="shared" ref="F2306:F2369" si="108">IFERROR(IF(OR(C2306="",D2306="",C2306=0),"",D2306/C2306),"")</f>
        <v>0.83993341167254176</v>
      </c>
      <c r="G2306" s="21" t="str">
        <f>IFERROR(INDEX(Users!$A$2:$A$310,MATCH(A2306,Users!$B$2:$B$310,0)),"")</f>
        <v>Service B</v>
      </c>
      <c r="H2306" s="21" t="str">
        <f>IFERROR(INDEX(Users!$D$2:$D$310,MATCH(A2306,Users!$B$2:$B$310,0)),"")</f>
        <v>Band 5</v>
      </c>
      <c r="I2306" s="19" t="b">
        <f t="shared" ref="I2306:I2369" si="109">AND(G2306="Service A",H2306="Band 3")</f>
        <v>0</v>
      </c>
      <c r="J2306" s="33">
        <f t="shared" ref="J2306:J2369" si="110">IF(AND(B2306&gt;=DATE(2025,1,1),B2306&lt;DATE(2026,1,1),G2306="Service B",OR(H2306="Band 3",H2306="Band 5"),ISNUMBER(F2306)),F2306,"")</f>
        <v>0.83993341167254176</v>
      </c>
    </row>
    <row r="2307" spans="1:10">
      <c r="A2307" s="19" t="s">
        <v>340</v>
      </c>
      <c r="B2307" s="20">
        <v>45870</v>
      </c>
      <c r="C2307" s="21">
        <v>148</v>
      </c>
      <c r="D2307" s="21">
        <v>117.3233333333333</v>
      </c>
      <c r="E2307" s="21">
        <v>83.489999999999952</v>
      </c>
      <c r="F2307" s="27">
        <f t="shared" si="108"/>
        <v>0.79272522522522493</v>
      </c>
      <c r="G2307" s="21" t="str">
        <f>IFERROR(INDEX(Users!$A$2:$A$310,MATCH(A2307,Users!$B$2:$B$310,0)),"")</f>
        <v>Service B</v>
      </c>
      <c r="H2307" s="21" t="str">
        <f>IFERROR(INDEX(Users!$D$2:$D$310,MATCH(A2307,Users!$B$2:$B$310,0)),"")</f>
        <v>Band 5</v>
      </c>
      <c r="I2307" s="19" t="b">
        <f t="shared" si="109"/>
        <v>0</v>
      </c>
      <c r="J2307" s="33">
        <f t="shared" si="110"/>
        <v>0.79272522522522493</v>
      </c>
    </row>
    <row r="2308" spans="1:10">
      <c r="A2308" s="19" t="s">
        <v>340</v>
      </c>
      <c r="B2308" s="20">
        <v>45901</v>
      </c>
      <c r="C2308" s="21">
        <v>162.80000000000001</v>
      </c>
      <c r="D2308" s="21">
        <v>101.59666666666662</v>
      </c>
      <c r="E2308" s="21">
        <v>76.279999999999959</v>
      </c>
      <c r="F2308" s="27">
        <f t="shared" si="108"/>
        <v>0.62405814905814871</v>
      </c>
      <c r="G2308" s="21" t="str">
        <f>IFERROR(INDEX(Users!$A$2:$A$310,MATCH(A2308,Users!$B$2:$B$310,0)),"")</f>
        <v>Service B</v>
      </c>
      <c r="H2308" s="21" t="str">
        <f>IFERROR(INDEX(Users!$D$2:$D$310,MATCH(A2308,Users!$B$2:$B$310,0)),"")</f>
        <v>Band 5</v>
      </c>
      <c r="I2308" s="19" t="b">
        <f t="shared" si="109"/>
        <v>0</v>
      </c>
      <c r="J2308" s="33">
        <f t="shared" si="110"/>
        <v>0.62405814905814871</v>
      </c>
    </row>
    <row r="2309" spans="1:10">
      <c r="A2309" s="19" t="s">
        <v>340</v>
      </c>
      <c r="B2309" s="20">
        <v>45931</v>
      </c>
      <c r="C2309" s="21">
        <v>170.20000000000002</v>
      </c>
      <c r="D2309" s="21">
        <v>124.91333333333327</v>
      </c>
      <c r="E2309" s="21">
        <v>79.929999999999936</v>
      </c>
      <c r="F2309" s="27">
        <f t="shared" si="108"/>
        <v>0.73392087739913781</v>
      </c>
      <c r="G2309" s="21" t="str">
        <f>IFERROR(INDEX(Users!$A$2:$A$310,MATCH(A2309,Users!$B$2:$B$310,0)),"")</f>
        <v>Service B</v>
      </c>
      <c r="H2309" s="21" t="str">
        <f>IFERROR(INDEX(Users!$D$2:$D$310,MATCH(A2309,Users!$B$2:$B$310,0)),"")</f>
        <v>Band 5</v>
      </c>
      <c r="I2309" s="19" t="b">
        <f t="shared" si="109"/>
        <v>0</v>
      </c>
      <c r="J2309" s="33">
        <f t="shared" si="110"/>
        <v>0.73392087739913781</v>
      </c>
    </row>
    <row r="2310" spans="1:10">
      <c r="A2310" s="19" t="s">
        <v>340</v>
      </c>
      <c r="B2310" s="20">
        <v>45962</v>
      </c>
      <c r="C2310" s="21"/>
      <c r="D2310" s="21"/>
      <c r="E2310" s="21"/>
      <c r="F2310" s="27" t="str">
        <f t="shared" si="108"/>
        <v/>
      </c>
      <c r="G2310" s="21" t="str">
        <f>IFERROR(INDEX(Users!$A$2:$A$310,MATCH(A2310,Users!$B$2:$B$310,0)),"")</f>
        <v>Service B</v>
      </c>
      <c r="H2310" s="21" t="str">
        <f>IFERROR(INDEX(Users!$D$2:$D$310,MATCH(A2310,Users!$B$2:$B$310,0)),"")</f>
        <v>Band 5</v>
      </c>
      <c r="I2310" s="19" t="b">
        <f t="shared" si="109"/>
        <v>0</v>
      </c>
      <c r="J2310" s="33" t="str">
        <f t="shared" si="110"/>
        <v/>
      </c>
    </row>
    <row r="2311" spans="1:10">
      <c r="A2311" s="19" t="s">
        <v>341</v>
      </c>
      <c r="B2311" s="20">
        <v>45658</v>
      </c>
      <c r="C2311" s="21">
        <v>162.80000000000001</v>
      </c>
      <c r="D2311" s="21">
        <v>41.5</v>
      </c>
      <c r="E2311" s="21">
        <v>17.5</v>
      </c>
      <c r="F2311" s="27">
        <f t="shared" si="108"/>
        <v>0.2549140049140049</v>
      </c>
      <c r="G2311" s="21" t="str">
        <f>IFERROR(INDEX(Users!$A$2:$A$310,MATCH(A2311,Users!$B$2:$B$310,0)),"")</f>
        <v>Service A</v>
      </c>
      <c r="H2311" s="21" t="str">
        <f>IFERROR(INDEX(Users!$D$2:$D$310,MATCH(A2311,Users!$B$2:$B$310,0)),"")</f>
        <v>Band 3</v>
      </c>
      <c r="I2311" s="19" t="b">
        <f t="shared" si="109"/>
        <v>1</v>
      </c>
      <c r="J2311" s="33" t="str">
        <f t="shared" si="110"/>
        <v/>
      </c>
    </row>
    <row r="2312" spans="1:10">
      <c r="A2312" s="19" t="s">
        <v>341</v>
      </c>
      <c r="B2312" s="20">
        <v>45689</v>
      </c>
      <c r="C2312" s="21">
        <v>148</v>
      </c>
      <c r="D2312" s="21">
        <v>140</v>
      </c>
      <c r="E2312" s="21">
        <v>63</v>
      </c>
      <c r="F2312" s="27">
        <f t="shared" si="108"/>
        <v>0.94594594594594594</v>
      </c>
      <c r="G2312" s="21" t="str">
        <f>IFERROR(INDEX(Users!$A$2:$A$310,MATCH(A2312,Users!$B$2:$B$310,0)),"")</f>
        <v>Service A</v>
      </c>
      <c r="H2312" s="21" t="str">
        <f>IFERROR(INDEX(Users!$D$2:$D$310,MATCH(A2312,Users!$B$2:$B$310,0)),"")</f>
        <v>Band 3</v>
      </c>
      <c r="I2312" s="19" t="b">
        <f t="shared" si="109"/>
        <v>1</v>
      </c>
      <c r="J2312" s="33" t="str">
        <f t="shared" si="110"/>
        <v/>
      </c>
    </row>
    <row r="2313" spans="1:10">
      <c r="A2313" s="19" t="s">
        <v>341</v>
      </c>
      <c r="B2313" s="20">
        <v>45717</v>
      </c>
      <c r="C2313" s="21">
        <v>155.4</v>
      </c>
      <c r="D2313" s="21">
        <v>153.5</v>
      </c>
      <c r="E2313" s="21">
        <v>118.75</v>
      </c>
      <c r="F2313" s="27">
        <f t="shared" si="108"/>
        <v>0.98777348777348772</v>
      </c>
      <c r="G2313" s="21" t="str">
        <f>IFERROR(INDEX(Users!$A$2:$A$310,MATCH(A2313,Users!$B$2:$B$310,0)),"")</f>
        <v>Service A</v>
      </c>
      <c r="H2313" s="21" t="str">
        <f>IFERROR(INDEX(Users!$D$2:$D$310,MATCH(A2313,Users!$B$2:$B$310,0)),"")</f>
        <v>Band 3</v>
      </c>
      <c r="I2313" s="19" t="b">
        <f t="shared" si="109"/>
        <v>1</v>
      </c>
      <c r="J2313" s="33" t="str">
        <f t="shared" si="110"/>
        <v/>
      </c>
    </row>
    <row r="2314" spans="1:10">
      <c r="A2314" s="19" t="s">
        <v>341</v>
      </c>
      <c r="B2314" s="20">
        <v>45748</v>
      </c>
      <c r="C2314" s="21">
        <v>148</v>
      </c>
      <c r="D2314" s="21">
        <v>146.5</v>
      </c>
      <c r="E2314" s="21">
        <v>117.5</v>
      </c>
      <c r="F2314" s="27">
        <f t="shared" si="108"/>
        <v>0.98986486486486491</v>
      </c>
      <c r="G2314" s="21" t="str">
        <f>IFERROR(INDEX(Users!$A$2:$A$310,MATCH(A2314,Users!$B$2:$B$310,0)),"")</f>
        <v>Service A</v>
      </c>
      <c r="H2314" s="21" t="str">
        <f>IFERROR(INDEX(Users!$D$2:$D$310,MATCH(A2314,Users!$B$2:$B$310,0)),"")</f>
        <v>Band 3</v>
      </c>
      <c r="I2314" s="19" t="b">
        <f t="shared" si="109"/>
        <v>1</v>
      </c>
      <c r="J2314" s="33" t="str">
        <f t="shared" si="110"/>
        <v/>
      </c>
    </row>
    <row r="2315" spans="1:10">
      <c r="A2315" s="19" t="s">
        <v>341</v>
      </c>
      <c r="B2315" s="20">
        <v>45778</v>
      </c>
      <c r="C2315" s="21">
        <v>148</v>
      </c>
      <c r="D2315" s="21">
        <v>130.75</v>
      </c>
      <c r="E2315" s="21">
        <v>101.25</v>
      </c>
      <c r="F2315" s="27">
        <f t="shared" si="108"/>
        <v>0.88344594594594594</v>
      </c>
      <c r="G2315" s="21" t="str">
        <f>IFERROR(INDEX(Users!$A$2:$A$310,MATCH(A2315,Users!$B$2:$B$310,0)),"")</f>
        <v>Service A</v>
      </c>
      <c r="H2315" s="21" t="str">
        <f>IFERROR(INDEX(Users!$D$2:$D$310,MATCH(A2315,Users!$B$2:$B$310,0)),"")</f>
        <v>Band 3</v>
      </c>
      <c r="I2315" s="19" t="b">
        <f t="shared" si="109"/>
        <v>1</v>
      </c>
      <c r="J2315" s="33" t="str">
        <f t="shared" si="110"/>
        <v/>
      </c>
    </row>
    <row r="2316" spans="1:10">
      <c r="A2316" s="19" t="s">
        <v>341</v>
      </c>
      <c r="B2316" s="20">
        <v>45809</v>
      </c>
      <c r="C2316" s="21">
        <v>155.4</v>
      </c>
      <c r="D2316" s="21">
        <v>152.03</v>
      </c>
      <c r="E2316" s="21">
        <v>119.28</v>
      </c>
      <c r="F2316" s="27">
        <f t="shared" si="108"/>
        <v>0.97831402831402825</v>
      </c>
      <c r="G2316" s="21" t="str">
        <f>IFERROR(INDEX(Users!$A$2:$A$310,MATCH(A2316,Users!$B$2:$B$310,0)),"")</f>
        <v>Service A</v>
      </c>
      <c r="H2316" s="21" t="str">
        <f>IFERROR(INDEX(Users!$D$2:$D$310,MATCH(A2316,Users!$B$2:$B$310,0)),"")</f>
        <v>Band 3</v>
      </c>
      <c r="I2316" s="19" t="b">
        <f t="shared" si="109"/>
        <v>1</v>
      </c>
      <c r="J2316" s="33" t="str">
        <f t="shared" si="110"/>
        <v/>
      </c>
    </row>
    <row r="2317" spans="1:10">
      <c r="A2317" s="19" t="s">
        <v>341</v>
      </c>
      <c r="B2317" s="20">
        <v>45839</v>
      </c>
      <c r="C2317" s="21">
        <v>170.20000000000002</v>
      </c>
      <c r="D2317" s="21">
        <v>133.51</v>
      </c>
      <c r="E2317" s="21">
        <v>110.00999999999999</v>
      </c>
      <c r="F2317" s="27">
        <f t="shared" si="108"/>
        <v>0.78443008225616906</v>
      </c>
      <c r="G2317" s="21" t="str">
        <f>IFERROR(INDEX(Users!$A$2:$A$310,MATCH(A2317,Users!$B$2:$B$310,0)),"")</f>
        <v>Service A</v>
      </c>
      <c r="H2317" s="21" t="str">
        <f>IFERROR(INDEX(Users!$D$2:$D$310,MATCH(A2317,Users!$B$2:$B$310,0)),"")</f>
        <v>Band 3</v>
      </c>
      <c r="I2317" s="19" t="b">
        <f t="shared" si="109"/>
        <v>1</v>
      </c>
      <c r="J2317" s="33" t="str">
        <f t="shared" si="110"/>
        <v/>
      </c>
    </row>
    <row r="2318" spans="1:10">
      <c r="A2318" s="19" t="s">
        <v>341</v>
      </c>
      <c r="B2318" s="20">
        <v>45870</v>
      </c>
      <c r="C2318" s="21">
        <v>148</v>
      </c>
      <c r="D2318" s="21">
        <v>112</v>
      </c>
      <c r="E2318" s="21">
        <v>34</v>
      </c>
      <c r="F2318" s="27">
        <f t="shared" si="108"/>
        <v>0.7567567567567568</v>
      </c>
      <c r="G2318" s="21" t="str">
        <f>IFERROR(INDEX(Users!$A$2:$A$310,MATCH(A2318,Users!$B$2:$B$310,0)),"")</f>
        <v>Service A</v>
      </c>
      <c r="H2318" s="21" t="str">
        <f>IFERROR(INDEX(Users!$D$2:$D$310,MATCH(A2318,Users!$B$2:$B$310,0)),"")</f>
        <v>Band 3</v>
      </c>
      <c r="I2318" s="19" t="b">
        <f t="shared" si="109"/>
        <v>1</v>
      </c>
      <c r="J2318" s="33" t="str">
        <f t="shared" si="110"/>
        <v/>
      </c>
    </row>
    <row r="2319" spans="1:10">
      <c r="A2319" s="19" t="s">
        <v>341</v>
      </c>
      <c r="B2319" s="20">
        <v>45901</v>
      </c>
      <c r="C2319" s="21">
        <v>162.80000000000001</v>
      </c>
      <c r="D2319" s="21">
        <v>156</v>
      </c>
      <c r="E2319" s="21">
        <v>53.5</v>
      </c>
      <c r="F2319" s="27">
        <f t="shared" si="108"/>
        <v>0.95823095823095816</v>
      </c>
      <c r="G2319" s="21" t="str">
        <f>IFERROR(INDEX(Users!$A$2:$A$310,MATCH(A2319,Users!$B$2:$B$310,0)),"")</f>
        <v>Service A</v>
      </c>
      <c r="H2319" s="21" t="str">
        <f>IFERROR(INDEX(Users!$D$2:$D$310,MATCH(A2319,Users!$B$2:$B$310,0)),"")</f>
        <v>Band 3</v>
      </c>
      <c r="I2319" s="19" t="b">
        <f t="shared" si="109"/>
        <v>1</v>
      </c>
      <c r="J2319" s="33" t="str">
        <f t="shared" si="110"/>
        <v/>
      </c>
    </row>
    <row r="2320" spans="1:10">
      <c r="A2320" s="19" t="s">
        <v>341</v>
      </c>
      <c r="B2320" s="20">
        <v>45931</v>
      </c>
      <c r="C2320" s="21">
        <v>170.20000000000002</v>
      </c>
      <c r="D2320" s="21">
        <v>175</v>
      </c>
      <c r="E2320" s="21">
        <v>61.5</v>
      </c>
      <c r="F2320" s="27">
        <f t="shared" si="108"/>
        <v>1.0282021151586367</v>
      </c>
      <c r="G2320" s="21" t="str">
        <f>IFERROR(INDEX(Users!$A$2:$A$310,MATCH(A2320,Users!$B$2:$B$310,0)),"")</f>
        <v>Service A</v>
      </c>
      <c r="H2320" s="21" t="str">
        <f>IFERROR(INDEX(Users!$D$2:$D$310,MATCH(A2320,Users!$B$2:$B$310,0)),"")</f>
        <v>Band 3</v>
      </c>
      <c r="I2320" s="19" t="b">
        <f t="shared" si="109"/>
        <v>1</v>
      </c>
      <c r="J2320" s="33" t="str">
        <f t="shared" si="110"/>
        <v/>
      </c>
    </row>
    <row r="2321" spans="1:10">
      <c r="A2321" s="19" t="s">
        <v>341</v>
      </c>
      <c r="B2321" s="20">
        <v>45962</v>
      </c>
      <c r="C2321" s="21">
        <v>148</v>
      </c>
      <c r="D2321" s="21">
        <v>136</v>
      </c>
      <c r="E2321" s="21">
        <v>58.5</v>
      </c>
      <c r="F2321" s="27">
        <f t="shared" si="108"/>
        <v>0.91891891891891897</v>
      </c>
      <c r="G2321" s="21" t="str">
        <f>IFERROR(INDEX(Users!$A$2:$A$310,MATCH(A2321,Users!$B$2:$B$310,0)),"")</f>
        <v>Service A</v>
      </c>
      <c r="H2321" s="21" t="str">
        <f>IFERROR(INDEX(Users!$D$2:$D$310,MATCH(A2321,Users!$B$2:$B$310,0)),"")</f>
        <v>Band 3</v>
      </c>
      <c r="I2321" s="19" t="b">
        <f t="shared" si="109"/>
        <v>1</v>
      </c>
      <c r="J2321" s="33" t="str">
        <f t="shared" si="110"/>
        <v/>
      </c>
    </row>
    <row r="2322" spans="1:10">
      <c r="A2322" s="19" t="s">
        <v>341</v>
      </c>
      <c r="B2322" s="20">
        <v>45992</v>
      </c>
      <c r="C2322" s="21">
        <v>155.4</v>
      </c>
      <c r="D2322" s="21">
        <v>109.5</v>
      </c>
      <c r="E2322" s="21">
        <v>51</v>
      </c>
      <c r="F2322" s="27">
        <f t="shared" si="108"/>
        <v>0.70463320463320456</v>
      </c>
      <c r="G2322" s="21" t="str">
        <f>IFERROR(INDEX(Users!$A$2:$A$310,MATCH(A2322,Users!$B$2:$B$310,0)),"")</f>
        <v>Service A</v>
      </c>
      <c r="H2322" s="21" t="str">
        <f>IFERROR(INDEX(Users!$D$2:$D$310,MATCH(A2322,Users!$B$2:$B$310,0)),"")</f>
        <v>Band 3</v>
      </c>
      <c r="I2322" s="19" t="b">
        <f t="shared" si="109"/>
        <v>1</v>
      </c>
      <c r="J2322" s="33" t="str">
        <f t="shared" si="110"/>
        <v/>
      </c>
    </row>
    <row r="2323" spans="1:10">
      <c r="A2323" s="19" t="s">
        <v>341</v>
      </c>
      <c r="B2323" s="20">
        <v>46023</v>
      </c>
      <c r="C2323" s="21">
        <v>155.4</v>
      </c>
      <c r="D2323" s="21">
        <v>143</v>
      </c>
      <c r="E2323" s="21">
        <v>77</v>
      </c>
      <c r="F2323" s="27">
        <f t="shared" si="108"/>
        <v>0.92020592020592018</v>
      </c>
      <c r="G2323" s="21" t="str">
        <f>IFERROR(INDEX(Users!$A$2:$A$310,MATCH(A2323,Users!$B$2:$B$310,0)),"")</f>
        <v>Service A</v>
      </c>
      <c r="H2323" s="21" t="str">
        <f>IFERROR(INDEX(Users!$D$2:$D$310,MATCH(A2323,Users!$B$2:$B$310,0)),"")</f>
        <v>Band 3</v>
      </c>
      <c r="I2323" s="19" t="b">
        <f t="shared" si="109"/>
        <v>1</v>
      </c>
      <c r="J2323" s="33" t="str">
        <f t="shared" si="110"/>
        <v/>
      </c>
    </row>
    <row r="2324" spans="1:10">
      <c r="A2324" s="19" t="s">
        <v>342</v>
      </c>
      <c r="B2324" s="20">
        <v>45658</v>
      </c>
      <c r="C2324" s="21">
        <v>162.80000000000001</v>
      </c>
      <c r="D2324" s="21">
        <v>151.55333333333334</v>
      </c>
      <c r="E2324" s="21">
        <v>59.22</v>
      </c>
      <c r="F2324" s="27">
        <f t="shared" si="108"/>
        <v>0.93091728091728088</v>
      </c>
      <c r="G2324" s="21" t="str">
        <f>IFERROR(INDEX(Users!$A$2:$A$310,MATCH(A2324,Users!$B$2:$B$310,0)),"")</f>
        <v>Service A</v>
      </c>
      <c r="H2324" s="21" t="str">
        <f>IFERROR(INDEX(Users!$D$2:$D$310,MATCH(A2324,Users!$B$2:$B$310,0)),"")</f>
        <v>Band 5</v>
      </c>
      <c r="I2324" s="19" t="b">
        <f t="shared" si="109"/>
        <v>0</v>
      </c>
      <c r="J2324" s="33" t="str">
        <f t="shared" si="110"/>
        <v/>
      </c>
    </row>
    <row r="2325" spans="1:10">
      <c r="A2325" s="19" t="s">
        <v>342</v>
      </c>
      <c r="B2325" s="20">
        <v>45689</v>
      </c>
      <c r="C2325" s="21">
        <v>148</v>
      </c>
      <c r="D2325" s="21">
        <v>137.92333333333335</v>
      </c>
      <c r="E2325" s="21">
        <v>42.489999999999995</v>
      </c>
      <c r="F2325" s="27">
        <f t="shared" si="108"/>
        <v>0.93191441441441447</v>
      </c>
      <c r="G2325" s="21" t="str">
        <f>IFERROR(INDEX(Users!$A$2:$A$310,MATCH(A2325,Users!$B$2:$B$310,0)),"")</f>
        <v>Service A</v>
      </c>
      <c r="H2325" s="21" t="str">
        <f>IFERROR(INDEX(Users!$D$2:$D$310,MATCH(A2325,Users!$B$2:$B$310,0)),"")</f>
        <v>Band 5</v>
      </c>
      <c r="I2325" s="19" t="b">
        <f t="shared" si="109"/>
        <v>0</v>
      </c>
      <c r="J2325" s="33" t="str">
        <f t="shared" si="110"/>
        <v/>
      </c>
    </row>
    <row r="2326" spans="1:10">
      <c r="A2326" s="19" t="s">
        <v>342</v>
      </c>
      <c r="B2326" s="20">
        <v>45717</v>
      </c>
      <c r="C2326" s="21">
        <v>155.4</v>
      </c>
      <c r="D2326" s="21">
        <v>139.47666666666669</v>
      </c>
      <c r="E2326" s="21">
        <v>41.060000000000024</v>
      </c>
      <c r="F2326" s="27">
        <f t="shared" si="108"/>
        <v>0.89753324753324759</v>
      </c>
      <c r="G2326" s="21" t="str">
        <f>IFERROR(INDEX(Users!$A$2:$A$310,MATCH(A2326,Users!$B$2:$B$310,0)),"")</f>
        <v>Service A</v>
      </c>
      <c r="H2326" s="21" t="str">
        <f>IFERROR(INDEX(Users!$D$2:$D$310,MATCH(A2326,Users!$B$2:$B$310,0)),"")</f>
        <v>Band 5</v>
      </c>
      <c r="I2326" s="19" t="b">
        <f t="shared" si="109"/>
        <v>0</v>
      </c>
      <c r="J2326" s="33" t="str">
        <f t="shared" si="110"/>
        <v/>
      </c>
    </row>
    <row r="2327" spans="1:10">
      <c r="A2327" s="19" t="s">
        <v>342</v>
      </c>
      <c r="B2327" s="20">
        <v>45748</v>
      </c>
      <c r="C2327" s="21">
        <v>148</v>
      </c>
      <c r="D2327" s="21">
        <v>147.10333333333338</v>
      </c>
      <c r="E2327" s="21">
        <v>57.62000000000004</v>
      </c>
      <c r="F2327" s="27">
        <f t="shared" si="108"/>
        <v>0.99394144144144181</v>
      </c>
      <c r="G2327" s="21" t="str">
        <f>IFERROR(INDEX(Users!$A$2:$A$310,MATCH(A2327,Users!$B$2:$B$310,0)),"")</f>
        <v>Service A</v>
      </c>
      <c r="H2327" s="21" t="str">
        <f>IFERROR(INDEX(Users!$D$2:$D$310,MATCH(A2327,Users!$B$2:$B$310,0)),"")</f>
        <v>Band 5</v>
      </c>
      <c r="I2327" s="19" t="b">
        <f t="shared" si="109"/>
        <v>0</v>
      </c>
      <c r="J2327" s="33" t="str">
        <f t="shared" si="110"/>
        <v/>
      </c>
    </row>
    <row r="2328" spans="1:10">
      <c r="A2328" s="19" t="s">
        <v>342</v>
      </c>
      <c r="B2328" s="20">
        <v>45778</v>
      </c>
      <c r="C2328" s="21">
        <v>148</v>
      </c>
      <c r="D2328" s="21">
        <v>132.60000000000002</v>
      </c>
      <c r="E2328" s="21">
        <v>80.40000000000002</v>
      </c>
      <c r="F2328" s="27">
        <f t="shared" si="108"/>
        <v>0.89594594594594612</v>
      </c>
      <c r="G2328" s="21" t="str">
        <f>IFERROR(INDEX(Users!$A$2:$A$310,MATCH(A2328,Users!$B$2:$B$310,0)),"")</f>
        <v>Service A</v>
      </c>
      <c r="H2328" s="21" t="str">
        <f>IFERROR(INDEX(Users!$D$2:$D$310,MATCH(A2328,Users!$B$2:$B$310,0)),"")</f>
        <v>Band 5</v>
      </c>
      <c r="I2328" s="19" t="b">
        <f t="shared" si="109"/>
        <v>0</v>
      </c>
      <c r="J2328" s="33" t="str">
        <f t="shared" si="110"/>
        <v/>
      </c>
    </row>
    <row r="2329" spans="1:10">
      <c r="A2329" s="19" t="s">
        <v>342</v>
      </c>
      <c r="B2329" s="20">
        <v>45809</v>
      </c>
      <c r="C2329" s="21">
        <v>155.4</v>
      </c>
      <c r="D2329" s="21">
        <v>95.533333333333317</v>
      </c>
      <c r="E2329" s="21">
        <v>64.849999999999994</v>
      </c>
      <c r="F2329" s="27">
        <f t="shared" si="108"/>
        <v>0.61475761475761459</v>
      </c>
      <c r="G2329" s="21" t="str">
        <f>IFERROR(INDEX(Users!$A$2:$A$310,MATCH(A2329,Users!$B$2:$B$310,0)),"")</f>
        <v>Service A</v>
      </c>
      <c r="H2329" s="21" t="str">
        <f>IFERROR(INDEX(Users!$D$2:$D$310,MATCH(A2329,Users!$B$2:$B$310,0)),"")</f>
        <v>Band 5</v>
      </c>
      <c r="I2329" s="19" t="b">
        <f t="shared" si="109"/>
        <v>0</v>
      </c>
      <c r="J2329" s="33" t="str">
        <f t="shared" si="110"/>
        <v/>
      </c>
    </row>
    <row r="2330" spans="1:10">
      <c r="A2330" s="19" t="s">
        <v>342</v>
      </c>
      <c r="B2330" s="20">
        <v>45839</v>
      </c>
      <c r="C2330" s="21">
        <v>170.20000000000002</v>
      </c>
      <c r="D2330" s="21">
        <v>154.72999999999999</v>
      </c>
      <c r="E2330" s="21">
        <v>93.47999999999999</v>
      </c>
      <c r="F2330" s="27">
        <f t="shared" si="108"/>
        <v>0.90910693301997636</v>
      </c>
      <c r="G2330" s="21" t="str">
        <f>IFERROR(INDEX(Users!$A$2:$A$310,MATCH(A2330,Users!$B$2:$B$310,0)),"")</f>
        <v>Service A</v>
      </c>
      <c r="H2330" s="21" t="str">
        <f>IFERROR(INDEX(Users!$D$2:$D$310,MATCH(A2330,Users!$B$2:$B$310,0)),"")</f>
        <v>Band 5</v>
      </c>
      <c r="I2330" s="19" t="b">
        <f t="shared" si="109"/>
        <v>0</v>
      </c>
      <c r="J2330" s="33" t="str">
        <f t="shared" si="110"/>
        <v/>
      </c>
    </row>
    <row r="2331" spans="1:10">
      <c r="A2331" s="19" t="s">
        <v>342</v>
      </c>
      <c r="B2331" s="20">
        <v>45870</v>
      </c>
      <c r="C2331" s="21">
        <v>148</v>
      </c>
      <c r="D2331" s="21">
        <v>93.810000000000031</v>
      </c>
      <c r="E2331" s="21">
        <v>54.360000000000021</v>
      </c>
      <c r="F2331" s="27">
        <f t="shared" si="108"/>
        <v>0.63385135135135151</v>
      </c>
      <c r="G2331" s="21" t="str">
        <f>IFERROR(INDEX(Users!$A$2:$A$310,MATCH(A2331,Users!$B$2:$B$310,0)),"")</f>
        <v>Service A</v>
      </c>
      <c r="H2331" s="21" t="str">
        <f>IFERROR(INDEX(Users!$D$2:$D$310,MATCH(A2331,Users!$B$2:$B$310,0)),"")</f>
        <v>Band 5</v>
      </c>
      <c r="I2331" s="19" t="b">
        <f t="shared" si="109"/>
        <v>0</v>
      </c>
      <c r="J2331" s="33" t="str">
        <f t="shared" si="110"/>
        <v/>
      </c>
    </row>
    <row r="2332" spans="1:10">
      <c r="A2332" s="19" t="s">
        <v>342</v>
      </c>
      <c r="B2332" s="20">
        <v>45901</v>
      </c>
      <c r="C2332" s="21">
        <v>162.80000000000001</v>
      </c>
      <c r="D2332" s="21">
        <v>162.84666666666666</v>
      </c>
      <c r="E2332" s="21">
        <v>85.38</v>
      </c>
      <c r="F2332" s="27">
        <f t="shared" si="108"/>
        <v>1.0002866502866501</v>
      </c>
      <c r="G2332" s="21" t="str">
        <f>IFERROR(INDEX(Users!$A$2:$A$310,MATCH(A2332,Users!$B$2:$B$310,0)),"")</f>
        <v>Service A</v>
      </c>
      <c r="H2332" s="21" t="str">
        <f>IFERROR(INDEX(Users!$D$2:$D$310,MATCH(A2332,Users!$B$2:$B$310,0)),"")</f>
        <v>Band 5</v>
      </c>
      <c r="I2332" s="19" t="b">
        <f t="shared" si="109"/>
        <v>0</v>
      </c>
      <c r="J2332" s="33" t="str">
        <f t="shared" si="110"/>
        <v/>
      </c>
    </row>
    <row r="2333" spans="1:10">
      <c r="A2333" s="19" t="s">
        <v>342</v>
      </c>
      <c r="B2333" s="20">
        <v>45931</v>
      </c>
      <c r="C2333" s="21">
        <v>170.20000000000002</v>
      </c>
      <c r="D2333" s="21">
        <v>163.25666666666666</v>
      </c>
      <c r="E2333" s="21">
        <v>101.59</v>
      </c>
      <c r="F2333" s="27">
        <f t="shared" si="108"/>
        <v>0.95920485703094382</v>
      </c>
      <c r="G2333" s="21" t="str">
        <f>IFERROR(INDEX(Users!$A$2:$A$310,MATCH(A2333,Users!$B$2:$B$310,0)),"")</f>
        <v>Service A</v>
      </c>
      <c r="H2333" s="21" t="str">
        <f>IFERROR(INDEX(Users!$D$2:$D$310,MATCH(A2333,Users!$B$2:$B$310,0)),"")</f>
        <v>Band 5</v>
      </c>
      <c r="I2333" s="19" t="b">
        <f t="shared" si="109"/>
        <v>0</v>
      </c>
      <c r="J2333" s="33" t="str">
        <f t="shared" si="110"/>
        <v/>
      </c>
    </row>
    <row r="2334" spans="1:10">
      <c r="A2334" s="19" t="s">
        <v>342</v>
      </c>
      <c r="B2334" s="20">
        <v>45962</v>
      </c>
      <c r="C2334" s="21">
        <v>148</v>
      </c>
      <c r="D2334" s="21">
        <v>146.51</v>
      </c>
      <c r="E2334" s="21">
        <v>81.009999999999977</v>
      </c>
      <c r="F2334" s="27">
        <f t="shared" si="108"/>
        <v>0.98993243243243234</v>
      </c>
      <c r="G2334" s="21" t="str">
        <f>IFERROR(INDEX(Users!$A$2:$A$310,MATCH(A2334,Users!$B$2:$B$310,0)),"")</f>
        <v>Service A</v>
      </c>
      <c r="H2334" s="21" t="str">
        <f>IFERROR(INDEX(Users!$D$2:$D$310,MATCH(A2334,Users!$B$2:$B$310,0)),"")</f>
        <v>Band 5</v>
      </c>
      <c r="I2334" s="19" t="b">
        <f t="shared" si="109"/>
        <v>0</v>
      </c>
      <c r="J2334" s="33" t="str">
        <f t="shared" si="110"/>
        <v/>
      </c>
    </row>
    <row r="2335" spans="1:10">
      <c r="A2335" s="19" t="s">
        <v>342</v>
      </c>
      <c r="B2335" s="20">
        <v>45992</v>
      </c>
      <c r="C2335" s="21">
        <v>155.4</v>
      </c>
      <c r="D2335" s="21">
        <v>133.59333333333333</v>
      </c>
      <c r="E2335" s="21">
        <v>71.960000000000008</v>
      </c>
      <c r="F2335" s="27">
        <f t="shared" si="108"/>
        <v>0.85967395967395965</v>
      </c>
      <c r="G2335" s="21" t="str">
        <f>IFERROR(INDEX(Users!$A$2:$A$310,MATCH(A2335,Users!$B$2:$B$310,0)),"")</f>
        <v>Service A</v>
      </c>
      <c r="H2335" s="21" t="str">
        <f>IFERROR(INDEX(Users!$D$2:$D$310,MATCH(A2335,Users!$B$2:$B$310,0)),"")</f>
        <v>Band 5</v>
      </c>
      <c r="I2335" s="19" t="b">
        <f t="shared" si="109"/>
        <v>0</v>
      </c>
      <c r="J2335" s="33" t="str">
        <f t="shared" si="110"/>
        <v/>
      </c>
    </row>
    <row r="2336" spans="1:10">
      <c r="A2336" s="19" t="s">
        <v>342</v>
      </c>
      <c r="B2336" s="20">
        <v>46023</v>
      </c>
      <c r="C2336" s="21">
        <v>155.4</v>
      </c>
      <c r="D2336" s="21">
        <v>140.98333333333332</v>
      </c>
      <c r="E2336" s="21">
        <v>45.5</v>
      </c>
      <c r="F2336" s="27">
        <f t="shared" si="108"/>
        <v>0.90722865722865709</v>
      </c>
      <c r="G2336" s="21" t="str">
        <f>IFERROR(INDEX(Users!$A$2:$A$310,MATCH(A2336,Users!$B$2:$B$310,0)),"")</f>
        <v>Service A</v>
      </c>
      <c r="H2336" s="21" t="str">
        <f>IFERROR(INDEX(Users!$D$2:$D$310,MATCH(A2336,Users!$B$2:$B$310,0)),"")</f>
        <v>Band 5</v>
      </c>
      <c r="I2336" s="19" t="b">
        <f t="shared" si="109"/>
        <v>0</v>
      </c>
      <c r="J2336" s="33" t="str">
        <f t="shared" si="110"/>
        <v/>
      </c>
    </row>
    <row r="2337" spans="1:10">
      <c r="A2337" s="19" t="s">
        <v>343</v>
      </c>
      <c r="B2337" s="20">
        <v>45658</v>
      </c>
      <c r="C2337" s="21">
        <v>162.79999999999998</v>
      </c>
      <c r="D2337" s="21">
        <v>152.10666666666665</v>
      </c>
      <c r="E2337" s="21">
        <v>119.94</v>
      </c>
      <c r="F2337" s="27">
        <f t="shared" si="108"/>
        <v>0.93431613431613436</v>
      </c>
      <c r="G2337" s="21" t="str">
        <f>IFERROR(INDEX(Users!$A$2:$A$310,MATCH(A2337,Users!$B$2:$B$310,0)),"")</f>
        <v>Service B</v>
      </c>
      <c r="H2337" s="21" t="str">
        <f>IFERROR(INDEX(Users!$D$2:$D$310,MATCH(A2337,Users!$B$2:$B$310,0)),"")</f>
        <v>Band 5</v>
      </c>
      <c r="I2337" s="19" t="b">
        <f t="shared" si="109"/>
        <v>0</v>
      </c>
      <c r="J2337" s="33">
        <f t="shared" si="110"/>
        <v>0.93431613431613436</v>
      </c>
    </row>
    <row r="2338" spans="1:10">
      <c r="A2338" s="19" t="s">
        <v>343</v>
      </c>
      <c r="B2338" s="20">
        <v>45689</v>
      </c>
      <c r="C2338" s="21">
        <v>148</v>
      </c>
      <c r="D2338" s="21">
        <v>121.68333333333334</v>
      </c>
      <c r="E2338" s="21">
        <v>88.350000000000009</v>
      </c>
      <c r="F2338" s="27">
        <f t="shared" si="108"/>
        <v>0.82218468468468475</v>
      </c>
      <c r="G2338" s="21" t="str">
        <f>IFERROR(INDEX(Users!$A$2:$A$310,MATCH(A2338,Users!$B$2:$B$310,0)),"")</f>
        <v>Service B</v>
      </c>
      <c r="H2338" s="21" t="str">
        <f>IFERROR(INDEX(Users!$D$2:$D$310,MATCH(A2338,Users!$B$2:$B$310,0)),"")</f>
        <v>Band 5</v>
      </c>
      <c r="I2338" s="19" t="b">
        <f t="shared" si="109"/>
        <v>0</v>
      </c>
      <c r="J2338" s="33">
        <f t="shared" si="110"/>
        <v>0.82218468468468475</v>
      </c>
    </row>
    <row r="2339" spans="1:10">
      <c r="A2339" s="19" t="s">
        <v>343</v>
      </c>
      <c r="B2339" s="20">
        <v>45717</v>
      </c>
      <c r="C2339" s="21">
        <v>155.4</v>
      </c>
      <c r="D2339" s="21">
        <v>151.03666666666663</v>
      </c>
      <c r="E2339" s="21">
        <v>93.36999999999999</v>
      </c>
      <c r="F2339" s="27">
        <f t="shared" si="108"/>
        <v>0.97192192192192162</v>
      </c>
      <c r="G2339" s="21" t="str">
        <f>IFERROR(INDEX(Users!$A$2:$A$310,MATCH(A2339,Users!$B$2:$B$310,0)),"")</f>
        <v>Service B</v>
      </c>
      <c r="H2339" s="21" t="str">
        <f>IFERROR(INDEX(Users!$D$2:$D$310,MATCH(A2339,Users!$B$2:$B$310,0)),"")</f>
        <v>Band 5</v>
      </c>
      <c r="I2339" s="19" t="b">
        <f t="shared" si="109"/>
        <v>0</v>
      </c>
      <c r="J2339" s="33">
        <f t="shared" si="110"/>
        <v>0.97192192192192162</v>
      </c>
    </row>
    <row r="2340" spans="1:10">
      <c r="A2340" s="19" t="s">
        <v>343</v>
      </c>
      <c r="B2340" s="20">
        <v>45748</v>
      </c>
      <c r="C2340" s="21">
        <v>148</v>
      </c>
      <c r="D2340" s="21">
        <v>107.64000000000001</v>
      </c>
      <c r="E2340" s="21">
        <v>80.640000000000015</v>
      </c>
      <c r="F2340" s="27">
        <f t="shared" si="108"/>
        <v>0.72729729729729742</v>
      </c>
      <c r="G2340" s="21" t="str">
        <f>IFERROR(INDEX(Users!$A$2:$A$310,MATCH(A2340,Users!$B$2:$B$310,0)),"")</f>
        <v>Service B</v>
      </c>
      <c r="H2340" s="21" t="str">
        <f>IFERROR(INDEX(Users!$D$2:$D$310,MATCH(A2340,Users!$B$2:$B$310,0)),"")</f>
        <v>Band 5</v>
      </c>
      <c r="I2340" s="19" t="b">
        <f t="shared" si="109"/>
        <v>0</v>
      </c>
      <c r="J2340" s="33">
        <f t="shared" si="110"/>
        <v>0.72729729729729742</v>
      </c>
    </row>
    <row r="2341" spans="1:10">
      <c r="A2341" s="19" t="s">
        <v>343</v>
      </c>
      <c r="B2341" s="20">
        <v>45778</v>
      </c>
      <c r="C2341" s="21">
        <v>148</v>
      </c>
      <c r="D2341" s="21">
        <v>133.97000000000003</v>
      </c>
      <c r="E2341" s="21">
        <v>98.420000000000016</v>
      </c>
      <c r="F2341" s="27">
        <f t="shared" si="108"/>
        <v>0.90520270270270287</v>
      </c>
      <c r="G2341" s="21" t="str">
        <f>IFERROR(INDEX(Users!$A$2:$A$310,MATCH(A2341,Users!$B$2:$B$310,0)),"")</f>
        <v>Service B</v>
      </c>
      <c r="H2341" s="21" t="str">
        <f>IFERROR(INDEX(Users!$D$2:$D$310,MATCH(A2341,Users!$B$2:$B$310,0)),"")</f>
        <v>Band 5</v>
      </c>
      <c r="I2341" s="19" t="b">
        <f t="shared" si="109"/>
        <v>0</v>
      </c>
      <c r="J2341" s="33">
        <f t="shared" si="110"/>
        <v>0.90520270270270287</v>
      </c>
    </row>
    <row r="2342" spans="1:10">
      <c r="A2342" s="19" t="s">
        <v>343</v>
      </c>
      <c r="B2342" s="20">
        <v>45809</v>
      </c>
      <c r="C2342" s="21">
        <v>155.4</v>
      </c>
      <c r="D2342" s="21">
        <v>143.35000000000002</v>
      </c>
      <c r="E2342" s="21">
        <v>104.70000000000003</v>
      </c>
      <c r="F2342" s="27">
        <f t="shared" si="108"/>
        <v>0.92245817245817252</v>
      </c>
      <c r="G2342" s="21" t="str">
        <f>IFERROR(INDEX(Users!$A$2:$A$310,MATCH(A2342,Users!$B$2:$B$310,0)),"")</f>
        <v>Service B</v>
      </c>
      <c r="H2342" s="21" t="str">
        <f>IFERROR(INDEX(Users!$D$2:$D$310,MATCH(A2342,Users!$B$2:$B$310,0)),"")</f>
        <v>Band 5</v>
      </c>
      <c r="I2342" s="19" t="b">
        <f t="shared" si="109"/>
        <v>0</v>
      </c>
      <c r="J2342" s="33">
        <f t="shared" si="110"/>
        <v>0.92245817245817252</v>
      </c>
    </row>
    <row r="2343" spans="1:10">
      <c r="A2343" s="19" t="s">
        <v>343</v>
      </c>
      <c r="B2343" s="20">
        <v>45839</v>
      </c>
      <c r="C2343" s="21">
        <v>170.2</v>
      </c>
      <c r="D2343" s="21">
        <v>154.05000000000001</v>
      </c>
      <c r="E2343" s="21">
        <v>89.40000000000002</v>
      </c>
      <c r="F2343" s="27">
        <f t="shared" si="108"/>
        <v>0.90511163337250311</v>
      </c>
      <c r="G2343" s="21" t="str">
        <f>IFERROR(INDEX(Users!$A$2:$A$310,MATCH(A2343,Users!$B$2:$B$310,0)),"")</f>
        <v>Service B</v>
      </c>
      <c r="H2343" s="21" t="str">
        <f>IFERROR(INDEX(Users!$D$2:$D$310,MATCH(A2343,Users!$B$2:$B$310,0)),"")</f>
        <v>Band 5</v>
      </c>
      <c r="I2343" s="19" t="b">
        <f t="shared" si="109"/>
        <v>0</v>
      </c>
      <c r="J2343" s="33">
        <f t="shared" si="110"/>
        <v>0.90511163337250311</v>
      </c>
    </row>
    <row r="2344" spans="1:10">
      <c r="A2344" s="19" t="s">
        <v>343</v>
      </c>
      <c r="B2344" s="20">
        <v>45870</v>
      </c>
      <c r="C2344" s="21">
        <v>148</v>
      </c>
      <c r="D2344" s="21">
        <v>130.82999999999998</v>
      </c>
      <c r="E2344" s="21">
        <v>101.83</v>
      </c>
      <c r="F2344" s="27">
        <f t="shared" si="108"/>
        <v>0.88398648648648637</v>
      </c>
      <c r="G2344" s="21" t="str">
        <f>IFERROR(INDEX(Users!$A$2:$A$310,MATCH(A2344,Users!$B$2:$B$310,0)),"")</f>
        <v>Service B</v>
      </c>
      <c r="H2344" s="21" t="str">
        <f>IFERROR(INDEX(Users!$D$2:$D$310,MATCH(A2344,Users!$B$2:$B$310,0)),"")</f>
        <v>Band 5</v>
      </c>
      <c r="I2344" s="19" t="b">
        <f t="shared" si="109"/>
        <v>0</v>
      </c>
      <c r="J2344" s="33">
        <f t="shared" si="110"/>
        <v>0.88398648648648637</v>
      </c>
    </row>
    <row r="2345" spans="1:10">
      <c r="A2345" s="19" t="s">
        <v>343</v>
      </c>
      <c r="B2345" s="20">
        <v>45901</v>
      </c>
      <c r="C2345" s="21">
        <v>162.80000000000001</v>
      </c>
      <c r="D2345" s="21">
        <v>79.023333333333341</v>
      </c>
      <c r="E2345" s="21">
        <v>58.340000000000011</v>
      </c>
      <c r="F2345" s="27">
        <f t="shared" si="108"/>
        <v>0.4854013104013104</v>
      </c>
      <c r="G2345" s="21" t="str">
        <f>IFERROR(INDEX(Users!$A$2:$A$310,MATCH(A2345,Users!$B$2:$B$310,0)),"")</f>
        <v>Service B</v>
      </c>
      <c r="H2345" s="21" t="str">
        <f>IFERROR(INDEX(Users!$D$2:$D$310,MATCH(A2345,Users!$B$2:$B$310,0)),"")</f>
        <v>Band 5</v>
      </c>
      <c r="I2345" s="19" t="b">
        <f t="shared" si="109"/>
        <v>0</v>
      </c>
      <c r="J2345" s="33">
        <f t="shared" si="110"/>
        <v>0.4854013104013104</v>
      </c>
    </row>
    <row r="2346" spans="1:10">
      <c r="A2346" s="19" t="s">
        <v>343</v>
      </c>
      <c r="B2346" s="20">
        <v>45931</v>
      </c>
      <c r="C2346" s="21">
        <v>170.2</v>
      </c>
      <c r="D2346" s="21">
        <v>162.69999999999999</v>
      </c>
      <c r="E2346" s="21">
        <v>86.499999999999986</v>
      </c>
      <c r="F2346" s="27">
        <f t="shared" si="108"/>
        <v>0.95593419506462984</v>
      </c>
      <c r="G2346" s="21" t="str">
        <f>IFERROR(INDEX(Users!$A$2:$A$310,MATCH(A2346,Users!$B$2:$B$310,0)),"")</f>
        <v>Service B</v>
      </c>
      <c r="H2346" s="21" t="str">
        <f>IFERROR(INDEX(Users!$D$2:$D$310,MATCH(A2346,Users!$B$2:$B$310,0)),"")</f>
        <v>Band 5</v>
      </c>
      <c r="I2346" s="19" t="b">
        <f t="shared" si="109"/>
        <v>0</v>
      </c>
      <c r="J2346" s="33">
        <f t="shared" si="110"/>
        <v>0.95593419506462984</v>
      </c>
    </row>
    <row r="2347" spans="1:10">
      <c r="A2347" s="19" t="s">
        <v>343</v>
      </c>
      <c r="B2347" s="20">
        <v>45962</v>
      </c>
      <c r="C2347" s="21">
        <v>148</v>
      </c>
      <c r="D2347" s="21">
        <v>141.79666666666671</v>
      </c>
      <c r="E2347" s="21">
        <v>93.680000000000035</v>
      </c>
      <c r="F2347" s="27">
        <f t="shared" si="108"/>
        <v>0.95808558558558587</v>
      </c>
      <c r="G2347" s="21" t="str">
        <f>IFERROR(INDEX(Users!$A$2:$A$310,MATCH(A2347,Users!$B$2:$B$310,0)),"")</f>
        <v>Service B</v>
      </c>
      <c r="H2347" s="21" t="str">
        <f>IFERROR(INDEX(Users!$D$2:$D$310,MATCH(A2347,Users!$B$2:$B$310,0)),"")</f>
        <v>Band 5</v>
      </c>
      <c r="I2347" s="19" t="b">
        <f t="shared" si="109"/>
        <v>0</v>
      </c>
      <c r="J2347" s="33">
        <f t="shared" si="110"/>
        <v>0.95808558558558587</v>
      </c>
    </row>
    <row r="2348" spans="1:10">
      <c r="A2348" s="19" t="s">
        <v>343</v>
      </c>
      <c r="B2348" s="20">
        <v>45992</v>
      </c>
      <c r="C2348" s="21">
        <v>155.4</v>
      </c>
      <c r="D2348" s="21">
        <v>130.41999999999999</v>
      </c>
      <c r="E2348" s="21">
        <v>95.519999999999982</v>
      </c>
      <c r="F2348" s="27">
        <f t="shared" si="108"/>
        <v>0.83925353925353918</v>
      </c>
      <c r="G2348" s="21" t="str">
        <f>IFERROR(INDEX(Users!$A$2:$A$310,MATCH(A2348,Users!$B$2:$B$310,0)),"")</f>
        <v>Service B</v>
      </c>
      <c r="H2348" s="21" t="str">
        <f>IFERROR(INDEX(Users!$D$2:$D$310,MATCH(A2348,Users!$B$2:$B$310,0)),"")</f>
        <v>Band 5</v>
      </c>
      <c r="I2348" s="19" t="b">
        <f t="shared" si="109"/>
        <v>0</v>
      </c>
      <c r="J2348" s="33">
        <f t="shared" si="110"/>
        <v>0.83925353925353918</v>
      </c>
    </row>
    <row r="2349" spans="1:10">
      <c r="A2349" s="19" t="s">
        <v>343</v>
      </c>
      <c r="B2349" s="20">
        <v>46023</v>
      </c>
      <c r="C2349" s="21">
        <v>155.39999999999998</v>
      </c>
      <c r="D2349" s="21">
        <v>143.5833333333334</v>
      </c>
      <c r="E2349" s="21">
        <v>88.800000000000054</v>
      </c>
      <c r="F2349" s="27">
        <f t="shared" si="108"/>
        <v>0.92395967395967449</v>
      </c>
      <c r="G2349" s="21" t="str">
        <f>IFERROR(INDEX(Users!$A$2:$A$310,MATCH(A2349,Users!$B$2:$B$310,0)),"")</f>
        <v>Service B</v>
      </c>
      <c r="H2349" s="21" t="str">
        <f>IFERROR(INDEX(Users!$D$2:$D$310,MATCH(A2349,Users!$B$2:$B$310,0)),"")</f>
        <v>Band 5</v>
      </c>
      <c r="I2349" s="19" t="b">
        <f t="shared" si="109"/>
        <v>0</v>
      </c>
      <c r="J2349" s="33" t="str">
        <f t="shared" si="110"/>
        <v/>
      </c>
    </row>
    <row r="2350" spans="1:10">
      <c r="A2350" s="19" t="s">
        <v>344</v>
      </c>
      <c r="B2350" s="20">
        <v>45689</v>
      </c>
      <c r="C2350" s="21">
        <v>37</v>
      </c>
      <c r="D2350" s="21"/>
      <c r="E2350" s="21"/>
      <c r="F2350" s="27" t="str">
        <f t="shared" si="108"/>
        <v/>
      </c>
      <c r="G2350" s="21" t="str">
        <f>IFERROR(INDEX(Users!$A$2:$A$310,MATCH(A2350,Users!$B$2:$B$310,0)),"")</f>
        <v>Service B</v>
      </c>
      <c r="H2350" s="21" t="str">
        <f>IFERROR(INDEX(Users!$D$2:$D$310,MATCH(A2350,Users!$B$2:$B$310,0)),"")</f>
        <v>Band 3</v>
      </c>
      <c r="I2350" s="19" t="b">
        <f t="shared" si="109"/>
        <v>0</v>
      </c>
      <c r="J2350" s="33" t="str">
        <f t="shared" si="110"/>
        <v/>
      </c>
    </row>
    <row r="2351" spans="1:10">
      <c r="A2351" s="19" t="s">
        <v>344</v>
      </c>
      <c r="B2351" s="20">
        <v>45717</v>
      </c>
      <c r="C2351" s="21">
        <v>155.40000000000006</v>
      </c>
      <c r="D2351" s="21"/>
      <c r="E2351" s="21"/>
      <c r="F2351" s="27" t="str">
        <f t="shared" si="108"/>
        <v/>
      </c>
      <c r="G2351" s="21" t="str">
        <f>IFERROR(INDEX(Users!$A$2:$A$310,MATCH(A2351,Users!$B$2:$B$310,0)),"")</f>
        <v>Service B</v>
      </c>
      <c r="H2351" s="21" t="str">
        <f>IFERROR(INDEX(Users!$D$2:$D$310,MATCH(A2351,Users!$B$2:$B$310,0)),"")</f>
        <v>Band 3</v>
      </c>
      <c r="I2351" s="19" t="b">
        <f t="shared" si="109"/>
        <v>0</v>
      </c>
      <c r="J2351" s="33" t="str">
        <f t="shared" si="110"/>
        <v/>
      </c>
    </row>
    <row r="2352" spans="1:10">
      <c r="A2352" s="19" t="s">
        <v>344</v>
      </c>
      <c r="B2352" s="20">
        <v>45748</v>
      </c>
      <c r="C2352" s="21">
        <v>148.00000000000006</v>
      </c>
      <c r="D2352" s="21">
        <v>121.07000000000004</v>
      </c>
      <c r="E2352" s="21">
        <v>2.67</v>
      </c>
      <c r="F2352" s="27">
        <f t="shared" si="108"/>
        <v>0.81804054054054043</v>
      </c>
      <c r="G2352" s="21" t="str">
        <f>IFERROR(INDEX(Users!$A$2:$A$310,MATCH(A2352,Users!$B$2:$B$310,0)),"")</f>
        <v>Service B</v>
      </c>
      <c r="H2352" s="21" t="str">
        <f>IFERROR(INDEX(Users!$D$2:$D$310,MATCH(A2352,Users!$B$2:$B$310,0)),"")</f>
        <v>Band 3</v>
      </c>
      <c r="I2352" s="19" t="b">
        <f t="shared" si="109"/>
        <v>0</v>
      </c>
      <c r="J2352" s="33">
        <f t="shared" si="110"/>
        <v>0.81804054054054043</v>
      </c>
    </row>
    <row r="2353" spans="1:10">
      <c r="A2353" s="19" t="s">
        <v>344</v>
      </c>
      <c r="B2353" s="20">
        <v>45778</v>
      </c>
      <c r="C2353" s="21">
        <v>148.00000000000006</v>
      </c>
      <c r="D2353" s="21">
        <v>136.62333333333333</v>
      </c>
      <c r="E2353" s="21">
        <v>11.34</v>
      </c>
      <c r="F2353" s="27">
        <f t="shared" si="108"/>
        <v>0.92313063063063028</v>
      </c>
      <c r="G2353" s="21" t="str">
        <f>IFERROR(INDEX(Users!$A$2:$A$310,MATCH(A2353,Users!$B$2:$B$310,0)),"")</f>
        <v>Service B</v>
      </c>
      <c r="H2353" s="21" t="str">
        <f>IFERROR(INDEX(Users!$D$2:$D$310,MATCH(A2353,Users!$B$2:$B$310,0)),"")</f>
        <v>Band 3</v>
      </c>
      <c r="I2353" s="19" t="b">
        <f t="shared" si="109"/>
        <v>0</v>
      </c>
      <c r="J2353" s="33">
        <f t="shared" si="110"/>
        <v>0.92313063063063028</v>
      </c>
    </row>
    <row r="2354" spans="1:10">
      <c r="A2354" s="19" t="s">
        <v>344</v>
      </c>
      <c r="B2354" s="20">
        <v>45809</v>
      </c>
      <c r="C2354" s="21">
        <v>155.40000000000006</v>
      </c>
      <c r="D2354" s="21">
        <v>75.256666666666675</v>
      </c>
      <c r="E2354" s="21">
        <v>3.84</v>
      </c>
      <c r="F2354" s="27">
        <f t="shared" si="108"/>
        <v>0.48427713427713415</v>
      </c>
      <c r="G2354" s="21" t="str">
        <f>IFERROR(INDEX(Users!$A$2:$A$310,MATCH(A2354,Users!$B$2:$B$310,0)),"")</f>
        <v>Service B</v>
      </c>
      <c r="H2354" s="21" t="str">
        <f>IFERROR(INDEX(Users!$D$2:$D$310,MATCH(A2354,Users!$B$2:$B$310,0)),"")</f>
        <v>Band 3</v>
      </c>
      <c r="I2354" s="19" t="b">
        <f t="shared" si="109"/>
        <v>0</v>
      </c>
      <c r="J2354" s="33">
        <f t="shared" si="110"/>
        <v>0.48427713427713415</v>
      </c>
    </row>
    <row r="2355" spans="1:10">
      <c r="A2355" s="19" t="s">
        <v>344</v>
      </c>
      <c r="B2355" s="20">
        <v>45839</v>
      </c>
      <c r="C2355" s="21">
        <v>170.20000000000007</v>
      </c>
      <c r="D2355" s="21">
        <v>170.08333333333331</v>
      </c>
      <c r="E2355" s="21">
        <v>68.5</v>
      </c>
      <c r="F2355" s="27">
        <f t="shared" si="108"/>
        <v>0.99931453192322706</v>
      </c>
      <c r="G2355" s="21" t="str">
        <f>IFERROR(INDEX(Users!$A$2:$A$310,MATCH(A2355,Users!$B$2:$B$310,0)),"")</f>
        <v>Service B</v>
      </c>
      <c r="H2355" s="21" t="str">
        <f>IFERROR(INDEX(Users!$D$2:$D$310,MATCH(A2355,Users!$B$2:$B$310,0)),"")</f>
        <v>Band 3</v>
      </c>
      <c r="I2355" s="19" t="b">
        <f t="shared" si="109"/>
        <v>0</v>
      </c>
      <c r="J2355" s="33">
        <f t="shared" si="110"/>
        <v>0.99931453192322706</v>
      </c>
    </row>
    <row r="2356" spans="1:10">
      <c r="A2356" s="19" t="s">
        <v>344</v>
      </c>
      <c r="B2356" s="20">
        <v>45870</v>
      </c>
      <c r="C2356" s="21">
        <v>148.00000000000006</v>
      </c>
      <c r="D2356" s="21">
        <v>152.06</v>
      </c>
      <c r="E2356" s="21">
        <v>85.810000000000016</v>
      </c>
      <c r="F2356" s="27">
        <f t="shared" si="108"/>
        <v>1.027432432432432</v>
      </c>
      <c r="G2356" s="21" t="str">
        <f>IFERROR(INDEX(Users!$A$2:$A$310,MATCH(A2356,Users!$B$2:$B$310,0)),"")</f>
        <v>Service B</v>
      </c>
      <c r="H2356" s="21" t="str">
        <f>IFERROR(INDEX(Users!$D$2:$D$310,MATCH(A2356,Users!$B$2:$B$310,0)),"")</f>
        <v>Band 3</v>
      </c>
      <c r="I2356" s="19" t="b">
        <f t="shared" si="109"/>
        <v>0</v>
      </c>
      <c r="J2356" s="33">
        <f t="shared" si="110"/>
        <v>1.027432432432432</v>
      </c>
    </row>
    <row r="2357" spans="1:10">
      <c r="A2357" s="19" t="s">
        <v>344</v>
      </c>
      <c r="B2357" s="20">
        <v>45901</v>
      </c>
      <c r="C2357" s="21">
        <v>162.80000000000007</v>
      </c>
      <c r="D2357" s="21">
        <v>168.46000000000004</v>
      </c>
      <c r="E2357" s="21">
        <v>91.710000000000022</v>
      </c>
      <c r="F2357" s="27">
        <f t="shared" si="108"/>
        <v>1.0347665847665846</v>
      </c>
      <c r="G2357" s="21" t="str">
        <f>IFERROR(INDEX(Users!$A$2:$A$310,MATCH(A2357,Users!$B$2:$B$310,0)),"")</f>
        <v>Service B</v>
      </c>
      <c r="H2357" s="21" t="str">
        <f>IFERROR(INDEX(Users!$D$2:$D$310,MATCH(A2357,Users!$B$2:$B$310,0)),"")</f>
        <v>Band 3</v>
      </c>
      <c r="I2357" s="19" t="b">
        <f t="shared" si="109"/>
        <v>0</v>
      </c>
      <c r="J2357" s="33">
        <f t="shared" si="110"/>
        <v>1.0347665847665846</v>
      </c>
    </row>
    <row r="2358" spans="1:10">
      <c r="A2358" s="19" t="s">
        <v>344</v>
      </c>
      <c r="B2358" s="20">
        <v>45931</v>
      </c>
      <c r="C2358" s="21">
        <v>170.20000000000007</v>
      </c>
      <c r="D2358" s="21">
        <v>176.91</v>
      </c>
      <c r="E2358" s="21">
        <v>95.66</v>
      </c>
      <c r="F2358" s="27">
        <f t="shared" si="108"/>
        <v>1.0394242068155106</v>
      </c>
      <c r="G2358" s="21" t="str">
        <f>IFERROR(INDEX(Users!$A$2:$A$310,MATCH(A2358,Users!$B$2:$B$310,0)),"")</f>
        <v>Service B</v>
      </c>
      <c r="H2358" s="21" t="str">
        <f>IFERROR(INDEX(Users!$D$2:$D$310,MATCH(A2358,Users!$B$2:$B$310,0)),"")</f>
        <v>Band 3</v>
      </c>
      <c r="I2358" s="19" t="b">
        <f t="shared" si="109"/>
        <v>0</v>
      </c>
      <c r="J2358" s="33">
        <f t="shared" si="110"/>
        <v>1.0394242068155106</v>
      </c>
    </row>
    <row r="2359" spans="1:10">
      <c r="A2359" s="19" t="s">
        <v>344</v>
      </c>
      <c r="B2359" s="20">
        <v>45962</v>
      </c>
      <c r="C2359" s="21">
        <v>148.00000000000006</v>
      </c>
      <c r="D2359" s="21">
        <v>15</v>
      </c>
      <c r="E2359" s="21">
        <v>7.25</v>
      </c>
      <c r="F2359" s="27">
        <f t="shared" si="108"/>
        <v>0.10135135135135132</v>
      </c>
      <c r="G2359" s="21" t="str">
        <f>IFERROR(INDEX(Users!$A$2:$A$310,MATCH(A2359,Users!$B$2:$B$310,0)),"")</f>
        <v>Service B</v>
      </c>
      <c r="H2359" s="21" t="str">
        <f>IFERROR(INDEX(Users!$D$2:$D$310,MATCH(A2359,Users!$B$2:$B$310,0)),"")</f>
        <v>Band 3</v>
      </c>
      <c r="I2359" s="19" t="b">
        <f t="shared" si="109"/>
        <v>0</v>
      </c>
      <c r="J2359" s="33">
        <f t="shared" si="110"/>
        <v>0.10135135135135132</v>
      </c>
    </row>
    <row r="2360" spans="1:10">
      <c r="A2360" s="19" t="s">
        <v>344</v>
      </c>
      <c r="B2360" s="20">
        <v>45992</v>
      </c>
      <c r="C2360" s="21">
        <v>155.40000000000006</v>
      </c>
      <c r="D2360" s="21"/>
      <c r="E2360" s="21"/>
      <c r="F2360" s="27" t="str">
        <f t="shared" si="108"/>
        <v/>
      </c>
      <c r="G2360" s="21" t="str">
        <f>IFERROR(INDEX(Users!$A$2:$A$310,MATCH(A2360,Users!$B$2:$B$310,0)),"")</f>
        <v>Service B</v>
      </c>
      <c r="H2360" s="21" t="str">
        <f>IFERROR(INDEX(Users!$D$2:$D$310,MATCH(A2360,Users!$B$2:$B$310,0)),"")</f>
        <v>Band 3</v>
      </c>
      <c r="I2360" s="19" t="b">
        <f t="shared" si="109"/>
        <v>0</v>
      </c>
      <c r="J2360" s="33" t="str">
        <f t="shared" si="110"/>
        <v/>
      </c>
    </row>
    <row r="2361" spans="1:10">
      <c r="A2361" s="19" t="s">
        <v>344</v>
      </c>
      <c r="B2361" s="20">
        <v>46023</v>
      </c>
      <c r="C2361" s="21">
        <v>155.40000000000006</v>
      </c>
      <c r="D2361" s="21"/>
      <c r="E2361" s="21"/>
      <c r="F2361" s="27" t="str">
        <f t="shared" si="108"/>
        <v/>
      </c>
      <c r="G2361" s="21" t="str">
        <f>IFERROR(INDEX(Users!$A$2:$A$310,MATCH(A2361,Users!$B$2:$B$310,0)),"")</f>
        <v>Service B</v>
      </c>
      <c r="H2361" s="21" t="str">
        <f>IFERROR(INDEX(Users!$D$2:$D$310,MATCH(A2361,Users!$B$2:$B$310,0)),"")</f>
        <v>Band 3</v>
      </c>
      <c r="I2361" s="19" t="b">
        <f t="shared" si="109"/>
        <v>0</v>
      </c>
      <c r="J2361" s="33" t="str">
        <f t="shared" si="110"/>
        <v/>
      </c>
    </row>
    <row r="2362" spans="1:10">
      <c r="A2362" s="19" t="s">
        <v>345</v>
      </c>
      <c r="B2362" s="20">
        <v>45658</v>
      </c>
      <c r="C2362" s="21">
        <v>162.80000000000001</v>
      </c>
      <c r="D2362" s="21">
        <v>162.67666666666668</v>
      </c>
      <c r="E2362" s="21">
        <v>56.36</v>
      </c>
      <c r="F2362" s="27">
        <f t="shared" si="108"/>
        <v>0.99924242424242427</v>
      </c>
      <c r="G2362" s="21" t="str">
        <f>IFERROR(INDEX(Users!$A$2:$A$310,MATCH(A2362,Users!$B$2:$B$310,0)),"")</f>
        <v>Service A</v>
      </c>
      <c r="H2362" s="21" t="str">
        <f>IFERROR(INDEX(Users!$D$2:$D$310,MATCH(A2362,Users!$B$2:$B$310,0)),"")</f>
        <v>Band 5</v>
      </c>
      <c r="I2362" s="19" t="b">
        <f t="shared" si="109"/>
        <v>0</v>
      </c>
      <c r="J2362" s="33" t="str">
        <f t="shared" si="110"/>
        <v/>
      </c>
    </row>
    <row r="2363" spans="1:10">
      <c r="A2363" s="19" t="s">
        <v>345</v>
      </c>
      <c r="B2363" s="20">
        <v>45689</v>
      </c>
      <c r="C2363" s="21">
        <v>148</v>
      </c>
      <c r="D2363" s="21">
        <v>139.57</v>
      </c>
      <c r="E2363" s="21">
        <v>58.069999999999979</v>
      </c>
      <c r="F2363" s="27">
        <f t="shared" si="108"/>
        <v>0.94304054054054054</v>
      </c>
      <c r="G2363" s="21" t="str">
        <f>IFERROR(INDEX(Users!$A$2:$A$310,MATCH(A2363,Users!$B$2:$B$310,0)),"")</f>
        <v>Service A</v>
      </c>
      <c r="H2363" s="21" t="str">
        <f>IFERROR(INDEX(Users!$D$2:$D$310,MATCH(A2363,Users!$B$2:$B$310,0)),"")</f>
        <v>Band 5</v>
      </c>
      <c r="I2363" s="19" t="b">
        <f t="shared" si="109"/>
        <v>0</v>
      </c>
      <c r="J2363" s="33" t="str">
        <f t="shared" si="110"/>
        <v/>
      </c>
    </row>
    <row r="2364" spans="1:10">
      <c r="A2364" s="19" t="s">
        <v>345</v>
      </c>
      <c r="B2364" s="20">
        <v>45717</v>
      </c>
      <c r="C2364" s="21">
        <v>155.4</v>
      </c>
      <c r="D2364" s="21">
        <v>150.21999999999991</v>
      </c>
      <c r="E2364" s="21">
        <v>79.719999999999942</v>
      </c>
      <c r="F2364" s="27">
        <f t="shared" si="108"/>
        <v>0.96666666666666612</v>
      </c>
      <c r="G2364" s="21" t="str">
        <f>IFERROR(INDEX(Users!$A$2:$A$310,MATCH(A2364,Users!$B$2:$B$310,0)),"")</f>
        <v>Service A</v>
      </c>
      <c r="H2364" s="21" t="str">
        <f>IFERROR(INDEX(Users!$D$2:$D$310,MATCH(A2364,Users!$B$2:$B$310,0)),"")</f>
        <v>Band 5</v>
      </c>
      <c r="I2364" s="19" t="b">
        <f t="shared" si="109"/>
        <v>0</v>
      </c>
      <c r="J2364" s="33" t="str">
        <f t="shared" si="110"/>
        <v/>
      </c>
    </row>
    <row r="2365" spans="1:10">
      <c r="A2365" s="19" t="s">
        <v>345</v>
      </c>
      <c r="B2365" s="20">
        <v>45748</v>
      </c>
      <c r="C2365" s="21">
        <v>148</v>
      </c>
      <c r="D2365" s="21">
        <v>149.99333333333334</v>
      </c>
      <c r="E2365" s="21">
        <v>65.66</v>
      </c>
      <c r="F2365" s="27">
        <f t="shared" si="108"/>
        <v>1.0134684684684685</v>
      </c>
      <c r="G2365" s="21" t="str">
        <f>IFERROR(INDEX(Users!$A$2:$A$310,MATCH(A2365,Users!$B$2:$B$310,0)),"")</f>
        <v>Service A</v>
      </c>
      <c r="H2365" s="21" t="str">
        <f>IFERROR(INDEX(Users!$D$2:$D$310,MATCH(A2365,Users!$B$2:$B$310,0)),"")</f>
        <v>Band 5</v>
      </c>
      <c r="I2365" s="19" t="b">
        <f t="shared" si="109"/>
        <v>0</v>
      </c>
      <c r="J2365" s="33" t="str">
        <f t="shared" si="110"/>
        <v/>
      </c>
    </row>
    <row r="2366" spans="1:10">
      <c r="A2366" s="19" t="s">
        <v>345</v>
      </c>
      <c r="B2366" s="20">
        <v>45778</v>
      </c>
      <c r="C2366" s="21">
        <v>14.8</v>
      </c>
      <c r="D2366" s="21">
        <v>14.96666666666667</v>
      </c>
      <c r="E2366" s="21">
        <v>6.8000000000000025</v>
      </c>
      <c r="F2366" s="27">
        <f t="shared" si="108"/>
        <v>1.0112612612612615</v>
      </c>
      <c r="G2366" s="21" t="str">
        <f>IFERROR(INDEX(Users!$A$2:$A$310,MATCH(A2366,Users!$B$2:$B$310,0)),"")</f>
        <v>Service A</v>
      </c>
      <c r="H2366" s="21" t="str">
        <f>IFERROR(INDEX(Users!$D$2:$D$310,MATCH(A2366,Users!$B$2:$B$310,0)),"")</f>
        <v>Band 5</v>
      </c>
      <c r="I2366" s="19" t="b">
        <f t="shared" si="109"/>
        <v>0</v>
      </c>
      <c r="J2366" s="33" t="str">
        <f t="shared" si="110"/>
        <v/>
      </c>
    </row>
    <row r="2367" spans="1:10">
      <c r="A2367" s="19" t="s">
        <v>346</v>
      </c>
      <c r="B2367" s="20">
        <v>45658</v>
      </c>
      <c r="C2367" s="21">
        <v>166.5</v>
      </c>
      <c r="D2367" s="21">
        <v>162.82</v>
      </c>
      <c r="E2367" s="21">
        <v>77.02</v>
      </c>
      <c r="F2367" s="27">
        <f t="shared" si="108"/>
        <v>0.97789789789789783</v>
      </c>
      <c r="G2367" s="21" t="str">
        <f>IFERROR(INDEX(Users!$A$2:$A$310,MATCH(A2367,Users!$B$2:$B$310,0)),"")</f>
        <v>Service A</v>
      </c>
      <c r="H2367" s="21" t="str">
        <f>IFERROR(INDEX(Users!$D$2:$D$310,MATCH(A2367,Users!$B$2:$B$310,0)),"")</f>
        <v>Band 5</v>
      </c>
      <c r="I2367" s="19" t="b">
        <f t="shared" si="109"/>
        <v>0</v>
      </c>
      <c r="J2367" s="33" t="str">
        <f t="shared" si="110"/>
        <v/>
      </c>
    </row>
    <row r="2368" spans="1:10">
      <c r="A2368" s="19" t="s">
        <v>346</v>
      </c>
      <c r="B2368" s="20">
        <v>45689</v>
      </c>
      <c r="C2368" s="21">
        <v>148</v>
      </c>
      <c r="D2368" s="21">
        <v>81.13</v>
      </c>
      <c r="E2368" s="21">
        <v>54.13</v>
      </c>
      <c r="F2368" s="27">
        <f t="shared" si="108"/>
        <v>0.5481756756756756</v>
      </c>
      <c r="G2368" s="21" t="str">
        <f>IFERROR(INDEX(Users!$A$2:$A$310,MATCH(A2368,Users!$B$2:$B$310,0)),"")</f>
        <v>Service A</v>
      </c>
      <c r="H2368" s="21" t="str">
        <f>IFERROR(INDEX(Users!$D$2:$D$310,MATCH(A2368,Users!$B$2:$B$310,0)),"")</f>
        <v>Band 5</v>
      </c>
      <c r="I2368" s="19" t="b">
        <f t="shared" si="109"/>
        <v>0</v>
      </c>
      <c r="J2368" s="33" t="str">
        <f t="shared" si="110"/>
        <v/>
      </c>
    </row>
    <row r="2369" spans="1:10">
      <c r="A2369" s="19" t="s">
        <v>346</v>
      </c>
      <c r="B2369" s="20">
        <v>45717</v>
      </c>
      <c r="C2369" s="21">
        <v>148</v>
      </c>
      <c r="D2369" s="21">
        <v>156.51</v>
      </c>
      <c r="E2369" s="21">
        <v>122.00999999999999</v>
      </c>
      <c r="F2369" s="27">
        <f t="shared" si="108"/>
        <v>1.0574999999999999</v>
      </c>
      <c r="G2369" s="21" t="str">
        <f>IFERROR(INDEX(Users!$A$2:$A$310,MATCH(A2369,Users!$B$2:$B$310,0)),"")</f>
        <v>Service A</v>
      </c>
      <c r="H2369" s="21" t="str">
        <f>IFERROR(INDEX(Users!$D$2:$D$310,MATCH(A2369,Users!$B$2:$B$310,0)),"")</f>
        <v>Band 5</v>
      </c>
      <c r="I2369" s="19" t="b">
        <f t="shared" si="109"/>
        <v>0</v>
      </c>
      <c r="J2369" s="33" t="str">
        <f t="shared" si="110"/>
        <v/>
      </c>
    </row>
    <row r="2370" spans="1:10">
      <c r="A2370" s="19" t="s">
        <v>346</v>
      </c>
      <c r="B2370" s="20">
        <v>45748</v>
      </c>
      <c r="C2370" s="21">
        <v>157.25</v>
      </c>
      <c r="D2370" s="21">
        <v>163.36000000000001</v>
      </c>
      <c r="E2370" s="21">
        <v>121.36</v>
      </c>
      <c r="F2370" s="27">
        <f t="shared" ref="F2370:F2433" si="111">IFERROR(IF(OR(C2370="",D2370="",C2370=0),"",D2370/C2370),"")</f>
        <v>1.0388553259141495</v>
      </c>
      <c r="G2370" s="21" t="str">
        <f>IFERROR(INDEX(Users!$A$2:$A$310,MATCH(A2370,Users!$B$2:$B$310,0)),"")</f>
        <v>Service A</v>
      </c>
      <c r="H2370" s="21" t="str">
        <f>IFERROR(INDEX(Users!$D$2:$D$310,MATCH(A2370,Users!$B$2:$B$310,0)),"")</f>
        <v>Band 5</v>
      </c>
      <c r="I2370" s="19" t="b">
        <f t="shared" ref="I2370:I2433" si="112">AND(G2370="Service A",H2370="Band 3")</f>
        <v>0</v>
      </c>
      <c r="J2370" s="33" t="str">
        <f t="shared" ref="J2370:J2433" si="113">IF(AND(B2370&gt;=DATE(2025,1,1),B2370&lt;DATE(2026,1,1),G2370="Service B",OR(H2370="Band 3",H2370="Band 5"),ISNUMBER(F2370)),F2370,"")</f>
        <v/>
      </c>
    </row>
    <row r="2371" spans="1:10">
      <c r="A2371" s="19" t="s">
        <v>346</v>
      </c>
      <c r="B2371" s="20">
        <v>45778</v>
      </c>
      <c r="C2371" s="21">
        <v>166.5</v>
      </c>
      <c r="D2371" s="21">
        <v>42.519999999999996</v>
      </c>
      <c r="E2371" s="21">
        <v>33.519999999999996</v>
      </c>
      <c r="F2371" s="27">
        <f t="shared" si="111"/>
        <v>0.25537537537537536</v>
      </c>
      <c r="G2371" s="21" t="str">
        <f>IFERROR(INDEX(Users!$A$2:$A$310,MATCH(A2371,Users!$B$2:$B$310,0)),"")</f>
        <v>Service A</v>
      </c>
      <c r="H2371" s="21" t="str">
        <f>IFERROR(INDEX(Users!$D$2:$D$310,MATCH(A2371,Users!$B$2:$B$310,0)),"")</f>
        <v>Band 5</v>
      </c>
      <c r="I2371" s="19" t="b">
        <f t="shared" si="112"/>
        <v>0</v>
      </c>
      <c r="J2371" s="33" t="str">
        <f t="shared" si="113"/>
        <v/>
      </c>
    </row>
    <row r="2372" spans="1:10">
      <c r="A2372" s="19" t="s">
        <v>346</v>
      </c>
      <c r="B2372" s="20">
        <v>45809</v>
      </c>
      <c r="C2372" s="21">
        <v>148</v>
      </c>
      <c r="D2372" s="21">
        <v>146.73000000000002</v>
      </c>
      <c r="E2372" s="21">
        <v>107.73</v>
      </c>
      <c r="F2372" s="27">
        <f t="shared" si="111"/>
        <v>0.99141891891891909</v>
      </c>
      <c r="G2372" s="21" t="str">
        <f>IFERROR(INDEX(Users!$A$2:$A$310,MATCH(A2372,Users!$B$2:$B$310,0)),"")</f>
        <v>Service A</v>
      </c>
      <c r="H2372" s="21" t="str">
        <f>IFERROR(INDEX(Users!$D$2:$D$310,MATCH(A2372,Users!$B$2:$B$310,0)),"")</f>
        <v>Band 5</v>
      </c>
      <c r="I2372" s="19" t="b">
        <f t="shared" si="112"/>
        <v>0</v>
      </c>
      <c r="J2372" s="33" t="str">
        <f t="shared" si="113"/>
        <v/>
      </c>
    </row>
    <row r="2373" spans="1:10">
      <c r="A2373" s="19" t="s">
        <v>346</v>
      </c>
      <c r="B2373" s="20">
        <v>45839</v>
      </c>
      <c r="C2373" s="21">
        <v>175.75</v>
      </c>
      <c r="D2373" s="21">
        <v>123</v>
      </c>
      <c r="E2373" s="21">
        <v>70</v>
      </c>
      <c r="F2373" s="27">
        <f t="shared" si="111"/>
        <v>0.69985775248933146</v>
      </c>
      <c r="G2373" s="21" t="str">
        <f>IFERROR(INDEX(Users!$A$2:$A$310,MATCH(A2373,Users!$B$2:$B$310,0)),"")</f>
        <v>Service A</v>
      </c>
      <c r="H2373" s="21" t="str">
        <f>IFERROR(INDEX(Users!$D$2:$D$310,MATCH(A2373,Users!$B$2:$B$310,0)),"")</f>
        <v>Band 5</v>
      </c>
      <c r="I2373" s="19" t="b">
        <f t="shared" si="112"/>
        <v>0</v>
      </c>
      <c r="J2373" s="33" t="str">
        <f t="shared" si="113"/>
        <v/>
      </c>
    </row>
    <row r="2374" spans="1:10">
      <c r="A2374" s="19" t="s">
        <v>346</v>
      </c>
      <c r="B2374" s="20">
        <v>45870</v>
      </c>
      <c r="C2374" s="21">
        <v>157.25</v>
      </c>
      <c r="D2374" s="21">
        <v>161.49</v>
      </c>
      <c r="E2374" s="21">
        <v>108.49</v>
      </c>
      <c r="F2374" s="27">
        <f t="shared" si="111"/>
        <v>1.0269634340222575</v>
      </c>
      <c r="G2374" s="21" t="str">
        <f>IFERROR(INDEX(Users!$A$2:$A$310,MATCH(A2374,Users!$B$2:$B$310,0)),"")</f>
        <v>Service A</v>
      </c>
      <c r="H2374" s="21" t="str">
        <f>IFERROR(INDEX(Users!$D$2:$D$310,MATCH(A2374,Users!$B$2:$B$310,0)),"")</f>
        <v>Band 5</v>
      </c>
      <c r="I2374" s="19" t="b">
        <f t="shared" si="112"/>
        <v>0</v>
      </c>
      <c r="J2374" s="33" t="str">
        <f t="shared" si="113"/>
        <v/>
      </c>
    </row>
    <row r="2375" spans="1:10">
      <c r="A2375" s="19" t="s">
        <v>346</v>
      </c>
      <c r="B2375" s="20">
        <v>45901</v>
      </c>
      <c r="C2375" s="21">
        <v>157.25</v>
      </c>
      <c r="D2375" s="21">
        <v>161.82</v>
      </c>
      <c r="E2375" s="21">
        <v>115.82000000000001</v>
      </c>
      <c r="F2375" s="27">
        <f t="shared" si="111"/>
        <v>1.0290620031796502</v>
      </c>
      <c r="G2375" s="21" t="str">
        <f>IFERROR(INDEX(Users!$A$2:$A$310,MATCH(A2375,Users!$B$2:$B$310,0)),"")</f>
        <v>Service A</v>
      </c>
      <c r="H2375" s="21" t="str">
        <f>IFERROR(INDEX(Users!$D$2:$D$310,MATCH(A2375,Users!$B$2:$B$310,0)),"")</f>
        <v>Band 5</v>
      </c>
      <c r="I2375" s="19" t="b">
        <f t="shared" si="112"/>
        <v>0</v>
      </c>
      <c r="J2375" s="33" t="str">
        <f t="shared" si="113"/>
        <v/>
      </c>
    </row>
    <row r="2376" spans="1:10">
      <c r="A2376" s="19" t="s">
        <v>346</v>
      </c>
      <c r="B2376" s="20">
        <v>45931</v>
      </c>
      <c r="C2376" s="21">
        <v>175.75</v>
      </c>
      <c r="D2376" s="21">
        <v>175.36333333333334</v>
      </c>
      <c r="E2376" s="21">
        <v>137.03</v>
      </c>
      <c r="F2376" s="27">
        <f t="shared" si="111"/>
        <v>0.99779990516832628</v>
      </c>
      <c r="G2376" s="21" t="str">
        <f>IFERROR(INDEX(Users!$A$2:$A$310,MATCH(A2376,Users!$B$2:$B$310,0)),"")</f>
        <v>Service A</v>
      </c>
      <c r="H2376" s="21" t="str">
        <f>IFERROR(INDEX(Users!$D$2:$D$310,MATCH(A2376,Users!$B$2:$B$310,0)),"")</f>
        <v>Band 5</v>
      </c>
      <c r="I2376" s="19" t="b">
        <f t="shared" si="112"/>
        <v>0</v>
      </c>
      <c r="J2376" s="33" t="str">
        <f t="shared" si="113"/>
        <v/>
      </c>
    </row>
    <row r="2377" spans="1:10">
      <c r="A2377" s="19" t="s">
        <v>346</v>
      </c>
      <c r="B2377" s="20">
        <v>45962</v>
      </c>
      <c r="C2377" s="21">
        <v>148</v>
      </c>
      <c r="D2377" s="21">
        <v>117.76</v>
      </c>
      <c r="E2377" s="21">
        <v>94.76</v>
      </c>
      <c r="F2377" s="27">
        <f t="shared" si="111"/>
        <v>0.79567567567567576</v>
      </c>
      <c r="G2377" s="21" t="str">
        <f>IFERROR(INDEX(Users!$A$2:$A$310,MATCH(A2377,Users!$B$2:$B$310,0)),"")</f>
        <v>Service A</v>
      </c>
      <c r="H2377" s="21" t="str">
        <f>IFERROR(INDEX(Users!$D$2:$D$310,MATCH(A2377,Users!$B$2:$B$310,0)),"")</f>
        <v>Band 5</v>
      </c>
      <c r="I2377" s="19" t="b">
        <f t="shared" si="112"/>
        <v>0</v>
      </c>
      <c r="J2377" s="33" t="str">
        <f t="shared" si="113"/>
        <v/>
      </c>
    </row>
    <row r="2378" spans="1:10">
      <c r="A2378" s="19" t="s">
        <v>346</v>
      </c>
      <c r="B2378" s="20">
        <v>45992</v>
      </c>
      <c r="C2378" s="21">
        <v>148</v>
      </c>
      <c r="D2378" s="21">
        <v>76.980000000000018</v>
      </c>
      <c r="E2378" s="21">
        <v>56.980000000000011</v>
      </c>
      <c r="F2378" s="27">
        <f t="shared" si="111"/>
        <v>0.52013513513513521</v>
      </c>
      <c r="G2378" s="21" t="str">
        <f>IFERROR(INDEX(Users!$A$2:$A$310,MATCH(A2378,Users!$B$2:$B$310,0)),"")</f>
        <v>Service A</v>
      </c>
      <c r="H2378" s="21" t="str">
        <f>IFERROR(INDEX(Users!$D$2:$D$310,MATCH(A2378,Users!$B$2:$B$310,0)),"")</f>
        <v>Band 5</v>
      </c>
      <c r="I2378" s="19" t="b">
        <f t="shared" si="112"/>
        <v>0</v>
      </c>
      <c r="J2378" s="33" t="str">
        <f t="shared" si="113"/>
        <v/>
      </c>
    </row>
    <row r="2379" spans="1:10">
      <c r="A2379" s="19" t="s">
        <v>346</v>
      </c>
      <c r="B2379" s="20">
        <v>46023</v>
      </c>
      <c r="C2379" s="21">
        <v>157.25</v>
      </c>
      <c r="D2379" s="21">
        <v>163.97000000000003</v>
      </c>
      <c r="E2379" s="21">
        <v>114.22000000000001</v>
      </c>
      <c r="F2379" s="27">
        <f t="shared" si="111"/>
        <v>1.0427344992050875</v>
      </c>
      <c r="G2379" s="21" t="str">
        <f>IFERROR(INDEX(Users!$A$2:$A$310,MATCH(A2379,Users!$B$2:$B$310,0)),"")</f>
        <v>Service A</v>
      </c>
      <c r="H2379" s="21" t="str">
        <f>IFERROR(INDEX(Users!$D$2:$D$310,MATCH(A2379,Users!$B$2:$B$310,0)),"")</f>
        <v>Band 5</v>
      </c>
      <c r="I2379" s="19" t="b">
        <f t="shared" si="112"/>
        <v>0</v>
      </c>
      <c r="J2379" s="33" t="str">
        <f t="shared" si="113"/>
        <v/>
      </c>
    </row>
    <row r="2380" spans="1:10">
      <c r="A2380" s="19" t="s">
        <v>347</v>
      </c>
      <c r="B2380" s="20">
        <v>45658</v>
      </c>
      <c r="C2380" s="21">
        <v>162.80000000000001</v>
      </c>
      <c r="D2380" s="21">
        <v>87.16</v>
      </c>
      <c r="E2380" s="21">
        <v>75.66</v>
      </c>
      <c r="F2380" s="27">
        <f t="shared" si="111"/>
        <v>0.53538083538083536</v>
      </c>
      <c r="G2380" s="21" t="str">
        <f>IFERROR(INDEX(Users!$A$2:$A$310,MATCH(A2380,Users!$B$2:$B$310,0)),"")</f>
        <v>Service A</v>
      </c>
      <c r="H2380" s="21" t="str">
        <f>IFERROR(INDEX(Users!$D$2:$D$310,MATCH(A2380,Users!$B$2:$B$310,0)),"")</f>
        <v>Band 3</v>
      </c>
      <c r="I2380" s="19" t="b">
        <f t="shared" si="112"/>
        <v>1</v>
      </c>
      <c r="J2380" s="33" t="str">
        <f t="shared" si="113"/>
        <v/>
      </c>
    </row>
    <row r="2381" spans="1:10">
      <c r="A2381" s="19" t="s">
        <v>347</v>
      </c>
      <c r="B2381" s="20">
        <v>45689</v>
      </c>
      <c r="C2381" s="21">
        <v>148</v>
      </c>
      <c r="D2381" s="21">
        <v>105.83</v>
      </c>
      <c r="E2381" s="21">
        <v>77.83</v>
      </c>
      <c r="F2381" s="27">
        <f t="shared" si="111"/>
        <v>0.71506756756756751</v>
      </c>
      <c r="G2381" s="21" t="str">
        <f>IFERROR(INDEX(Users!$A$2:$A$310,MATCH(A2381,Users!$B$2:$B$310,0)),"")</f>
        <v>Service A</v>
      </c>
      <c r="H2381" s="21" t="str">
        <f>IFERROR(INDEX(Users!$D$2:$D$310,MATCH(A2381,Users!$B$2:$B$310,0)),"")</f>
        <v>Band 3</v>
      </c>
      <c r="I2381" s="19" t="b">
        <f t="shared" si="112"/>
        <v>1</v>
      </c>
      <c r="J2381" s="33" t="str">
        <f t="shared" si="113"/>
        <v/>
      </c>
    </row>
    <row r="2382" spans="1:10">
      <c r="A2382" s="19" t="s">
        <v>347</v>
      </c>
      <c r="B2382" s="20">
        <v>45717</v>
      </c>
      <c r="C2382" s="21">
        <v>155.4</v>
      </c>
      <c r="D2382" s="21">
        <v>156.49333333333334</v>
      </c>
      <c r="E2382" s="21">
        <v>126.91</v>
      </c>
      <c r="F2382" s="27">
        <f t="shared" si="111"/>
        <v>1.007035607035607</v>
      </c>
      <c r="G2382" s="21" t="str">
        <f>IFERROR(INDEX(Users!$A$2:$A$310,MATCH(A2382,Users!$B$2:$B$310,0)),"")</f>
        <v>Service A</v>
      </c>
      <c r="H2382" s="21" t="str">
        <f>IFERROR(INDEX(Users!$D$2:$D$310,MATCH(A2382,Users!$B$2:$B$310,0)),"")</f>
        <v>Band 3</v>
      </c>
      <c r="I2382" s="19" t="b">
        <f t="shared" si="112"/>
        <v>1</v>
      </c>
      <c r="J2382" s="33" t="str">
        <f t="shared" si="113"/>
        <v/>
      </c>
    </row>
    <row r="2383" spans="1:10">
      <c r="A2383" s="19" t="s">
        <v>347</v>
      </c>
      <c r="B2383" s="20">
        <v>45748</v>
      </c>
      <c r="C2383" s="21">
        <v>148</v>
      </c>
      <c r="D2383" s="21">
        <v>149.66666666666666</v>
      </c>
      <c r="E2383" s="21">
        <v>126.25</v>
      </c>
      <c r="F2383" s="27">
        <f t="shared" si="111"/>
        <v>1.0112612612612613</v>
      </c>
      <c r="G2383" s="21" t="str">
        <f>IFERROR(INDEX(Users!$A$2:$A$310,MATCH(A2383,Users!$B$2:$B$310,0)),"")</f>
        <v>Service A</v>
      </c>
      <c r="H2383" s="21" t="str">
        <f>IFERROR(INDEX(Users!$D$2:$D$310,MATCH(A2383,Users!$B$2:$B$310,0)),"")</f>
        <v>Band 3</v>
      </c>
      <c r="I2383" s="19" t="b">
        <f t="shared" si="112"/>
        <v>1</v>
      </c>
      <c r="J2383" s="33" t="str">
        <f t="shared" si="113"/>
        <v/>
      </c>
    </row>
    <row r="2384" spans="1:10">
      <c r="A2384" s="19" t="s">
        <v>347</v>
      </c>
      <c r="B2384" s="20">
        <v>45778</v>
      </c>
      <c r="C2384" s="21">
        <v>148</v>
      </c>
      <c r="D2384" s="21">
        <v>133.66666666666666</v>
      </c>
      <c r="E2384" s="21">
        <v>104.75</v>
      </c>
      <c r="F2384" s="27">
        <f t="shared" si="111"/>
        <v>0.90315315315315314</v>
      </c>
      <c r="G2384" s="21" t="str">
        <f>IFERROR(INDEX(Users!$A$2:$A$310,MATCH(A2384,Users!$B$2:$B$310,0)),"")</f>
        <v>Service A</v>
      </c>
      <c r="H2384" s="21" t="str">
        <f>IFERROR(INDEX(Users!$D$2:$D$310,MATCH(A2384,Users!$B$2:$B$310,0)),"")</f>
        <v>Band 3</v>
      </c>
      <c r="I2384" s="19" t="b">
        <f t="shared" si="112"/>
        <v>1</v>
      </c>
      <c r="J2384" s="33" t="str">
        <f t="shared" si="113"/>
        <v/>
      </c>
    </row>
    <row r="2385" spans="1:10">
      <c r="A2385" s="19" t="s">
        <v>347</v>
      </c>
      <c r="B2385" s="20">
        <v>45809</v>
      </c>
      <c r="C2385" s="21">
        <v>155.4</v>
      </c>
      <c r="D2385" s="21">
        <v>114.66666666666666</v>
      </c>
      <c r="E2385" s="21">
        <v>102</v>
      </c>
      <c r="F2385" s="27">
        <f t="shared" si="111"/>
        <v>0.73788073788073782</v>
      </c>
      <c r="G2385" s="21" t="str">
        <f>IFERROR(INDEX(Users!$A$2:$A$310,MATCH(A2385,Users!$B$2:$B$310,0)),"")</f>
        <v>Service A</v>
      </c>
      <c r="H2385" s="21" t="str">
        <f>IFERROR(INDEX(Users!$D$2:$D$310,MATCH(A2385,Users!$B$2:$B$310,0)),"")</f>
        <v>Band 3</v>
      </c>
      <c r="I2385" s="19" t="b">
        <f t="shared" si="112"/>
        <v>1</v>
      </c>
      <c r="J2385" s="33" t="str">
        <f t="shared" si="113"/>
        <v/>
      </c>
    </row>
    <row r="2386" spans="1:10">
      <c r="A2386" s="19" t="s">
        <v>347</v>
      </c>
      <c r="B2386" s="20">
        <v>45839</v>
      </c>
      <c r="C2386" s="21">
        <v>170.20000000000002</v>
      </c>
      <c r="D2386" s="21">
        <v>142.58333333333331</v>
      </c>
      <c r="E2386" s="21">
        <v>104</v>
      </c>
      <c r="F2386" s="27">
        <f t="shared" si="111"/>
        <v>0.83773991382687019</v>
      </c>
      <c r="G2386" s="21" t="str">
        <f>IFERROR(INDEX(Users!$A$2:$A$310,MATCH(A2386,Users!$B$2:$B$310,0)),"")</f>
        <v>Service A</v>
      </c>
      <c r="H2386" s="21" t="str">
        <f>IFERROR(INDEX(Users!$D$2:$D$310,MATCH(A2386,Users!$B$2:$B$310,0)),"")</f>
        <v>Band 3</v>
      </c>
      <c r="I2386" s="19" t="b">
        <f t="shared" si="112"/>
        <v>1</v>
      </c>
      <c r="J2386" s="33" t="str">
        <f t="shared" si="113"/>
        <v/>
      </c>
    </row>
    <row r="2387" spans="1:10">
      <c r="A2387" s="19" t="s">
        <v>347</v>
      </c>
      <c r="B2387" s="20">
        <v>45870</v>
      </c>
      <c r="C2387" s="21">
        <v>148</v>
      </c>
      <c r="D2387" s="21">
        <v>116.08333333333333</v>
      </c>
      <c r="E2387" s="21">
        <v>90.75</v>
      </c>
      <c r="F2387" s="27">
        <f t="shared" si="111"/>
        <v>0.78434684684684686</v>
      </c>
      <c r="G2387" s="21" t="str">
        <f>IFERROR(INDEX(Users!$A$2:$A$310,MATCH(A2387,Users!$B$2:$B$310,0)),"")</f>
        <v>Service A</v>
      </c>
      <c r="H2387" s="21" t="str">
        <f>IFERROR(INDEX(Users!$D$2:$D$310,MATCH(A2387,Users!$B$2:$B$310,0)),"")</f>
        <v>Band 3</v>
      </c>
      <c r="I2387" s="19" t="b">
        <f t="shared" si="112"/>
        <v>1</v>
      </c>
      <c r="J2387" s="33" t="str">
        <f t="shared" si="113"/>
        <v/>
      </c>
    </row>
    <row r="2388" spans="1:10">
      <c r="A2388" s="19" t="s">
        <v>347</v>
      </c>
      <c r="B2388" s="20">
        <v>45901</v>
      </c>
      <c r="C2388" s="21">
        <v>162.80000000000001</v>
      </c>
      <c r="D2388" s="21">
        <v>164.65333333333331</v>
      </c>
      <c r="E2388" s="21">
        <v>129.32</v>
      </c>
      <c r="F2388" s="27">
        <f t="shared" si="111"/>
        <v>1.0113841113841111</v>
      </c>
      <c r="G2388" s="21" t="str">
        <f>IFERROR(INDEX(Users!$A$2:$A$310,MATCH(A2388,Users!$B$2:$B$310,0)),"")</f>
        <v>Service A</v>
      </c>
      <c r="H2388" s="21" t="str">
        <f>IFERROR(INDEX(Users!$D$2:$D$310,MATCH(A2388,Users!$B$2:$B$310,0)),"")</f>
        <v>Band 3</v>
      </c>
      <c r="I2388" s="19" t="b">
        <f t="shared" si="112"/>
        <v>1</v>
      </c>
      <c r="J2388" s="33" t="str">
        <f t="shared" si="113"/>
        <v/>
      </c>
    </row>
    <row r="2389" spans="1:10">
      <c r="A2389" s="19" t="s">
        <v>347</v>
      </c>
      <c r="B2389" s="20">
        <v>45931</v>
      </c>
      <c r="C2389" s="21">
        <v>170.20000000000002</v>
      </c>
      <c r="D2389" s="21">
        <v>145.25</v>
      </c>
      <c r="E2389" s="21">
        <v>121.25</v>
      </c>
      <c r="F2389" s="27">
        <f t="shared" si="111"/>
        <v>0.85340775558166859</v>
      </c>
      <c r="G2389" s="21" t="str">
        <f>IFERROR(INDEX(Users!$A$2:$A$310,MATCH(A2389,Users!$B$2:$B$310,0)),"")</f>
        <v>Service A</v>
      </c>
      <c r="H2389" s="21" t="str">
        <f>IFERROR(INDEX(Users!$D$2:$D$310,MATCH(A2389,Users!$B$2:$B$310,0)),"")</f>
        <v>Band 3</v>
      </c>
      <c r="I2389" s="19" t="b">
        <f t="shared" si="112"/>
        <v>1</v>
      </c>
      <c r="J2389" s="33" t="str">
        <f t="shared" si="113"/>
        <v/>
      </c>
    </row>
    <row r="2390" spans="1:10">
      <c r="A2390" s="19" t="s">
        <v>347</v>
      </c>
      <c r="B2390" s="20">
        <v>45962</v>
      </c>
      <c r="C2390" s="21">
        <v>148</v>
      </c>
      <c r="D2390" s="21">
        <v>146.16666666666666</v>
      </c>
      <c r="E2390" s="21">
        <v>127</v>
      </c>
      <c r="F2390" s="27">
        <f t="shared" si="111"/>
        <v>0.98761261261261257</v>
      </c>
      <c r="G2390" s="21" t="str">
        <f>IFERROR(INDEX(Users!$A$2:$A$310,MATCH(A2390,Users!$B$2:$B$310,0)),"")</f>
        <v>Service A</v>
      </c>
      <c r="H2390" s="21" t="str">
        <f>IFERROR(INDEX(Users!$D$2:$D$310,MATCH(A2390,Users!$B$2:$B$310,0)),"")</f>
        <v>Band 3</v>
      </c>
      <c r="I2390" s="19" t="b">
        <f t="shared" si="112"/>
        <v>1</v>
      </c>
      <c r="J2390" s="33" t="str">
        <f t="shared" si="113"/>
        <v/>
      </c>
    </row>
    <row r="2391" spans="1:10">
      <c r="A2391" s="19" t="s">
        <v>347</v>
      </c>
      <c r="B2391" s="20">
        <v>45992</v>
      </c>
      <c r="C2391" s="21">
        <v>155.4</v>
      </c>
      <c r="D2391" s="21">
        <v>135.83333333333334</v>
      </c>
      <c r="E2391" s="21">
        <v>111.5</v>
      </c>
      <c r="F2391" s="27">
        <f t="shared" si="111"/>
        <v>0.87408837408837414</v>
      </c>
      <c r="G2391" s="21" t="str">
        <f>IFERROR(INDEX(Users!$A$2:$A$310,MATCH(A2391,Users!$B$2:$B$310,0)),"")</f>
        <v>Service A</v>
      </c>
      <c r="H2391" s="21" t="str">
        <f>IFERROR(INDEX(Users!$D$2:$D$310,MATCH(A2391,Users!$B$2:$B$310,0)),"")</f>
        <v>Band 3</v>
      </c>
      <c r="I2391" s="19" t="b">
        <f t="shared" si="112"/>
        <v>1</v>
      </c>
      <c r="J2391" s="33" t="str">
        <f t="shared" si="113"/>
        <v/>
      </c>
    </row>
    <row r="2392" spans="1:10">
      <c r="A2392" s="19" t="s">
        <v>347</v>
      </c>
      <c r="B2392" s="20">
        <v>46023</v>
      </c>
      <c r="C2392" s="21">
        <v>155.4</v>
      </c>
      <c r="D2392" s="21">
        <v>48</v>
      </c>
      <c r="E2392" s="21">
        <v>39.5</v>
      </c>
      <c r="F2392" s="27">
        <f t="shared" si="111"/>
        <v>0.30888030888030887</v>
      </c>
      <c r="G2392" s="21" t="str">
        <f>IFERROR(INDEX(Users!$A$2:$A$310,MATCH(A2392,Users!$B$2:$B$310,0)),"")</f>
        <v>Service A</v>
      </c>
      <c r="H2392" s="21" t="str">
        <f>IFERROR(INDEX(Users!$D$2:$D$310,MATCH(A2392,Users!$B$2:$B$310,0)),"")</f>
        <v>Band 3</v>
      </c>
      <c r="I2392" s="19" t="b">
        <f t="shared" si="112"/>
        <v>1</v>
      </c>
      <c r="J2392" s="33" t="str">
        <f t="shared" si="113"/>
        <v/>
      </c>
    </row>
    <row r="2393" spans="1:10">
      <c r="A2393" s="19" t="s">
        <v>348</v>
      </c>
      <c r="B2393" s="20">
        <v>45658</v>
      </c>
      <c r="C2393" s="21">
        <v>162.80000000000001</v>
      </c>
      <c r="D2393" s="21">
        <v>28.46</v>
      </c>
      <c r="E2393" s="21">
        <v>11.66</v>
      </c>
      <c r="F2393" s="27">
        <f t="shared" si="111"/>
        <v>0.1748157248157248</v>
      </c>
      <c r="G2393" s="21" t="str">
        <f>IFERROR(INDEX(Users!$A$2:$A$310,MATCH(A2393,Users!$B$2:$B$310,0)),"")</f>
        <v>Service A</v>
      </c>
      <c r="H2393" s="21" t="str">
        <f>IFERROR(INDEX(Users!$D$2:$D$310,MATCH(A2393,Users!$B$2:$B$310,0)),"")</f>
        <v>Band 3</v>
      </c>
      <c r="I2393" s="19" t="b">
        <f t="shared" si="112"/>
        <v>1</v>
      </c>
      <c r="J2393" s="33" t="str">
        <f t="shared" si="113"/>
        <v/>
      </c>
    </row>
    <row r="2394" spans="1:10">
      <c r="A2394" s="19" t="s">
        <v>348</v>
      </c>
      <c r="B2394" s="20">
        <v>45689</v>
      </c>
      <c r="C2394" s="21">
        <v>148</v>
      </c>
      <c r="D2394" s="21">
        <v>142.59</v>
      </c>
      <c r="E2394" s="21">
        <v>111.08999999999999</v>
      </c>
      <c r="F2394" s="27">
        <f t="shared" si="111"/>
        <v>0.96344594594594601</v>
      </c>
      <c r="G2394" s="21" t="str">
        <f>IFERROR(INDEX(Users!$A$2:$A$310,MATCH(A2394,Users!$B$2:$B$310,0)),"")</f>
        <v>Service A</v>
      </c>
      <c r="H2394" s="21" t="str">
        <f>IFERROR(INDEX(Users!$D$2:$D$310,MATCH(A2394,Users!$B$2:$B$310,0)),"")</f>
        <v>Band 3</v>
      </c>
      <c r="I2394" s="19" t="b">
        <f t="shared" si="112"/>
        <v>1</v>
      </c>
      <c r="J2394" s="33" t="str">
        <f t="shared" si="113"/>
        <v/>
      </c>
    </row>
    <row r="2395" spans="1:10">
      <c r="A2395" s="19" t="s">
        <v>348</v>
      </c>
      <c r="B2395" s="20">
        <v>45717</v>
      </c>
      <c r="C2395" s="21">
        <v>155.4</v>
      </c>
      <c r="D2395" s="21">
        <v>148.16</v>
      </c>
      <c r="E2395" s="21">
        <v>104.16</v>
      </c>
      <c r="F2395" s="27">
        <f t="shared" si="111"/>
        <v>0.95341055341055336</v>
      </c>
      <c r="G2395" s="21" t="str">
        <f>IFERROR(INDEX(Users!$A$2:$A$310,MATCH(A2395,Users!$B$2:$B$310,0)),"")</f>
        <v>Service A</v>
      </c>
      <c r="H2395" s="21" t="str">
        <f>IFERROR(INDEX(Users!$D$2:$D$310,MATCH(A2395,Users!$B$2:$B$310,0)),"")</f>
        <v>Band 3</v>
      </c>
      <c r="I2395" s="19" t="b">
        <f t="shared" si="112"/>
        <v>1</v>
      </c>
      <c r="J2395" s="33" t="str">
        <f t="shared" si="113"/>
        <v/>
      </c>
    </row>
    <row r="2396" spans="1:10">
      <c r="A2396" s="19" t="s">
        <v>348</v>
      </c>
      <c r="B2396" s="20">
        <v>45748</v>
      </c>
      <c r="C2396" s="21">
        <v>148</v>
      </c>
      <c r="D2396" s="21">
        <v>141.82666666666665</v>
      </c>
      <c r="E2396" s="21">
        <v>102.66</v>
      </c>
      <c r="F2396" s="27">
        <f t="shared" si="111"/>
        <v>0.95828828828828816</v>
      </c>
      <c r="G2396" s="21" t="str">
        <f>IFERROR(INDEX(Users!$A$2:$A$310,MATCH(A2396,Users!$B$2:$B$310,0)),"")</f>
        <v>Service A</v>
      </c>
      <c r="H2396" s="21" t="str">
        <f>IFERROR(INDEX(Users!$D$2:$D$310,MATCH(A2396,Users!$B$2:$B$310,0)),"")</f>
        <v>Band 3</v>
      </c>
      <c r="I2396" s="19" t="b">
        <f t="shared" si="112"/>
        <v>1</v>
      </c>
      <c r="J2396" s="33" t="str">
        <f t="shared" si="113"/>
        <v/>
      </c>
    </row>
    <row r="2397" spans="1:10">
      <c r="A2397" s="19" t="s">
        <v>348</v>
      </c>
      <c r="B2397" s="20">
        <v>45778</v>
      </c>
      <c r="C2397" s="21">
        <v>148</v>
      </c>
      <c r="D2397" s="21">
        <v>148.85333333333332</v>
      </c>
      <c r="E2397" s="21">
        <v>102.77000000000001</v>
      </c>
      <c r="F2397" s="27">
        <f t="shared" si="111"/>
        <v>1.0057657657657657</v>
      </c>
      <c r="G2397" s="21" t="str">
        <f>IFERROR(INDEX(Users!$A$2:$A$310,MATCH(A2397,Users!$B$2:$B$310,0)),"")</f>
        <v>Service A</v>
      </c>
      <c r="H2397" s="21" t="str">
        <f>IFERROR(INDEX(Users!$D$2:$D$310,MATCH(A2397,Users!$B$2:$B$310,0)),"")</f>
        <v>Band 3</v>
      </c>
      <c r="I2397" s="19" t="b">
        <f t="shared" si="112"/>
        <v>1</v>
      </c>
      <c r="J2397" s="33" t="str">
        <f t="shared" si="113"/>
        <v/>
      </c>
    </row>
    <row r="2398" spans="1:10">
      <c r="A2398" s="19" t="s">
        <v>348</v>
      </c>
      <c r="B2398" s="20">
        <v>45809</v>
      </c>
      <c r="C2398" s="21">
        <v>155.4</v>
      </c>
      <c r="D2398" s="21">
        <v>154.75333333333333</v>
      </c>
      <c r="E2398" s="21">
        <v>124.42</v>
      </c>
      <c r="F2398" s="27">
        <f t="shared" si="111"/>
        <v>0.99583869583869578</v>
      </c>
      <c r="G2398" s="21" t="str">
        <f>IFERROR(INDEX(Users!$A$2:$A$310,MATCH(A2398,Users!$B$2:$B$310,0)),"")</f>
        <v>Service A</v>
      </c>
      <c r="H2398" s="21" t="str">
        <f>IFERROR(INDEX(Users!$D$2:$D$310,MATCH(A2398,Users!$B$2:$B$310,0)),"")</f>
        <v>Band 3</v>
      </c>
      <c r="I2398" s="19" t="b">
        <f t="shared" si="112"/>
        <v>1</v>
      </c>
      <c r="J2398" s="33" t="str">
        <f t="shared" si="113"/>
        <v/>
      </c>
    </row>
    <row r="2399" spans="1:10">
      <c r="A2399" s="19" t="s">
        <v>348</v>
      </c>
      <c r="B2399" s="20">
        <v>45839</v>
      </c>
      <c r="C2399" s="21">
        <v>170.20000000000002</v>
      </c>
      <c r="D2399" s="21">
        <v>174.91333333333333</v>
      </c>
      <c r="E2399" s="21">
        <v>132.33000000000001</v>
      </c>
      <c r="F2399" s="27">
        <f t="shared" si="111"/>
        <v>1.0276929103016059</v>
      </c>
      <c r="G2399" s="21" t="str">
        <f>IFERROR(INDEX(Users!$A$2:$A$310,MATCH(A2399,Users!$B$2:$B$310,0)),"")</f>
        <v>Service A</v>
      </c>
      <c r="H2399" s="21" t="str">
        <f>IFERROR(INDEX(Users!$D$2:$D$310,MATCH(A2399,Users!$B$2:$B$310,0)),"")</f>
        <v>Band 3</v>
      </c>
      <c r="I2399" s="19" t="b">
        <f t="shared" si="112"/>
        <v>1</v>
      </c>
      <c r="J2399" s="33" t="str">
        <f t="shared" si="113"/>
        <v/>
      </c>
    </row>
    <row r="2400" spans="1:10">
      <c r="A2400" s="19" t="s">
        <v>348</v>
      </c>
      <c r="B2400" s="20">
        <v>45870</v>
      </c>
      <c r="C2400" s="21">
        <v>148</v>
      </c>
      <c r="D2400" s="21">
        <v>146.84</v>
      </c>
      <c r="E2400" s="21">
        <v>99.84</v>
      </c>
      <c r="F2400" s="27">
        <f t="shared" si="111"/>
        <v>0.99216216216216213</v>
      </c>
      <c r="G2400" s="21" t="str">
        <f>IFERROR(INDEX(Users!$A$2:$A$310,MATCH(A2400,Users!$B$2:$B$310,0)),"")</f>
        <v>Service A</v>
      </c>
      <c r="H2400" s="21" t="str">
        <f>IFERROR(INDEX(Users!$D$2:$D$310,MATCH(A2400,Users!$B$2:$B$310,0)),"")</f>
        <v>Band 3</v>
      </c>
      <c r="I2400" s="19" t="b">
        <f t="shared" si="112"/>
        <v>1</v>
      </c>
      <c r="J2400" s="33" t="str">
        <f t="shared" si="113"/>
        <v/>
      </c>
    </row>
    <row r="2401" spans="1:10">
      <c r="A2401" s="19" t="s">
        <v>348</v>
      </c>
      <c r="B2401" s="20">
        <v>45901</v>
      </c>
      <c r="C2401" s="21">
        <v>162.80000000000001</v>
      </c>
      <c r="D2401" s="21">
        <v>169.50666666666666</v>
      </c>
      <c r="E2401" s="21">
        <v>118.34</v>
      </c>
      <c r="F2401" s="27">
        <f t="shared" si="111"/>
        <v>1.0411957411957411</v>
      </c>
      <c r="G2401" s="21" t="str">
        <f>IFERROR(INDEX(Users!$A$2:$A$310,MATCH(A2401,Users!$B$2:$B$310,0)),"")</f>
        <v>Service A</v>
      </c>
      <c r="H2401" s="21" t="str">
        <f>IFERROR(INDEX(Users!$D$2:$D$310,MATCH(A2401,Users!$B$2:$B$310,0)),"")</f>
        <v>Band 3</v>
      </c>
      <c r="I2401" s="19" t="b">
        <f t="shared" si="112"/>
        <v>1</v>
      </c>
      <c r="J2401" s="33" t="str">
        <f t="shared" si="113"/>
        <v/>
      </c>
    </row>
    <row r="2402" spans="1:10">
      <c r="A2402" s="19" t="s">
        <v>348</v>
      </c>
      <c r="B2402" s="20">
        <v>45931</v>
      </c>
      <c r="C2402" s="21">
        <v>140.6</v>
      </c>
      <c r="D2402" s="21">
        <v>130.49666666666667</v>
      </c>
      <c r="E2402" s="21">
        <v>91.08</v>
      </c>
      <c r="F2402" s="27">
        <f t="shared" si="111"/>
        <v>0.92814129919393085</v>
      </c>
      <c r="G2402" s="21" t="str">
        <f>IFERROR(INDEX(Users!$A$2:$A$310,MATCH(A2402,Users!$B$2:$B$310,0)),"")</f>
        <v>Service A</v>
      </c>
      <c r="H2402" s="21" t="str">
        <f>IFERROR(INDEX(Users!$D$2:$D$310,MATCH(A2402,Users!$B$2:$B$310,0)),"")</f>
        <v>Band 3</v>
      </c>
      <c r="I2402" s="19" t="b">
        <f t="shared" si="112"/>
        <v>1</v>
      </c>
      <c r="J2402" s="33" t="str">
        <f t="shared" si="113"/>
        <v/>
      </c>
    </row>
    <row r="2403" spans="1:10">
      <c r="A2403" s="19" t="s">
        <v>349</v>
      </c>
      <c r="B2403" s="20">
        <v>45658</v>
      </c>
      <c r="C2403" s="21">
        <v>162.80000000000001</v>
      </c>
      <c r="D2403" s="21">
        <v>134.25</v>
      </c>
      <c r="E2403" s="21">
        <v>73</v>
      </c>
      <c r="F2403" s="27">
        <f t="shared" si="111"/>
        <v>0.82463144963144952</v>
      </c>
      <c r="G2403" s="21" t="str">
        <f>IFERROR(INDEX(Users!$A$2:$A$310,MATCH(A2403,Users!$B$2:$B$310,0)),"")</f>
        <v>Service D</v>
      </c>
      <c r="H2403" s="21" t="str">
        <f>IFERROR(INDEX(Users!$D$2:$D$310,MATCH(A2403,Users!$B$2:$B$310,0)),"")</f>
        <v>Band 3</v>
      </c>
      <c r="I2403" s="19" t="b">
        <f t="shared" si="112"/>
        <v>0</v>
      </c>
      <c r="J2403" s="33" t="str">
        <f t="shared" si="113"/>
        <v/>
      </c>
    </row>
    <row r="2404" spans="1:10">
      <c r="A2404" s="19" t="s">
        <v>349</v>
      </c>
      <c r="B2404" s="20">
        <v>45689</v>
      </c>
      <c r="C2404" s="21">
        <v>148</v>
      </c>
      <c r="D2404" s="21">
        <v>117.75</v>
      </c>
      <c r="E2404" s="21">
        <v>17.5</v>
      </c>
      <c r="F2404" s="27">
        <f t="shared" si="111"/>
        <v>0.79560810810810811</v>
      </c>
      <c r="G2404" s="21" t="str">
        <f>IFERROR(INDEX(Users!$A$2:$A$310,MATCH(A2404,Users!$B$2:$B$310,0)),"")</f>
        <v>Service D</v>
      </c>
      <c r="H2404" s="21" t="str">
        <f>IFERROR(INDEX(Users!$D$2:$D$310,MATCH(A2404,Users!$B$2:$B$310,0)),"")</f>
        <v>Band 3</v>
      </c>
      <c r="I2404" s="19" t="b">
        <f t="shared" si="112"/>
        <v>0</v>
      </c>
      <c r="J2404" s="33" t="str">
        <f t="shared" si="113"/>
        <v/>
      </c>
    </row>
    <row r="2405" spans="1:10">
      <c r="A2405" s="19" t="s">
        <v>349</v>
      </c>
      <c r="B2405" s="20">
        <v>45717</v>
      </c>
      <c r="C2405" s="21">
        <v>155.4</v>
      </c>
      <c r="D2405" s="21">
        <v>72.416666666666657</v>
      </c>
      <c r="E2405" s="21">
        <v>31</v>
      </c>
      <c r="F2405" s="27">
        <f t="shared" si="111"/>
        <v>0.46600171600171592</v>
      </c>
      <c r="G2405" s="21" t="str">
        <f>IFERROR(INDEX(Users!$A$2:$A$310,MATCH(A2405,Users!$B$2:$B$310,0)),"")</f>
        <v>Service D</v>
      </c>
      <c r="H2405" s="21" t="str">
        <f>IFERROR(INDEX(Users!$D$2:$D$310,MATCH(A2405,Users!$B$2:$B$310,0)),"")</f>
        <v>Band 3</v>
      </c>
      <c r="I2405" s="19" t="b">
        <f t="shared" si="112"/>
        <v>0</v>
      </c>
      <c r="J2405" s="33" t="str">
        <f t="shared" si="113"/>
        <v/>
      </c>
    </row>
    <row r="2406" spans="1:10">
      <c r="A2406" s="19" t="s">
        <v>349</v>
      </c>
      <c r="B2406" s="20">
        <v>45748</v>
      </c>
      <c r="C2406" s="21">
        <v>59.2</v>
      </c>
      <c r="D2406" s="21">
        <v>14.25</v>
      </c>
      <c r="E2406" s="21">
        <v>7</v>
      </c>
      <c r="F2406" s="27">
        <f t="shared" si="111"/>
        <v>0.24070945945945946</v>
      </c>
      <c r="G2406" s="21" t="str">
        <f>IFERROR(INDEX(Users!$A$2:$A$310,MATCH(A2406,Users!$B$2:$B$310,0)),"")</f>
        <v>Service D</v>
      </c>
      <c r="H2406" s="21" t="str">
        <f>IFERROR(INDEX(Users!$D$2:$D$310,MATCH(A2406,Users!$B$2:$B$310,0)),"")</f>
        <v>Band 3</v>
      </c>
      <c r="I2406" s="19" t="b">
        <f t="shared" si="112"/>
        <v>0</v>
      </c>
      <c r="J2406" s="33" t="str">
        <f t="shared" si="113"/>
        <v/>
      </c>
    </row>
    <row r="2407" spans="1:10">
      <c r="A2407" s="19" t="s">
        <v>351</v>
      </c>
      <c r="B2407" s="20">
        <v>45658</v>
      </c>
      <c r="C2407" s="21">
        <v>162.80000000000001</v>
      </c>
      <c r="D2407" s="21">
        <v>129.27611111111111</v>
      </c>
      <c r="E2407" s="21">
        <v>94.39</v>
      </c>
      <c r="F2407" s="27">
        <f t="shared" si="111"/>
        <v>0.79407930657930648</v>
      </c>
      <c r="G2407" s="21" t="str">
        <f>IFERROR(INDEX(Users!$A$2:$A$310,MATCH(A2407,Users!$B$2:$B$310,0)),"")</f>
        <v>Service A</v>
      </c>
      <c r="H2407" s="21" t="str">
        <f>IFERROR(INDEX(Users!$D$2:$D$310,MATCH(A2407,Users!$B$2:$B$310,0)),"")</f>
        <v>Band 3</v>
      </c>
      <c r="I2407" s="19" t="b">
        <f t="shared" si="112"/>
        <v>1</v>
      </c>
      <c r="J2407" s="33" t="str">
        <f t="shared" si="113"/>
        <v/>
      </c>
    </row>
    <row r="2408" spans="1:10">
      <c r="A2408" s="19" t="s">
        <v>351</v>
      </c>
      <c r="B2408" s="20">
        <v>45689</v>
      </c>
      <c r="C2408" s="21">
        <v>148</v>
      </c>
      <c r="D2408" s="21">
        <v>112.74111111111111</v>
      </c>
      <c r="E2408" s="21">
        <v>58.850000000000023</v>
      </c>
      <c r="F2408" s="27">
        <f t="shared" si="111"/>
        <v>0.76176426426426425</v>
      </c>
      <c r="G2408" s="21" t="str">
        <f>IFERROR(INDEX(Users!$A$2:$A$310,MATCH(A2408,Users!$B$2:$B$310,0)),"")</f>
        <v>Service A</v>
      </c>
      <c r="H2408" s="21" t="str">
        <f>IFERROR(INDEX(Users!$D$2:$D$310,MATCH(A2408,Users!$B$2:$B$310,0)),"")</f>
        <v>Band 3</v>
      </c>
      <c r="I2408" s="19" t="b">
        <f t="shared" si="112"/>
        <v>1</v>
      </c>
      <c r="J2408" s="33" t="str">
        <f t="shared" si="113"/>
        <v/>
      </c>
    </row>
    <row r="2409" spans="1:10">
      <c r="A2409" s="19" t="s">
        <v>351</v>
      </c>
      <c r="B2409" s="20">
        <v>45717</v>
      </c>
      <c r="C2409" s="21">
        <v>155.4</v>
      </c>
      <c r="D2409" s="21">
        <v>127.66166666666666</v>
      </c>
      <c r="E2409" s="21">
        <v>82.539999999999992</v>
      </c>
      <c r="F2409" s="27">
        <f t="shared" si="111"/>
        <v>0.82150364650364649</v>
      </c>
      <c r="G2409" s="21" t="str">
        <f>IFERROR(INDEX(Users!$A$2:$A$310,MATCH(A2409,Users!$B$2:$B$310,0)),"")</f>
        <v>Service A</v>
      </c>
      <c r="H2409" s="21" t="str">
        <f>IFERROR(INDEX(Users!$D$2:$D$310,MATCH(A2409,Users!$B$2:$B$310,0)),"")</f>
        <v>Band 3</v>
      </c>
      <c r="I2409" s="19" t="b">
        <f t="shared" si="112"/>
        <v>1</v>
      </c>
      <c r="J2409" s="33" t="str">
        <f t="shared" si="113"/>
        <v/>
      </c>
    </row>
    <row r="2410" spans="1:10">
      <c r="A2410" s="19" t="s">
        <v>351</v>
      </c>
      <c r="B2410" s="20">
        <v>45748</v>
      </c>
      <c r="C2410" s="21">
        <v>148</v>
      </c>
      <c r="D2410" s="21">
        <v>110.8125</v>
      </c>
      <c r="E2410" s="21">
        <v>50.559999999999995</v>
      </c>
      <c r="F2410" s="27">
        <f t="shared" si="111"/>
        <v>0.74873310810810811</v>
      </c>
      <c r="G2410" s="21" t="str">
        <f>IFERROR(INDEX(Users!$A$2:$A$310,MATCH(A2410,Users!$B$2:$B$310,0)),"")</f>
        <v>Service A</v>
      </c>
      <c r="H2410" s="21" t="str">
        <f>IFERROR(INDEX(Users!$D$2:$D$310,MATCH(A2410,Users!$B$2:$B$310,0)),"")</f>
        <v>Band 3</v>
      </c>
      <c r="I2410" s="19" t="b">
        <f t="shared" si="112"/>
        <v>1</v>
      </c>
      <c r="J2410" s="33" t="str">
        <f t="shared" si="113"/>
        <v/>
      </c>
    </row>
    <row r="2411" spans="1:10">
      <c r="A2411" s="19" t="s">
        <v>351</v>
      </c>
      <c r="B2411" s="20">
        <v>45778</v>
      </c>
      <c r="C2411" s="21">
        <v>148</v>
      </c>
      <c r="D2411" s="21">
        <v>131.47527777777776</v>
      </c>
      <c r="E2411" s="21">
        <v>83.569999999999979</v>
      </c>
      <c r="F2411" s="27">
        <f t="shared" si="111"/>
        <v>0.88834647147147139</v>
      </c>
      <c r="G2411" s="21" t="str">
        <f>IFERROR(INDEX(Users!$A$2:$A$310,MATCH(A2411,Users!$B$2:$B$310,0)),"")</f>
        <v>Service A</v>
      </c>
      <c r="H2411" s="21" t="str">
        <f>IFERROR(INDEX(Users!$D$2:$D$310,MATCH(A2411,Users!$B$2:$B$310,0)),"")</f>
        <v>Band 3</v>
      </c>
      <c r="I2411" s="19" t="b">
        <f t="shared" si="112"/>
        <v>1</v>
      </c>
      <c r="J2411" s="33" t="str">
        <f t="shared" si="113"/>
        <v/>
      </c>
    </row>
    <row r="2412" spans="1:10">
      <c r="A2412" s="19" t="s">
        <v>351</v>
      </c>
      <c r="B2412" s="20">
        <v>45809</v>
      </c>
      <c r="C2412" s="21">
        <v>155.4</v>
      </c>
      <c r="D2412" s="21">
        <v>78.440000000000026</v>
      </c>
      <c r="E2412" s="21">
        <v>34.720000000000013</v>
      </c>
      <c r="F2412" s="27">
        <f t="shared" si="111"/>
        <v>0.50476190476190497</v>
      </c>
      <c r="G2412" s="21" t="str">
        <f>IFERROR(INDEX(Users!$A$2:$A$310,MATCH(A2412,Users!$B$2:$B$310,0)),"")</f>
        <v>Service A</v>
      </c>
      <c r="H2412" s="21" t="str">
        <f>IFERROR(INDEX(Users!$D$2:$D$310,MATCH(A2412,Users!$B$2:$B$310,0)),"")</f>
        <v>Band 3</v>
      </c>
      <c r="I2412" s="19" t="b">
        <f t="shared" si="112"/>
        <v>1</v>
      </c>
      <c r="J2412" s="33" t="str">
        <f t="shared" si="113"/>
        <v/>
      </c>
    </row>
    <row r="2413" spans="1:10">
      <c r="A2413" s="19" t="s">
        <v>351</v>
      </c>
      <c r="B2413" s="20">
        <v>45839</v>
      </c>
      <c r="C2413" s="21">
        <v>170.20000000000002</v>
      </c>
      <c r="D2413" s="21">
        <v>113.02250000000001</v>
      </c>
      <c r="E2413" s="21">
        <v>64.94</v>
      </c>
      <c r="F2413" s="27">
        <f t="shared" si="111"/>
        <v>0.66405699177438304</v>
      </c>
      <c r="G2413" s="21" t="str">
        <f>IFERROR(INDEX(Users!$A$2:$A$310,MATCH(A2413,Users!$B$2:$B$310,0)),"")</f>
        <v>Service A</v>
      </c>
      <c r="H2413" s="21" t="str">
        <f>IFERROR(INDEX(Users!$D$2:$D$310,MATCH(A2413,Users!$B$2:$B$310,0)),"")</f>
        <v>Band 3</v>
      </c>
      <c r="I2413" s="19" t="b">
        <f t="shared" si="112"/>
        <v>1</v>
      </c>
      <c r="J2413" s="33" t="str">
        <f t="shared" si="113"/>
        <v/>
      </c>
    </row>
    <row r="2414" spans="1:10">
      <c r="A2414" s="19" t="s">
        <v>351</v>
      </c>
      <c r="B2414" s="20">
        <v>45870</v>
      </c>
      <c r="C2414" s="21">
        <v>148</v>
      </c>
      <c r="D2414" s="21">
        <v>135.02333333333334</v>
      </c>
      <c r="E2414" s="21">
        <v>76.11999999999999</v>
      </c>
      <c r="F2414" s="27">
        <f t="shared" si="111"/>
        <v>0.91231981981981991</v>
      </c>
      <c r="G2414" s="21" t="str">
        <f>IFERROR(INDEX(Users!$A$2:$A$310,MATCH(A2414,Users!$B$2:$B$310,0)),"")</f>
        <v>Service A</v>
      </c>
      <c r="H2414" s="21" t="str">
        <f>IFERROR(INDEX(Users!$D$2:$D$310,MATCH(A2414,Users!$B$2:$B$310,0)),"")</f>
        <v>Band 3</v>
      </c>
      <c r="I2414" s="19" t="b">
        <f t="shared" si="112"/>
        <v>1</v>
      </c>
      <c r="J2414" s="33" t="str">
        <f t="shared" si="113"/>
        <v/>
      </c>
    </row>
    <row r="2415" spans="1:10">
      <c r="A2415" s="19" t="s">
        <v>351</v>
      </c>
      <c r="B2415" s="20">
        <v>45901</v>
      </c>
      <c r="C2415" s="21">
        <v>162.80000000000001</v>
      </c>
      <c r="D2415" s="21">
        <v>65.211944444444455</v>
      </c>
      <c r="E2415" s="21">
        <v>40.45000000000001</v>
      </c>
      <c r="F2415" s="27">
        <f t="shared" si="111"/>
        <v>0.40056476931476936</v>
      </c>
      <c r="G2415" s="21" t="str">
        <f>IFERROR(INDEX(Users!$A$2:$A$310,MATCH(A2415,Users!$B$2:$B$310,0)),"")</f>
        <v>Service A</v>
      </c>
      <c r="H2415" s="21" t="str">
        <f>IFERROR(INDEX(Users!$D$2:$D$310,MATCH(A2415,Users!$B$2:$B$310,0)),"")</f>
        <v>Band 3</v>
      </c>
      <c r="I2415" s="19" t="b">
        <f t="shared" si="112"/>
        <v>1</v>
      </c>
      <c r="J2415" s="33" t="str">
        <f t="shared" si="113"/>
        <v/>
      </c>
    </row>
    <row r="2416" spans="1:10">
      <c r="A2416" s="19" t="s">
        <v>351</v>
      </c>
      <c r="B2416" s="20">
        <v>45931</v>
      </c>
      <c r="C2416" s="21">
        <v>170.20000000000002</v>
      </c>
      <c r="D2416" s="21">
        <v>139.16027777777776</v>
      </c>
      <c r="E2416" s="21">
        <v>49.810000000000009</v>
      </c>
      <c r="F2416" s="27">
        <f t="shared" si="111"/>
        <v>0.81762795404099731</v>
      </c>
      <c r="G2416" s="21" t="str">
        <f>IFERROR(INDEX(Users!$A$2:$A$310,MATCH(A2416,Users!$B$2:$B$310,0)),"")</f>
        <v>Service A</v>
      </c>
      <c r="H2416" s="21" t="str">
        <f>IFERROR(INDEX(Users!$D$2:$D$310,MATCH(A2416,Users!$B$2:$B$310,0)),"")</f>
        <v>Band 3</v>
      </c>
      <c r="I2416" s="19" t="b">
        <f t="shared" si="112"/>
        <v>1</v>
      </c>
      <c r="J2416" s="33" t="str">
        <f t="shared" si="113"/>
        <v/>
      </c>
    </row>
    <row r="2417" spans="1:10">
      <c r="A2417" s="19" t="s">
        <v>351</v>
      </c>
      <c r="B2417" s="20">
        <v>45962</v>
      </c>
      <c r="C2417" s="21">
        <v>148</v>
      </c>
      <c r="D2417" s="21">
        <v>122.72222222222223</v>
      </c>
      <c r="E2417" s="21">
        <v>60.92</v>
      </c>
      <c r="F2417" s="27">
        <f t="shared" si="111"/>
        <v>0.82920420420420426</v>
      </c>
      <c r="G2417" s="21" t="str">
        <f>IFERROR(INDEX(Users!$A$2:$A$310,MATCH(A2417,Users!$B$2:$B$310,0)),"")</f>
        <v>Service A</v>
      </c>
      <c r="H2417" s="21" t="str">
        <f>IFERROR(INDEX(Users!$D$2:$D$310,MATCH(A2417,Users!$B$2:$B$310,0)),"")</f>
        <v>Band 3</v>
      </c>
      <c r="I2417" s="19" t="b">
        <f t="shared" si="112"/>
        <v>1</v>
      </c>
      <c r="J2417" s="33" t="str">
        <f t="shared" si="113"/>
        <v/>
      </c>
    </row>
    <row r="2418" spans="1:10">
      <c r="A2418" s="19" t="s">
        <v>351</v>
      </c>
      <c r="B2418" s="20">
        <v>45992</v>
      </c>
      <c r="C2418" s="21">
        <v>155.4</v>
      </c>
      <c r="D2418" s="21">
        <v>92.95638888888891</v>
      </c>
      <c r="E2418" s="21">
        <v>19.78</v>
      </c>
      <c r="F2418" s="27">
        <f t="shared" si="111"/>
        <v>0.59817496067496079</v>
      </c>
      <c r="G2418" s="21" t="str">
        <f>IFERROR(INDEX(Users!$A$2:$A$310,MATCH(A2418,Users!$B$2:$B$310,0)),"")</f>
        <v>Service A</v>
      </c>
      <c r="H2418" s="21" t="str">
        <f>IFERROR(INDEX(Users!$D$2:$D$310,MATCH(A2418,Users!$B$2:$B$310,0)),"")</f>
        <v>Band 3</v>
      </c>
      <c r="I2418" s="19" t="b">
        <f t="shared" si="112"/>
        <v>1</v>
      </c>
      <c r="J2418" s="33" t="str">
        <f t="shared" si="113"/>
        <v/>
      </c>
    </row>
    <row r="2419" spans="1:10">
      <c r="A2419" s="19" t="s">
        <v>351</v>
      </c>
      <c r="B2419" s="20">
        <v>46023</v>
      </c>
      <c r="C2419" s="21">
        <v>155.4</v>
      </c>
      <c r="D2419" s="21">
        <v>1.0002777777777776</v>
      </c>
      <c r="E2419" s="21"/>
      <c r="F2419" s="27">
        <f t="shared" si="111"/>
        <v>6.4367939367939355E-3</v>
      </c>
      <c r="G2419" s="21" t="str">
        <f>IFERROR(INDEX(Users!$A$2:$A$310,MATCH(A2419,Users!$B$2:$B$310,0)),"")</f>
        <v>Service A</v>
      </c>
      <c r="H2419" s="21" t="str">
        <f>IFERROR(INDEX(Users!$D$2:$D$310,MATCH(A2419,Users!$B$2:$B$310,0)),"")</f>
        <v>Band 3</v>
      </c>
      <c r="I2419" s="19" t="b">
        <f t="shared" si="112"/>
        <v>1</v>
      </c>
      <c r="J2419" s="33" t="str">
        <f t="shared" si="113"/>
        <v/>
      </c>
    </row>
    <row r="2420" spans="1:10">
      <c r="A2420" s="19" t="s">
        <v>352</v>
      </c>
      <c r="B2420" s="20">
        <v>45658</v>
      </c>
      <c r="C2420" s="21">
        <v>162.80000000000001</v>
      </c>
      <c r="D2420" s="21">
        <v>157.62333333333333</v>
      </c>
      <c r="E2420" s="21">
        <v>41.84</v>
      </c>
      <c r="F2420" s="27">
        <f t="shared" si="111"/>
        <v>0.96820229320229312</v>
      </c>
      <c r="G2420" s="21" t="str">
        <f>IFERROR(INDEX(Users!$A$2:$A$310,MATCH(A2420,Users!$B$2:$B$310,0)),"")</f>
        <v>Service A</v>
      </c>
      <c r="H2420" s="21" t="str">
        <f>IFERROR(INDEX(Users!$D$2:$D$310,MATCH(A2420,Users!$B$2:$B$310,0)),"")</f>
        <v>Band 5</v>
      </c>
      <c r="I2420" s="19" t="b">
        <f t="shared" si="112"/>
        <v>0</v>
      </c>
      <c r="J2420" s="33" t="str">
        <f t="shared" si="113"/>
        <v/>
      </c>
    </row>
    <row r="2421" spans="1:10">
      <c r="A2421" s="19" t="s">
        <v>352</v>
      </c>
      <c r="B2421" s="20">
        <v>45689</v>
      </c>
      <c r="C2421" s="21">
        <v>148</v>
      </c>
      <c r="D2421" s="21">
        <v>136.07999999999998</v>
      </c>
      <c r="E2421" s="21">
        <v>29.58</v>
      </c>
      <c r="F2421" s="27">
        <f t="shared" si="111"/>
        <v>0.91945945945945939</v>
      </c>
      <c r="G2421" s="21" t="str">
        <f>IFERROR(INDEX(Users!$A$2:$A$310,MATCH(A2421,Users!$B$2:$B$310,0)),"")</f>
        <v>Service A</v>
      </c>
      <c r="H2421" s="21" t="str">
        <f>IFERROR(INDEX(Users!$D$2:$D$310,MATCH(A2421,Users!$B$2:$B$310,0)),"")</f>
        <v>Band 5</v>
      </c>
      <c r="I2421" s="19" t="b">
        <f t="shared" si="112"/>
        <v>0</v>
      </c>
      <c r="J2421" s="33" t="str">
        <f t="shared" si="113"/>
        <v/>
      </c>
    </row>
    <row r="2422" spans="1:10">
      <c r="A2422" s="19" t="s">
        <v>352</v>
      </c>
      <c r="B2422" s="20">
        <v>45717</v>
      </c>
      <c r="C2422" s="21">
        <v>155.4</v>
      </c>
      <c r="D2422" s="21">
        <v>156.17666666666668</v>
      </c>
      <c r="E2422" s="21">
        <v>55.410000000000004</v>
      </c>
      <c r="F2422" s="27">
        <f t="shared" si="111"/>
        <v>1.0049978549978551</v>
      </c>
      <c r="G2422" s="21" t="str">
        <f>IFERROR(INDEX(Users!$A$2:$A$310,MATCH(A2422,Users!$B$2:$B$310,0)),"")</f>
        <v>Service A</v>
      </c>
      <c r="H2422" s="21" t="str">
        <f>IFERROR(INDEX(Users!$D$2:$D$310,MATCH(A2422,Users!$B$2:$B$310,0)),"")</f>
        <v>Band 5</v>
      </c>
      <c r="I2422" s="19" t="b">
        <f t="shared" si="112"/>
        <v>0</v>
      </c>
      <c r="J2422" s="33" t="str">
        <f t="shared" si="113"/>
        <v/>
      </c>
    </row>
    <row r="2423" spans="1:10">
      <c r="A2423" s="19" t="s">
        <v>352</v>
      </c>
      <c r="B2423" s="20">
        <v>45748</v>
      </c>
      <c r="C2423" s="21">
        <v>148</v>
      </c>
      <c r="D2423" s="21">
        <v>91.24666666666667</v>
      </c>
      <c r="E2423" s="21">
        <v>23.63</v>
      </c>
      <c r="F2423" s="27">
        <f t="shared" si="111"/>
        <v>0.61653153153153151</v>
      </c>
      <c r="G2423" s="21" t="str">
        <f>IFERROR(INDEX(Users!$A$2:$A$310,MATCH(A2423,Users!$B$2:$B$310,0)),"")</f>
        <v>Service A</v>
      </c>
      <c r="H2423" s="21" t="str">
        <f>IFERROR(INDEX(Users!$D$2:$D$310,MATCH(A2423,Users!$B$2:$B$310,0)),"")</f>
        <v>Band 5</v>
      </c>
      <c r="I2423" s="19" t="b">
        <f t="shared" si="112"/>
        <v>0</v>
      </c>
      <c r="J2423" s="33" t="str">
        <f t="shared" si="113"/>
        <v/>
      </c>
    </row>
    <row r="2424" spans="1:10">
      <c r="A2424" s="19" t="s">
        <v>352</v>
      </c>
      <c r="B2424" s="20">
        <v>45778</v>
      </c>
      <c r="C2424" s="21">
        <v>148</v>
      </c>
      <c r="D2424" s="21">
        <v>152.10333333333335</v>
      </c>
      <c r="E2424" s="21">
        <v>85.17</v>
      </c>
      <c r="F2424" s="27">
        <f t="shared" si="111"/>
        <v>1.0277252252252254</v>
      </c>
      <c r="G2424" s="21" t="str">
        <f>IFERROR(INDEX(Users!$A$2:$A$310,MATCH(A2424,Users!$B$2:$B$310,0)),"")</f>
        <v>Service A</v>
      </c>
      <c r="H2424" s="21" t="str">
        <f>IFERROR(INDEX(Users!$D$2:$D$310,MATCH(A2424,Users!$B$2:$B$310,0)),"")</f>
        <v>Band 5</v>
      </c>
      <c r="I2424" s="19" t="b">
        <f t="shared" si="112"/>
        <v>0</v>
      </c>
      <c r="J2424" s="33" t="str">
        <f t="shared" si="113"/>
        <v/>
      </c>
    </row>
    <row r="2425" spans="1:10">
      <c r="A2425" s="19" t="s">
        <v>352</v>
      </c>
      <c r="B2425" s="20">
        <v>45809</v>
      </c>
      <c r="C2425" s="21">
        <v>155.4</v>
      </c>
      <c r="D2425" s="21">
        <v>153.43</v>
      </c>
      <c r="E2425" s="21">
        <v>78.58</v>
      </c>
      <c r="F2425" s="27">
        <f t="shared" si="111"/>
        <v>0.98732303732303728</v>
      </c>
      <c r="G2425" s="21" t="str">
        <f>IFERROR(INDEX(Users!$A$2:$A$310,MATCH(A2425,Users!$B$2:$B$310,0)),"")</f>
        <v>Service A</v>
      </c>
      <c r="H2425" s="21" t="str">
        <f>IFERROR(INDEX(Users!$D$2:$D$310,MATCH(A2425,Users!$B$2:$B$310,0)),"")</f>
        <v>Band 5</v>
      </c>
      <c r="I2425" s="19" t="b">
        <f t="shared" si="112"/>
        <v>0</v>
      </c>
      <c r="J2425" s="33" t="str">
        <f t="shared" si="113"/>
        <v/>
      </c>
    </row>
    <row r="2426" spans="1:10">
      <c r="A2426" s="19" t="s">
        <v>352</v>
      </c>
      <c r="B2426" s="20">
        <v>45839</v>
      </c>
      <c r="C2426" s="21">
        <v>170.20000000000002</v>
      </c>
      <c r="D2426" s="21">
        <v>136.98999999999998</v>
      </c>
      <c r="E2426" s="21">
        <v>75.039999999999992</v>
      </c>
      <c r="F2426" s="27">
        <f t="shared" si="111"/>
        <v>0.80487661574618075</v>
      </c>
      <c r="G2426" s="21" t="str">
        <f>IFERROR(INDEX(Users!$A$2:$A$310,MATCH(A2426,Users!$B$2:$B$310,0)),"")</f>
        <v>Service A</v>
      </c>
      <c r="H2426" s="21" t="str">
        <f>IFERROR(INDEX(Users!$D$2:$D$310,MATCH(A2426,Users!$B$2:$B$310,0)),"")</f>
        <v>Band 5</v>
      </c>
      <c r="I2426" s="19" t="b">
        <f t="shared" si="112"/>
        <v>0</v>
      </c>
      <c r="J2426" s="33" t="str">
        <f t="shared" si="113"/>
        <v/>
      </c>
    </row>
    <row r="2427" spans="1:10">
      <c r="A2427" s="19" t="s">
        <v>352</v>
      </c>
      <c r="B2427" s="20">
        <v>45870</v>
      </c>
      <c r="C2427" s="21">
        <v>148</v>
      </c>
      <c r="D2427" s="21">
        <v>141.15666666666667</v>
      </c>
      <c r="E2427" s="21">
        <v>59.04</v>
      </c>
      <c r="F2427" s="27">
        <f t="shared" si="111"/>
        <v>0.95376126126126126</v>
      </c>
      <c r="G2427" s="21" t="str">
        <f>IFERROR(INDEX(Users!$A$2:$A$310,MATCH(A2427,Users!$B$2:$B$310,0)),"")</f>
        <v>Service A</v>
      </c>
      <c r="H2427" s="21" t="str">
        <f>IFERROR(INDEX(Users!$D$2:$D$310,MATCH(A2427,Users!$B$2:$B$310,0)),"")</f>
        <v>Band 5</v>
      </c>
      <c r="I2427" s="19" t="b">
        <f t="shared" si="112"/>
        <v>0</v>
      </c>
      <c r="J2427" s="33" t="str">
        <f t="shared" si="113"/>
        <v/>
      </c>
    </row>
    <row r="2428" spans="1:10">
      <c r="A2428" s="19" t="s">
        <v>352</v>
      </c>
      <c r="B2428" s="20">
        <v>45901</v>
      </c>
      <c r="C2428" s="21">
        <v>162.80000000000001</v>
      </c>
      <c r="D2428" s="21">
        <v>153.80666666666667</v>
      </c>
      <c r="E2428" s="21">
        <v>78.040000000000006</v>
      </c>
      <c r="F2428" s="27">
        <f t="shared" si="111"/>
        <v>0.94475839475839474</v>
      </c>
      <c r="G2428" s="21" t="str">
        <f>IFERROR(INDEX(Users!$A$2:$A$310,MATCH(A2428,Users!$B$2:$B$310,0)),"")</f>
        <v>Service A</v>
      </c>
      <c r="H2428" s="21" t="str">
        <f>IFERROR(INDEX(Users!$D$2:$D$310,MATCH(A2428,Users!$B$2:$B$310,0)),"")</f>
        <v>Band 5</v>
      </c>
      <c r="I2428" s="19" t="b">
        <f t="shared" si="112"/>
        <v>0</v>
      </c>
      <c r="J2428" s="33" t="str">
        <f t="shared" si="113"/>
        <v/>
      </c>
    </row>
    <row r="2429" spans="1:10">
      <c r="A2429" s="19" t="s">
        <v>352</v>
      </c>
      <c r="B2429" s="20">
        <v>45931</v>
      </c>
      <c r="C2429" s="21">
        <v>170.20000000000002</v>
      </c>
      <c r="D2429" s="21">
        <v>113.28999999999999</v>
      </c>
      <c r="E2429" s="21">
        <v>68.09</v>
      </c>
      <c r="F2429" s="27">
        <f t="shared" si="111"/>
        <v>0.66562867215041122</v>
      </c>
      <c r="G2429" s="21" t="str">
        <f>IFERROR(INDEX(Users!$A$2:$A$310,MATCH(A2429,Users!$B$2:$B$310,0)),"")</f>
        <v>Service A</v>
      </c>
      <c r="H2429" s="21" t="str">
        <f>IFERROR(INDEX(Users!$D$2:$D$310,MATCH(A2429,Users!$B$2:$B$310,0)),"")</f>
        <v>Band 5</v>
      </c>
      <c r="I2429" s="19" t="b">
        <f t="shared" si="112"/>
        <v>0</v>
      </c>
      <c r="J2429" s="33" t="str">
        <f t="shared" si="113"/>
        <v/>
      </c>
    </row>
    <row r="2430" spans="1:10">
      <c r="A2430" s="19" t="s">
        <v>352</v>
      </c>
      <c r="B2430" s="20">
        <v>45962</v>
      </c>
      <c r="C2430" s="21">
        <v>148</v>
      </c>
      <c r="D2430" s="21">
        <v>148.44666666666666</v>
      </c>
      <c r="E2430" s="21">
        <v>85.879999999999981</v>
      </c>
      <c r="F2430" s="27">
        <f t="shared" si="111"/>
        <v>1.0030180180180179</v>
      </c>
      <c r="G2430" s="21" t="str">
        <f>IFERROR(INDEX(Users!$A$2:$A$310,MATCH(A2430,Users!$B$2:$B$310,0)),"")</f>
        <v>Service A</v>
      </c>
      <c r="H2430" s="21" t="str">
        <f>IFERROR(INDEX(Users!$D$2:$D$310,MATCH(A2430,Users!$B$2:$B$310,0)),"")</f>
        <v>Band 5</v>
      </c>
      <c r="I2430" s="19" t="b">
        <f t="shared" si="112"/>
        <v>0</v>
      </c>
      <c r="J2430" s="33" t="str">
        <f t="shared" si="113"/>
        <v/>
      </c>
    </row>
    <row r="2431" spans="1:10">
      <c r="A2431" s="19" t="s">
        <v>352</v>
      </c>
      <c r="B2431" s="20">
        <v>45992</v>
      </c>
      <c r="C2431" s="21">
        <v>155.4</v>
      </c>
      <c r="D2431" s="21">
        <v>102.58666666666667</v>
      </c>
      <c r="E2431" s="21">
        <v>51.62</v>
      </c>
      <c r="F2431" s="27">
        <f t="shared" si="111"/>
        <v>0.66014586014586019</v>
      </c>
      <c r="G2431" s="21" t="str">
        <f>IFERROR(INDEX(Users!$A$2:$A$310,MATCH(A2431,Users!$B$2:$B$310,0)),"")</f>
        <v>Service A</v>
      </c>
      <c r="H2431" s="21" t="str">
        <f>IFERROR(INDEX(Users!$D$2:$D$310,MATCH(A2431,Users!$B$2:$B$310,0)),"")</f>
        <v>Band 5</v>
      </c>
      <c r="I2431" s="19" t="b">
        <f t="shared" si="112"/>
        <v>0</v>
      </c>
      <c r="J2431" s="33" t="str">
        <f t="shared" si="113"/>
        <v/>
      </c>
    </row>
    <row r="2432" spans="1:10">
      <c r="A2432" s="19" t="s">
        <v>352</v>
      </c>
      <c r="B2432" s="20">
        <v>46023</v>
      </c>
      <c r="C2432" s="21">
        <v>155.4</v>
      </c>
      <c r="D2432" s="21">
        <v>167.89333333333332</v>
      </c>
      <c r="E2432" s="21">
        <v>94.81</v>
      </c>
      <c r="F2432" s="27">
        <f t="shared" si="111"/>
        <v>1.0803946803946802</v>
      </c>
      <c r="G2432" s="21" t="str">
        <f>IFERROR(INDEX(Users!$A$2:$A$310,MATCH(A2432,Users!$B$2:$B$310,0)),"")</f>
        <v>Service A</v>
      </c>
      <c r="H2432" s="21" t="str">
        <f>IFERROR(INDEX(Users!$D$2:$D$310,MATCH(A2432,Users!$B$2:$B$310,0)),"")</f>
        <v>Band 5</v>
      </c>
      <c r="I2432" s="19" t="b">
        <f t="shared" si="112"/>
        <v>0</v>
      </c>
      <c r="J2432" s="33" t="str">
        <f t="shared" si="113"/>
        <v/>
      </c>
    </row>
    <row r="2433" spans="1:10">
      <c r="A2433" s="19" t="s">
        <v>353</v>
      </c>
      <c r="B2433" s="20">
        <v>45658</v>
      </c>
      <c r="C2433" s="21">
        <v>162.80000000000001</v>
      </c>
      <c r="D2433" s="21">
        <v>143.98666666666671</v>
      </c>
      <c r="E2433" s="21">
        <v>45.820000000000057</v>
      </c>
      <c r="F2433" s="27">
        <f t="shared" si="111"/>
        <v>0.88443898443898461</v>
      </c>
      <c r="G2433" s="21" t="str">
        <f>IFERROR(INDEX(Users!$A$2:$A$310,MATCH(A2433,Users!$B$2:$B$310,0)),"")</f>
        <v>Service A</v>
      </c>
      <c r="H2433" s="21" t="str">
        <f>IFERROR(INDEX(Users!$D$2:$D$310,MATCH(A2433,Users!$B$2:$B$310,0)),"")</f>
        <v>Band 5</v>
      </c>
      <c r="I2433" s="19" t="b">
        <f t="shared" si="112"/>
        <v>0</v>
      </c>
      <c r="J2433" s="33" t="str">
        <f t="shared" si="113"/>
        <v/>
      </c>
    </row>
    <row r="2434" spans="1:10">
      <c r="A2434" s="19" t="s">
        <v>353</v>
      </c>
      <c r="B2434" s="20">
        <v>45689</v>
      </c>
      <c r="C2434" s="21">
        <v>111</v>
      </c>
      <c r="D2434" s="21">
        <v>105.70666666666666</v>
      </c>
      <c r="E2434" s="21">
        <v>5.79</v>
      </c>
      <c r="F2434" s="27">
        <f t="shared" ref="F2434:F2497" si="114">IFERROR(IF(OR(C2434="",D2434="",C2434=0),"",D2434/C2434),"")</f>
        <v>0.95231231231231228</v>
      </c>
      <c r="G2434" s="21" t="str">
        <f>IFERROR(INDEX(Users!$A$2:$A$310,MATCH(A2434,Users!$B$2:$B$310,0)),"")</f>
        <v>Service A</v>
      </c>
      <c r="H2434" s="21" t="str">
        <f>IFERROR(INDEX(Users!$D$2:$D$310,MATCH(A2434,Users!$B$2:$B$310,0)),"")</f>
        <v>Band 5</v>
      </c>
      <c r="I2434" s="19" t="b">
        <f t="shared" ref="I2434:I2497" si="115">AND(G2434="Service A",H2434="Band 3")</f>
        <v>0</v>
      </c>
      <c r="J2434" s="33" t="str">
        <f t="shared" ref="J2434:J2497" si="116">IF(AND(B2434&gt;=DATE(2025,1,1),B2434&lt;DATE(2026,1,1),G2434="Service B",OR(H2434="Band 3",H2434="Band 5"),ISNUMBER(F2434)),F2434,"")</f>
        <v/>
      </c>
    </row>
    <row r="2435" spans="1:10">
      <c r="A2435" s="19" t="s">
        <v>354</v>
      </c>
      <c r="B2435" s="20">
        <v>45962</v>
      </c>
      <c r="C2435" s="21">
        <v>148.00000000000006</v>
      </c>
      <c r="D2435" s="21"/>
      <c r="E2435" s="21"/>
      <c r="F2435" s="27" t="str">
        <f t="shared" si="114"/>
        <v/>
      </c>
      <c r="G2435" s="21" t="str">
        <f>IFERROR(INDEX(Users!$A$2:$A$310,MATCH(A2435,Users!$B$2:$B$310,0)),"")</f>
        <v>Service B</v>
      </c>
      <c r="H2435" s="21" t="str">
        <f>IFERROR(INDEX(Users!$D$2:$D$310,MATCH(A2435,Users!$B$2:$B$310,0)),"")</f>
        <v>Band 3</v>
      </c>
      <c r="I2435" s="19" t="b">
        <f t="shared" si="115"/>
        <v>0</v>
      </c>
      <c r="J2435" s="33" t="str">
        <f t="shared" si="116"/>
        <v/>
      </c>
    </row>
    <row r="2436" spans="1:10">
      <c r="A2436" s="19" t="s">
        <v>354</v>
      </c>
      <c r="B2436" s="20">
        <v>45992</v>
      </c>
      <c r="C2436" s="21">
        <v>155.40000000000006</v>
      </c>
      <c r="D2436" s="21">
        <v>70.25</v>
      </c>
      <c r="E2436" s="21">
        <v>2.5</v>
      </c>
      <c r="F2436" s="27">
        <f t="shared" si="114"/>
        <v>0.45205920205920186</v>
      </c>
      <c r="G2436" s="21" t="str">
        <f>IFERROR(INDEX(Users!$A$2:$A$310,MATCH(A2436,Users!$B$2:$B$310,0)),"")</f>
        <v>Service B</v>
      </c>
      <c r="H2436" s="21" t="str">
        <f>IFERROR(INDEX(Users!$D$2:$D$310,MATCH(A2436,Users!$B$2:$B$310,0)),"")</f>
        <v>Band 3</v>
      </c>
      <c r="I2436" s="19" t="b">
        <f t="shared" si="115"/>
        <v>0</v>
      </c>
      <c r="J2436" s="33">
        <f t="shared" si="116"/>
        <v>0.45205920205920186</v>
      </c>
    </row>
    <row r="2437" spans="1:10">
      <c r="A2437" s="19" t="s">
        <v>354</v>
      </c>
      <c r="B2437" s="20">
        <v>46023</v>
      </c>
      <c r="C2437" s="21">
        <v>155.40000000000006</v>
      </c>
      <c r="D2437" s="21">
        <v>72.91</v>
      </c>
      <c r="E2437" s="21">
        <v>10.66</v>
      </c>
      <c r="F2437" s="27">
        <f t="shared" si="114"/>
        <v>0.46917631917631897</v>
      </c>
      <c r="G2437" s="21" t="str">
        <f>IFERROR(INDEX(Users!$A$2:$A$310,MATCH(A2437,Users!$B$2:$B$310,0)),"")</f>
        <v>Service B</v>
      </c>
      <c r="H2437" s="21" t="str">
        <f>IFERROR(INDEX(Users!$D$2:$D$310,MATCH(A2437,Users!$B$2:$B$310,0)),"")</f>
        <v>Band 3</v>
      </c>
      <c r="I2437" s="19" t="b">
        <f t="shared" si="115"/>
        <v>0</v>
      </c>
      <c r="J2437" s="33" t="str">
        <f t="shared" si="116"/>
        <v/>
      </c>
    </row>
    <row r="2438" spans="1:10">
      <c r="A2438" s="19" t="s">
        <v>355</v>
      </c>
      <c r="B2438" s="20">
        <v>45962</v>
      </c>
      <c r="C2438" s="21">
        <v>148.00000000000006</v>
      </c>
      <c r="D2438" s="21"/>
      <c r="E2438" s="21"/>
      <c r="F2438" s="27" t="str">
        <f t="shared" si="114"/>
        <v/>
      </c>
      <c r="G2438" s="21" t="str">
        <f>IFERROR(INDEX(Users!$A$2:$A$310,MATCH(A2438,Users!$B$2:$B$310,0)),"")</f>
        <v>Service B</v>
      </c>
      <c r="H2438" s="21" t="str">
        <f>IFERROR(INDEX(Users!$D$2:$D$310,MATCH(A2438,Users!$B$2:$B$310,0)),"")</f>
        <v>Band 3</v>
      </c>
      <c r="I2438" s="19" t="b">
        <f t="shared" si="115"/>
        <v>0</v>
      </c>
      <c r="J2438" s="33" t="str">
        <f t="shared" si="116"/>
        <v/>
      </c>
    </row>
    <row r="2439" spans="1:10">
      <c r="A2439" s="19" t="s">
        <v>355</v>
      </c>
      <c r="B2439" s="20">
        <v>45992</v>
      </c>
      <c r="C2439" s="21">
        <v>155.40000000000006</v>
      </c>
      <c r="D2439" s="21">
        <v>90.46333333333331</v>
      </c>
      <c r="E2439" s="21">
        <v>17.579999999999998</v>
      </c>
      <c r="F2439" s="27">
        <f t="shared" si="114"/>
        <v>0.58213213213213177</v>
      </c>
      <c r="G2439" s="21" t="str">
        <f>IFERROR(INDEX(Users!$A$2:$A$310,MATCH(A2439,Users!$B$2:$B$310,0)),"")</f>
        <v>Service B</v>
      </c>
      <c r="H2439" s="21" t="str">
        <f>IFERROR(INDEX(Users!$D$2:$D$310,MATCH(A2439,Users!$B$2:$B$310,0)),"")</f>
        <v>Band 3</v>
      </c>
      <c r="I2439" s="19" t="b">
        <f t="shared" si="115"/>
        <v>0</v>
      </c>
      <c r="J2439" s="33">
        <f t="shared" si="116"/>
        <v>0.58213213213213177</v>
      </c>
    </row>
    <row r="2440" spans="1:10">
      <c r="A2440" s="19" t="s">
        <v>355</v>
      </c>
      <c r="B2440" s="20">
        <v>46023</v>
      </c>
      <c r="C2440" s="21">
        <v>155.40000000000006</v>
      </c>
      <c r="D2440" s="21">
        <v>102.52999999999999</v>
      </c>
      <c r="E2440" s="21">
        <v>21.03</v>
      </c>
      <c r="F2440" s="27">
        <f t="shared" si="114"/>
        <v>0.65978120978120947</v>
      </c>
      <c r="G2440" s="21" t="str">
        <f>IFERROR(INDEX(Users!$A$2:$A$310,MATCH(A2440,Users!$B$2:$B$310,0)),"")</f>
        <v>Service B</v>
      </c>
      <c r="H2440" s="21" t="str">
        <f>IFERROR(INDEX(Users!$D$2:$D$310,MATCH(A2440,Users!$B$2:$B$310,0)),"")</f>
        <v>Band 3</v>
      </c>
      <c r="I2440" s="19" t="b">
        <f t="shared" si="115"/>
        <v>0</v>
      </c>
      <c r="J2440" s="33" t="str">
        <f t="shared" si="116"/>
        <v/>
      </c>
    </row>
    <row r="2441" spans="1:10">
      <c r="A2441" s="19" t="s">
        <v>356</v>
      </c>
      <c r="B2441" s="20">
        <v>45962</v>
      </c>
      <c r="C2441" s="21">
        <v>148.00000000000006</v>
      </c>
      <c r="D2441" s="21"/>
      <c r="E2441" s="21"/>
      <c r="F2441" s="27" t="str">
        <f t="shared" si="114"/>
        <v/>
      </c>
      <c r="G2441" s="21" t="str">
        <f>IFERROR(INDEX(Users!$A$2:$A$310,MATCH(A2441,Users!$B$2:$B$310,0)),"")</f>
        <v>Service B</v>
      </c>
      <c r="H2441" s="21" t="str">
        <f>IFERROR(INDEX(Users!$D$2:$D$310,MATCH(A2441,Users!$B$2:$B$310,0)),"")</f>
        <v>Band 3</v>
      </c>
      <c r="I2441" s="19" t="b">
        <f t="shared" si="115"/>
        <v>0</v>
      </c>
      <c r="J2441" s="33" t="str">
        <f t="shared" si="116"/>
        <v/>
      </c>
    </row>
    <row r="2442" spans="1:10">
      <c r="A2442" s="19" t="s">
        <v>356</v>
      </c>
      <c r="B2442" s="20">
        <v>45992</v>
      </c>
      <c r="C2442" s="21">
        <v>155.40000000000006</v>
      </c>
      <c r="D2442" s="21">
        <v>0.75</v>
      </c>
      <c r="E2442" s="21">
        <v>0.75</v>
      </c>
      <c r="F2442" s="27">
        <f t="shared" si="114"/>
        <v>4.8262548262548244E-3</v>
      </c>
      <c r="G2442" s="21" t="str">
        <f>IFERROR(INDEX(Users!$A$2:$A$310,MATCH(A2442,Users!$B$2:$B$310,0)),"")</f>
        <v>Service B</v>
      </c>
      <c r="H2442" s="21" t="str">
        <f>IFERROR(INDEX(Users!$D$2:$D$310,MATCH(A2442,Users!$B$2:$B$310,0)),"")</f>
        <v>Band 3</v>
      </c>
      <c r="I2442" s="19" t="b">
        <f t="shared" si="115"/>
        <v>0</v>
      </c>
      <c r="J2442" s="33">
        <f t="shared" si="116"/>
        <v>4.8262548262548244E-3</v>
      </c>
    </row>
    <row r="2443" spans="1:10">
      <c r="A2443" s="19" t="s">
        <v>356</v>
      </c>
      <c r="B2443" s="20">
        <v>46023</v>
      </c>
      <c r="C2443" s="21">
        <v>155.40000000000006</v>
      </c>
      <c r="D2443" s="21">
        <v>142.88666666666668</v>
      </c>
      <c r="E2443" s="21">
        <v>43.969999999999985</v>
      </c>
      <c r="F2443" s="27">
        <f t="shared" si="114"/>
        <v>0.91947661947661918</v>
      </c>
      <c r="G2443" s="21" t="str">
        <f>IFERROR(INDEX(Users!$A$2:$A$310,MATCH(A2443,Users!$B$2:$B$310,0)),"")</f>
        <v>Service B</v>
      </c>
      <c r="H2443" s="21" t="str">
        <f>IFERROR(INDEX(Users!$D$2:$D$310,MATCH(A2443,Users!$B$2:$B$310,0)),"")</f>
        <v>Band 3</v>
      </c>
      <c r="I2443" s="19" t="b">
        <f t="shared" si="115"/>
        <v>0</v>
      </c>
      <c r="J2443" s="33" t="str">
        <f t="shared" si="116"/>
        <v/>
      </c>
    </row>
    <row r="2444" spans="1:10">
      <c r="A2444" s="19" t="s">
        <v>357</v>
      </c>
      <c r="B2444" s="20">
        <v>45992</v>
      </c>
      <c r="C2444" s="21">
        <v>155.40000000000006</v>
      </c>
      <c r="D2444" s="21"/>
      <c r="E2444" s="21"/>
      <c r="F2444" s="27" t="str">
        <f t="shared" si="114"/>
        <v/>
      </c>
      <c r="G2444" s="21" t="str">
        <f>IFERROR(INDEX(Users!$A$2:$A$310,MATCH(A2444,Users!$B$2:$B$310,0)),"")</f>
        <v>Service B</v>
      </c>
      <c r="H2444" s="21" t="str">
        <f>IFERROR(INDEX(Users!$D$2:$D$310,MATCH(A2444,Users!$B$2:$B$310,0)),"")</f>
        <v>Band 3</v>
      </c>
      <c r="I2444" s="19" t="b">
        <f t="shared" si="115"/>
        <v>0</v>
      </c>
      <c r="J2444" s="33" t="str">
        <f t="shared" si="116"/>
        <v/>
      </c>
    </row>
    <row r="2445" spans="1:10">
      <c r="A2445" s="19" t="s">
        <v>357</v>
      </c>
      <c r="B2445" s="20">
        <v>46023</v>
      </c>
      <c r="C2445" s="21">
        <v>155.40000000000006</v>
      </c>
      <c r="D2445" s="21">
        <v>112.60333333333332</v>
      </c>
      <c r="E2445" s="21">
        <v>8.0200000000000014</v>
      </c>
      <c r="F2445" s="27">
        <f t="shared" si="114"/>
        <v>0.72460317460317425</v>
      </c>
      <c r="G2445" s="21" t="str">
        <f>IFERROR(INDEX(Users!$A$2:$A$310,MATCH(A2445,Users!$B$2:$B$310,0)),"")</f>
        <v>Service B</v>
      </c>
      <c r="H2445" s="21" t="str">
        <f>IFERROR(INDEX(Users!$D$2:$D$310,MATCH(A2445,Users!$B$2:$B$310,0)),"")</f>
        <v>Band 3</v>
      </c>
      <c r="I2445" s="19" t="b">
        <f t="shared" si="115"/>
        <v>0</v>
      </c>
      <c r="J2445" s="33" t="str">
        <f t="shared" si="116"/>
        <v/>
      </c>
    </row>
    <row r="2446" spans="1:10">
      <c r="A2446" s="19" t="s">
        <v>358</v>
      </c>
      <c r="B2446" s="20">
        <v>45962</v>
      </c>
      <c r="C2446" s="21">
        <v>148</v>
      </c>
      <c r="D2446" s="21">
        <v>11.65</v>
      </c>
      <c r="E2446" s="21">
        <v>4.25</v>
      </c>
      <c r="F2446" s="27">
        <f t="shared" si="114"/>
        <v>7.8716216216216217E-2</v>
      </c>
      <c r="G2446" s="21" t="str">
        <f>IFERROR(INDEX(Users!$A$2:$A$310,MATCH(A2446,Users!$B$2:$B$310,0)),"")</f>
        <v>Service B</v>
      </c>
      <c r="H2446" s="21" t="str">
        <f>IFERROR(INDEX(Users!$D$2:$D$310,MATCH(A2446,Users!$B$2:$B$310,0)),"")</f>
        <v>Band 5</v>
      </c>
      <c r="I2446" s="19" t="b">
        <f t="shared" si="115"/>
        <v>0</v>
      </c>
      <c r="J2446" s="33">
        <f t="shared" si="116"/>
        <v>7.8716216216216217E-2</v>
      </c>
    </row>
    <row r="2447" spans="1:10">
      <c r="A2447" s="19" t="s">
        <v>358</v>
      </c>
      <c r="B2447" s="20">
        <v>45992</v>
      </c>
      <c r="C2447" s="21">
        <v>155.4</v>
      </c>
      <c r="D2447" s="21">
        <v>15</v>
      </c>
      <c r="E2447" s="21">
        <v>15</v>
      </c>
      <c r="F2447" s="27">
        <f t="shared" si="114"/>
        <v>9.6525096525096526E-2</v>
      </c>
      <c r="G2447" s="21" t="str">
        <f>IFERROR(INDEX(Users!$A$2:$A$310,MATCH(A2447,Users!$B$2:$B$310,0)),"")</f>
        <v>Service B</v>
      </c>
      <c r="H2447" s="21" t="str">
        <f>IFERROR(INDEX(Users!$D$2:$D$310,MATCH(A2447,Users!$B$2:$B$310,0)),"")</f>
        <v>Band 5</v>
      </c>
      <c r="I2447" s="19" t="b">
        <f t="shared" si="115"/>
        <v>0</v>
      </c>
      <c r="J2447" s="33">
        <f t="shared" si="116"/>
        <v>9.6525096525096526E-2</v>
      </c>
    </row>
    <row r="2448" spans="1:10">
      <c r="A2448" s="19" t="s">
        <v>358</v>
      </c>
      <c r="B2448" s="20">
        <v>46023</v>
      </c>
      <c r="C2448" s="21">
        <v>155.4</v>
      </c>
      <c r="D2448" s="21">
        <v>78.596666666666664</v>
      </c>
      <c r="E2448" s="21">
        <v>47.38</v>
      </c>
      <c r="F2448" s="27">
        <f t="shared" si="114"/>
        <v>0.50577005577005574</v>
      </c>
      <c r="G2448" s="21" t="str">
        <f>IFERROR(INDEX(Users!$A$2:$A$310,MATCH(A2448,Users!$B$2:$B$310,0)),"")</f>
        <v>Service B</v>
      </c>
      <c r="H2448" s="21" t="str">
        <f>IFERROR(INDEX(Users!$D$2:$D$310,MATCH(A2448,Users!$B$2:$B$310,0)),"")</f>
        <v>Band 5</v>
      </c>
      <c r="I2448" s="19" t="b">
        <f t="shared" si="115"/>
        <v>0</v>
      </c>
      <c r="J2448" s="33" t="str">
        <f t="shared" si="116"/>
        <v/>
      </c>
    </row>
    <row r="2449" spans="1:10">
      <c r="A2449" s="19" t="s">
        <v>359</v>
      </c>
      <c r="B2449" s="20">
        <v>45962</v>
      </c>
      <c r="C2449" s="21">
        <v>148</v>
      </c>
      <c r="D2449" s="21">
        <v>2</v>
      </c>
      <c r="E2449" s="21">
        <v>2</v>
      </c>
      <c r="F2449" s="27">
        <f t="shared" si="114"/>
        <v>1.3513513513513514E-2</v>
      </c>
      <c r="G2449" s="21" t="str">
        <f>IFERROR(INDEX(Users!$A$2:$A$310,MATCH(A2449,Users!$B$2:$B$310,0)),"")</f>
        <v>Service B</v>
      </c>
      <c r="H2449" s="21" t="str">
        <f>IFERROR(INDEX(Users!$D$2:$D$310,MATCH(A2449,Users!$B$2:$B$310,0)),"")</f>
        <v>Band 3</v>
      </c>
      <c r="I2449" s="19" t="b">
        <f t="shared" si="115"/>
        <v>0</v>
      </c>
      <c r="J2449" s="33">
        <f t="shared" si="116"/>
        <v>1.3513513513513514E-2</v>
      </c>
    </row>
    <row r="2450" spans="1:10">
      <c r="A2450" s="19" t="s">
        <v>359</v>
      </c>
      <c r="B2450" s="20">
        <v>45992</v>
      </c>
      <c r="C2450" s="21">
        <v>155.4</v>
      </c>
      <c r="D2450" s="21">
        <v>0.4</v>
      </c>
      <c r="E2450" s="21">
        <v>0.4</v>
      </c>
      <c r="F2450" s="27">
        <f t="shared" si="114"/>
        <v>2.5740025740025739E-3</v>
      </c>
      <c r="G2450" s="21" t="str">
        <f>IFERROR(INDEX(Users!$A$2:$A$310,MATCH(A2450,Users!$B$2:$B$310,0)),"")</f>
        <v>Service B</v>
      </c>
      <c r="H2450" s="21" t="str">
        <f>IFERROR(INDEX(Users!$D$2:$D$310,MATCH(A2450,Users!$B$2:$B$310,0)),"")</f>
        <v>Band 3</v>
      </c>
      <c r="I2450" s="19" t="b">
        <f t="shared" si="115"/>
        <v>0</v>
      </c>
      <c r="J2450" s="33">
        <f t="shared" si="116"/>
        <v>2.5740025740025739E-3</v>
      </c>
    </row>
    <row r="2451" spans="1:10">
      <c r="A2451" s="19" t="s">
        <v>359</v>
      </c>
      <c r="B2451" s="20">
        <v>46023</v>
      </c>
      <c r="C2451" s="21">
        <v>155.4</v>
      </c>
      <c r="D2451" s="21">
        <v>18.950000000000003</v>
      </c>
      <c r="E2451" s="21">
        <v>18.950000000000003</v>
      </c>
      <c r="F2451" s="27">
        <f t="shared" si="114"/>
        <v>0.12194337194337196</v>
      </c>
      <c r="G2451" s="21" t="str">
        <f>IFERROR(INDEX(Users!$A$2:$A$310,MATCH(A2451,Users!$B$2:$B$310,0)),"")</f>
        <v>Service B</v>
      </c>
      <c r="H2451" s="21" t="str">
        <f>IFERROR(INDEX(Users!$D$2:$D$310,MATCH(A2451,Users!$B$2:$B$310,0)),"")</f>
        <v>Band 3</v>
      </c>
      <c r="I2451" s="19" t="b">
        <f t="shared" si="115"/>
        <v>0</v>
      </c>
      <c r="J2451" s="33" t="str">
        <f t="shared" si="116"/>
        <v/>
      </c>
    </row>
    <row r="2452" spans="1:10">
      <c r="A2452" s="19" t="s">
        <v>360</v>
      </c>
      <c r="B2452" s="20">
        <v>45658</v>
      </c>
      <c r="C2452" s="21"/>
      <c r="D2452" s="21">
        <v>122.27999999999997</v>
      </c>
      <c r="E2452" s="21">
        <v>69.279999999999987</v>
      </c>
      <c r="F2452" s="27" t="str">
        <f t="shared" si="114"/>
        <v/>
      </c>
      <c r="G2452" s="21" t="str">
        <f>IFERROR(INDEX(Users!$A$2:$A$310,MATCH(A2452,Users!$B$2:$B$310,0)),"")</f>
        <v>Service B</v>
      </c>
      <c r="H2452" s="21" t="str">
        <f>IFERROR(INDEX(Users!$D$2:$D$310,MATCH(A2452,Users!$B$2:$B$310,0)),"")</f>
        <v>Band 3</v>
      </c>
      <c r="I2452" s="19" t="b">
        <f t="shared" si="115"/>
        <v>0</v>
      </c>
      <c r="J2452" s="33" t="str">
        <f t="shared" si="116"/>
        <v/>
      </c>
    </row>
    <row r="2453" spans="1:10">
      <c r="A2453" s="19" t="s">
        <v>360</v>
      </c>
      <c r="B2453" s="20">
        <v>45689</v>
      </c>
      <c r="C2453" s="21"/>
      <c r="D2453" s="21">
        <v>90.15</v>
      </c>
      <c r="E2453" s="21">
        <v>41.2</v>
      </c>
      <c r="F2453" s="27" t="str">
        <f t="shared" si="114"/>
        <v/>
      </c>
      <c r="G2453" s="21" t="str">
        <f>IFERROR(INDEX(Users!$A$2:$A$310,MATCH(A2453,Users!$B$2:$B$310,0)),"")</f>
        <v>Service B</v>
      </c>
      <c r="H2453" s="21" t="str">
        <f>IFERROR(INDEX(Users!$D$2:$D$310,MATCH(A2453,Users!$B$2:$B$310,0)),"")</f>
        <v>Band 3</v>
      </c>
      <c r="I2453" s="19" t="b">
        <f t="shared" si="115"/>
        <v>0</v>
      </c>
      <c r="J2453" s="33" t="str">
        <f t="shared" si="116"/>
        <v/>
      </c>
    </row>
    <row r="2454" spans="1:10">
      <c r="A2454" s="19" t="s">
        <v>360</v>
      </c>
      <c r="B2454" s="20">
        <v>45717</v>
      </c>
      <c r="C2454" s="21"/>
      <c r="D2454" s="21">
        <v>121.54000000000002</v>
      </c>
      <c r="E2454" s="21">
        <v>58.040000000000013</v>
      </c>
      <c r="F2454" s="27" t="str">
        <f t="shared" si="114"/>
        <v/>
      </c>
      <c r="G2454" s="21" t="str">
        <f>IFERROR(INDEX(Users!$A$2:$A$310,MATCH(A2454,Users!$B$2:$B$310,0)),"")</f>
        <v>Service B</v>
      </c>
      <c r="H2454" s="21" t="str">
        <f>IFERROR(INDEX(Users!$D$2:$D$310,MATCH(A2454,Users!$B$2:$B$310,0)),"")</f>
        <v>Band 3</v>
      </c>
      <c r="I2454" s="19" t="b">
        <f t="shared" si="115"/>
        <v>0</v>
      </c>
      <c r="J2454" s="33" t="str">
        <f t="shared" si="116"/>
        <v/>
      </c>
    </row>
    <row r="2455" spans="1:10">
      <c r="A2455" s="19" t="s">
        <v>360</v>
      </c>
      <c r="B2455" s="20">
        <v>45748</v>
      </c>
      <c r="C2455" s="21"/>
      <c r="D2455" s="21">
        <v>100.44999999999999</v>
      </c>
      <c r="E2455" s="21">
        <v>55.45</v>
      </c>
      <c r="F2455" s="27" t="str">
        <f t="shared" si="114"/>
        <v/>
      </c>
      <c r="G2455" s="21" t="str">
        <f>IFERROR(INDEX(Users!$A$2:$A$310,MATCH(A2455,Users!$B$2:$B$310,0)),"")</f>
        <v>Service B</v>
      </c>
      <c r="H2455" s="21" t="str">
        <f>IFERROR(INDEX(Users!$D$2:$D$310,MATCH(A2455,Users!$B$2:$B$310,0)),"")</f>
        <v>Band 3</v>
      </c>
      <c r="I2455" s="19" t="b">
        <f t="shared" si="115"/>
        <v>0</v>
      </c>
      <c r="J2455" s="33" t="str">
        <f t="shared" si="116"/>
        <v/>
      </c>
    </row>
    <row r="2456" spans="1:10">
      <c r="A2456" s="19" t="s">
        <v>360</v>
      </c>
      <c r="B2456" s="20">
        <v>45778</v>
      </c>
      <c r="C2456" s="21"/>
      <c r="D2456" s="21">
        <v>117.31666666666666</v>
      </c>
      <c r="E2456" s="21">
        <v>65.399999999999991</v>
      </c>
      <c r="F2456" s="27" t="str">
        <f t="shared" si="114"/>
        <v/>
      </c>
      <c r="G2456" s="21" t="str">
        <f>IFERROR(INDEX(Users!$A$2:$A$310,MATCH(A2456,Users!$B$2:$B$310,0)),"")</f>
        <v>Service B</v>
      </c>
      <c r="H2456" s="21" t="str">
        <f>IFERROR(INDEX(Users!$D$2:$D$310,MATCH(A2456,Users!$B$2:$B$310,0)),"")</f>
        <v>Band 3</v>
      </c>
      <c r="I2456" s="19" t="b">
        <f t="shared" si="115"/>
        <v>0</v>
      </c>
      <c r="J2456" s="33" t="str">
        <f t="shared" si="116"/>
        <v/>
      </c>
    </row>
    <row r="2457" spans="1:10">
      <c r="A2457" s="19" t="s">
        <v>360</v>
      </c>
      <c r="B2457" s="20">
        <v>45809</v>
      </c>
      <c r="C2457" s="21"/>
      <c r="D2457" s="21">
        <v>149.57333333333338</v>
      </c>
      <c r="E2457" s="21">
        <v>99.090000000000032</v>
      </c>
      <c r="F2457" s="27" t="str">
        <f t="shared" si="114"/>
        <v/>
      </c>
      <c r="G2457" s="21" t="str">
        <f>IFERROR(INDEX(Users!$A$2:$A$310,MATCH(A2457,Users!$B$2:$B$310,0)),"")</f>
        <v>Service B</v>
      </c>
      <c r="H2457" s="21" t="str">
        <f>IFERROR(INDEX(Users!$D$2:$D$310,MATCH(A2457,Users!$B$2:$B$310,0)),"")</f>
        <v>Band 3</v>
      </c>
      <c r="I2457" s="19" t="b">
        <f t="shared" si="115"/>
        <v>0</v>
      </c>
      <c r="J2457" s="33" t="str">
        <f t="shared" si="116"/>
        <v/>
      </c>
    </row>
    <row r="2458" spans="1:10">
      <c r="A2458" s="19" t="s">
        <v>360</v>
      </c>
      <c r="B2458" s="20">
        <v>45839</v>
      </c>
      <c r="C2458" s="21"/>
      <c r="D2458" s="21">
        <v>31.65</v>
      </c>
      <c r="E2458" s="21">
        <v>22.15</v>
      </c>
      <c r="F2458" s="27" t="str">
        <f t="shared" si="114"/>
        <v/>
      </c>
      <c r="G2458" s="21" t="str">
        <f>IFERROR(INDEX(Users!$A$2:$A$310,MATCH(A2458,Users!$B$2:$B$310,0)),"")</f>
        <v>Service B</v>
      </c>
      <c r="H2458" s="21" t="str">
        <f>IFERROR(INDEX(Users!$D$2:$D$310,MATCH(A2458,Users!$B$2:$B$310,0)),"")</f>
        <v>Band 3</v>
      </c>
      <c r="I2458" s="19" t="b">
        <f t="shared" si="115"/>
        <v>0</v>
      </c>
      <c r="J2458" s="33" t="str">
        <f t="shared" si="116"/>
        <v/>
      </c>
    </row>
    <row r="2459" spans="1:10">
      <c r="A2459" s="19" t="s">
        <v>360</v>
      </c>
      <c r="B2459" s="20">
        <v>45870</v>
      </c>
      <c r="C2459" s="21"/>
      <c r="D2459" s="21"/>
      <c r="E2459" s="21"/>
      <c r="F2459" s="27" t="str">
        <f t="shared" si="114"/>
        <v/>
      </c>
      <c r="G2459" s="21" t="str">
        <f>IFERROR(INDEX(Users!$A$2:$A$310,MATCH(A2459,Users!$B$2:$B$310,0)),"")</f>
        <v>Service B</v>
      </c>
      <c r="H2459" s="21" t="str">
        <f>IFERROR(INDEX(Users!$D$2:$D$310,MATCH(A2459,Users!$B$2:$B$310,0)),"")</f>
        <v>Band 3</v>
      </c>
      <c r="I2459" s="19" t="b">
        <f t="shared" si="115"/>
        <v>0</v>
      </c>
      <c r="J2459" s="33" t="str">
        <f t="shared" si="116"/>
        <v/>
      </c>
    </row>
    <row r="2460" spans="1:10">
      <c r="A2460" s="19" t="s">
        <v>360</v>
      </c>
      <c r="B2460" s="20">
        <v>45901</v>
      </c>
      <c r="C2460" s="21"/>
      <c r="D2460" s="21">
        <v>93.043333333333322</v>
      </c>
      <c r="E2460" s="21">
        <v>40.859999999999985</v>
      </c>
      <c r="F2460" s="27" t="str">
        <f t="shared" si="114"/>
        <v/>
      </c>
      <c r="G2460" s="21" t="str">
        <f>IFERROR(INDEX(Users!$A$2:$A$310,MATCH(A2460,Users!$B$2:$B$310,0)),"")</f>
        <v>Service B</v>
      </c>
      <c r="H2460" s="21" t="str">
        <f>IFERROR(INDEX(Users!$D$2:$D$310,MATCH(A2460,Users!$B$2:$B$310,0)),"")</f>
        <v>Band 3</v>
      </c>
      <c r="I2460" s="19" t="b">
        <f t="shared" si="115"/>
        <v>0</v>
      </c>
      <c r="J2460" s="33" t="str">
        <f t="shared" si="116"/>
        <v/>
      </c>
    </row>
    <row r="2461" spans="1:10">
      <c r="A2461" s="19" t="s">
        <v>360</v>
      </c>
      <c r="B2461" s="20">
        <v>45931</v>
      </c>
      <c r="C2461" s="21"/>
      <c r="D2461" s="21">
        <v>127.23666666666668</v>
      </c>
      <c r="E2461" s="21">
        <v>29.820000000000007</v>
      </c>
      <c r="F2461" s="27" t="str">
        <f t="shared" si="114"/>
        <v/>
      </c>
      <c r="G2461" s="21" t="str">
        <f>IFERROR(INDEX(Users!$A$2:$A$310,MATCH(A2461,Users!$B$2:$B$310,0)),"")</f>
        <v>Service B</v>
      </c>
      <c r="H2461" s="21" t="str">
        <f>IFERROR(INDEX(Users!$D$2:$D$310,MATCH(A2461,Users!$B$2:$B$310,0)),"")</f>
        <v>Band 3</v>
      </c>
      <c r="I2461" s="19" t="b">
        <f t="shared" si="115"/>
        <v>0</v>
      </c>
      <c r="J2461" s="33" t="str">
        <f t="shared" si="116"/>
        <v/>
      </c>
    </row>
    <row r="2462" spans="1:10">
      <c r="A2462" s="19" t="s">
        <v>360</v>
      </c>
      <c r="B2462" s="20">
        <v>45962</v>
      </c>
      <c r="C2462" s="21">
        <v>148.00000000000006</v>
      </c>
      <c r="D2462" s="21"/>
      <c r="E2462" s="21"/>
      <c r="F2462" s="27" t="str">
        <f t="shared" si="114"/>
        <v/>
      </c>
      <c r="G2462" s="21" t="str">
        <f>IFERROR(INDEX(Users!$A$2:$A$310,MATCH(A2462,Users!$B$2:$B$310,0)),"")</f>
        <v>Service B</v>
      </c>
      <c r="H2462" s="21" t="str">
        <f>IFERROR(INDEX(Users!$D$2:$D$310,MATCH(A2462,Users!$B$2:$B$310,0)),"")</f>
        <v>Band 3</v>
      </c>
      <c r="I2462" s="19" t="b">
        <f t="shared" si="115"/>
        <v>0</v>
      </c>
      <c r="J2462" s="33" t="str">
        <f t="shared" si="116"/>
        <v/>
      </c>
    </row>
    <row r="2463" spans="1:10">
      <c r="A2463" s="19" t="s">
        <v>360</v>
      </c>
      <c r="B2463" s="20">
        <v>45992</v>
      </c>
      <c r="C2463" s="21">
        <v>155.40000000000006</v>
      </c>
      <c r="D2463" s="21">
        <v>0.08</v>
      </c>
      <c r="E2463" s="21">
        <v>0.08</v>
      </c>
      <c r="F2463" s="27">
        <f t="shared" si="114"/>
        <v>5.1480051480051465E-4</v>
      </c>
      <c r="G2463" s="21" t="str">
        <f>IFERROR(INDEX(Users!$A$2:$A$310,MATCH(A2463,Users!$B$2:$B$310,0)),"")</f>
        <v>Service B</v>
      </c>
      <c r="H2463" s="21" t="str">
        <f>IFERROR(INDEX(Users!$D$2:$D$310,MATCH(A2463,Users!$B$2:$B$310,0)),"")</f>
        <v>Band 3</v>
      </c>
      <c r="I2463" s="19" t="b">
        <f t="shared" si="115"/>
        <v>0</v>
      </c>
      <c r="J2463" s="33">
        <f t="shared" si="116"/>
        <v>5.1480051480051465E-4</v>
      </c>
    </row>
    <row r="2464" spans="1:10">
      <c r="A2464" s="19" t="s">
        <v>360</v>
      </c>
      <c r="B2464" s="20">
        <v>46023</v>
      </c>
      <c r="C2464" s="21">
        <v>155.40000000000006</v>
      </c>
      <c r="D2464" s="21"/>
      <c r="E2464" s="21"/>
      <c r="F2464" s="27" t="str">
        <f t="shared" si="114"/>
        <v/>
      </c>
      <c r="G2464" s="21" t="str">
        <f>IFERROR(INDEX(Users!$A$2:$A$310,MATCH(A2464,Users!$B$2:$B$310,0)),"")</f>
        <v>Service B</v>
      </c>
      <c r="H2464" s="21" t="str">
        <f>IFERROR(INDEX(Users!$D$2:$D$310,MATCH(A2464,Users!$B$2:$B$310,0)),"")</f>
        <v>Band 3</v>
      </c>
      <c r="I2464" s="19" t="b">
        <f t="shared" si="115"/>
        <v>0</v>
      </c>
      <c r="J2464" s="33" t="str">
        <f t="shared" si="116"/>
        <v/>
      </c>
    </row>
    <row r="2465" spans="1:10">
      <c r="A2465" s="19" t="s">
        <v>361</v>
      </c>
      <c r="B2465" s="20">
        <v>45992</v>
      </c>
      <c r="C2465" s="21">
        <v>155.40000000000006</v>
      </c>
      <c r="D2465" s="21"/>
      <c r="E2465" s="21"/>
      <c r="F2465" s="27" t="str">
        <f t="shared" si="114"/>
        <v/>
      </c>
      <c r="G2465" s="21" t="str">
        <f>IFERROR(INDEX(Users!$A$2:$A$310,MATCH(A2465,Users!$B$2:$B$310,0)),"")</f>
        <v>Service B</v>
      </c>
      <c r="H2465" s="21" t="str">
        <f>IFERROR(INDEX(Users!$D$2:$D$310,MATCH(A2465,Users!$B$2:$B$310,0)),"")</f>
        <v>Band 3</v>
      </c>
      <c r="I2465" s="19" t="b">
        <f t="shared" si="115"/>
        <v>0</v>
      </c>
      <c r="J2465" s="33" t="str">
        <f t="shared" si="116"/>
        <v/>
      </c>
    </row>
    <row r="2466" spans="1:10">
      <c r="A2466" s="19" t="s">
        <v>361</v>
      </c>
      <c r="B2466" s="20">
        <v>46023</v>
      </c>
      <c r="C2466" s="21">
        <v>155.40000000000006</v>
      </c>
      <c r="D2466" s="21">
        <v>149</v>
      </c>
      <c r="E2466" s="21">
        <v>2.25</v>
      </c>
      <c r="F2466" s="27">
        <f t="shared" si="114"/>
        <v>0.95881595881595838</v>
      </c>
      <c r="G2466" s="21" t="str">
        <f>IFERROR(INDEX(Users!$A$2:$A$310,MATCH(A2466,Users!$B$2:$B$310,0)),"")</f>
        <v>Service B</v>
      </c>
      <c r="H2466" s="21" t="str">
        <f>IFERROR(INDEX(Users!$D$2:$D$310,MATCH(A2466,Users!$B$2:$B$310,0)),"")</f>
        <v>Band 3</v>
      </c>
      <c r="I2466" s="19" t="b">
        <f t="shared" si="115"/>
        <v>0</v>
      </c>
      <c r="J2466" s="33" t="str">
        <f t="shared" si="116"/>
        <v/>
      </c>
    </row>
    <row r="2467" spans="1:10">
      <c r="A2467" s="19" t="s">
        <v>362</v>
      </c>
      <c r="B2467" s="20">
        <v>45962</v>
      </c>
      <c r="C2467" s="21">
        <v>148</v>
      </c>
      <c r="D2467" s="21">
        <v>12</v>
      </c>
      <c r="E2467" s="21">
        <v>12</v>
      </c>
      <c r="F2467" s="27">
        <f t="shared" si="114"/>
        <v>8.1081081081081086E-2</v>
      </c>
      <c r="G2467" s="21" t="str">
        <f>IFERROR(INDEX(Users!$A$2:$A$310,MATCH(A2467,Users!$B$2:$B$310,0)),"")</f>
        <v>Service A</v>
      </c>
      <c r="H2467" s="21" t="str">
        <f>IFERROR(INDEX(Users!$D$2:$D$310,MATCH(A2467,Users!$B$2:$B$310,0)),"")</f>
        <v>Band 3</v>
      </c>
      <c r="I2467" s="19" t="b">
        <f t="shared" si="115"/>
        <v>1</v>
      </c>
      <c r="J2467" s="33" t="str">
        <f t="shared" si="116"/>
        <v/>
      </c>
    </row>
    <row r="2468" spans="1:10">
      <c r="A2468" s="19" t="s">
        <v>362</v>
      </c>
      <c r="B2468" s="20">
        <v>45992</v>
      </c>
      <c r="C2468" s="21">
        <v>155.4</v>
      </c>
      <c r="D2468" s="21">
        <v>37</v>
      </c>
      <c r="E2468" s="21">
        <v>37</v>
      </c>
      <c r="F2468" s="27">
        <f t="shared" si="114"/>
        <v>0.23809523809523808</v>
      </c>
      <c r="G2468" s="21" t="str">
        <f>IFERROR(INDEX(Users!$A$2:$A$310,MATCH(A2468,Users!$B$2:$B$310,0)),"")</f>
        <v>Service A</v>
      </c>
      <c r="H2468" s="21" t="str">
        <f>IFERROR(INDEX(Users!$D$2:$D$310,MATCH(A2468,Users!$B$2:$B$310,0)),"")</f>
        <v>Band 3</v>
      </c>
      <c r="I2468" s="19" t="b">
        <f t="shared" si="115"/>
        <v>1</v>
      </c>
      <c r="J2468" s="33" t="str">
        <f t="shared" si="116"/>
        <v/>
      </c>
    </row>
    <row r="2469" spans="1:10">
      <c r="A2469" s="19" t="s">
        <v>362</v>
      </c>
      <c r="B2469" s="20">
        <v>46023</v>
      </c>
      <c r="C2469" s="21">
        <v>155.4</v>
      </c>
      <c r="D2469" s="21">
        <v>52.5</v>
      </c>
      <c r="E2469" s="21">
        <v>52.5</v>
      </c>
      <c r="F2469" s="27">
        <f t="shared" si="114"/>
        <v>0.33783783783783783</v>
      </c>
      <c r="G2469" s="21" t="str">
        <f>IFERROR(INDEX(Users!$A$2:$A$310,MATCH(A2469,Users!$B$2:$B$310,0)),"")</f>
        <v>Service A</v>
      </c>
      <c r="H2469" s="21" t="str">
        <f>IFERROR(INDEX(Users!$D$2:$D$310,MATCH(A2469,Users!$B$2:$B$310,0)),"")</f>
        <v>Band 3</v>
      </c>
      <c r="I2469" s="19" t="b">
        <f t="shared" si="115"/>
        <v>1</v>
      </c>
      <c r="J2469" s="33" t="str">
        <f t="shared" si="116"/>
        <v/>
      </c>
    </row>
    <row r="2470" spans="1:10">
      <c r="A2470" s="19" t="s">
        <v>363</v>
      </c>
      <c r="B2470" s="20">
        <v>45962</v>
      </c>
      <c r="C2470" s="21">
        <v>148.00000000000006</v>
      </c>
      <c r="D2470" s="21"/>
      <c r="E2470" s="21"/>
      <c r="F2470" s="27" t="str">
        <f t="shared" si="114"/>
        <v/>
      </c>
      <c r="G2470" s="21" t="str">
        <f>IFERROR(INDEX(Users!$A$2:$A$310,MATCH(A2470,Users!$B$2:$B$310,0)),"")</f>
        <v>Service B</v>
      </c>
      <c r="H2470" s="21" t="str">
        <f>IFERROR(INDEX(Users!$D$2:$D$310,MATCH(A2470,Users!$B$2:$B$310,0)),"")</f>
        <v>Band 3</v>
      </c>
      <c r="I2470" s="19" t="b">
        <f t="shared" si="115"/>
        <v>0</v>
      </c>
      <c r="J2470" s="33" t="str">
        <f t="shared" si="116"/>
        <v/>
      </c>
    </row>
    <row r="2471" spans="1:10">
      <c r="A2471" s="19" t="s">
        <v>363</v>
      </c>
      <c r="B2471" s="20">
        <v>45992</v>
      </c>
      <c r="C2471" s="21">
        <v>155.40000000000006</v>
      </c>
      <c r="D2471" s="21"/>
      <c r="E2471" s="21"/>
      <c r="F2471" s="27" t="str">
        <f t="shared" si="114"/>
        <v/>
      </c>
      <c r="G2471" s="21" t="str">
        <f>IFERROR(INDEX(Users!$A$2:$A$310,MATCH(A2471,Users!$B$2:$B$310,0)),"")</f>
        <v>Service B</v>
      </c>
      <c r="H2471" s="21" t="str">
        <f>IFERROR(INDEX(Users!$D$2:$D$310,MATCH(A2471,Users!$B$2:$B$310,0)),"")</f>
        <v>Band 3</v>
      </c>
      <c r="I2471" s="19" t="b">
        <f t="shared" si="115"/>
        <v>0</v>
      </c>
      <c r="J2471" s="33" t="str">
        <f t="shared" si="116"/>
        <v/>
      </c>
    </row>
    <row r="2472" spans="1:10">
      <c r="A2472" s="19" t="s">
        <v>363</v>
      </c>
      <c r="B2472" s="20">
        <v>46023</v>
      </c>
      <c r="C2472" s="21">
        <v>155.40000000000006</v>
      </c>
      <c r="D2472" s="21">
        <v>104.87666666666668</v>
      </c>
      <c r="E2472" s="21">
        <v>1.9100000000000001</v>
      </c>
      <c r="F2472" s="27">
        <f t="shared" si="114"/>
        <v>0.67488202488202464</v>
      </c>
      <c r="G2472" s="21" t="str">
        <f>IFERROR(INDEX(Users!$A$2:$A$310,MATCH(A2472,Users!$B$2:$B$310,0)),"")</f>
        <v>Service B</v>
      </c>
      <c r="H2472" s="21" t="str">
        <f>IFERROR(INDEX(Users!$D$2:$D$310,MATCH(A2472,Users!$B$2:$B$310,0)),"")</f>
        <v>Band 3</v>
      </c>
      <c r="I2472" s="19" t="b">
        <f t="shared" si="115"/>
        <v>0</v>
      </c>
      <c r="J2472" s="33" t="str">
        <f t="shared" si="116"/>
        <v/>
      </c>
    </row>
    <row r="2473" spans="1:10">
      <c r="A2473" s="19" t="s">
        <v>364</v>
      </c>
      <c r="B2473" s="20">
        <v>45962</v>
      </c>
      <c r="C2473" s="21">
        <v>148</v>
      </c>
      <c r="D2473" s="21"/>
      <c r="E2473" s="21"/>
      <c r="F2473" s="27" t="str">
        <f t="shared" si="114"/>
        <v/>
      </c>
      <c r="G2473" s="21" t="str">
        <f>IFERROR(INDEX(Users!$A$2:$A$310,MATCH(A2473,Users!$B$2:$B$310,0)),"")</f>
        <v>Service A</v>
      </c>
      <c r="H2473" s="21" t="str">
        <f>IFERROR(INDEX(Users!$D$2:$D$310,MATCH(A2473,Users!$B$2:$B$310,0)),"")</f>
        <v>Band 3</v>
      </c>
      <c r="I2473" s="19" t="b">
        <f t="shared" si="115"/>
        <v>1</v>
      </c>
      <c r="J2473" s="33" t="str">
        <f t="shared" si="116"/>
        <v/>
      </c>
    </row>
    <row r="2474" spans="1:10">
      <c r="A2474" s="19" t="s">
        <v>364</v>
      </c>
      <c r="B2474" s="20">
        <v>45992</v>
      </c>
      <c r="C2474" s="21">
        <v>155.4</v>
      </c>
      <c r="D2474" s="21">
        <v>84</v>
      </c>
      <c r="E2474" s="21"/>
      <c r="F2474" s="27">
        <f t="shared" si="114"/>
        <v>0.54054054054054057</v>
      </c>
      <c r="G2474" s="21" t="str">
        <f>IFERROR(INDEX(Users!$A$2:$A$310,MATCH(A2474,Users!$B$2:$B$310,0)),"")</f>
        <v>Service A</v>
      </c>
      <c r="H2474" s="21" t="str">
        <f>IFERROR(INDEX(Users!$D$2:$D$310,MATCH(A2474,Users!$B$2:$B$310,0)),"")</f>
        <v>Band 3</v>
      </c>
      <c r="I2474" s="19" t="b">
        <f t="shared" si="115"/>
        <v>1</v>
      </c>
      <c r="J2474" s="33" t="str">
        <f t="shared" si="116"/>
        <v/>
      </c>
    </row>
    <row r="2475" spans="1:10">
      <c r="A2475" s="19" t="s">
        <v>364</v>
      </c>
      <c r="B2475" s="20">
        <v>46023</v>
      </c>
      <c r="C2475" s="21">
        <v>155.4</v>
      </c>
      <c r="D2475" s="21">
        <v>150.75</v>
      </c>
      <c r="E2475" s="21"/>
      <c r="F2475" s="27">
        <f t="shared" si="114"/>
        <v>0.97007722007722008</v>
      </c>
      <c r="G2475" s="21" t="str">
        <f>IFERROR(INDEX(Users!$A$2:$A$310,MATCH(A2475,Users!$B$2:$B$310,0)),"")</f>
        <v>Service A</v>
      </c>
      <c r="H2475" s="21" t="str">
        <f>IFERROR(INDEX(Users!$D$2:$D$310,MATCH(A2475,Users!$B$2:$B$310,0)),"")</f>
        <v>Band 3</v>
      </c>
      <c r="I2475" s="19" t="b">
        <f t="shared" si="115"/>
        <v>1</v>
      </c>
      <c r="J2475" s="33" t="str">
        <f t="shared" si="116"/>
        <v/>
      </c>
    </row>
    <row r="2476" spans="1:10">
      <c r="A2476" s="19" t="s">
        <v>365</v>
      </c>
      <c r="B2476" s="20">
        <v>45931</v>
      </c>
      <c r="C2476" s="21">
        <v>148</v>
      </c>
      <c r="D2476" s="21">
        <v>135.10666666666668</v>
      </c>
      <c r="E2476" s="21">
        <v>44.189999999999984</v>
      </c>
      <c r="F2476" s="27">
        <f t="shared" si="114"/>
        <v>0.912882882882883</v>
      </c>
      <c r="G2476" s="21" t="str">
        <f>IFERROR(INDEX(Users!$A$2:$A$310,MATCH(A2476,Users!$B$2:$B$310,0)),"")</f>
        <v>Service A</v>
      </c>
      <c r="H2476" s="21" t="str">
        <f>IFERROR(INDEX(Users!$D$2:$D$310,MATCH(A2476,Users!$B$2:$B$310,0)),"")</f>
        <v>Band 3</v>
      </c>
      <c r="I2476" s="19" t="b">
        <f t="shared" si="115"/>
        <v>1</v>
      </c>
      <c r="J2476" s="33" t="str">
        <f t="shared" si="116"/>
        <v/>
      </c>
    </row>
    <row r="2477" spans="1:10">
      <c r="A2477" s="19" t="s">
        <v>365</v>
      </c>
      <c r="B2477" s="20">
        <v>45962</v>
      </c>
      <c r="C2477" s="21">
        <v>148</v>
      </c>
      <c r="D2477" s="21">
        <v>149.83000000000001</v>
      </c>
      <c r="E2477" s="21">
        <v>4.83</v>
      </c>
      <c r="F2477" s="27">
        <f t="shared" si="114"/>
        <v>1.0123648648648649</v>
      </c>
      <c r="G2477" s="21" t="str">
        <f>IFERROR(INDEX(Users!$A$2:$A$310,MATCH(A2477,Users!$B$2:$B$310,0)),"")</f>
        <v>Service A</v>
      </c>
      <c r="H2477" s="21" t="str">
        <f>IFERROR(INDEX(Users!$D$2:$D$310,MATCH(A2477,Users!$B$2:$B$310,0)),"")</f>
        <v>Band 3</v>
      </c>
      <c r="I2477" s="19" t="b">
        <f t="shared" si="115"/>
        <v>1</v>
      </c>
      <c r="J2477" s="33" t="str">
        <f t="shared" si="116"/>
        <v/>
      </c>
    </row>
    <row r="2478" spans="1:10">
      <c r="A2478" s="19" t="s">
        <v>365</v>
      </c>
      <c r="B2478" s="20">
        <v>45992</v>
      </c>
      <c r="C2478" s="21">
        <v>155.4</v>
      </c>
      <c r="D2478" s="21">
        <v>108.65</v>
      </c>
      <c r="E2478" s="21"/>
      <c r="F2478" s="27">
        <f t="shared" si="114"/>
        <v>0.69916344916344919</v>
      </c>
      <c r="G2478" s="21" t="str">
        <f>IFERROR(INDEX(Users!$A$2:$A$310,MATCH(A2478,Users!$B$2:$B$310,0)),"")</f>
        <v>Service A</v>
      </c>
      <c r="H2478" s="21" t="str">
        <f>IFERROR(INDEX(Users!$D$2:$D$310,MATCH(A2478,Users!$B$2:$B$310,0)),"")</f>
        <v>Band 3</v>
      </c>
      <c r="I2478" s="19" t="b">
        <f t="shared" si="115"/>
        <v>1</v>
      </c>
      <c r="J2478" s="33" t="str">
        <f t="shared" si="116"/>
        <v/>
      </c>
    </row>
    <row r="2479" spans="1:10">
      <c r="A2479" s="19" t="s">
        <v>365</v>
      </c>
      <c r="B2479" s="20">
        <v>46023</v>
      </c>
      <c r="C2479" s="21">
        <v>155.4</v>
      </c>
      <c r="D2479" s="21">
        <v>150.5</v>
      </c>
      <c r="E2479" s="21">
        <v>7.5</v>
      </c>
      <c r="F2479" s="27">
        <f t="shared" si="114"/>
        <v>0.96846846846846846</v>
      </c>
      <c r="G2479" s="21" t="str">
        <f>IFERROR(INDEX(Users!$A$2:$A$310,MATCH(A2479,Users!$B$2:$B$310,0)),"")</f>
        <v>Service A</v>
      </c>
      <c r="H2479" s="21" t="str">
        <f>IFERROR(INDEX(Users!$D$2:$D$310,MATCH(A2479,Users!$B$2:$B$310,0)),"")</f>
        <v>Band 3</v>
      </c>
      <c r="I2479" s="19" t="b">
        <f t="shared" si="115"/>
        <v>1</v>
      </c>
      <c r="J2479" s="33" t="str">
        <f t="shared" si="116"/>
        <v/>
      </c>
    </row>
    <row r="2480" spans="1:10">
      <c r="A2480" s="19" t="s">
        <v>367</v>
      </c>
      <c r="B2480" s="20">
        <v>46023</v>
      </c>
      <c r="C2480" s="21">
        <v>148.00000000000006</v>
      </c>
      <c r="D2480" s="21">
        <v>97.05</v>
      </c>
      <c r="E2480" s="21">
        <v>3.5</v>
      </c>
      <c r="F2480" s="27">
        <f t="shared" si="114"/>
        <v>0.65574324324324296</v>
      </c>
      <c r="G2480" s="21" t="str">
        <f>IFERROR(INDEX(Users!$A$2:$A$310,MATCH(A2480,Users!$B$2:$B$310,0)),"")</f>
        <v>Service B</v>
      </c>
      <c r="H2480" s="21" t="str">
        <f>IFERROR(INDEX(Users!$D$2:$D$310,MATCH(A2480,Users!$B$2:$B$310,0)),"")</f>
        <v>Band 3</v>
      </c>
      <c r="I2480" s="19" t="b">
        <f t="shared" si="115"/>
        <v>0</v>
      </c>
      <c r="J2480" s="33" t="str">
        <f t="shared" si="116"/>
        <v/>
      </c>
    </row>
    <row r="2481" spans="1:10">
      <c r="A2481" s="19" t="s">
        <v>369</v>
      </c>
      <c r="B2481" s="20">
        <v>45931</v>
      </c>
      <c r="C2481" s="21">
        <v>148</v>
      </c>
      <c r="D2481" s="21">
        <v>112.04666666666668</v>
      </c>
      <c r="E2481" s="21">
        <v>53.630000000000017</v>
      </c>
      <c r="F2481" s="27">
        <f t="shared" si="114"/>
        <v>0.75707207207207217</v>
      </c>
      <c r="G2481" s="21" t="str">
        <f>IFERROR(INDEX(Users!$A$2:$A$310,MATCH(A2481,Users!$B$2:$B$310,0)),"")</f>
        <v>Service A</v>
      </c>
      <c r="H2481" s="21" t="str">
        <f>IFERROR(INDEX(Users!$D$2:$D$310,MATCH(A2481,Users!$B$2:$B$310,0)),"")</f>
        <v>Band 3</v>
      </c>
      <c r="I2481" s="19" t="b">
        <f t="shared" si="115"/>
        <v>1</v>
      </c>
      <c r="J2481" s="33" t="str">
        <f t="shared" si="116"/>
        <v/>
      </c>
    </row>
    <row r="2482" spans="1:10">
      <c r="A2482" s="19" t="s">
        <v>369</v>
      </c>
      <c r="B2482" s="20">
        <v>45962</v>
      </c>
      <c r="C2482" s="21">
        <v>148</v>
      </c>
      <c r="D2482" s="21">
        <v>146.91999999999999</v>
      </c>
      <c r="E2482" s="21">
        <v>11.17</v>
      </c>
      <c r="F2482" s="27">
        <f t="shared" si="114"/>
        <v>0.99270270270270267</v>
      </c>
      <c r="G2482" s="21" t="str">
        <f>IFERROR(INDEX(Users!$A$2:$A$310,MATCH(A2482,Users!$B$2:$B$310,0)),"")</f>
        <v>Service A</v>
      </c>
      <c r="H2482" s="21" t="str">
        <f>IFERROR(INDEX(Users!$D$2:$D$310,MATCH(A2482,Users!$B$2:$B$310,0)),"")</f>
        <v>Band 3</v>
      </c>
      <c r="I2482" s="19" t="b">
        <f t="shared" si="115"/>
        <v>1</v>
      </c>
      <c r="J2482" s="33" t="str">
        <f t="shared" si="116"/>
        <v/>
      </c>
    </row>
    <row r="2483" spans="1:10">
      <c r="A2483" s="19" t="s">
        <v>369</v>
      </c>
      <c r="B2483" s="20">
        <v>45992</v>
      </c>
      <c r="C2483" s="21">
        <v>155.4</v>
      </c>
      <c r="D2483" s="21">
        <v>103.66666666666667</v>
      </c>
      <c r="E2483" s="21">
        <v>5</v>
      </c>
      <c r="F2483" s="27">
        <f t="shared" si="114"/>
        <v>0.66709566709566714</v>
      </c>
      <c r="G2483" s="21" t="str">
        <f>IFERROR(INDEX(Users!$A$2:$A$310,MATCH(A2483,Users!$B$2:$B$310,0)),"")</f>
        <v>Service A</v>
      </c>
      <c r="H2483" s="21" t="str">
        <f>IFERROR(INDEX(Users!$D$2:$D$310,MATCH(A2483,Users!$B$2:$B$310,0)),"")</f>
        <v>Band 3</v>
      </c>
      <c r="I2483" s="19" t="b">
        <f t="shared" si="115"/>
        <v>1</v>
      </c>
      <c r="J2483" s="33" t="str">
        <f t="shared" si="116"/>
        <v/>
      </c>
    </row>
    <row r="2484" spans="1:10">
      <c r="A2484" s="19" t="s">
        <v>369</v>
      </c>
      <c r="B2484" s="20">
        <v>46023</v>
      </c>
      <c r="C2484" s="21">
        <v>155.4</v>
      </c>
      <c r="D2484" s="21">
        <v>147.08666666666662</v>
      </c>
      <c r="E2484" s="21">
        <v>10.67</v>
      </c>
      <c r="F2484" s="27">
        <f t="shared" si="114"/>
        <v>0.94650364650364616</v>
      </c>
      <c r="G2484" s="21" t="str">
        <f>IFERROR(INDEX(Users!$A$2:$A$310,MATCH(A2484,Users!$B$2:$B$310,0)),"")</f>
        <v>Service A</v>
      </c>
      <c r="H2484" s="21" t="str">
        <f>IFERROR(INDEX(Users!$D$2:$D$310,MATCH(A2484,Users!$B$2:$B$310,0)),"")</f>
        <v>Band 3</v>
      </c>
      <c r="I2484" s="19" t="b">
        <f t="shared" si="115"/>
        <v>1</v>
      </c>
      <c r="J2484" s="33" t="str">
        <f t="shared" si="116"/>
        <v/>
      </c>
    </row>
    <row r="2485" spans="1:10">
      <c r="A2485" s="19" t="s">
        <v>370</v>
      </c>
      <c r="B2485" s="20">
        <v>46023</v>
      </c>
      <c r="C2485" s="21">
        <v>148.00000000000006</v>
      </c>
      <c r="D2485" s="21">
        <v>148.00000000000003</v>
      </c>
      <c r="E2485" s="21"/>
      <c r="F2485" s="27">
        <f t="shared" si="114"/>
        <v>0.99999999999999978</v>
      </c>
      <c r="G2485" s="21" t="str">
        <f>IFERROR(INDEX(Users!$A$2:$A$310,MATCH(A2485,Users!$B$2:$B$310,0)),"")</f>
        <v>Service B</v>
      </c>
      <c r="H2485" s="21" t="str">
        <f>IFERROR(INDEX(Users!$D$2:$D$310,MATCH(A2485,Users!$B$2:$B$310,0)),"")</f>
        <v>Band 3</v>
      </c>
      <c r="I2485" s="19" t="b">
        <f t="shared" si="115"/>
        <v>0</v>
      </c>
      <c r="J2485" s="33" t="str">
        <f t="shared" si="116"/>
        <v/>
      </c>
    </row>
    <row r="2486" spans="1:10">
      <c r="A2486" s="19" t="s">
        <v>371</v>
      </c>
      <c r="B2486" s="20">
        <v>45992</v>
      </c>
      <c r="C2486" s="21">
        <v>155.40000000000006</v>
      </c>
      <c r="D2486" s="21">
        <v>5.75</v>
      </c>
      <c r="E2486" s="21">
        <v>5.75</v>
      </c>
      <c r="F2486" s="27">
        <f t="shared" si="114"/>
        <v>3.7001287001286985E-2</v>
      </c>
      <c r="G2486" s="21" t="str">
        <f>IFERROR(INDEX(Users!$A$2:$A$310,MATCH(A2486,Users!$B$2:$B$310,0)),"")</f>
        <v>Service B</v>
      </c>
      <c r="H2486" s="21" t="str">
        <f>IFERROR(INDEX(Users!$D$2:$D$310,MATCH(A2486,Users!$B$2:$B$310,0)),"")</f>
        <v>Band 3</v>
      </c>
      <c r="I2486" s="19" t="b">
        <f t="shared" si="115"/>
        <v>0</v>
      </c>
      <c r="J2486" s="33">
        <f t="shared" si="116"/>
        <v>3.7001287001286985E-2</v>
      </c>
    </row>
    <row r="2487" spans="1:10">
      <c r="A2487" s="19" t="s">
        <v>371</v>
      </c>
      <c r="B2487" s="20">
        <v>46023</v>
      </c>
      <c r="C2487" s="21">
        <v>155.40000000000006</v>
      </c>
      <c r="D2487" s="21">
        <v>117.91666666666669</v>
      </c>
      <c r="E2487" s="21">
        <v>9</v>
      </c>
      <c r="F2487" s="27">
        <f t="shared" si="114"/>
        <v>0.7587945087945086</v>
      </c>
      <c r="G2487" s="21" t="str">
        <f>IFERROR(INDEX(Users!$A$2:$A$310,MATCH(A2487,Users!$B$2:$B$310,0)),"")</f>
        <v>Service B</v>
      </c>
      <c r="H2487" s="21" t="str">
        <f>IFERROR(INDEX(Users!$D$2:$D$310,MATCH(A2487,Users!$B$2:$B$310,0)),"")</f>
        <v>Band 3</v>
      </c>
      <c r="I2487" s="19" t="b">
        <f t="shared" si="115"/>
        <v>0</v>
      </c>
      <c r="J2487" s="33" t="str">
        <f t="shared" si="116"/>
        <v/>
      </c>
    </row>
    <row r="2488" spans="1:10">
      <c r="A2488" s="19" t="s">
        <v>372</v>
      </c>
      <c r="B2488" s="20">
        <v>45962</v>
      </c>
      <c r="C2488" s="21">
        <v>148.00000000000006</v>
      </c>
      <c r="D2488" s="21"/>
      <c r="E2488" s="21"/>
      <c r="F2488" s="27" t="str">
        <f t="shared" si="114"/>
        <v/>
      </c>
      <c r="G2488" s="21" t="str">
        <f>IFERROR(INDEX(Users!$A$2:$A$310,MATCH(A2488,Users!$B$2:$B$310,0)),"")</f>
        <v>Service B</v>
      </c>
      <c r="H2488" s="21" t="str">
        <f>IFERROR(INDEX(Users!$D$2:$D$310,MATCH(A2488,Users!$B$2:$B$310,0)),"")</f>
        <v>Band 3</v>
      </c>
      <c r="I2488" s="19" t="b">
        <f t="shared" si="115"/>
        <v>0</v>
      </c>
      <c r="J2488" s="33" t="str">
        <f t="shared" si="116"/>
        <v/>
      </c>
    </row>
    <row r="2489" spans="1:10">
      <c r="A2489" s="19" t="s">
        <v>372</v>
      </c>
      <c r="B2489" s="20">
        <v>45992</v>
      </c>
      <c r="C2489" s="21">
        <v>155.40000000000006</v>
      </c>
      <c r="D2489" s="21">
        <v>0.42</v>
      </c>
      <c r="E2489" s="21">
        <v>0.42</v>
      </c>
      <c r="F2489" s="27">
        <f t="shared" si="114"/>
        <v>2.7027027027027016E-3</v>
      </c>
      <c r="G2489" s="21" t="str">
        <f>IFERROR(INDEX(Users!$A$2:$A$310,MATCH(A2489,Users!$B$2:$B$310,0)),"")</f>
        <v>Service B</v>
      </c>
      <c r="H2489" s="21" t="str">
        <f>IFERROR(INDEX(Users!$D$2:$D$310,MATCH(A2489,Users!$B$2:$B$310,0)),"")</f>
        <v>Band 3</v>
      </c>
      <c r="I2489" s="19" t="b">
        <f t="shared" si="115"/>
        <v>0</v>
      </c>
      <c r="J2489" s="33">
        <f t="shared" si="116"/>
        <v>2.7027027027027016E-3</v>
      </c>
    </row>
    <row r="2490" spans="1:10">
      <c r="A2490" s="19" t="s">
        <v>372</v>
      </c>
      <c r="B2490" s="20">
        <v>46023</v>
      </c>
      <c r="C2490" s="21">
        <v>155.40000000000006</v>
      </c>
      <c r="D2490" s="21">
        <v>144.90777777777777</v>
      </c>
      <c r="E2490" s="21">
        <v>56.569999999999993</v>
      </c>
      <c r="F2490" s="27">
        <f t="shared" si="114"/>
        <v>0.932482482482482</v>
      </c>
      <c r="G2490" s="21" t="str">
        <f>IFERROR(INDEX(Users!$A$2:$A$310,MATCH(A2490,Users!$B$2:$B$310,0)),"")</f>
        <v>Service B</v>
      </c>
      <c r="H2490" s="21" t="str">
        <f>IFERROR(INDEX(Users!$D$2:$D$310,MATCH(A2490,Users!$B$2:$B$310,0)),"")</f>
        <v>Band 3</v>
      </c>
      <c r="I2490" s="19" t="b">
        <f t="shared" si="115"/>
        <v>0</v>
      </c>
      <c r="J2490" s="33" t="str">
        <f t="shared" si="116"/>
        <v/>
      </c>
    </row>
    <row r="2491" spans="1:10">
      <c r="A2491" s="19" t="s">
        <v>373</v>
      </c>
      <c r="B2491" s="20">
        <v>45962</v>
      </c>
      <c r="C2491" s="21">
        <v>37</v>
      </c>
      <c r="D2491" s="21"/>
      <c r="E2491" s="21"/>
      <c r="F2491" s="27" t="str">
        <f t="shared" si="114"/>
        <v/>
      </c>
      <c r="G2491" s="21" t="str">
        <f>IFERROR(INDEX(Users!$A$2:$A$310,MATCH(A2491,Users!$B$2:$B$310,0)),"")</f>
        <v>Service B</v>
      </c>
      <c r="H2491" s="21" t="str">
        <f>IFERROR(INDEX(Users!$D$2:$D$310,MATCH(A2491,Users!$B$2:$B$310,0)),"")</f>
        <v>Band 3</v>
      </c>
      <c r="I2491" s="19" t="b">
        <f t="shared" si="115"/>
        <v>0</v>
      </c>
      <c r="J2491" s="33" t="str">
        <f t="shared" si="116"/>
        <v/>
      </c>
    </row>
    <row r="2492" spans="1:10">
      <c r="A2492" s="19" t="s">
        <v>374</v>
      </c>
      <c r="B2492" s="20">
        <v>45992</v>
      </c>
      <c r="C2492" s="21">
        <v>155.40000000000006</v>
      </c>
      <c r="D2492" s="21">
        <v>130.33333333333334</v>
      </c>
      <c r="E2492" s="21"/>
      <c r="F2492" s="27">
        <f t="shared" si="114"/>
        <v>0.83869583869583841</v>
      </c>
      <c r="G2492" s="21" t="str">
        <f>IFERROR(INDEX(Users!$A$2:$A$310,MATCH(A2492,Users!$B$2:$B$310,0)),"")</f>
        <v>Service B</v>
      </c>
      <c r="H2492" s="21" t="str">
        <f>IFERROR(INDEX(Users!$D$2:$D$310,MATCH(A2492,Users!$B$2:$B$310,0)),"")</f>
        <v>Band 3</v>
      </c>
      <c r="I2492" s="19" t="b">
        <f t="shared" si="115"/>
        <v>0</v>
      </c>
      <c r="J2492" s="33">
        <f t="shared" si="116"/>
        <v>0.83869583869583841</v>
      </c>
    </row>
    <row r="2493" spans="1:10">
      <c r="A2493" s="19" t="s">
        <v>374</v>
      </c>
      <c r="B2493" s="20">
        <v>46023</v>
      </c>
      <c r="C2493" s="21">
        <v>155.40000000000006</v>
      </c>
      <c r="D2493" s="21">
        <v>144.06666666666669</v>
      </c>
      <c r="E2493" s="21">
        <v>10.75</v>
      </c>
      <c r="F2493" s="27">
        <f t="shared" si="114"/>
        <v>0.92706992706992686</v>
      </c>
      <c r="G2493" s="21" t="str">
        <f>IFERROR(INDEX(Users!$A$2:$A$310,MATCH(A2493,Users!$B$2:$B$310,0)),"")</f>
        <v>Service B</v>
      </c>
      <c r="H2493" s="21" t="str">
        <f>IFERROR(INDEX(Users!$D$2:$D$310,MATCH(A2493,Users!$B$2:$B$310,0)),"")</f>
        <v>Band 3</v>
      </c>
      <c r="I2493" s="19" t="b">
        <f t="shared" si="115"/>
        <v>0</v>
      </c>
      <c r="J2493" s="33" t="str">
        <f t="shared" si="116"/>
        <v/>
      </c>
    </row>
    <row r="2494" spans="1:10">
      <c r="A2494" s="19" t="s">
        <v>375</v>
      </c>
      <c r="B2494" s="20">
        <v>45962</v>
      </c>
      <c r="C2494" s="21"/>
      <c r="D2494" s="21">
        <v>55.336666666666673</v>
      </c>
      <c r="E2494" s="21">
        <v>28.42</v>
      </c>
      <c r="F2494" s="27" t="str">
        <f t="shared" si="114"/>
        <v/>
      </c>
      <c r="G2494" s="21" t="str">
        <f>IFERROR(INDEX(Users!$A$2:$A$310,MATCH(A2494,Users!$B$2:$B$310,0)),"")</f>
        <v>Service B</v>
      </c>
      <c r="H2494" s="21" t="str">
        <f>IFERROR(INDEX(Users!$D$2:$D$310,MATCH(A2494,Users!$B$2:$B$310,0)),"")</f>
        <v>Band 3</v>
      </c>
      <c r="I2494" s="19" t="b">
        <f t="shared" si="115"/>
        <v>0</v>
      </c>
      <c r="J2494" s="33" t="str">
        <f t="shared" si="116"/>
        <v/>
      </c>
    </row>
    <row r="2495" spans="1:10">
      <c r="A2495" s="19" t="s">
        <v>375</v>
      </c>
      <c r="B2495" s="20">
        <v>45992</v>
      </c>
      <c r="C2495" s="21">
        <v>22.200000000000003</v>
      </c>
      <c r="D2495" s="21">
        <v>11.850000000000001</v>
      </c>
      <c r="E2495" s="21">
        <v>11.850000000000001</v>
      </c>
      <c r="F2495" s="27">
        <f t="shared" si="114"/>
        <v>0.53378378378378377</v>
      </c>
      <c r="G2495" s="21" t="str">
        <f>IFERROR(INDEX(Users!$A$2:$A$310,MATCH(A2495,Users!$B$2:$B$310,0)),"")</f>
        <v>Service B</v>
      </c>
      <c r="H2495" s="21" t="str">
        <f>IFERROR(INDEX(Users!$D$2:$D$310,MATCH(A2495,Users!$B$2:$B$310,0)),"")</f>
        <v>Band 3</v>
      </c>
      <c r="I2495" s="19" t="b">
        <f t="shared" si="115"/>
        <v>0</v>
      </c>
      <c r="J2495" s="33">
        <f t="shared" si="116"/>
        <v>0.53378378378378377</v>
      </c>
    </row>
    <row r="2496" spans="1:10">
      <c r="A2496" s="19" t="s">
        <v>375</v>
      </c>
      <c r="B2496" s="20">
        <v>46023</v>
      </c>
      <c r="C2496" s="21">
        <v>155.40000000000006</v>
      </c>
      <c r="D2496" s="21">
        <v>3.4399999999999995</v>
      </c>
      <c r="E2496" s="21">
        <v>3.4399999999999995</v>
      </c>
      <c r="F2496" s="27">
        <f t="shared" si="114"/>
        <v>2.2136422136422123E-2</v>
      </c>
      <c r="G2496" s="21" t="str">
        <f>IFERROR(INDEX(Users!$A$2:$A$310,MATCH(A2496,Users!$B$2:$B$310,0)),"")</f>
        <v>Service B</v>
      </c>
      <c r="H2496" s="21" t="str">
        <f>IFERROR(INDEX(Users!$D$2:$D$310,MATCH(A2496,Users!$B$2:$B$310,0)),"")</f>
        <v>Band 3</v>
      </c>
      <c r="I2496" s="19" t="b">
        <f t="shared" si="115"/>
        <v>0</v>
      </c>
      <c r="J2496" s="33" t="str">
        <f t="shared" si="116"/>
        <v/>
      </c>
    </row>
    <row r="2497" spans="1:10">
      <c r="A2497" s="19" t="s">
        <v>377</v>
      </c>
      <c r="B2497" s="20">
        <v>45962</v>
      </c>
      <c r="C2497" s="21">
        <v>148</v>
      </c>
      <c r="D2497" s="21"/>
      <c r="E2497" s="21"/>
      <c r="F2497" s="27" t="str">
        <f t="shared" si="114"/>
        <v/>
      </c>
      <c r="G2497" s="21" t="str">
        <f>IFERROR(INDEX(Users!$A$2:$A$310,MATCH(A2497,Users!$B$2:$B$310,0)),"")</f>
        <v>Service A</v>
      </c>
      <c r="H2497" s="21" t="str">
        <f>IFERROR(INDEX(Users!$D$2:$D$310,MATCH(A2497,Users!$B$2:$B$310,0)),"")</f>
        <v>Band 3</v>
      </c>
      <c r="I2497" s="19" t="b">
        <f t="shared" si="115"/>
        <v>1</v>
      </c>
      <c r="J2497" s="33" t="str">
        <f t="shared" si="116"/>
        <v/>
      </c>
    </row>
    <row r="2498" spans="1:10">
      <c r="A2498" s="19" t="s">
        <v>377</v>
      </c>
      <c r="B2498" s="20">
        <v>45992</v>
      </c>
      <c r="C2498" s="21">
        <v>155.4</v>
      </c>
      <c r="D2498" s="21">
        <v>59.202222222222218</v>
      </c>
      <c r="E2498" s="21"/>
      <c r="F2498" s="27">
        <f t="shared" ref="F2498:F2540" si="117">IFERROR(IF(OR(C2498="",D2498="",C2498=0),"",D2498/C2498),"")</f>
        <v>0.3809666809666809</v>
      </c>
      <c r="G2498" s="21" t="str">
        <f>IFERROR(INDEX(Users!$A$2:$A$310,MATCH(A2498,Users!$B$2:$B$310,0)),"")</f>
        <v>Service A</v>
      </c>
      <c r="H2498" s="21" t="str">
        <f>IFERROR(INDEX(Users!$D$2:$D$310,MATCH(A2498,Users!$B$2:$B$310,0)),"")</f>
        <v>Band 3</v>
      </c>
      <c r="I2498" s="19" t="b">
        <f t="shared" ref="I2498:I2561" si="118">AND(G2498="Service A",H2498="Band 3")</f>
        <v>1</v>
      </c>
      <c r="J2498" s="33" t="str">
        <f t="shared" ref="J2498:J2540" si="119">IF(AND(B2498&gt;=DATE(2025,1,1),B2498&lt;DATE(2026,1,1),G2498="Service B",OR(H2498="Band 3",H2498="Band 5"),ISNUMBER(F2498)),F2498,"")</f>
        <v/>
      </c>
    </row>
    <row r="2499" spans="1:10">
      <c r="A2499" s="19" t="s">
        <v>377</v>
      </c>
      <c r="B2499" s="20">
        <v>46023</v>
      </c>
      <c r="C2499" s="21">
        <v>155.4</v>
      </c>
      <c r="D2499" s="21"/>
      <c r="E2499" s="21"/>
      <c r="F2499" s="27" t="str">
        <f t="shared" si="117"/>
        <v/>
      </c>
      <c r="G2499" s="21" t="str">
        <f>IFERROR(INDEX(Users!$A$2:$A$310,MATCH(A2499,Users!$B$2:$B$310,0)),"")</f>
        <v>Service A</v>
      </c>
      <c r="H2499" s="21" t="str">
        <f>IFERROR(INDEX(Users!$D$2:$D$310,MATCH(A2499,Users!$B$2:$B$310,0)),"")</f>
        <v>Band 3</v>
      </c>
      <c r="I2499" s="19" t="b">
        <f t="shared" si="118"/>
        <v>1</v>
      </c>
      <c r="J2499" s="33" t="str">
        <f t="shared" si="119"/>
        <v/>
      </c>
    </row>
    <row r="2500" spans="1:10">
      <c r="A2500" s="19" t="s">
        <v>378</v>
      </c>
      <c r="B2500" s="20">
        <v>45962</v>
      </c>
      <c r="C2500" s="21">
        <v>148</v>
      </c>
      <c r="D2500" s="21">
        <v>140.93000000000006</v>
      </c>
      <c r="E2500" s="21">
        <v>0.33</v>
      </c>
      <c r="F2500" s="27">
        <f t="shared" si="117"/>
        <v>0.95222972972973019</v>
      </c>
      <c r="G2500" s="21" t="str">
        <f>IFERROR(INDEX(Users!$A$2:$A$310,MATCH(A2500,Users!$B$2:$B$310,0)),"")</f>
        <v>Service B</v>
      </c>
      <c r="H2500" s="21" t="str">
        <f>IFERROR(INDEX(Users!$D$2:$D$310,MATCH(A2500,Users!$B$2:$B$310,0)),"")</f>
        <v>Band 3</v>
      </c>
      <c r="I2500" s="19" t="b">
        <f t="shared" si="118"/>
        <v>0</v>
      </c>
      <c r="J2500" s="33">
        <f t="shared" si="119"/>
        <v>0.95222972972973019</v>
      </c>
    </row>
    <row r="2501" spans="1:10">
      <c r="A2501" s="19" t="s">
        <v>378</v>
      </c>
      <c r="B2501" s="20">
        <v>45992</v>
      </c>
      <c r="C2501" s="21">
        <v>155.4</v>
      </c>
      <c r="D2501" s="21">
        <v>139.83333333333337</v>
      </c>
      <c r="E2501" s="21">
        <v>10.500000000000002</v>
      </c>
      <c r="F2501" s="27">
        <f t="shared" si="117"/>
        <v>0.89982839982840002</v>
      </c>
      <c r="G2501" s="21" t="str">
        <f>IFERROR(INDEX(Users!$A$2:$A$310,MATCH(A2501,Users!$B$2:$B$310,0)),"")</f>
        <v>Service B</v>
      </c>
      <c r="H2501" s="21" t="str">
        <f>IFERROR(INDEX(Users!$D$2:$D$310,MATCH(A2501,Users!$B$2:$B$310,0)),"")</f>
        <v>Band 3</v>
      </c>
      <c r="I2501" s="19" t="b">
        <f t="shared" si="118"/>
        <v>0</v>
      </c>
      <c r="J2501" s="33">
        <f t="shared" si="119"/>
        <v>0.89982839982840002</v>
      </c>
    </row>
    <row r="2502" spans="1:10">
      <c r="A2502" s="19" t="s">
        <v>378</v>
      </c>
      <c r="B2502" s="20">
        <v>46023</v>
      </c>
      <c r="C2502" s="21">
        <v>155.4</v>
      </c>
      <c r="D2502" s="21">
        <v>129.86333333333334</v>
      </c>
      <c r="E2502" s="21">
        <v>29.530000000000008</v>
      </c>
      <c r="F2502" s="27">
        <f t="shared" si="117"/>
        <v>0.83567138567138566</v>
      </c>
      <c r="G2502" s="21" t="str">
        <f>IFERROR(INDEX(Users!$A$2:$A$310,MATCH(A2502,Users!$B$2:$B$310,0)),"")</f>
        <v>Service B</v>
      </c>
      <c r="H2502" s="21" t="str">
        <f>IFERROR(INDEX(Users!$D$2:$D$310,MATCH(A2502,Users!$B$2:$B$310,0)),"")</f>
        <v>Band 3</v>
      </c>
      <c r="I2502" s="19" t="b">
        <f t="shared" si="118"/>
        <v>0</v>
      </c>
      <c r="J2502" s="33" t="str">
        <f t="shared" si="119"/>
        <v/>
      </c>
    </row>
    <row r="2503" spans="1:10">
      <c r="A2503" s="19" t="s">
        <v>379</v>
      </c>
      <c r="B2503" s="20">
        <v>45962</v>
      </c>
      <c r="C2503" s="21">
        <v>148.00000000000006</v>
      </c>
      <c r="D2503" s="21">
        <v>74</v>
      </c>
      <c r="E2503" s="21"/>
      <c r="F2503" s="27">
        <f t="shared" si="117"/>
        <v>0.49999999999999983</v>
      </c>
      <c r="G2503" s="21" t="str">
        <f>IFERROR(INDEX(Users!$A$2:$A$310,MATCH(A2503,Users!$B$2:$B$310,0)),"")</f>
        <v>Service B</v>
      </c>
      <c r="H2503" s="21" t="str">
        <f>IFERROR(INDEX(Users!$D$2:$D$310,MATCH(A2503,Users!$B$2:$B$310,0)),"")</f>
        <v>Band 3</v>
      </c>
      <c r="I2503" s="19" t="b">
        <f t="shared" si="118"/>
        <v>0</v>
      </c>
      <c r="J2503" s="33">
        <f t="shared" si="119"/>
        <v>0.49999999999999983</v>
      </c>
    </row>
    <row r="2504" spans="1:10">
      <c r="A2504" s="19" t="s">
        <v>379</v>
      </c>
      <c r="B2504" s="20">
        <v>45992</v>
      </c>
      <c r="C2504" s="21">
        <v>155.40000000000006</v>
      </c>
      <c r="D2504" s="21">
        <v>97.333333333333329</v>
      </c>
      <c r="E2504" s="21">
        <v>3</v>
      </c>
      <c r="F2504" s="27">
        <f t="shared" si="117"/>
        <v>0.62634062634062604</v>
      </c>
      <c r="G2504" s="21" t="str">
        <f>IFERROR(INDEX(Users!$A$2:$A$310,MATCH(A2504,Users!$B$2:$B$310,0)),"")</f>
        <v>Service B</v>
      </c>
      <c r="H2504" s="21" t="str">
        <f>IFERROR(INDEX(Users!$D$2:$D$310,MATCH(A2504,Users!$B$2:$B$310,0)),"")</f>
        <v>Band 3</v>
      </c>
      <c r="I2504" s="19" t="b">
        <f t="shared" si="118"/>
        <v>0</v>
      </c>
      <c r="J2504" s="33">
        <f t="shared" si="119"/>
        <v>0.62634062634062604</v>
      </c>
    </row>
    <row r="2505" spans="1:10">
      <c r="A2505" s="19" t="s">
        <v>379</v>
      </c>
      <c r="B2505" s="20">
        <v>46023</v>
      </c>
      <c r="C2505" s="21">
        <v>155.40000000000006</v>
      </c>
      <c r="D2505" s="21">
        <v>167.83333333333337</v>
      </c>
      <c r="E2505" s="21">
        <v>27.500000000000007</v>
      </c>
      <c r="F2505" s="27">
        <f t="shared" si="117"/>
        <v>1.0800085800085799</v>
      </c>
      <c r="G2505" s="21" t="str">
        <f>IFERROR(INDEX(Users!$A$2:$A$310,MATCH(A2505,Users!$B$2:$B$310,0)),"")</f>
        <v>Service B</v>
      </c>
      <c r="H2505" s="21" t="str">
        <f>IFERROR(INDEX(Users!$D$2:$D$310,MATCH(A2505,Users!$B$2:$B$310,0)),"")</f>
        <v>Band 3</v>
      </c>
      <c r="I2505" s="19" t="b">
        <f t="shared" si="118"/>
        <v>0</v>
      </c>
      <c r="J2505" s="33" t="str">
        <f t="shared" si="119"/>
        <v/>
      </c>
    </row>
    <row r="2506" spans="1:10">
      <c r="A2506" s="19" t="s">
        <v>380</v>
      </c>
      <c r="B2506" s="20">
        <v>45992</v>
      </c>
      <c r="C2506" s="21">
        <v>155.40000000000006</v>
      </c>
      <c r="D2506" s="21"/>
      <c r="E2506" s="21"/>
      <c r="F2506" s="27" t="str">
        <f t="shared" si="117"/>
        <v/>
      </c>
      <c r="G2506" s="21" t="str">
        <f>IFERROR(INDEX(Users!$A$2:$A$310,MATCH(A2506,Users!$B$2:$B$310,0)),"")</f>
        <v>Service B</v>
      </c>
      <c r="H2506" s="21" t="str">
        <f>IFERROR(INDEX(Users!$D$2:$D$310,MATCH(A2506,Users!$B$2:$B$310,0)),"")</f>
        <v>Band 3</v>
      </c>
      <c r="I2506" s="19" t="b">
        <f t="shared" si="118"/>
        <v>0</v>
      </c>
      <c r="J2506" s="33" t="str">
        <f t="shared" si="119"/>
        <v/>
      </c>
    </row>
    <row r="2507" spans="1:10">
      <c r="A2507" s="19" t="s">
        <v>380</v>
      </c>
      <c r="B2507" s="20">
        <v>46023</v>
      </c>
      <c r="C2507" s="21">
        <v>155.40000000000006</v>
      </c>
      <c r="D2507" s="21">
        <v>40.774999999999999</v>
      </c>
      <c r="E2507" s="21">
        <v>20.75</v>
      </c>
      <c r="F2507" s="27">
        <f t="shared" si="117"/>
        <v>0.26238738738738726</v>
      </c>
      <c r="G2507" s="21" t="str">
        <f>IFERROR(INDEX(Users!$A$2:$A$310,MATCH(A2507,Users!$B$2:$B$310,0)),"")</f>
        <v>Service B</v>
      </c>
      <c r="H2507" s="21" t="str">
        <f>IFERROR(INDEX(Users!$D$2:$D$310,MATCH(A2507,Users!$B$2:$B$310,0)),"")</f>
        <v>Band 3</v>
      </c>
      <c r="I2507" s="19" t="b">
        <f t="shared" si="118"/>
        <v>0</v>
      </c>
      <c r="J2507" s="33" t="str">
        <f t="shared" si="119"/>
        <v/>
      </c>
    </row>
    <row r="2508" spans="1:10">
      <c r="A2508" s="19" t="s">
        <v>381</v>
      </c>
      <c r="B2508" s="20">
        <v>45992</v>
      </c>
      <c r="C2508" s="21">
        <v>118.4</v>
      </c>
      <c r="D2508" s="21"/>
      <c r="E2508" s="21"/>
      <c r="F2508" s="27" t="str">
        <f t="shared" si="117"/>
        <v/>
      </c>
      <c r="G2508" s="21" t="str">
        <f>IFERROR(INDEX(Users!$A$2:$A$310,MATCH(A2508,Users!$B$2:$B$310,0)),"")</f>
        <v>Service A</v>
      </c>
      <c r="H2508" s="21" t="str">
        <f>IFERROR(INDEX(Users!$D$2:$D$310,MATCH(A2508,Users!$B$2:$B$310,0)),"")</f>
        <v>Band 3</v>
      </c>
      <c r="I2508" s="19" t="b">
        <f t="shared" si="118"/>
        <v>1</v>
      </c>
      <c r="J2508" s="33" t="str">
        <f t="shared" si="119"/>
        <v/>
      </c>
    </row>
    <row r="2509" spans="1:10">
      <c r="A2509" s="19" t="s">
        <v>381</v>
      </c>
      <c r="B2509" s="20">
        <v>46023</v>
      </c>
      <c r="C2509" s="21">
        <v>155.4</v>
      </c>
      <c r="D2509" s="21"/>
      <c r="E2509" s="21"/>
      <c r="F2509" s="27" t="str">
        <f t="shared" si="117"/>
        <v/>
      </c>
      <c r="G2509" s="21" t="str">
        <f>IFERROR(INDEX(Users!$A$2:$A$310,MATCH(A2509,Users!$B$2:$B$310,0)),"")</f>
        <v>Service A</v>
      </c>
      <c r="H2509" s="21" t="str">
        <f>IFERROR(INDEX(Users!$D$2:$D$310,MATCH(A2509,Users!$B$2:$B$310,0)),"")</f>
        <v>Band 3</v>
      </c>
      <c r="I2509" s="19" t="b">
        <f t="shared" si="118"/>
        <v>1</v>
      </c>
      <c r="J2509" s="33" t="str">
        <f t="shared" si="119"/>
        <v/>
      </c>
    </row>
    <row r="2510" spans="1:10">
      <c r="A2510" s="19" t="s">
        <v>382</v>
      </c>
      <c r="B2510" s="20">
        <v>45962</v>
      </c>
      <c r="C2510" s="21">
        <v>148</v>
      </c>
      <c r="D2510" s="21"/>
      <c r="E2510" s="21"/>
      <c r="F2510" s="27" t="str">
        <f t="shared" si="117"/>
        <v/>
      </c>
      <c r="G2510" s="21" t="str">
        <f>IFERROR(INDEX(Users!$A$2:$A$310,MATCH(A2510,Users!$B$2:$B$310,0)),"")</f>
        <v>Service A</v>
      </c>
      <c r="H2510" s="21" t="str">
        <f>IFERROR(INDEX(Users!$D$2:$D$310,MATCH(A2510,Users!$B$2:$B$310,0)),"")</f>
        <v>Band 3</v>
      </c>
      <c r="I2510" s="19" t="b">
        <f t="shared" si="118"/>
        <v>1</v>
      </c>
      <c r="J2510" s="33" t="str">
        <f t="shared" si="119"/>
        <v/>
      </c>
    </row>
    <row r="2511" spans="1:10">
      <c r="A2511" s="19" t="s">
        <v>382</v>
      </c>
      <c r="B2511" s="20">
        <v>45992</v>
      </c>
      <c r="C2511" s="21">
        <v>155.4</v>
      </c>
      <c r="D2511" s="21"/>
      <c r="E2511" s="21"/>
      <c r="F2511" s="27" t="str">
        <f t="shared" si="117"/>
        <v/>
      </c>
      <c r="G2511" s="21" t="str">
        <f>IFERROR(INDEX(Users!$A$2:$A$310,MATCH(A2511,Users!$B$2:$B$310,0)),"")</f>
        <v>Service A</v>
      </c>
      <c r="H2511" s="21" t="str">
        <f>IFERROR(INDEX(Users!$D$2:$D$310,MATCH(A2511,Users!$B$2:$B$310,0)),"")</f>
        <v>Band 3</v>
      </c>
      <c r="I2511" s="19" t="b">
        <f t="shared" si="118"/>
        <v>1</v>
      </c>
      <c r="J2511" s="33" t="str">
        <f t="shared" si="119"/>
        <v/>
      </c>
    </row>
    <row r="2512" spans="1:10">
      <c r="A2512" s="19" t="s">
        <v>382</v>
      </c>
      <c r="B2512" s="20">
        <v>46023</v>
      </c>
      <c r="C2512" s="21">
        <v>155.4</v>
      </c>
      <c r="D2512" s="21"/>
      <c r="E2512" s="21"/>
      <c r="F2512" s="27" t="str">
        <f t="shared" si="117"/>
        <v/>
      </c>
      <c r="G2512" s="21" t="str">
        <f>IFERROR(INDEX(Users!$A$2:$A$310,MATCH(A2512,Users!$B$2:$B$310,0)),"")</f>
        <v>Service A</v>
      </c>
      <c r="H2512" s="21" t="str">
        <f>IFERROR(INDEX(Users!$D$2:$D$310,MATCH(A2512,Users!$B$2:$B$310,0)),"")</f>
        <v>Band 3</v>
      </c>
      <c r="I2512" s="19" t="b">
        <f t="shared" si="118"/>
        <v>1</v>
      </c>
      <c r="J2512" s="33" t="str">
        <f t="shared" si="119"/>
        <v/>
      </c>
    </row>
    <row r="2513" spans="1:10">
      <c r="A2513" s="19" t="s">
        <v>383</v>
      </c>
      <c r="B2513" s="20">
        <v>46023</v>
      </c>
      <c r="C2513" s="21">
        <v>148.00000000000006</v>
      </c>
      <c r="D2513" s="21">
        <v>29.29</v>
      </c>
      <c r="E2513" s="21">
        <v>29.29</v>
      </c>
      <c r="F2513" s="27">
        <f t="shared" si="117"/>
        <v>0.19790540540540533</v>
      </c>
      <c r="G2513" s="21" t="str">
        <f>IFERROR(INDEX(Users!$A$2:$A$310,MATCH(A2513,Users!$B$2:$B$310,0)),"")</f>
        <v>Service B</v>
      </c>
      <c r="H2513" s="21" t="str">
        <f>IFERROR(INDEX(Users!$D$2:$D$310,MATCH(A2513,Users!$B$2:$B$310,0)),"")</f>
        <v>Band 5</v>
      </c>
      <c r="I2513" s="19" t="b">
        <f t="shared" si="118"/>
        <v>0</v>
      </c>
      <c r="J2513" s="33" t="str">
        <f t="shared" si="119"/>
        <v/>
      </c>
    </row>
    <row r="2514" spans="1:10">
      <c r="A2514" s="19" t="s">
        <v>384</v>
      </c>
      <c r="B2514" s="20">
        <v>46023</v>
      </c>
      <c r="C2514" s="21">
        <v>74</v>
      </c>
      <c r="D2514" s="21">
        <v>37.5</v>
      </c>
      <c r="E2514" s="21"/>
      <c r="F2514" s="27">
        <f t="shared" si="117"/>
        <v>0.5067567567567568</v>
      </c>
      <c r="G2514" s="21" t="str">
        <f>IFERROR(INDEX(Users!$A$2:$A$310,MATCH(A2514,Users!$B$2:$B$310,0)),"")</f>
        <v>Service A</v>
      </c>
      <c r="H2514" s="21" t="str">
        <f>IFERROR(INDEX(Users!$D$2:$D$310,MATCH(A2514,Users!$B$2:$B$310,0)),"")</f>
        <v>Band 5</v>
      </c>
      <c r="I2514" s="19" t="b">
        <f t="shared" si="118"/>
        <v>0</v>
      </c>
      <c r="J2514" s="33" t="str">
        <f t="shared" si="119"/>
        <v/>
      </c>
    </row>
    <row r="2515" spans="1:10">
      <c r="A2515" s="19" t="s">
        <v>386</v>
      </c>
      <c r="B2515" s="20">
        <v>46023</v>
      </c>
      <c r="C2515" s="21">
        <v>148.00000000000006</v>
      </c>
      <c r="D2515" s="21">
        <v>0.75</v>
      </c>
      <c r="E2515" s="21">
        <v>0.75</v>
      </c>
      <c r="F2515" s="27">
        <f t="shared" si="117"/>
        <v>5.0675675675675652E-3</v>
      </c>
      <c r="G2515" s="21" t="str">
        <f>IFERROR(INDEX(Users!$A$2:$A$310,MATCH(A2515,Users!$B$2:$B$310,0)),"")</f>
        <v>Service B</v>
      </c>
      <c r="H2515" s="21" t="str">
        <f>IFERROR(INDEX(Users!$D$2:$D$310,MATCH(A2515,Users!$B$2:$B$310,0)),"")</f>
        <v>Band 5</v>
      </c>
      <c r="I2515" s="19" t="b">
        <f t="shared" si="118"/>
        <v>0</v>
      </c>
      <c r="J2515" s="33" t="str">
        <f t="shared" si="119"/>
        <v/>
      </c>
    </row>
    <row r="2516" spans="1:10">
      <c r="A2516" s="19" t="s">
        <v>387</v>
      </c>
      <c r="B2516" s="20">
        <v>46023</v>
      </c>
      <c r="C2516" s="21">
        <v>148.00000000000006</v>
      </c>
      <c r="D2516" s="21">
        <v>2.25</v>
      </c>
      <c r="E2516" s="21">
        <v>2.25</v>
      </c>
      <c r="F2516" s="27">
        <f t="shared" si="117"/>
        <v>1.5202702702702697E-2</v>
      </c>
      <c r="G2516" s="21" t="str">
        <f>IFERROR(INDEX(Users!$A$2:$A$310,MATCH(A2516,Users!$B$2:$B$310,0)),"")</f>
        <v>Service B</v>
      </c>
      <c r="H2516" s="21" t="str">
        <f>IFERROR(INDEX(Users!$D$2:$D$310,MATCH(A2516,Users!$B$2:$B$310,0)),"")</f>
        <v>Band 5</v>
      </c>
      <c r="I2516" s="19" t="b">
        <f t="shared" si="118"/>
        <v>0</v>
      </c>
      <c r="J2516" s="33" t="str">
        <f t="shared" si="119"/>
        <v/>
      </c>
    </row>
    <row r="2517" spans="1:10">
      <c r="A2517" s="19" t="s">
        <v>388</v>
      </c>
      <c r="B2517" s="20">
        <v>46023</v>
      </c>
      <c r="C2517" s="21">
        <v>148.00000000000006</v>
      </c>
      <c r="D2517" s="21">
        <v>3.33</v>
      </c>
      <c r="E2517" s="21">
        <v>3.33</v>
      </c>
      <c r="F2517" s="27">
        <f t="shared" si="117"/>
        <v>2.2499999999999992E-2</v>
      </c>
      <c r="G2517" s="21" t="str">
        <f>IFERROR(INDEX(Users!$A$2:$A$310,MATCH(A2517,Users!$B$2:$B$310,0)),"")</f>
        <v>Service B</v>
      </c>
      <c r="H2517" s="21" t="str">
        <f>IFERROR(INDEX(Users!$D$2:$D$310,MATCH(A2517,Users!$B$2:$B$310,0)),"")</f>
        <v>Band 5</v>
      </c>
      <c r="I2517" s="19" t="b">
        <f t="shared" si="118"/>
        <v>0</v>
      </c>
      <c r="J2517" s="33" t="str">
        <f t="shared" si="119"/>
        <v/>
      </c>
    </row>
    <row r="2518" spans="1:10">
      <c r="A2518" s="19" t="s">
        <v>389</v>
      </c>
      <c r="B2518" s="20">
        <v>46023</v>
      </c>
      <c r="C2518" s="21">
        <v>148.00000000000006</v>
      </c>
      <c r="D2518" s="21">
        <v>39.643333333333331</v>
      </c>
      <c r="E2518" s="21">
        <v>13.709999999999999</v>
      </c>
      <c r="F2518" s="27">
        <f t="shared" si="117"/>
        <v>0.26786036036036026</v>
      </c>
      <c r="G2518" s="21" t="str">
        <f>IFERROR(INDEX(Users!$A$2:$A$310,MATCH(A2518,Users!$B$2:$B$310,0)),"")</f>
        <v>Service B</v>
      </c>
      <c r="H2518" s="21" t="str">
        <f>IFERROR(INDEX(Users!$D$2:$D$310,MATCH(A2518,Users!$B$2:$B$310,0)),"")</f>
        <v>Band 5</v>
      </c>
      <c r="I2518" s="19" t="b">
        <f t="shared" si="118"/>
        <v>0</v>
      </c>
      <c r="J2518" s="33" t="str">
        <f t="shared" si="119"/>
        <v/>
      </c>
    </row>
    <row r="2519" spans="1:10">
      <c r="A2519" s="19" t="s">
        <v>390</v>
      </c>
      <c r="B2519" s="20">
        <v>45992</v>
      </c>
      <c r="C2519" s="21">
        <v>155.4</v>
      </c>
      <c r="D2519" s="21">
        <v>84.166666666666671</v>
      </c>
      <c r="E2519" s="21"/>
      <c r="F2519" s="27">
        <f t="shared" si="117"/>
        <v>0.54161304161304158</v>
      </c>
      <c r="G2519" s="21" t="str">
        <f>IFERROR(INDEX(Users!$A$2:$A$310,MATCH(A2519,Users!$B$2:$B$310,0)),"")</f>
        <v>Service A</v>
      </c>
      <c r="H2519" s="21" t="str">
        <f>IFERROR(INDEX(Users!$D$2:$D$310,MATCH(A2519,Users!$B$2:$B$310,0)),"")</f>
        <v>Band 3</v>
      </c>
      <c r="I2519" s="19" t="b">
        <f t="shared" si="118"/>
        <v>1</v>
      </c>
      <c r="J2519" s="33" t="str">
        <f t="shared" si="119"/>
        <v/>
      </c>
    </row>
    <row r="2520" spans="1:10">
      <c r="A2520" s="19" t="s">
        <v>390</v>
      </c>
      <c r="B2520" s="20">
        <v>46023</v>
      </c>
      <c r="C2520" s="21">
        <v>155.4</v>
      </c>
      <c r="D2520" s="21">
        <v>150.48333333333335</v>
      </c>
      <c r="E2520" s="21"/>
      <c r="F2520" s="27">
        <f t="shared" si="117"/>
        <v>0.96836121836121847</v>
      </c>
      <c r="G2520" s="21" t="str">
        <f>IFERROR(INDEX(Users!$A$2:$A$310,MATCH(A2520,Users!$B$2:$B$310,0)),"")</f>
        <v>Service A</v>
      </c>
      <c r="H2520" s="21" t="str">
        <f>IFERROR(INDEX(Users!$D$2:$D$310,MATCH(A2520,Users!$B$2:$B$310,0)),"")</f>
        <v>Band 3</v>
      </c>
      <c r="I2520" s="19" t="b">
        <f t="shared" si="118"/>
        <v>1</v>
      </c>
      <c r="J2520" s="33" t="str">
        <f t="shared" si="119"/>
        <v/>
      </c>
    </row>
    <row r="2521" spans="1:10">
      <c r="A2521" s="19" t="s">
        <v>391</v>
      </c>
      <c r="B2521" s="20">
        <v>46023</v>
      </c>
      <c r="C2521" s="21">
        <v>148.00000000000006</v>
      </c>
      <c r="D2521" s="21">
        <v>59.410000000000004</v>
      </c>
      <c r="E2521" s="21">
        <v>34.81</v>
      </c>
      <c r="F2521" s="27">
        <f t="shared" si="117"/>
        <v>0.40141891891891879</v>
      </c>
      <c r="G2521" s="21" t="str">
        <f>IFERROR(INDEX(Users!$A$2:$A$310,MATCH(A2521,Users!$B$2:$B$310,0)),"")</f>
        <v>Service B</v>
      </c>
      <c r="H2521" s="21" t="str">
        <f>IFERROR(INDEX(Users!$D$2:$D$310,MATCH(A2521,Users!$B$2:$B$310,0)),"")</f>
        <v>Band 5</v>
      </c>
      <c r="I2521" s="19" t="b">
        <f t="shared" si="118"/>
        <v>0</v>
      </c>
      <c r="J2521" s="33" t="str">
        <f t="shared" si="119"/>
        <v/>
      </c>
    </row>
    <row r="2522" spans="1:10">
      <c r="A2522" s="19" t="s">
        <v>392</v>
      </c>
      <c r="B2522" s="20">
        <v>46023</v>
      </c>
      <c r="C2522" s="21">
        <v>148.00000000000006</v>
      </c>
      <c r="D2522" s="21">
        <v>1.75</v>
      </c>
      <c r="E2522" s="21">
        <v>1.75</v>
      </c>
      <c r="F2522" s="27">
        <f t="shared" si="117"/>
        <v>1.182432432432432E-2</v>
      </c>
      <c r="G2522" s="21" t="str">
        <f>IFERROR(INDEX(Users!$A$2:$A$310,MATCH(A2522,Users!$B$2:$B$310,0)),"")</f>
        <v>Service B</v>
      </c>
      <c r="H2522" s="21" t="str">
        <f>IFERROR(INDEX(Users!$D$2:$D$310,MATCH(A2522,Users!$B$2:$B$310,0)),"")</f>
        <v>Band 5</v>
      </c>
      <c r="I2522" s="19" t="b">
        <f t="shared" si="118"/>
        <v>0</v>
      </c>
      <c r="J2522" s="33" t="str">
        <f t="shared" si="119"/>
        <v/>
      </c>
    </row>
    <row r="2523" spans="1:10">
      <c r="A2523" s="19" t="s">
        <v>393</v>
      </c>
      <c r="B2523" s="20">
        <v>45992</v>
      </c>
      <c r="C2523" s="21"/>
      <c r="D2523" s="21">
        <v>1.1722222222222223</v>
      </c>
      <c r="E2523" s="21"/>
      <c r="F2523" s="27" t="str">
        <f t="shared" si="117"/>
        <v/>
      </c>
      <c r="G2523" s="21" t="str">
        <f>IFERROR(INDEX(Users!$A$2:$A$310,MATCH(A2523,Users!$B$2:$B$310,0)),"")</f>
        <v>Service B</v>
      </c>
      <c r="H2523" s="21" t="str">
        <f>IFERROR(INDEX(Users!$D$2:$D$310,MATCH(A2523,Users!$B$2:$B$310,0)),"")</f>
        <v>Band 5</v>
      </c>
      <c r="I2523" s="19" t="b">
        <f t="shared" si="118"/>
        <v>0</v>
      </c>
      <c r="J2523" s="33" t="str">
        <f t="shared" si="119"/>
        <v/>
      </c>
    </row>
    <row r="2524" spans="1:10">
      <c r="A2524" s="19" t="s">
        <v>393</v>
      </c>
      <c r="B2524" s="20">
        <v>46023</v>
      </c>
      <c r="C2524" s="21">
        <v>148.00000000000006</v>
      </c>
      <c r="D2524" s="21">
        <v>29.04</v>
      </c>
      <c r="E2524" s="21">
        <v>29.04</v>
      </c>
      <c r="F2524" s="27">
        <f t="shared" si="117"/>
        <v>0.19621621621621613</v>
      </c>
      <c r="G2524" s="21" t="str">
        <f>IFERROR(INDEX(Users!$A$2:$A$310,MATCH(A2524,Users!$B$2:$B$310,0)),"")</f>
        <v>Service B</v>
      </c>
      <c r="H2524" s="21" t="str">
        <f>IFERROR(INDEX(Users!$D$2:$D$310,MATCH(A2524,Users!$B$2:$B$310,0)),"")</f>
        <v>Band 5</v>
      </c>
      <c r="I2524" s="19" t="b">
        <f t="shared" si="118"/>
        <v>0</v>
      </c>
      <c r="J2524" s="33" t="str">
        <f t="shared" si="119"/>
        <v/>
      </c>
    </row>
    <row r="2525" spans="1:10">
      <c r="A2525" s="19" t="s">
        <v>394</v>
      </c>
      <c r="B2525" s="20">
        <v>45962</v>
      </c>
      <c r="C2525" s="21">
        <v>148</v>
      </c>
      <c r="D2525" s="21"/>
      <c r="E2525" s="21"/>
      <c r="F2525" s="27" t="str">
        <f t="shared" si="117"/>
        <v/>
      </c>
      <c r="G2525" s="21" t="str">
        <f>IFERROR(INDEX(Users!$A$2:$A$310,MATCH(A2525,Users!$B$2:$B$310,0)),"")</f>
        <v>Service A</v>
      </c>
      <c r="H2525" s="21" t="str">
        <f>IFERROR(INDEX(Users!$D$2:$D$310,MATCH(A2525,Users!$B$2:$B$310,0)),"")</f>
        <v>Band 3</v>
      </c>
      <c r="I2525" s="19" t="b">
        <f t="shared" si="118"/>
        <v>1</v>
      </c>
      <c r="J2525" s="33" t="str">
        <f t="shared" si="119"/>
        <v/>
      </c>
    </row>
    <row r="2526" spans="1:10">
      <c r="A2526" s="19" t="s">
        <v>394</v>
      </c>
      <c r="B2526" s="20">
        <v>45992</v>
      </c>
      <c r="C2526" s="21">
        <v>155.4</v>
      </c>
      <c r="D2526" s="21"/>
      <c r="E2526" s="21"/>
      <c r="F2526" s="27" t="str">
        <f t="shared" si="117"/>
        <v/>
      </c>
      <c r="G2526" s="21" t="str">
        <f>IFERROR(INDEX(Users!$A$2:$A$310,MATCH(A2526,Users!$B$2:$B$310,0)),"")</f>
        <v>Service A</v>
      </c>
      <c r="H2526" s="21" t="str">
        <f>IFERROR(INDEX(Users!$D$2:$D$310,MATCH(A2526,Users!$B$2:$B$310,0)),"")</f>
        <v>Band 3</v>
      </c>
      <c r="I2526" s="19" t="b">
        <f t="shared" si="118"/>
        <v>1</v>
      </c>
      <c r="J2526" s="33" t="str">
        <f t="shared" si="119"/>
        <v/>
      </c>
    </row>
    <row r="2527" spans="1:10">
      <c r="A2527" s="19" t="s">
        <v>394</v>
      </c>
      <c r="B2527" s="20">
        <v>46023</v>
      </c>
      <c r="C2527" s="21">
        <v>155.4</v>
      </c>
      <c r="D2527" s="21"/>
      <c r="E2527" s="21"/>
      <c r="F2527" s="27" t="str">
        <f t="shared" si="117"/>
        <v/>
      </c>
      <c r="G2527" s="21" t="str">
        <f>IFERROR(INDEX(Users!$A$2:$A$310,MATCH(A2527,Users!$B$2:$B$310,0)),"")</f>
        <v>Service A</v>
      </c>
      <c r="H2527" s="21" t="str">
        <f>IFERROR(INDEX(Users!$D$2:$D$310,MATCH(A2527,Users!$B$2:$B$310,0)),"")</f>
        <v>Band 3</v>
      </c>
      <c r="I2527" s="19" t="b">
        <f t="shared" si="118"/>
        <v>1</v>
      </c>
      <c r="J2527" s="33" t="str">
        <f t="shared" si="119"/>
        <v/>
      </c>
    </row>
    <row r="2528" spans="1:10">
      <c r="A2528" s="19" t="s">
        <v>395</v>
      </c>
      <c r="B2528" s="20">
        <v>46023</v>
      </c>
      <c r="C2528" s="21">
        <v>148.00000000000006</v>
      </c>
      <c r="D2528" s="21"/>
      <c r="E2528" s="21"/>
      <c r="F2528" s="27" t="str">
        <f t="shared" si="117"/>
        <v/>
      </c>
      <c r="G2528" s="21" t="str">
        <f>IFERROR(INDEX(Users!$A$2:$A$310,MATCH(A2528,Users!$B$2:$B$310,0)),"")</f>
        <v>Service B</v>
      </c>
      <c r="H2528" s="21" t="str">
        <f>IFERROR(INDEX(Users!$D$2:$D$310,MATCH(A2528,Users!$B$2:$B$310,0)),"")</f>
        <v>Band 3</v>
      </c>
      <c r="I2528" s="19" t="b">
        <f t="shared" si="118"/>
        <v>0</v>
      </c>
      <c r="J2528" s="33" t="str">
        <f t="shared" si="119"/>
        <v/>
      </c>
    </row>
    <row r="2529" spans="1:10">
      <c r="A2529" s="19" t="s">
        <v>396</v>
      </c>
      <c r="B2529" s="20">
        <v>46023</v>
      </c>
      <c r="C2529" s="21">
        <v>148.00000000000006</v>
      </c>
      <c r="D2529" s="21">
        <v>148.00000000000006</v>
      </c>
      <c r="E2529" s="21"/>
      <c r="F2529" s="27">
        <f t="shared" si="117"/>
        <v>1</v>
      </c>
      <c r="G2529" s="21" t="str">
        <f>IFERROR(INDEX(Users!$A$2:$A$310,MATCH(A2529,Users!$B$2:$B$310,0)),"")</f>
        <v>Service A</v>
      </c>
      <c r="H2529" s="21" t="str">
        <f>IFERROR(INDEX(Users!$D$2:$D$310,MATCH(A2529,Users!$B$2:$B$310,0)),"")</f>
        <v>Band 3</v>
      </c>
      <c r="I2529" s="19" t="b">
        <f t="shared" si="118"/>
        <v>1</v>
      </c>
      <c r="J2529" s="33" t="str">
        <f t="shared" si="119"/>
        <v/>
      </c>
    </row>
    <row r="2530" spans="1:10">
      <c r="A2530" s="19" t="s">
        <v>397</v>
      </c>
      <c r="B2530" s="20">
        <v>46023</v>
      </c>
      <c r="C2530" s="21">
        <v>148.00000000000006</v>
      </c>
      <c r="D2530" s="21">
        <v>17.48</v>
      </c>
      <c r="E2530" s="21">
        <v>17.48</v>
      </c>
      <c r="F2530" s="27">
        <f t="shared" si="117"/>
        <v>0.11810810810810807</v>
      </c>
      <c r="G2530" s="21" t="str">
        <f>IFERROR(INDEX(Users!$A$2:$A$310,MATCH(A2530,Users!$B$2:$B$310,0)),"")</f>
        <v>Service B</v>
      </c>
      <c r="H2530" s="21" t="str">
        <f>IFERROR(INDEX(Users!$D$2:$D$310,MATCH(A2530,Users!$B$2:$B$310,0)),"")</f>
        <v>Band 5</v>
      </c>
      <c r="I2530" s="19" t="b">
        <f t="shared" si="118"/>
        <v>0</v>
      </c>
      <c r="J2530" s="33" t="str">
        <f t="shared" si="119"/>
        <v/>
      </c>
    </row>
    <row r="2531" spans="1:10">
      <c r="A2531" s="19" t="s">
        <v>398</v>
      </c>
      <c r="B2531" s="20">
        <v>45992</v>
      </c>
      <c r="C2531" s="21">
        <v>155.40000000000006</v>
      </c>
      <c r="D2531" s="21">
        <v>129.25166666666667</v>
      </c>
      <c r="E2531" s="21"/>
      <c r="F2531" s="27">
        <f t="shared" si="117"/>
        <v>0.83173530673530638</v>
      </c>
      <c r="G2531" s="21" t="str">
        <f>IFERROR(INDEX(Users!$A$2:$A$310,MATCH(A2531,Users!$B$2:$B$310,0)),"")</f>
        <v>Service B</v>
      </c>
      <c r="H2531" s="21" t="str">
        <f>IFERROR(INDEX(Users!$D$2:$D$310,MATCH(A2531,Users!$B$2:$B$310,0)),"")</f>
        <v>Band 3</v>
      </c>
      <c r="I2531" s="19" t="b">
        <f t="shared" si="118"/>
        <v>0</v>
      </c>
      <c r="J2531" s="33">
        <f t="shared" si="119"/>
        <v>0.83173530673530638</v>
      </c>
    </row>
    <row r="2532" spans="1:10">
      <c r="A2532" s="19" t="s">
        <v>398</v>
      </c>
      <c r="B2532" s="20">
        <v>46023</v>
      </c>
      <c r="C2532" s="21">
        <v>155.40000000000006</v>
      </c>
      <c r="D2532" s="21">
        <v>124.42</v>
      </c>
      <c r="E2532" s="21">
        <v>2.67</v>
      </c>
      <c r="F2532" s="27">
        <f t="shared" si="117"/>
        <v>0.80064350064350032</v>
      </c>
      <c r="G2532" s="21" t="str">
        <f>IFERROR(INDEX(Users!$A$2:$A$310,MATCH(A2532,Users!$B$2:$B$310,0)),"")</f>
        <v>Service B</v>
      </c>
      <c r="H2532" s="21" t="str">
        <f>IFERROR(INDEX(Users!$D$2:$D$310,MATCH(A2532,Users!$B$2:$B$310,0)),"")</f>
        <v>Band 3</v>
      </c>
      <c r="I2532" s="19" t="b">
        <f t="shared" si="118"/>
        <v>0</v>
      </c>
      <c r="J2532" s="33" t="str">
        <f t="shared" si="119"/>
        <v/>
      </c>
    </row>
    <row r="2533" spans="1:10">
      <c r="A2533" s="19" t="s">
        <v>399</v>
      </c>
      <c r="B2533" s="20">
        <v>46023</v>
      </c>
      <c r="C2533" s="21">
        <v>148.00000000000006</v>
      </c>
      <c r="D2533" s="21">
        <v>99.589444444444425</v>
      </c>
      <c r="E2533" s="21"/>
      <c r="F2533" s="27">
        <f t="shared" si="117"/>
        <v>0.67290165165165128</v>
      </c>
      <c r="G2533" s="21" t="str">
        <f>IFERROR(INDEX(Users!$A$2:$A$310,MATCH(A2533,Users!$B$2:$B$310,0)),"")</f>
        <v>Service B</v>
      </c>
      <c r="H2533" s="21" t="str">
        <f>IFERROR(INDEX(Users!$D$2:$D$310,MATCH(A2533,Users!$B$2:$B$310,0)),"")</f>
        <v>Band 3</v>
      </c>
      <c r="I2533" s="19" t="b">
        <f t="shared" si="118"/>
        <v>0</v>
      </c>
      <c r="J2533" s="33" t="str">
        <f t="shared" si="119"/>
        <v/>
      </c>
    </row>
    <row r="2534" spans="1:10">
      <c r="A2534" s="19" t="s">
        <v>400</v>
      </c>
      <c r="B2534" s="20">
        <v>46023</v>
      </c>
      <c r="C2534" s="21">
        <v>148.00000000000006</v>
      </c>
      <c r="D2534" s="21">
        <v>2.25</v>
      </c>
      <c r="E2534" s="21">
        <v>2.25</v>
      </c>
      <c r="F2534" s="27">
        <f t="shared" si="117"/>
        <v>1.5202702702702697E-2</v>
      </c>
      <c r="G2534" s="21" t="str">
        <f>IFERROR(INDEX(Users!$A$2:$A$310,MATCH(A2534,Users!$B$2:$B$310,0)),"")</f>
        <v>Service B</v>
      </c>
      <c r="H2534" s="21" t="str">
        <f>IFERROR(INDEX(Users!$D$2:$D$310,MATCH(A2534,Users!$B$2:$B$310,0)),"")</f>
        <v>Band 5</v>
      </c>
      <c r="I2534" s="19" t="b">
        <f t="shared" si="118"/>
        <v>0</v>
      </c>
      <c r="J2534" s="33" t="str">
        <f t="shared" si="119"/>
        <v/>
      </c>
    </row>
    <row r="2535" spans="1:10">
      <c r="A2535" s="19" t="s">
        <v>401</v>
      </c>
      <c r="B2535" s="20">
        <v>46023</v>
      </c>
      <c r="C2535" s="21">
        <v>148.00000000000006</v>
      </c>
      <c r="D2535" s="21"/>
      <c r="E2535" s="21"/>
      <c r="F2535" s="27" t="str">
        <f t="shared" si="117"/>
        <v/>
      </c>
      <c r="G2535" s="21" t="str">
        <f>IFERROR(INDEX(Users!$A$2:$A$310,MATCH(A2535,Users!$B$2:$B$310,0)),"")</f>
        <v>Service A</v>
      </c>
      <c r="H2535" s="21" t="str">
        <f>IFERROR(INDEX(Users!$D$2:$D$310,MATCH(A2535,Users!$B$2:$B$310,0)),"")</f>
        <v>Band 5</v>
      </c>
      <c r="I2535" s="19" t="b">
        <f t="shared" si="118"/>
        <v>0</v>
      </c>
      <c r="J2535" s="33" t="str">
        <f t="shared" si="119"/>
        <v/>
      </c>
    </row>
    <row r="2536" spans="1:10">
      <c r="A2536" s="19" t="s">
        <v>402</v>
      </c>
      <c r="B2536" s="20">
        <v>45992</v>
      </c>
      <c r="C2536" s="21"/>
      <c r="D2536" s="21">
        <v>5.916666666666667</v>
      </c>
      <c r="E2536" s="21"/>
      <c r="F2536" s="27" t="str">
        <f t="shared" si="117"/>
        <v/>
      </c>
      <c r="G2536" s="21" t="str">
        <f>IFERROR(INDEX(Users!$A$2:$A$310,MATCH(A2536,Users!$B$2:$B$310,0)),"")</f>
        <v>Service B</v>
      </c>
      <c r="H2536" s="21" t="str">
        <f>IFERROR(INDEX(Users!$D$2:$D$310,MATCH(A2536,Users!$B$2:$B$310,0)),"")</f>
        <v>Band 5</v>
      </c>
      <c r="I2536" s="19" t="b">
        <f t="shared" si="118"/>
        <v>0</v>
      </c>
      <c r="J2536" s="33" t="str">
        <f t="shared" si="119"/>
        <v/>
      </c>
    </row>
    <row r="2537" spans="1:10">
      <c r="A2537" s="19" t="s">
        <v>402</v>
      </c>
      <c r="B2537" s="20">
        <v>46023</v>
      </c>
      <c r="C2537" s="21">
        <v>148.00000000000006</v>
      </c>
      <c r="D2537" s="21">
        <v>2.0099999999999998</v>
      </c>
      <c r="E2537" s="21">
        <v>2.0099999999999998</v>
      </c>
      <c r="F2537" s="27">
        <f t="shared" si="117"/>
        <v>1.3581081081081074E-2</v>
      </c>
      <c r="G2537" s="21" t="str">
        <f>IFERROR(INDEX(Users!$A$2:$A$310,MATCH(A2537,Users!$B$2:$B$310,0)),"")</f>
        <v>Service B</v>
      </c>
      <c r="H2537" s="21" t="str">
        <f>IFERROR(INDEX(Users!$D$2:$D$310,MATCH(A2537,Users!$B$2:$B$310,0)),"")</f>
        <v>Band 5</v>
      </c>
      <c r="I2537" s="19" t="b">
        <f t="shared" si="118"/>
        <v>0</v>
      </c>
      <c r="J2537" s="33" t="str">
        <f t="shared" si="119"/>
        <v/>
      </c>
    </row>
    <row r="2538" spans="1:10">
      <c r="A2538" s="19" t="s">
        <v>403</v>
      </c>
      <c r="B2538" s="20">
        <v>45992</v>
      </c>
      <c r="C2538" s="21">
        <v>155.4</v>
      </c>
      <c r="D2538" s="21">
        <v>66.599999999999994</v>
      </c>
      <c r="E2538" s="21"/>
      <c r="F2538" s="27">
        <f t="shared" si="117"/>
        <v>0.42857142857142849</v>
      </c>
      <c r="G2538" s="21" t="str">
        <f>IFERROR(INDEX(Users!$A$2:$A$310,MATCH(A2538,Users!$B$2:$B$310,0)),"")</f>
        <v>Service A</v>
      </c>
      <c r="H2538" s="21" t="str">
        <f>IFERROR(INDEX(Users!$D$2:$D$310,MATCH(A2538,Users!$B$2:$B$310,0)),"")</f>
        <v>Band 3</v>
      </c>
      <c r="I2538" s="19" t="b">
        <f t="shared" si="118"/>
        <v>1</v>
      </c>
      <c r="J2538" s="33" t="str">
        <f t="shared" si="119"/>
        <v/>
      </c>
    </row>
    <row r="2539" spans="1:10">
      <c r="A2539" s="19" t="s">
        <v>403</v>
      </c>
      <c r="B2539" s="20">
        <v>46023</v>
      </c>
      <c r="C2539" s="21">
        <v>155.4</v>
      </c>
      <c r="D2539" s="21">
        <v>156.20000000000005</v>
      </c>
      <c r="E2539" s="21"/>
      <c r="F2539" s="27">
        <f t="shared" si="117"/>
        <v>1.0051480051480055</v>
      </c>
      <c r="G2539" s="21" t="str">
        <f>IFERROR(INDEX(Users!$A$2:$A$310,MATCH(A2539,Users!$B$2:$B$310,0)),"")</f>
        <v>Service A</v>
      </c>
      <c r="H2539" s="21" t="str">
        <f>IFERROR(INDEX(Users!$D$2:$D$310,MATCH(A2539,Users!$B$2:$B$310,0)),"")</f>
        <v>Band 3</v>
      </c>
      <c r="I2539" s="19" t="b">
        <f t="shared" si="118"/>
        <v>1</v>
      </c>
      <c r="J2539" s="33" t="str">
        <f t="shared" si="119"/>
        <v/>
      </c>
    </row>
    <row r="2540" spans="1:10">
      <c r="A2540" s="19" t="s">
        <v>404</v>
      </c>
      <c r="B2540" s="20">
        <v>46023</v>
      </c>
      <c r="C2540" s="21">
        <v>148.00000000000006</v>
      </c>
      <c r="D2540" s="21">
        <v>5.33</v>
      </c>
      <c r="E2540" s="21">
        <v>5.33</v>
      </c>
      <c r="F2540" s="27">
        <f t="shared" si="117"/>
        <v>3.60135135135135E-2</v>
      </c>
      <c r="G2540" s="21" t="str">
        <f>IFERROR(INDEX(Users!$A$2:$A$310,MATCH(A2540,Users!$B$2:$B$310,0)),"")</f>
        <v>Service B</v>
      </c>
      <c r="H2540" s="21" t="str">
        <f>IFERROR(INDEX(Users!$D$2:$D$310,MATCH(A2540,Users!$B$2:$B$310,0)),"")</f>
        <v>Band 5</v>
      </c>
      <c r="I2540" s="19" t="b">
        <f t="shared" si="118"/>
        <v>0</v>
      </c>
      <c r="J2540" s="33" t="str">
        <f t="shared" si="119"/>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5"/>
  <sheetViews>
    <sheetView tabSelected="1" workbookViewId="0">
      <selection sqref="A1:E1"/>
    </sheetView>
  </sheetViews>
  <sheetFormatPr defaultRowHeight="15"/>
  <cols>
    <col min="1" max="1" width="25.85546875" customWidth="1"/>
    <col min="2" max="2" width="22" customWidth="1"/>
    <col min="3" max="4" width="24" customWidth="1"/>
    <col min="5" max="5" width="36.140625" customWidth="1"/>
    <col min="7" max="14" width="12" customWidth="1"/>
  </cols>
  <sheetData>
    <row r="1" spans="1:5" ht="27.95" customHeight="1">
      <c r="A1" s="45" t="s">
        <v>419</v>
      </c>
      <c r="B1" s="45"/>
      <c r="C1" s="45"/>
      <c r="D1" s="45"/>
      <c r="E1" s="45"/>
    </row>
    <row r="3" spans="1:5" ht="60">
      <c r="A3" s="29" t="s">
        <v>420</v>
      </c>
      <c r="B3" s="30" t="s">
        <v>20</v>
      </c>
      <c r="D3" s="29" t="s">
        <v>421</v>
      </c>
      <c r="E3" s="31" t="s">
        <v>422</v>
      </c>
    </row>
    <row r="4" spans="1:5" ht="75">
      <c r="A4" s="29" t="s">
        <v>423</v>
      </c>
      <c r="B4" s="30" t="s">
        <v>15</v>
      </c>
      <c r="D4" s="29" t="s">
        <v>424</v>
      </c>
      <c r="E4" s="31" t="s">
        <v>425</v>
      </c>
    </row>
    <row r="7" spans="1:5">
      <c r="A7" s="46" t="s">
        <v>426</v>
      </c>
      <c r="B7" s="46"/>
      <c r="C7" s="46"/>
    </row>
    <row r="8" spans="1:5">
      <c r="A8" s="32" t="s">
        <v>427</v>
      </c>
      <c r="B8" s="32" t="s">
        <v>428</v>
      </c>
      <c r="C8" s="32" t="s">
        <v>429</v>
      </c>
    </row>
    <row r="9" spans="1:5">
      <c r="A9" t="s">
        <v>430</v>
      </c>
      <c r="B9" s="33">
        <f>IFERROR(AVERAGE('Performance Data'!$J$2:$J$2540),"")</f>
        <v>0.78907874789290566</v>
      </c>
      <c r="C9" s="34">
        <v>0.78907874789290622</v>
      </c>
    </row>
    <row r="10" spans="1:5">
      <c r="A10" t="s">
        <v>431</v>
      </c>
      <c r="B10" s="33">
        <f>IFERROR(MEDIAN('Performance Data'!$J$2:$J$2540),"")</f>
        <v>0.85051312181746952</v>
      </c>
      <c r="C10" s="34">
        <v>0.85051312181746952</v>
      </c>
    </row>
    <row r="12" spans="1:5">
      <c r="A12" s="46" t="s">
        <v>432</v>
      </c>
      <c r="B12" s="46"/>
      <c r="C12" s="46"/>
      <c r="D12" s="46"/>
      <c r="E12" s="46"/>
    </row>
    <row r="13" spans="1:5" ht="30">
      <c r="A13" s="35" t="s">
        <v>433</v>
      </c>
      <c r="B13" s="36" t="s">
        <v>434</v>
      </c>
      <c r="C13" s="36" t="s">
        <v>435</v>
      </c>
      <c r="D13" s="36" t="s">
        <v>436</v>
      </c>
      <c r="E13" s="37" t="s">
        <v>437</v>
      </c>
    </row>
    <row r="14" spans="1:5">
      <c r="A14" s="38">
        <v>45658</v>
      </c>
      <c r="B14" s="33">
        <f>IFERROR(IF(AND($B$3="All",$B$4="All"),SUMIFS('Performance Data'!$F$2:$F$2540,'Performance Data'!$B$2:$B$2540,A14)/COUNTIFS('Performance Data'!$B$2:$B$2540,A14,'Performance Data'!$F$2:$F$2540,"&gt;=0"),IF($B$3="All",SUMIFS('Performance Data'!$F$2:$F$2540,'Performance Data'!$B$2:$B$2540,A14,'Performance Data'!$H$2:$H$2540,$B$4)/COUNTIFS('Performance Data'!$B$2:$B$2540,A14,'Performance Data'!$H$2:$H$2540,$B$4,'Performance Data'!$F$2:$F$2540,"&gt;=0"),IF($B$4="All",SUMIFS('Performance Data'!$F$2:$F$2540,'Performance Data'!$B$2:$B$2540,A14,'Performance Data'!$G$2:$G$2540,$B$3)/COUNTIFS('Performance Data'!$B$2:$B$2540,A14,'Performance Data'!$G$2:$G$2540,$B$3,'Performance Data'!$F$2:$F$2540,"&gt;=0"),SUMIFS('Performance Data'!$F$2:$F$2540,'Performance Data'!$B$2:$B$2540,A14,'Performance Data'!$G$2:$G$2540,$B$3,'Performance Data'!$H$2:$H$2540,$B$4)/COUNTIFS('Performance Data'!$B$2:$B$2540,A14,'Performance Data'!$G$2:$G$2540,$B$3,'Performance Data'!$H$2:$H$2540,$B$4,'Performance Data'!$F$2:$F$2540,"&gt;=0")))),"")</f>
        <v>0.75928771605207956</v>
      </c>
      <c r="C14" s="33">
        <f>IFERROR(IF($B$3="All",SUMIFS('Performance Data'!$F$2:$F$2540,'Performance Data'!$B$2:$B$2540,A14)/COUNTIFS('Performance Data'!$B$2:$B$2540,A14,'Performance Data'!$F$2:$F$2540,"&gt;=0"),SUMIFS('Performance Data'!$F$2:$F$2540,'Performance Data'!$B$2:$B$2540,A14,'Performance Data'!$G$2:$G$2540,$B$3)/COUNTIFS('Performance Data'!$B$2:$B$2540,A14,'Performance Data'!$G$2:$G$2540,$B$3,'Performance Data'!$F$2:$F$2540,"&gt;=0")),"")</f>
        <v>0.77309565938487501</v>
      </c>
      <c r="D14" s="33">
        <f>IFERROR(IF($B$4="All",SUMIFS('Performance Data'!$F$2:$F$2540,'Performance Data'!$B$2:$B$2540,A14)/COUNTIFS('Performance Data'!$B$2:$B$2540,A14,'Performance Data'!$F$2:$F$2540,"&gt;=0"),SUMIFS('Performance Data'!$F$2:$F$2540,'Performance Data'!$B$2:$B$2540,A14,'Performance Data'!$H$2:$H$2540,$B$4)/COUNTIFS('Performance Data'!$B$2:$B$2540,A14,'Performance Data'!$H$2:$H$2540,$B$4,'Performance Data'!$F$2:$F$2540,"&gt;=0")),"")</f>
        <v>0.81852115820844284</v>
      </c>
      <c r="E14" s="39">
        <f>IFERROR(SUMIFS('Performance Data'!$F$2:$F$2540,'Performance Data'!$B$2:$B$2540,A14)/COUNTIFS('Performance Data'!$B$2:$B$2540,A14,'Performance Data'!$F$2:$F$2540,"&gt;=0"),"")</f>
        <v>0.82911242810553243</v>
      </c>
    </row>
    <row r="15" spans="1:5">
      <c r="A15" s="38">
        <v>45689</v>
      </c>
      <c r="B15" s="33">
        <f>IFERROR(IF(AND($B$3="All",$B$4="All"),SUMIFS('Performance Data'!$F$2:$F$2540,'Performance Data'!$B$2:$B$2540,A15)/COUNTIFS('Performance Data'!$B$2:$B$2540,A15,'Performance Data'!$F$2:$F$2540,"&gt;=0"),IF($B$3="All",SUMIFS('Performance Data'!$F$2:$F$2540,'Performance Data'!$B$2:$B$2540,A15,'Performance Data'!$H$2:$H$2540,$B$4)/COUNTIFS('Performance Data'!$B$2:$B$2540,A15,'Performance Data'!$H$2:$H$2540,$B$4,'Performance Data'!$F$2:$F$2540,"&gt;=0"),IF($B$4="All",SUMIFS('Performance Data'!$F$2:$F$2540,'Performance Data'!$B$2:$B$2540,A15,'Performance Data'!$G$2:$G$2540,$B$3)/COUNTIFS('Performance Data'!$B$2:$B$2540,A15,'Performance Data'!$G$2:$G$2540,$B$3,'Performance Data'!$F$2:$F$2540,"&gt;=0"),SUMIFS('Performance Data'!$F$2:$F$2540,'Performance Data'!$B$2:$B$2540,A15,'Performance Data'!$G$2:$G$2540,$B$3,'Performance Data'!$H$2:$H$2540,$B$4)/COUNTIFS('Performance Data'!$B$2:$B$2540,A15,'Performance Data'!$G$2:$G$2540,$B$3,'Performance Data'!$H$2:$H$2540,$B$4,'Performance Data'!$F$2:$F$2540,"&gt;=0")))),"")</f>
        <v>0.84255615337559775</v>
      </c>
      <c r="C15" s="33">
        <f>IFERROR(IF($B$3="All",SUMIFS('Performance Data'!$F$2:$F$2540,'Performance Data'!$B$2:$B$2540,A15)/COUNTIFS('Performance Data'!$B$2:$B$2540,A15,'Performance Data'!$F$2:$F$2540,"&gt;=0"),SUMIFS('Performance Data'!$F$2:$F$2540,'Performance Data'!$B$2:$B$2540,A15,'Performance Data'!$G$2:$G$2540,$B$3)/COUNTIFS('Performance Data'!$B$2:$B$2540,A15,'Performance Data'!$G$2:$G$2540,$B$3,'Performance Data'!$F$2:$F$2540,"&gt;=0")),"")</f>
        <v>0.8470119271814186</v>
      </c>
      <c r="D15" s="33">
        <f>IFERROR(IF($B$4="All",SUMIFS('Performance Data'!$F$2:$F$2540,'Performance Data'!$B$2:$B$2540,A15)/COUNTIFS('Performance Data'!$B$2:$B$2540,A15,'Performance Data'!$F$2:$F$2540,"&gt;=0"),SUMIFS('Performance Data'!$F$2:$F$2540,'Performance Data'!$B$2:$B$2540,A15,'Performance Data'!$H$2:$H$2540,$B$4)/COUNTIFS('Performance Data'!$B$2:$B$2540,A15,'Performance Data'!$H$2:$H$2540,$B$4,'Performance Data'!$F$2:$F$2540,"&gt;=0")),"")</f>
        <v>0.84907991687255691</v>
      </c>
      <c r="E15" s="39">
        <f>IFERROR(SUMIFS('Performance Data'!$F$2:$F$2540,'Performance Data'!$B$2:$B$2540,A15)/COUNTIFS('Performance Data'!$B$2:$B$2540,A15,'Performance Data'!$F$2:$F$2540,"&gt;=0"),"")</f>
        <v>0.8626872464023031</v>
      </c>
    </row>
    <row r="16" spans="1:5">
      <c r="A16" s="38">
        <v>45717</v>
      </c>
      <c r="B16" s="33">
        <f>IFERROR(IF(AND($B$3="All",$B$4="All"),SUMIFS('Performance Data'!$F$2:$F$2540,'Performance Data'!$B$2:$B$2540,A16)/COUNTIFS('Performance Data'!$B$2:$B$2540,A16,'Performance Data'!$F$2:$F$2540,"&gt;=0"),IF($B$3="All",SUMIFS('Performance Data'!$F$2:$F$2540,'Performance Data'!$B$2:$B$2540,A16,'Performance Data'!$H$2:$H$2540,$B$4)/COUNTIFS('Performance Data'!$B$2:$B$2540,A16,'Performance Data'!$H$2:$H$2540,$B$4,'Performance Data'!$F$2:$F$2540,"&gt;=0"),IF($B$4="All",SUMIFS('Performance Data'!$F$2:$F$2540,'Performance Data'!$B$2:$B$2540,A16,'Performance Data'!$G$2:$G$2540,$B$3)/COUNTIFS('Performance Data'!$B$2:$B$2540,A16,'Performance Data'!$G$2:$G$2540,$B$3,'Performance Data'!$F$2:$F$2540,"&gt;=0"),SUMIFS('Performance Data'!$F$2:$F$2540,'Performance Data'!$B$2:$B$2540,A16,'Performance Data'!$G$2:$G$2540,$B$3,'Performance Data'!$H$2:$H$2540,$B$4)/COUNTIFS('Performance Data'!$B$2:$B$2540,A16,'Performance Data'!$G$2:$G$2540,$B$3,'Performance Data'!$H$2:$H$2540,$B$4,'Performance Data'!$F$2:$F$2540,"&gt;=0")))),"")</f>
        <v>0.82654334957025799</v>
      </c>
      <c r="C16" s="33">
        <f>IFERROR(IF($B$3="All",SUMIFS('Performance Data'!$F$2:$F$2540,'Performance Data'!$B$2:$B$2540,A16)/COUNTIFS('Performance Data'!$B$2:$B$2540,A16,'Performance Data'!$F$2:$F$2540,"&gt;=0"),SUMIFS('Performance Data'!$F$2:$F$2540,'Performance Data'!$B$2:$B$2540,A16,'Performance Data'!$G$2:$G$2540,$B$3)/COUNTIFS('Performance Data'!$B$2:$B$2540,A16,'Performance Data'!$G$2:$G$2540,$B$3,'Performance Data'!$F$2:$F$2540,"&gt;=0")),"")</f>
        <v>0.83431386127721685</v>
      </c>
      <c r="D16" s="33">
        <f>IFERROR(IF($B$4="All",SUMIFS('Performance Data'!$F$2:$F$2540,'Performance Data'!$B$2:$B$2540,A16)/COUNTIFS('Performance Data'!$B$2:$B$2540,A16,'Performance Data'!$F$2:$F$2540,"&gt;=0"),SUMIFS('Performance Data'!$F$2:$F$2540,'Performance Data'!$B$2:$B$2540,A16,'Performance Data'!$H$2:$H$2540,$B$4)/COUNTIFS('Performance Data'!$B$2:$B$2540,A16,'Performance Data'!$H$2:$H$2540,$B$4,'Performance Data'!$F$2:$F$2540,"&gt;=0")),"")</f>
        <v>0.86245260304717852</v>
      </c>
      <c r="E16" s="39">
        <f>IFERROR(SUMIFS('Performance Data'!$F$2:$F$2540,'Performance Data'!$B$2:$B$2540,A16)/COUNTIFS('Performance Data'!$B$2:$B$2540,A16,'Performance Data'!$F$2:$F$2540,"&gt;=0"),"")</f>
        <v>0.87112123289559162</v>
      </c>
    </row>
    <row r="17" spans="1:5">
      <c r="A17" s="38">
        <v>45748</v>
      </c>
      <c r="B17" s="33">
        <f>IFERROR(IF(AND($B$3="All",$B$4="All"),SUMIFS('Performance Data'!$F$2:$F$2540,'Performance Data'!$B$2:$B$2540,A17)/COUNTIFS('Performance Data'!$B$2:$B$2540,A17,'Performance Data'!$F$2:$F$2540,"&gt;=0"),IF($B$3="All",SUMIFS('Performance Data'!$F$2:$F$2540,'Performance Data'!$B$2:$B$2540,A17,'Performance Data'!$H$2:$H$2540,$B$4)/COUNTIFS('Performance Data'!$B$2:$B$2540,A17,'Performance Data'!$H$2:$H$2540,$B$4,'Performance Data'!$F$2:$F$2540,"&gt;=0"),IF($B$4="All",SUMIFS('Performance Data'!$F$2:$F$2540,'Performance Data'!$B$2:$B$2540,A17,'Performance Data'!$G$2:$G$2540,$B$3)/COUNTIFS('Performance Data'!$B$2:$B$2540,A17,'Performance Data'!$G$2:$G$2540,$B$3,'Performance Data'!$F$2:$F$2540,"&gt;=0"),SUMIFS('Performance Data'!$F$2:$F$2540,'Performance Data'!$B$2:$B$2540,A17,'Performance Data'!$G$2:$G$2540,$B$3,'Performance Data'!$H$2:$H$2540,$B$4)/COUNTIFS('Performance Data'!$B$2:$B$2540,A17,'Performance Data'!$G$2:$G$2540,$B$3,'Performance Data'!$H$2:$H$2540,$B$4,'Performance Data'!$F$2:$F$2540,"&gt;=0")))),"")</f>
        <v>0.76809349952732286</v>
      </c>
      <c r="C17" s="33">
        <f>IFERROR(IF($B$3="All",SUMIFS('Performance Data'!$F$2:$F$2540,'Performance Data'!$B$2:$B$2540,A17)/COUNTIFS('Performance Data'!$B$2:$B$2540,A17,'Performance Data'!$F$2:$F$2540,"&gt;=0"),SUMIFS('Performance Data'!$F$2:$F$2540,'Performance Data'!$B$2:$B$2540,A17,'Performance Data'!$G$2:$G$2540,$B$3)/COUNTIFS('Performance Data'!$B$2:$B$2540,A17,'Performance Data'!$G$2:$G$2540,$B$3,'Performance Data'!$F$2:$F$2540,"&gt;=0")),"")</f>
        <v>0.77075158979857972</v>
      </c>
      <c r="D17" s="33">
        <f>IFERROR(IF($B$4="All",SUMIFS('Performance Data'!$F$2:$F$2540,'Performance Data'!$B$2:$B$2540,A17)/COUNTIFS('Performance Data'!$B$2:$B$2540,A17,'Performance Data'!$F$2:$F$2540,"&gt;=0"),SUMIFS('Performance Data'!$F$2:$F$2540,'Performance Data'!$B$2:$B$2540,A17,'Performance Data'!$H$2:$H$2540,$B$4)/COUNTIFS('Performance Data'!$B$2:$B$2540,A17,'Performance Data'!$H$2:$H$2540,$B$4,'Performance Data'!$F$2:$F$2540,"&gt;=0")),"")</f>
        <v>0.784875355539983</v>
      </c>
      <c r="E17" s="39">
        <f>IFERROR(SUMIFS('Performance Data'!$F$2:$F$2540,'Performance Data'!$B$2:$B$2540,A17)/COUNTIFS('Performance Data'!$B$2:$B$2540,A17,'Performance Data'!$F$2:$F$2540,"&gt;=0"),"")</f>
        <v>0.79714362971829966</v>
      </c>
    </row>
    <row r="18" spans="1:5">
      <c r="A18" s="38">
        <v>45778</v>
      </c>
      <c r="B18" s="33">
        <f>IFERROR(IF(AND($B$3="All",$B$4="All"),SUMIFS('Performance Data'!$F$2:$F$2540,'Performance Data'!$B$2:$B$2540,A18)/COUNTIFS('Performance Data'!$B$2:$B$2540,A18,'Performance Data'!$F$2:$F$2540,"&gt;=0"),IF($B$3="All",SUMIFS('Performance Data'!$F$2:$F$2540,'Performance Data'!$B$2:$B$2540,A18,'Performance Data'!$H$2:$H$2540,$B$4)/COUNTIFS('Performance Data'!$B$2:$B$2540,A18,'Performance Data'!$H$2:$H$2540,$B$4,'Performance Data'!$F$2:$F$2540,"&gt;=0"),IF($B$4="All",SUMIFS('Performance Data'!$F$2:$F$2540,'Performance Data'!$B$2:$B$2540,A18,'Performance Data'!$G$2:$G$2540,$B$3)/COUNTIFS('Performance Data'!$B$2:$B$2540,A18,'Performance Data'!$G$2:$G$2540,$B$3,'Performance Data'!$F$2:$F$2540,"&gt;=0"),SUMIFS('Performance Data'!$F$2:$F$2540,'Performance Data'!$B$2:$B$2540,A18,'Performance Data'!$G$2:$G$2540,$B$3,'Performance Data'!$H$2:$H$2540,$B$4)/COUNTIFS('Performance Data'!$B$2:$B$2540,A18,'Performance Data'!$G$2:$G$2540,$B$3,'Performance Data'!$H$2:$H$2540,$B$4,'Performance Data'!$F$2:$F$2540,"&gt;=0")))),"")</f>
        <v>0.79266896107337292</v>
      </c>
      <c r="C18" s="33">
        <f>IFERROR(IF($B$3="All",SUMIFS('Performance Data'!$F$2:$F$2540,'Performance Data'!$B$2:$B$2540,A18)/COUNTIFS('Performance Data'!$B$2:$B$2540,A18,'Performance Data'!$F$2:$F$2540,"&gt;=0"),SUMIFS('Performance Data'!$F$2:$F$2540,'Performance Data'!$B$2:$B$2540,A18,'Performance Data'!$G$2:$G$2540,$B$3)/COUNTIFS('Performance Data'!$B$2:$B$2540,A18,'Performance Data'!$G$2:$G$2540,$B$3,'Performance Data'!$F$2:$F$2540,"&gt;=0")),"")</f>
        <v>0.79120837159473534</v>
      </c>
      <c r="D18" s="33">
        <f>IFERROR(IF($B$4="All",SUMIFS('Performance Data'!$F$2:$F$2540,'Performance Data'!$B$2:$B$2540,A18)/COUNTIFS('Performance Data'!$B$2:$B$2540,A18,'Performance Data'!$F$2:$F$2540,"&gt;=0"),SUMIFS('Performance Data'!$F$2:$F$2540,'Performance Data'!$B$2:$B$2540,A18,'Performance Data'!$H$2:$H$2540,$B$4)/COUNTIFS('Performance Data'!$B$2:$B$2540,A18,'Performance Data'!$H$2:$H$2540,$B$4,'Performance Data'!$F$2:$F$2540,"&gt;=0")),"")</f>
        <v>0.79929210839191689</v>
      </c>
      <c r="E18" s="39">
        <f>IFERROR(SUMIFS('Performance Data'!$F$2:$F$2540,'Performance Data'!$B$2:$B$2540,A18)/COUNTIFS('Performance Data'!$B$2:$B$2540,A18,'Performance Data'!$F$2:$F$2540,"&gt;=0"),"")</f>
        <v>0.80328970294574398</v>
      </c>
    </row>
    <row r="19" spans="1:5">
      <c r="A19" s="38">
        <v>45809</v>
      </c>
      <c r="B19" s="33">
        <f>IFERROR(IF(AND($B$3="All",$B$4="All"),SUMIFS('Performance Data'!$F$2:$F$2540,'Performance Data'!$B$2:$B$2540,A19)/COUNTIFS('Performance Data'!$B$2:$B$2540,A19,'Performance Data'!$F$2:$F$2540,"&gt;=0"),IF($B$3="All",SUMIFS('Performance Data'!$F$2:$F$2540,'Performance Data'!$B$2:$B$2540,A19,'Performance Data'!$H$2:$H$2540,$B$4)/COUNTIFS('Performance Data'!$B$2:$B$2540,A19,'Performance Data'!$H$2:$H$2540,$B$4,'Performance Data'!$F$2:$F$2540,"&gt;=0"),IF($B$4="All",SUMIFS('Performance Data'!$F$2:$F$2540,'Performance Data'!$B$2:$B$2540,A19,'Performance Data'!$G$2:$G$2540,$B$3)/COUNTIFS('Performance Data'!$B$2:$B$2540,A19,'Performance Data'!$G$2:$G$2540,$B$3,'Performance Data'!$F$2:$F$2540,"&gt;=0"),SUMIFS('Performance Data'!$F$2:$F$2540,'Performance Data'!$B$2:$B$2540,A19,'Performance Data'!$G$2:$G$2540,$B$3,'Performance Data'!$H$2:$H$2540,$B$4)/COUNTIFS('Performance Data'!$B$2:$B$2540,A19,'Performance Data'!$G$2:$G$2540,$B$3,'Performance Data'!$H$2:$H$2540,$B$4,'Performance Data'!$F$2:$F$2540,"&gt;=0")))),"")</f>
        <v>0.8081265078341201</v>
      </c>
      <c r="C19" s="33">
        <f>IFERROR(IF($B$3="All",SUMIFS('Performance Data'!$F$2:$F$2540,'Performance Data'!$B$2:$B$2540,A19)/COUNTIFS('Performance Data'!$B$2:$B$2540,A19,'Performance Data'!$F$2:$F$2540,"&gt;=0"),SUMIFS('Performance Data'!$F$2:$F$2540,'Performance Data'!$B$2:$B$2540,A19,'Performance Data'!$G$2:$G$2540,$B$3)/COUNTIFS('Performance Data'!$B$2:$B$2540,A19,'Performance Data'!$G$2:$G$2540,$B$3,'Performance Data'!$F$2:$F$2540,"&gt;=0")),"")</f>
        <v>0.81422626551548105</v>
      </c>
      <c r="D19" s="33">
        <f>IFERROR(IF($B$4="All",SUMIFS('Performance Data'!$F$2:$F$2540,'Performance Data'!$B$2:$B$2540,A19)/COUNTIFS('Performance Data'!$B$2:$B$2540,A19,'Performance Data'!$F$2:$F$2540,"&gt;=0"),SUMIFS('Performance Data'!$F$2:$F$2540,'Performance Data'!$B$2:$B$2540,A19,'Performance Data'!$H$2:$H$2540,$B$4)/COUNTIFS('Performance Data'!$B$2:$B$2540,A19,'Performance Data'!$H$2:$H$2540,$B$4,'Performance Data'!$F$2:$F$2540,"&gt;=0")),"")</f>
        <v>0.82929172868029211</v>
      </c>
      <c r="E19" s="39">
        <f>IFERROR(SUMIFS('Performance Data'!$F$2:$F$2540,'Performance Data'!$B$2:$B$2540,A19)/COUNTIFS('Performance Data'!$B$2:$B$2540,A19,'Performance Data'!$F$2:$F$2540,"&gt;=0"),"")</f>
        <v>0.83772507081324976</v>
      </c>
    </row>
    <row r="20" spans="1:5">
      <c r="A20" s="38">
        <v>45839</v>
      </c>
      <c r="B20" s="33">
        <f>IFERROR(IF(AND($B$3="All",$B$4="All"),SUMIFS('Performance Data'!$F$2:$F$2540,'Performance Data'!$B$2:$B$2540,A20)/COUNTIFS('Performance Data'!$B$2:$B$2540,A20,'Performance Data'!$F$2:$F$2540,"&gt;=0"),IF($B$3="All",SUMIFS('Performance Data'!$F$2:$F$2540,'Performance Data'!$B$2:$B$2540,A20,'Performance Data'!$H$2:$H$2540,$B$4)/COUNTIFS('Performance Data'!$B$2:$B$2540,A20,'Performance Data'!$H$2:$H$2540,$B$4,'Performance Data'!$F$2:$F$2540,"&gt;=0"),IF($B$4="All",SUMIFS('Performance Data'!$F$2:$F$2540,'Performance Data'!$B$2:$B$2540,A20,'Performance Data'!$G$2:$G$2540,$B$3)/COUNTIFS('Performance Data'!$B$2:$B$2540,A20,'Performance Data'!$G$2:$G$2540,$B$3,'Performance Data'!$F$2:$F$2540,"&gt;=0"),SUMIFS('Performance Data'!$F$2:$F$2540,'Performance Data'!$B$2:$B$2540,A20,'Performance Data'!$G$2:$G$2540,$B$3,'Performance Data'!$H$2:$H$2540,$B$4)/COUNTIFS('Performance Data'!$B$2:$B$2540,A20,'Performance Data'!$G$2:$G$2540,$B$3,'Performance Data'!$H$2:$H$2540,$B$4,'Performance Data'!$F$2:$F$2540,"&gt;=0")))),"")</f>
        <v>0.82427948005213425</v>
      </c>
      <c r="C20" s="33">
        <f>IFERROR(IF($B$3="All",SUMIFS('Performance Data'!$F$2:$F$2540,'Performance Data'!$B$2:$B$2540,A20)/COUNTIFS('Performance Data'!$B$2:$B$2540,A20,'Performance Data'!$F$2:$F$2540,"&gt;=0"),SUMIFS('Performance Data'!$F$2:$F$2540,'Performance Data'!$B$2:$B$2540,A20,'Performance Data'!$G$2:$G$2540,$B$3)/COUNTIFS('Performance Data'!$B$2:$B$2540,A20,'Performance Data'!$G$2:$G$2540,$B$3,'Performance Data'!$F$2:$F$2540,"&gt;=0")),"")</f>
        <v>0.83296931088807513</v>
      </c>
      <c r="D20" s="33">
        <f>IFERROR(IF($B$4="All",SUMIFS('Performance Data'!$F$2:$F$2540,'Performance Data'!$B$2:$B$2540,A20)/COUNTIFS('Performance Data'!$B$2:$B$2540,A20,'Performance Data'!$F$2:$F$2540,"&gt;=0"),SUMIFS('Performance Data'!$F$2:$F$2540,'Performance Data'!$B$2:$B$2540,A20,'Performance Data'!$H$2:$H$2540,$B$4)/COUNTIFS('Performance Data'!$B$2:$B$2540,A20,'Performance Data'!$H$2:$H$2540,$B$4,'Performance Data'!$F$2:$F$2540,"&gt;=0")),"")</f>
        <v>0.82270958075402623</v>
      </c>
      <c r="E20" s="39">
        <f>IFERROR(SUMIFS('Performance Data'!$F$2:$F$2540,'Performance Data'!$B$2:$B$2540,A20)/COUNTIFS('Performance Data'!$B$2:$B$2540,A20,'Performance Data'!$F$2:$F$2540,"&gt;=0"),"")</f>
        <v>0.83208414744561954</v>
      </c>
    </row>
    <row r="21" spans="1:5">
      <c r="A21" s="38">
        <v>45870</v>
      </c>
      <c r="B21" s="33">
        <f>IFERROR(IF(AND($B$3="All",$B$4="All"),SUMIFS('Performance Data'!$F$2:$F$2540,'Performance Data'!$B$2:$B$2540,A21)/COUNTIFS('Performance Data'!$B$2:$B$2540,A21,'Performance Data'!$F$2:$F$2540,"&gt;=0"),IF($B$3="All",SUMIFS('Performance Data'!$F$2:$F$2540,'Performance Data'!$B$2:$B$2540,A21,'Performance Data'!$H$2:$H$2540,$B$4)/COUNTIFS('Performance Data'!$B$2:$B$2540,A21,'Performance Data'!$H$2:$H$2540,$B$4,'Performance Data'!$F$2:$F$2540,"&gt;=0"),IF($B$4="All",SUMIFS('Performance Data'!$F$2:$F$2540,'Performance Data'!$B$2:$B$2540,A21,'Performance Data'!$G$2:$G$2540,$B$3)/COUNTIFS('Performance Data'!$B$2:$B$2540,A21,'Performance Data'!$G$2:$G$2540,$B$3,'Performance Data'!$F$2:$F$2540,"&gt;=0"),SUMIFS('Performance Data'!$F$2:$F$2540,'Performance Data'!$B$2:$B$2540,A21,'Performance Data'!$G$2:$G$2540,$B$3,'Performance Data'!$H$2:$H$2540,$B$4)/COUNTIFS('Performance Data'!$B$2:$B$2540,A21,'Performance Data'!$G$2:$G$2540,$B$3,'Performance Data'!$H$2:$H$2540,$B$4,'Performance Data'!$F$2:$F$2540,"&gt;=0")))),"")</f>
        <v>0.68192506792142848</v>
      </c>
      <c r="C21" s="33">
        <f>IFERROR(IF($B$3="All",SUMIFS('Performance Data'!$F$2:$F$2540,'Performance Data'!$B$2:$B$2540,A21)/COUNTIFS('Performance Data'!$B$2:$B$2540,A21,'Performance Data'!$F$2:$F$2540,"&gt;=0"),SUMIFS('Performance Data'!$F$2:$F$2540,'Performance Data'!$B$2:$B$2540,A21,'Performance Data'!$G$2:$G$2540,$B$3)/COUNTIFS('Performance Data'!$B$2:$B$2540,A21,'Performance Data'!$G$2:$G$2540,$B$3,'Performance Data'!$F$2:$F$2540,"&gt;=0")),"")</f>
        <v>0.69405743790750163</v>
      </c>
      <c r="D21" s="33">
        <f>IFERROR(IF($B$4="All",SUMIFS('Performance Data'!$F$2:$F$2540,'Performance Data'!$B$2:$B$2540,A21)/COUNTIFS('Performance Data'!$B$2:$B$2540,A21,'Performance Data'!$F$2:$F$2540,"&gt;=0"),SUMIFS('Performance Data'!$F$2:$F$2540,'Performance Data'!$B$2:$B$2540,A21,'Performance Data'!$H$2:$H$2540,$B$4)/COUNTIFS('Performance Data'!$B$2:$B$2540,A21,'Performance Data'!$H$2:$H$2540,$B$4,'Performance Data'!$F$2:$F$2540,"&gt;=0")),"")</f>
        <v>0.73998420791036401</v>
      </c>
      <c r="E21" s="39">
        <f>IFERROR(SUMIFS('Performance Data'!$F$2:$F$2540,'Performance Data'!$B$2:$B$2540,A21)/COUNTIFS('Performance Data'!$B$2:$B$2540,A21,'Performance Data'!$F$2:$F$2540,"&gt;=0"),"")</f>
        <v>0.74722373730036629</v>
      </c>
    </row>
    <row r="22" spans="1:5">
      <c r="A22" s="38">
        <v>45901</v>
      </c>
      <c r="B22" s="33">
        <f>IFERROR(IF(AND($B$3="All",$B$4="All"),SUMIFS('Performance Data'!$F$2:$F$2540,'Performance Data'!$B$2:$B$2540,A22)/COUNTIFS('Performance Data'!$B$2:$B$2540,A22,'Performance Data'!$F$2:$F$2540,"&gt;=0"),IF($B$3="All",SUMIFS('Performance Data'!$F$2:$F$2540,'Performance Data'!$B$2:$B$2540,A22,'Performance Data'!$H$2:$H$2540,$B$4)/COUNTIFS('Performance Data'!$B$2:$B$2540,A22,'Performance Data'!$H$2:$H$2540,$B$4,'Performance Data'!$F$2:$F$2540,"&gt;=0"),IF($B$4="All",SUMIFS('Performance Data'!$F$2:$F$2540,'Performance Data'!$B$2:$B$2540,A22,'Performance Data'!$G$2:$G$2540,$B$3)/COUNTIFS('Performance Data'!$B$2:$B$2540,A22,'Performance Data'!$G$2:$G$2540,$B$3,'Performance Data'!$F$2:$F$2540,"&gt;=0"),SUMIFS('Performance Data'!$F$2:$F$2540,'Performance Data'!$B$2:$B$2540,A22,'Performance Data'!$G$2:$G$2540,$B$3,'Performance Data'!$H$2:$H$2540,$B$4)/COUNTIFS('Performance Data'!$B$2:$B$2540,A22,'Performance Data'!$G$2:$G$2540,$B$3,'Performance Data'!$H$2:$H$2540,$B$4,'Performance Data'!$F$2:$F$2540,"&gt;=0")))),"")</f>
        <v>0.8239801995972208</v>
      </c>
      <c r="C22" s="33">
        <f>IFERROR(IF($B$3="All",SUMIFS('Performance Data'!$F$2:$F$2540,'Performance Data'!$B$2:$B$2540,A22)/COUNTIFS('Performance Data'!$B$2:$B$2540,A22,'Performance Data'!$F$2:$F$2540,"&gt;=0"),SUMIFS('Performance Data'!$F$2:$F$2540,'Performance Data'!$B$2:$B$2540,A22,'Performance Data'!$G$2:$G$2540,$B$3)/COUNTIFS('Performance Data'!$B$2:$B$2540,A22,'Performance Data'!$G$2:$G$2540,$B$3,'Performance Data'!$F$2:$F$2540,"&gt;=0")),"")</f>
        <v>0.79914676074676083</v>
      </c>
      <c r="D22" s="33">
        <f>IFERROR(IF($B$4="All",SUMIFS('Performance Data'!$F$2:$F$2540,'Performance Data'!$B$2:$B$2540,A22)/COUNTIFS('Performance Data'!$B$2:$B$2540,A22,'Performance Data'!$F$2:$F$2540,"&gt;=0"),SUMIFS('Performance Data'!$F$2:$F$2540,'Performance Data'!$B$2:$B$2540,A22,'Performance Data'!$H$2:$H$2540,$B$4)/COUNTIFS('Performance Data'!$B$2:$B$2540,A22,'Performance Data'!$H$2:$H$2540,$B$4,'Performance Data'!$F$2:$F$2540,"&gt;=0")),"")</f>
        <v>0.84124520629198152</v>
      </c>
      <c r="E22" s="39">
        <f>IFERROR(SUMIFS('Performance Data'!$F$2:$F$2540,'Performance Data'!$B$2:$B$2540,A22)/COUNTIFS('Performance Data'!$B$2:$B$2540,A22,'Performance Data'!$F$2:$F$2540,"&gt;=0"),"")</f>
        <v>0.8426788531282654</v>
      </c>
    </row>
    <row r="23" spans="1:5">
      <c r="A23" s="38">
        <v>45931</v>
      </c>
      <c r="B23" s="33">
        <f>IFERROR(IF(AND($B$3="All",$B$4="All"),SUMIFS('Performance Data'!$F$2:$F$2540,'Performance Data'!$B$2:$B$2540,A23)/COUNTIFS('Performance Data'!$B$2:$B$2540,A23,'Performance Data'!$F$2:$F$2540,"&gt;=0"),IF($B$3="All",SUMIFS('Performance Data'!$F$2:$F$2540,'Performance Data'!$B$2:$B$2540,A23,'Performance Data'!$H$2:$H$2540,$B$4)/COUNTIFS('Performance Data'!$B$2:$B$2540,A23,'Performance Data'!$H$2:$H$2540,$B$4,'Performance Data'!$F$2:$F$2540,"&gt;=0"),IF($B$4="All",SUMIFS('Performance Data'!$F$2:$F$2540,'Performance Data'!$B$2:$B$2540,A23,'Performance Data'!$G$2:$G$2540,$B$3)/COUNTIFS('Performance Data'!$B$2:$B$2540,A23,'Performance Data'!$G$2:$G$2540,$B$3,'Performance Data'!$F$2:$F$2540,"&gt;=0"),SUMIFS('Performance Data'!$F$2:$F$2540,'Performance Data'!$B$2:$B$2540,A23,'Performance Data'!$G$2:$G$2540,$B$3,'Performance Data'!$H$2:$H$2540,$B$4)/COUNTIFS('Performance Data'!$B$2:$B$2540,A23,'Performance Data'!$G$2:$G$2540,$B$3,'Performance Data'!$H$2:$H$2540,$B$4,'Performance Data'!$F$2:$F$2540,"&gt;=0")))),"")</f>
        <v>0.83337759095795616</v>
      </c>
      <c r="C23" s="33">
        <f>IFERROR(IF($B$3="All",SUMIFS('Performance Data'!$F$2:$F$2540,'Performance Data'!$B$2:$B$2540,A23)/COUNTIFS('Performance Data'!$B$2:$B$2540,A23,'Performance Data'!$F$2:$F$2540,"&gt;=0"),SUMIFS('Performance Data'!$F$2:$F$2540,'Performance Data'!$B$2:$B$2540,A23,'Performance Data'!$G$2:$G$2540,$B$3)/COUNTIFS('Performance Data'!$B$2:$B$2540,A23,'Performance Data'!$G$2:$G$2540,$B$3,'Performance Data'!$F$2:$F$2540,"&gt;=0")),"")</f>
        <v>0.84885712851012096</v>
      </c>
      <c r="D23" s="33">
        <f>IFERROR(IF($B$4="All",SUMIFS('Performance Data'!$F$2:$F$2540,'Performance Data'!$B$2:$B$2540,A23)/COUNTIFS('Performance Data'!$B$2:$B$2540,A23,'Performance Data'!$F$2:$F$2540,"&gt;=0"),SUMIFS('Performance Data'!$F$2:$F$2540,'Performance Data'!$B$2:$B$2540,A23,'Performance Data'!$H$2:$H$2540,$B$4)/COUNTIFS('Performance Data'!$B$2:$B$2540,A23,'Performance Data'!$H$2:$H$2540,$B$4,'Performance Data'!$F$2:$F$2540,"&gt;=0")),"")</f>
        <v>0.83130563792080481</v>
      </c>
      <c r="E23" s="39">
        <f>IFERROR(SUMIFS('Performance Data'!$F$2:$F$2540,'Performance Data'!$B$2:$B$2540,A23)/COUNTIFS('Performance Data'!$B$2:$B$2540,A23,'Performance Data'!$F$2:$F$2540,"&gt;=0"),"")</f>
        <v>0.8424772614514523</v>
      </c>
    </row>
    <row r="24" spans="1:5">
      <c r="A24" s="38">
        <v>45962</v>
      </c>
      <c r="B24" s="33">
        <f>IFERROR(IF(AND($B$3="All",$B$4="All"),SUMIFS('Performance Data'!$F$2:$F$2540,'Performance Data'!$B$2:$B$2540,A24)/COUNTIFS('Performance Data'!$B$2:$B$2540,A24,'Performance Data'!$F$2:$F$2540,"&gt;=0"),IF($B$3="All",SUMIFS('Performance Data'!$F$2:$F$2540,'Performance Data'!$B$2:$B$2540,A24,'Performance Data'!$H$2:$H$2540,$B$4)/COUNTIFS('Performance Data'!$B$2:$B$2540,A24,'Performance Data'!$H$2:$H$2540,$B$4,'Performance Data'!$F$2:$F$2540,"&gt;=0"),IF($B$4="All",SUMIFS('Performance Data'!$F$2:$F$2540,'Performance Data'!$B$2:$B$2540,A24,'Performance Data'!$G$2:$G$2540,$B$3)/COUNTIFS('Performance Data'!$B$2:$B$2540,A24,'Performance Data'!$G$2:$G$2540,$B$3,'Performance Data'!$F$2:$F$2540,"&gt;=0"),SUMIFS('Performance Data'!$F$2:$F$2540,'Performance Data'!$B$2:$B$2540,A24,'Performance Data'!$G$2:$G$2540,$B$3,'Performance Data'!$H$2:$H$2540,$B$4)/COUNTIFS('Performance Data'!$B$2:$B$2540,A24,'Performance Data'!$G$2:$G$2540,$B$3,'Performance Data'!$H$2:$H$2540,$B$4,'Performance Data'!$F$2:$F$2540,"&gt;=0")))),"")</f>
        <v>0.81157368618618619</v>
      </c>
      <c r="C24" s="33">
        <f>IFERROR(IF($B$3="All",SUMIFS('Performance Data'!$F$2:$F$2540,'Performance Data'!$B$2:$B$2540,A24)/COUNTIFS('Performance Data'!$B$2:$B$2540,A24,'Performance Data'!$F$2:$F$2540,"&gt;=0"),SUMIFS('Performance Data'!$F$2:$F$2540,'Performance Data'!$B$2:$B$2540,A24,'Performance Data'!$G$2:$G$2540,$B$3)/COUNTIFS('Performance Data'!$B$2:$B$2540,A24,'Performance Data'!$G$2:$G$2540,$B$3,'Performance Data'!$F$2:$F$2540,"&gt;=0")),"")</f>
        <v>0.8397616516516514</v>
      </c>
      <c r="D24" s="33">
        <f>IFERROR(IF($B$4="All",SUMIFS('Performance Data'!$F$2:$F$2540,'Performance Data'!$B$2:$B$2540,A24)/COUNTIFS('Performance Data'!$B$2:$B$2540,A24,'Performance Data'!$F$2:$F$2540,"&gt;=0"),SUMIFS('Performance Data'!$F$2:$F$2540,'Performance Data'!$B$2:$B$2540,A24,'Performance Data'!$H$2:$H$2540,$B$4)/COUNTIFS('Performance Data'!$B$2:$B$2540,A24,'Performance Data'!$H$2:$H$2540,$B$4,'Performance Data'!$F$2:$F$2540,"&gt;=0")),"")</f>
        <v>0.84183397035908814</v>
      </c>
      <c r="E24" s="39">
        <f>IFERROR(SUMIFS('Performance Data'!$F$2:$F$2540,'Performance Data'!$B$2:$B$2540,A24)/COUNTIFS('Performance Data'!$B$2:$B$2540,A24,'Performance Data'!$F$2:$F$2540,"&gt;=0"),"")</f>
        <v>0.85216421717245472</v>
      </c>
    </row>
    <row r="25" spans="1:5">
      <c r="A25" s="40">
        <v>45992</v>
      </c>
      <c r="B25" s="41">
        <f>IFERROR(IF(AND($B$3="All",$B$4="All"),SUMIFS('Performance Data'!$F$2:$F$2540,'Performance Data'!$B$2:$B$2540,A25)/COUNTIFS('Performance Data'!$B$2:$B$2540,A25,'Performance Data'!$F$2:$F$2540,"&gt;=0"),IF($B$3="All",SUMIFS('Performance Data'!$F$2:$F$2540,'Performance Data'!$B$2:$B$2540,A25,'Performance Data'!$H$2:$H$2540,$B$4)/COUNTIFS('Performance Data'!$B$2:$B$2540,A25,'Performance Data'!$H$2:$H$2540,$B$4,'Performance Data'!$F$2:$F$2540,"&gt;=0"),IF($B$4="All",SUMIFS('Performance Data'!$F$2:$F$2540,'Performance Data'!$B$2:$B$2540,A25,'Performance Data'!$G$2:$G$2540,$B$3)/COUNTIFS('Performance Data'!$B$2:$B$2540,A25,'Performance Data'!$G$2:$G$2540,$B$3,'Performance Data'!$F$2:$F$2540,"&gt;=0"),SUMIFS('Performance Data'!$F$2:$F$2540,'Performance Data'!$B$2:$B$2540,A25,'Performance Data'!$G$2:$G$2540,$B$3,'Performance Data'!$H$2:$H$2540,$B$4)/COUNTIFS('Performance Data'!$B$2:$B$2540,A25,'Performance Data'!$G$2:$G$2540,$B$3,'Performance Data'!$H$2:$H$2540,$B$4,'Performance Data'!$F$2:$F$2540,"&gt;=0")))),"")</f>
        <v>0.61082405500738823</v>
      </c>
      <c r="C25" s="41">
        <f>IFERROR(IF($B$3="All",SUMIFS('Performance Data'!$F$2:$F$2540,'Performance Data'!$B$2:$B$2540,A25)/COUNTIFS('Performance Data'!$B$2:$B$2540,A25,'Performance Data'!$F$2:$F$2540,"&gt;=0"),SUMIFS('Performance Data'!$F$2:$F$2540,'Performance Data'!$B$2:$B$2540,A25,'Performance Data'!$G$2:$G$2540,$B$3)/COUNTIFS('Performance Data'!$B$2:$B$2540,A25,'Performance Data'!$G$2:$G$2540,$B$3,'Performance Data'!$F$2:$F$2540,"&gt;=0")),"")</f>
        <v>0.65276837925965836</v>
      </c>
      <c r="D25" s="41">
        <f>IFERROR(IF($B$4="All",SUMIFS('Performance Data'!$F$2:$F$2540,'Performance Data'!$B$2:$B$2540,A25)/COUNTIFS('Performance Data'!$B$2:$B$2540,A25,'Performance Data'!$F$2:$F$2540,"&gt;=0"),SUMIFS('Performance Data'!$F$2:$F$2540,'Performance Data'!$B$2:$B$2540,A25,'Performance Data'!$H$2:$H$2540,$B$4)/COUNTIFS('Performance Data'!$B$2:$B$2540,A25,'Performance Data'!$H$2:$H$2540,$B$4,'Performance Data'!$F$2:$F$2540,"&gt;=0")),"")</f>
        <v>0.67611746804031225</v>
      </c>
      <c r="E25" s="42">
        <f>IFERROR(SUMIFS('Performance Data'!$F$2:$F$2540,'Performance Data'!$B$2:$B$2540,A25)/COUNTIFS('Performance Data'!$B$2:$B$2540,A25,'Performance Data'!$F$2:$F$2540,"&gt;=0"),"")</f>
        <v>0.70461420489374627</v>
      </c>
    </row>
  </sheetData>
  <mergeCells count="3">
    <mergeCell ref="A1:E1"/>
    <mergeCell ref="A7:C7"/>
    <mergeCell ref="A12:E12"/>
  </mergeCells>
  <conditionalFormatting sqref="B14:B25">
    <cfRule type="dataBar" priority="1">
      <dataBar>
        <cfvo type="min"/>
        <cfvo type="max"/>
        <color rgb="FF156082"/>
      </dataBar>
    </cfRule>
    <cfRule type="dataBar" priority="2">
      <dataBar>
        <cfvo type="min"/>
        <cfvo type="max"/>
        <color rgb="FF156082"/>
      </dataBar>
      <extLst>
        <ext xmlns:x14="http://schemas.microsoft.com/office/spreadsheetml/2009/9/main" uri="{B025F937-C7B1-47D3-B67F-A62EFF666E3E}">
          <x14:id>{8213237C-262D-8CED-9257-E0A72B4BD1FC}</x14:id>
        </ext>
      </extLst>
    </cfRule>
  </conditionalFormatting>
  <dataValidations count="2">
    <dataValidation type="list" sqref="B3" xr:uid="{00000000-0002-0000-0300-000000000000}">
      <formula1>"All,Service A,Service B,Service C,Service D"</formula1>
    </dataValidation>
    <dataValidation type="list" sqref="B4" xr:uid="{00000000-0002-0000-0300-000001000000}">
      <formula1>"All,Band 3,Band 4,Band 5"</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213237C-262D-8CED-9257-E0A72B4BD1FC}">
            <x14:dataBar>
              <x14:cfvo type="min"/>
              <x14:cfvo type="max"/>
              <x14:negativeFillColor auto="1"/>
              <x14:axisColor auto="1"/>
            </x14:dataBar>
          </x14:cfRule>
          <xm:sqref>B14:B25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Questions</vt:lpstr>
      <vt:lpstr>Users</vt:lpstr>
      <vt:lpstr>Performance Data</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Daramola Omoyele</cp:lastModifiedBy>
  <dcterms:modified xsi:type="dcterms:W3CDTF">2026-09-15T08:17:18Z</dcterms:modified>
</cp:coreProperties>
</file>