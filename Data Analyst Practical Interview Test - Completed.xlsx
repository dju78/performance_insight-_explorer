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Questions" sheetId="1" state="visible" r:id="rId1"/>
    <sheet xmlns:r="http://schemas.openxmlformats.org/officeDocument/2006/relationships" name="Users" sheetId="2" state="visible" r:id="rId2"/>
    <sheet xmlns:r="http://schemas.openxmlformats.org/officeDocument/2006/relationships" name="Performance Data" sheetId="3" state="visible" r:id="rId3"/>
    <sheet xmlns:r="http://schemas.openxmlformats.org/officeDocument/2006/relationships" name="Summary" sheetId="4" state="visible" r:id="rId4"/>
  </sheets>
  <definedNames/>
  <calcPr calcId="191029" fullCalcOnLoad="1"/>
</workbook>
</file>

<file path=xl/styles.xml><?xml version="1.0" encoding="utf-8"?>
<styleSheet xmlns="http://schemas.openxmlformats.org/spreadsheetml/2006/main">
  <numFmts count="2">
    <numFmt numFmtId="164" formatCode="yyyy-mm-dd"/>
    <numFmt numFmtId="165" formatCode="mmm yyyy"/>
  </numFmts>
  <fonts count="20">
    <font>
      <name val="Aptos Narrow"/>
      <sz val="11"/>
    </font>
    <font>
      <name val="Arial"/>
      <b val="1"/>
      <sz val="12"/>
    </font>
    <font>
      <name val="Arial"/>
      <sz val="12"/>
    </font>
    <font>
      <name val="Aptos Narrow"/>
      <sz val="11"/>
    </font>
    <font>
      <name val="Aptos Narrow"/>
      <b val="1"/>
      <color rgb="FFFFFFFF"/>
      <sz val="16"/>
    </font>
    <font>
      <name val="Aptos Narrow"/>
      <b val="1"/>
      <sz val="11"/>
    </font>
    <font>
      <name val="Aptos Narrow"/>
      <i val="1"/>
      <sz val="11"/>
    </font>
    <font>
      <name val="Aptos Narrow"/>
      <b val="1"/>
      <color rgb="FFFFFFFF"/>
      <sz val="11"/>
    </font>
    <font>
      <name val="Arial"/>
      <b val="1"/>
      <color rgb="FFFFFFFF"/>
      <sz val="12"/>
    </font>
    <font>
      <name val="Calibri"/>
      <b val="1"/>
      <color rgb="00FFFFFF"/>
      <sz val="11"/>
    </font>
    <font>
      <name val="Calibri"/>
      <b val="1"/>
      <sz val="11"/>
    </font>
    <font>
      <name val="Calibri"/>
      <sz val="10"/>
    </font>
    <font>
      <name val="Calibri"/>
      <b val="1"/>
      <color rgb="00006100"/>
      <sz val="10"/>
    </font>
    <font>
      <name val="Calibri"/>
      <b val="1"/>
      <color rgb="00FFFFFF"/>
      <sz val="14"/>
    </font>
    <font>
      <name val="Calibri"/>
      <b val="1"/>
      <color rgb="00595959"/>
      <sz val="10"/>
    </font>
    <font>
      <name val="Calibri"/>
      <i val="1"/>
      <color rgb="00595959"/>
      <sz val="10"/>
    </font>
    <font>
      <name val="Calibri"/>
      <b val="1"/>
      <color rgb="001F4E78"/>
      <sz val="11"/>
    </font>
    <font>
      <name val="Calibri"/>
      <b val="1"/>
      <color rgb="00333333"/>
      <sz val="10"/>
    </font>
    <font>
      <name val="Calibri"/>
      <b val="1"/>
      <sz val="10"/>
    </font>
    <font>
      <name val="Calibri"/>
      <b val="1"/>
      <color rgb="00FFFFFF"/>
      <sz val="10"/>
    </font>
  </fonts>
  <fills count="15">
    <fill>
      <patternFill/>
    </fill>
    <fill>
      <patternFill patternType="gray125"/>
    </fill>
    <fill>
      <patternFill patternType="solid">
        <fgColor theme="0" tint="-0.0499893185216834"/>
        <bgColor indexed="65"/>
      </patternFill>
    </fill>
    <fill>
      <patternFill patternType="solid">
        <fgColor theme="0" tint="-0.249977111117893"/>
        <bgColor indexed="65"/>
      </patternFill>
    </fill>
    <fill>
      <patternFill patternType="solid">
        <fgColor rgb="FFEAF2F8"/>
      </patternFill>
    </fill>
    <fill>
      <patternFill patternType="solid">
        <fgColor rgb="FF1F4E78"/>
      </patternFill>
    </fill>
    <fill>
      <patternFill patternType="solid">
        <fgColor rgb="FFFFF2CC"/>
      </patternFill>
    </fill>
    <fill>
      <patternFill patternType="solid">
        <fgColor rgb="FFD9EAF7"/>
      </patternFill>
    </fill>
    <fill>
      <patternFill patternType="solid">
        <fgColor rgb="FFD9E1F2"/>
      </patternFill>
    </fill>
    <fill>
      <patternFill patternType="solid">
        <fgColor rgb="FFF2F2F2"/>
      </patternFill>
    </fill>
    <fill>
      <patternFill patternType="solid">
        <fgColor rgb="001F4E78"/>
        <bgColor rgb="001F4E78"/>
      </patternFill>
    </fill>
    <fill>
      <patternFill patternType="solid">
        <fgColor rgb="00C6EFCE"/>
        <bgColor rgb="00C6EFCE"/>
      </patternFill>
    </fill>
    <fill>
      <patternFill patternType="solid">
        <fgColor rgb="00FFF2CC"/>
        <bgColor rgb="00FFF2CC"/>
      </patternFill>
    </fill>
    <fill>
      <patternFill patternType="solid">
        <fgColor rgb="00D9EAF7"/>
        <bgColor rgb="00D9EAF7"/>
      </patternFill>
    </fill>
    <fill>
      <patternFill patternType="solid">
        <fgColor rgb="00EAECEE"/>
        <bgColor rgb="00EAECEE"/>
      </patternFill>
    </fill>
  </fills>
  <borders count="13">
    <border>
      <left/>
      <right/>
      <top/>
      <bottom/>
      <diagonal/>
    </border>
    <border>
      <left/>
      <right/>
      <top/>
      <bottom style="thin">
        <color auto="1"/>
      </bottom>
      <diagonal/>
    </border>
    <border>
      <left/>
      <right/>
      <top/>
      <bottom style="thin">
        <color rgb="FF7F8C8D"/>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00D9D9D9"/>
      </left>
      <right style="thin">
        <color rgb="00D9D9D9"/>
      </right>
      <top style="thin">
        <color rgb="00D9D9D9"/>
      </top>
      <bottom style="thin">
        <color rgb="00D9D9D9"/>
      </bottom>
    </border>
    <border>
      <left style="medium">
        <color rgb="00D6B656"/>
      </left>
      <right style="medium">
        <color rgb="00D6B656"/>
      </right>
      <top style="medium">
        <color rgb="00D6B656"/>
      </top>
      <bottom style="medium">
        <color rgb="00D6B656"/>
      </bottom>
    </border>
  </borders>
  <cellStyleXfs count="2">
    <xf numFmtId="0" fontId="3" fillId="0" borderId="0"/>
    <xf numFmtId="9" fontId="3" fillId="0" borderId="0"/>
  </cellStyleXfs>
  <cellXfs count="79">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2" fillId="0"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left" vertical="top"/>
    </xf>
    <xf numFmtId="0" fontId="2" fillId="0" borderId="0" applyAlignment="1" pivotButton="0" quotePrefix="0" xfId="0">
      <alignment horizontal="left" vertical="center"/>
    </xf>
    <xf numFmtId="0" fontId="1" fillId="0" borderId="1" applyAlignment="1" pivotButton="0" quotePrefix="0" xfId="0">
      <alignment horizontal="left"/>
    </xf>
    <xf numFmtId="0" fontId="2" fillId="0" borderId="0" applyAlignment="1" pivotButton="0" quotePrefix="0" xfId="0">
      <alignment horizontal="left"/>
    </xf>
    <xf numFmtId="2" fontId="2" fillId="0" borderId="0" applyAlignment="1" pivotButton="0" quotePrefix="0" xfId="0">
      <alignment horizontal="left"/>
    </xf>
    <xf numFmtId="0" fontId="2" fillId="2" borderId="0" applyAlignment="1" pivotButton="0" quotePrefix="0" xfId="0">
      <alignment horizontal="left" vertical="center"/>
    </xf>
    <xf numFmtId="0" fontId="2" fillId="2" borderId="0" applyAlignment="1" pivotButton="0" quotePrefix="0" xfId="0">
      <alignment vertical="center" wrapText="1"/>
    </xf>
    <xf numFmtId="2" fontId="1" fillId="0" borderId="1" applyAlignment="1" pivotButton="0" quotePrefix="0" xfId="0">
      <alignment horizontal="left"/>
    </xf>
    <xf numFmtId="14" fontId="1" fillId="0" borderId="1" applyAlignment="1" pivotButton="0" quotePrefix="0" xfId="0">
      <alignment horizontal="left"/>
    </xf>
    <xf numFmtId="14" fontId="2" fillId="0" borderId="0" applyAlignment="1" pivotButton="0" quotePrefix="0" xfId="0">
      <alignment horizontal="left"/>
    </xf>
    <xf numFmtId="14" fontId="0" fillId="0" borderId="0" applyAlignment="1" pivotButton="0" quotePrefix="0" xfId="0">
      <alignment horizontal="left"/>
    </xf>
    <xf numFmtId="2" fontId="0" fillId="0" borderId="0" applyAlignment="1" pivotButton="0" quotePrefix="0" xfId="0">
      <alignment horizontal="left"/>
    </xf>
    <xf numFmtId="2" fontId="0" fillId="0" borderId="0" pivotButton="0" quotePrefix="0" xfId="0"/>
    <xf numFmtId="0" fontId="1" fillId="0" borderId="1" applyAlignment="1" pivotButton="0" quotePrefix="0" xfId="0">
      <alignment horizontal="center"/>
    </xf>
    <xf numFmtId="0" fontId="2" fillId="0" borderId="0" applyAlignment="1" pivotButton="0" quotePrefix="0" xfId="0">
      <alignment horizontal="center"/>
    </xf>
    <xf numFmtId="17" fontId="2" fillId="0" borderId="0" applyAlignment="1" pivotButton="0" quotePrefix="0" xfId="0">
      <alignment horizontal="center"/>
    </xf>
    <xf numFmtId="2" fontId="2" fillId="0" borderId="0" applyAlignment="1" pivotButton="0" quotePrefix="0" xfId="0">
      <alignment horizontal="center"/>
    </xf>
    <xf numFmtId="1" fontId="2" fillId="0" borderId="0" applyAlignment="1" pivotButton="0" quotePrefix="0" xfId="0">
      <alignment horizont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1" fontId="2" fillId="3" borderId="0" applyAlignment="1" pivotButton="0" quotePrefix="0" xfId="0">
      <alignment horizontal="center"/>
    </xf>
    <xf numFmtId="10" fontId="2" fillId="0" borderId="0" applyAlignment="1" pivotButton="0" quotePrefix="0" xfId="0">
      <alignment horizontal="center"/>
    </xf>
    <xf numFmtId="0" fontId="1" fillId="4" borderId="2" applyAlignment="1" pivotButton="0" quotePrefix="0" xfId="0">
      <alignment horizontal="center" vertical="center"/>
    </xf>
    <xf numFmtId="0" fontId="5" fillId="0" borderId="0" pivotButton="0" quotePrefix="0" xfId="0"/>
    <xf numFmtId="0" fontId="5" fillId="6" borderId="0" applyAlignment="1" pivotButton="0" quotePrefix="0" xfId="0">
      <alignment horizontal="center"/>
    </xf>
    <xf numFmtId="0" fontId="0" fillId="0" borderId="0" applyAlignment="1" pivotButton="0" quotePrefix="0" xfId="0">
      <alignment wrapText="1"/>
    </xf>
    <xf numFmtId="0" fontId="5" fillId="8" borderId="0" applyAlignment="1" pivotButton="0" quotePrefix="0" xfId="0">
      <alignment horizontal="center"/>
    </xf>
    <xf numFmtId="10" fontId="0" fillId="0" borderId="0" pivotButton="0" quotePrefix="0" xfId="0"/>
    <xf numFmtId="10" fontId="6" fillId="9" borderId="0" pivotButton="0" quotePrefix="0" xfId="0"/>
    <xf numFmtId="0" fontId="7" fillId="5" borderId="3" applyAlignment="1" pivotButton="0" quotePrefix="0" xfId="0">
      <alignment horizontal="center" wrapText="1"/>
    </xf>
    <xf numFmtId="0" fontId="7" fillId="5" borderId="4" applyAlignment="1" pivotButton="0" quotePrefix="0" xfId="0">
      <alignment horizontal="center" wrapText="1"/>
    </xf>
    <xf numFmtId="0" fontId="7" fillId="5" borderId="5" applyAlignment="1" pivotButton="0" quotePrefix="0" xfId="0">
      <alignment horizontal="center" wrapText="1"/>
    </xf>
    <xf numFmtId="17" fontId="0" fillId="0" borderId="6" pivotButton="0" quotePrefix="0" xfId="0"/>
    <xf numFmtId="10" fontId="0" fillId="0" borderId="7" pivotButton="0" quotePrefix="0" xfId="0"/>
    <xf numFmtId="17" fontId="0" fillId="0" borderId="8" pivotButton="0" quotePrefix="0" xfId="0"/>
    <xf numFmtId="10" fontId="0" fillId="0" borderId="9" pivotButton="0" quotePrefix="0" xfId="0"/>
    <xf numFmtId="10" fontId="0" fillId="0" borderId="10" pivotButton="0" quotePrefix="0" xfId="0"/>
    <xf numFmtId="0" fontId="8" fillId="5" borderId="0" applyAlignment="1" pivotButton="0" quotePrefix="0" xfId="0">
      <alignment wrapText="1"/>
    </xf>
    <xf numFmtId="14" fontId="5" fillId="9" borderId="2" applyAlignment="1" pivotButton="0" quotePrefix="0" xfId="0">
      <alignment horizontal="center" wrapText="1"/>
    </xf>
    <xf numFmtId="0" fontId="4" fillId="5" borderId="0" applyAlignment="1" pivotButton="0" quotePrefix="0" xfId="0">
      <alignment horizontal="left" vertical="center"/>
    </xf>
    <xf numFmtId="0" fontId="5" fillId="7" borderId="0" pivotButton="0" quotePrefix="0" xfId="0"/>
    <xf numFmtId="0" fontId="9" fillId="10" borderId="0" applyAlignment="1" pivotButton="0" quotePrefix="0" xfId="0">
      <alignment horizontal="center" vertical="center"/>
    </xf>
    <xf numFmtId="0" fontId="9" fillId="10" borderId="0" applyAlignment="1" pivotButton="0" quotePrefix="0" xfId="0">
      <alignment horizontal="left" vertical="center"/>
    </xf>
    <xf numFmtId="0" fontId="10" fillId="2" borderId="11" applyAlignment="1" pivotButton="0" quotePrefix="0" xfId="0">
      <alignment horizontal="center" vertical="top"/>
    </xf>
    <xf numFmtId="0" fontId="11" fillId="2" borderId="11" applyAlignment="1" pivotButton="0" quotePrefix="0" xfId="0">
      <alignment horizontal="left" vertical="top" wrapText="1"/>
    </xf>
    <xf numFmtId="0" fontId="11" fillId="0" borderId="11" applyAlignment="1" pivotButton="0" quotePrefix="0" xfId="0">
      <alignment horizontal="left" vertical="top" wrapText="1"/>
    </xf>
    <xf numFmtId="0" fontId="12" fillId="11" borderId="11" applyAlignment="1" pivotButton="0" quotePrefix="0" xfId="0">
      <alignment horizontal="center" vertical="top"/>
    </xf>
    <xf numFmtId="0" fontId="10" fillId="0" borderId="11" applyAlignment="1" pivotButton="0" quotePrefix="0" xfId="0">
      <alignment horizontal="center" vertical="top"/>
    </xf>
    <xf numFmtId="0" fontId="9" fillId="10" borderId="1" applyAlignment="1" pivotButton="0" quotePrefix="0" xfId="0">
      <alignment horizontal="center" vertical="center"/>
    </xf>
    <xf numFmtId="2" fontId="9" fillId="10" borderId="1" applyAlignment="1" pivotButton="0" quotePrefix="0" xfId="0">
      <alignment horizontal="center" vertical="center"/>
    </xf>
    <xf numFmtId="14" fontId="9" fillId="10" borderId="1" applyAlignment="1" pivotButton="0" quotePrefix="0" xfId="0">
      <alignment horizontal="center" vertical="center"/>
    </xf>
    <xf numFmtId="0" fontId="9" fillId="10" borderId="1" applyAlignment="1" pivotButton="0" quotePrefix="0" xfId="0">
      <alignment horizontal="center" vertical="center" wrapText="1"/>
    </xf>
    <xf numFmtId="0" fontId="9" fillId="10" borderId="2" applyAlignment="1" pivotButton="0" quotePrefix="0" xfId="0">
      <alignment horizontal="center" vertical="center" wrapText="1"/>
    </xf>
    <xf numFmtId="14" fontId="9" fillId="10" borderId="2" applyAlignment="1" pivotButton="0" quotePrefix="0" xfId="0">
      <alignment horizontal="center" vertical="center" wrapText="1"/>
    </xf>
    <xf numFmtId="164" fontId="2" fillId="0" borderId="0" applyAlignment="1" pivotButton="0" quotePrefix="0" xfId="0">
      <alignment horizontal="center"/>
    </xf>
    <xf numFmtId="0" fontId="13" fillId="10" borderId="0" applyAlignment="1" pivotButton="0" quotePrefix="0" xfId="0">
      <alignment horizontal="left" vertical="center" indent="1"/>
    </xf>
    <xf numFmtId="0" fontId="0" fillId="10" borderId="0" pivotButton="0" quotePrefix="0" xfId="0"/>
    <xf numFmtId="0" fontId="10" fillId="0" borderId="0" applyAlignment="1" pivotButton="0" quotePrefix="0" xfId="0">
      <alignment horizontal="left" vertical="center"/>
    </xf>
    <xf numFmtId="0" fontId="10" fillId="12" borderId="12" applyAlignment="1" pivotButton="0" quotePrefix="0" xfId="0">
      <alignment horizontal="center" vertical="center"/>
    </xf>
    <xf numFmtId="0" fontId="14" fillId="0" borderId="0" pivotButton="0" quotePrefix="0" xfId="0"/>
    <xf numFmtId="0" fontId="15" fillId="0" borderId="0" applyAlignment="1" pivotButton="0" quotePrefix="0" xfId="0">
      <alignment wrapText="1"/>
    </xf>
    <xf numFmtId="0" fontId="16" fillId="13" borderId="0" applyAlignment="1" pivotButton="0" quotePrefix="0" xfId="0">
      <alignment horizontal="left" vertical="center" indent="1"/>
    </xf>
    <xf numFmtId="0" fontId="0" fillId="13" borderId="0" pivotButton="0" quotePrefix="0" xfId="0"/>
    <xf numFmtId="0" fontId="17" fillId="14" borderId="11" applyAlignment="1" pivotButton="0" quotePrefix="0" xfId="0">
      <alignment horizontal="left" vertical="center"/>
    </xf>
    <xf numFmtId="0" fontId="17" fillId="14" borderId="11" applyAlignment="1" pivotButton="0" quotePrefix="0" xfId="0">
      <alignment horizontal="center" vertical="center"/>
    </xf>
    <xf numFmtId="0" fontId="18" fillId="0" borderId="11" pivotButton="0" quotePrefix="0" xfId="0"/>
    <xf numFmtId="10" fontId="18" fillId="0" borderId="11" applyAlignment="1" pivotButton="0" quotePrefix="0" xfId="0">
      <alignment horizontal="center" vertical="center"/>
    </xf>
    <xf numFmtId="10" fontId="11" fillId="9" borderId="11" applyAlignment="1" pivotButton="0" quotePrefix="0" xfId="0">
      <alignment horizontal="center" vertical="center"/>
    </xf>
    <xf numFmtId="0" fontId="12" fillId="11" borderId="11" applyAlignment="1" pivotButton="0" quotePrefix="0" xfId="0">
      <alignment horizontal="center" vertical="center"/>
    </xf>
    <xf numFmtId="0" fontId="19" fillId="10" borderId="11" applyAlignment="1" pivotButton="0" quotePrefix="0" xfId="0">
      <alignment horizontal="center" vertical="center" wrapText="1"/>
    </xf>
    <xf numFmtId="165" fontId="0" fillId="0" borderId="11" applyAlignment="1" pivotButton="0" quotePrefix="0" xfId="0">
      <alignment horizontal="center" vertical="center"/>
    </xf>
    <xf numFmtId="10" fontId="18" fillId="0" borderId="11" applyAlignment="1" pivotButton="0" quotePrefix="0" xfId="0">
      <alignment horizontal="right" vertical="center"/>
    </xf>
    <xf numFmtId="10" fontId="11" fillId="0" borderId="11" applyAlignment="1" pivotButton="0" quotePrefix="0" xfId="0">
      <alignment horizontal="right" vertical="center"/>
    </xf>
  </cellXfs>
  <cellStyles count="2">
    <cellStyle name="Normal" xfId="0" builtinId="0"/>
    <cellStyle name="Percent"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n-GB"/>
              <a:t>2025 Availability % – Interactive Comparison</a:t>
            </a:r>
          </a:p>
        </rich>
      </tx>
      <overlay val="1"/>
    </title>
    <plotArea>
      <layout/>
      <lineChart>
        <grouping val="standard"/>
        <varyColors val="1"/>
        <ser>
          <idx val="0"/>
          <order val="0"/>
          <tx>
            <v>Selected Service + Band</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Summary!$B$14:$B$25</f>
              <numCache>
                <formatCode>0.00%</formatCode>
                <ptCount val="12"/>
                <pt idx="0">
                  <v>0.7592877160520796</v>
                </pt>
                <pt idx="1">
                  <v>0.8425561533755977</v>
                </pt>
                <pt idx="2">
                  <v>0.826543349570258</v>
                </pt>
                <pt idx="3">
                  <v>0.7680934995273229</v>
                </pt>
                <pt idx="4">
                  <v>0.7926689610733729</v>
                </pt>
                <pt idx="5">
                  <v>0.8081265078341201</v>
                </pt>
                <pt idx="6">
                  <v>0.8242794800521343</v>
                </pt>
                <pt idx="7">
                  <v>0.6819250679214285</v>
                </pt>
                <pt idx="8">
                  <v>0.8239801995972208</v>
                </pt>
                <pt idx="9">
                  <v>0.8333775909579562</v>
                </pt>
                <pt idx="10">
                  <v>0.8115736861861862</v>
                </pt>
                <pt idx="11">
                  <v>0.6108240550073882</v>
                </pt>
              </numCache>
            </numRef>
          </val>
          <smooth val="1"/>
        </ser>
        <ser>
          <idx val="1"/>
          <order val="1"/>
          <tx>
            <v>Selected Service (all Bands)</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Summary!$C$14:$C$25</f>
              <numCache>
                <formatCode>0.00%</formatCode>
                <ptCount val="12"/>
                <pt idx="0">
                  <v>0.773095659384875</v>
                </pt>
                <pt idx="1">
                  <v>0.8470119271814186</v>
                </pt>
                <pt idx="2">
                  <v>0.8343138612772169</v>
                </pt>
                <pt idx="3">
                  <v>0.7707515897985797</v>
                </pt>
                <pt idx="4">
                  <v>0.7912083715947353</v>
                </pt>
                <pt idx="5">
                  <v>0.8142262655154811</v>
                </pt>
                <pt idx="6">
                  <v>0.8329693108880751</v>
                </pt>
                <pt idx="7">
                  <v>0.6940574379075016</v>
                </pt>
                <pt idx="8">
                  <v>0.7991467607467608</v>
                </pt>
                <pt idx="9">
                  <v>0.848857128510121</v>
                </pt>
                <pt idx="10">
                  <v>0.8397616516516514</v>
                </pt>
                <pt idx="11">
                  <v>0.6527683792596584</v>
                </pt>
              </numCache>
            </numRef>
          </val>
          <smooth val="1"/>
        </ser>
        <ser>
          <idx val="2"/>
          <order val="2"/>
          <tx>
            <v>Selected Band (all Services)</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Summary!$D$14:$D$25</f>
              <numCache>
                <formatCode>0.00%</formatCode>
                <ptCount val="12"/>
                <pt idx="0">
                  <v>0.8185211582084428</v>
                </pt>
                <pt idx="1">
                  <v>0.8490799168725569</v>
                </pt>
                <pt idx="2">
                  <v>0.8624526030471785</v>
                </pt>
                <pt idx="3">
                  <v>0.784875355539983</v>
                </pt>
                <pt idx="4">
                  <v>0.7992921083919169</v>
                </pt>
                <pt idx="5">
                  <v>0.8292917286802921</v>
                </pt>
                <pt idx="6">
                  <v>0.8227095807540262</v>
                </pt>
                <pt idx="7">
                  <v>0.739984207910364</v>
                </pt>
                <pt idx="8">
                  <v>0.8412452062919815</v>
                </pt>
                <pt idx="9">
                  <v>0.8313056379208048</v>
                </pt>
                <pt idx="10">
                  <v>0.8418339703590881</v>
                </pt>
                <pt idx="11">
                  <v>0.6761174680403123</v>
                </pt>
              </numCache>
            </numRef>
          </val>
          <smooth val="1"/>
        </ser>
        <ser>
          <idx val="3"/>
          <order val="3"/>
          <tx>
            <v>Overall</v>
          </tx>
          <spPr>
            <a:ln xmlns:a="http://schemas.openxmlformats.org/drawingml/2006/main">
              <a:prstDash val="solid"/>
            </a:ln>
          </spPr>
          <marker>
            <symbol val="none"/>
            <spPr>
              <a:ln xmlns:a="http://schemas.openxmlformats.org/drawingml/2006/main">
                <a:prstDash val="solid"/>
              </a:ln>
            </spPr>
          </marker>
          <cat>
            <numRef>
              <f>Summary!$A$14:$A$25</f>
              <numCache>
                <formatCode>mmm\-yy</formatCode>
                <ptCount val="12"/>
                <pt idx="0">
                  <v>45658</v>
                </pt>
                <pt idx="1">
                  <v>45689</v>
                </pt>
                <pt idx="2">
                  <v>45717</v>
                </pt>
                <pt idx="3">
                  <v>45748</v>
                </pt>
                <pt idx="4">
                  <v>45778</v>
                </pt>
                <pt idx="5">
                  <v>45809</v>
                </pt>
                <pt idx="6">
                  <v>45839</v>
                </pt>
                <pt idx="7">
                  <v>45870</v>
                </pt>
                <pt idx="8">
                  <v>45901</v>
                </pt>
                <pt idx="9">
                  <v>45931</v>
                </pt>
                <pt idx="10">
                  <v>45962</v>
                </pt>
                <pt idx="11">
                  <v>45992</v>
                </pt>
              </numCache>
            </numRef>
          </cat>
          <val>
            <numRef>
              <f>Summary!$E$14:$E$25</f>
              <numCache>
                <formatCode>0.00%</formatCode>
                <ptCount val="12"/>
                <pt idx="0">
                  <v>0.8291124281055324</v>
                </pt>
                <pt idx="1">
                  <v>0.8626872464023031</v>
                </pt>
                <pt idx="2">
                  <v>0.8711212328955916</v>
                </pt>
                <pt idx="3">
                  <v>0.7971436297182997</v>
                </pt>
                <pt idx="4">
                  <v>0.803289702945744</v>
                </pt>
                <pt idx="5">
                  <v>0.8377250708132498</v>
                </pt>
                <pt idx="6">
                  <v>0.8320841474456195</v>
                </pt>
                <pt idx="7">
                  <v>0.7472237373003663</v>
                </pt>
                <pt idx="8">
                  <v>0.8426788531282654</v>
                </pt>
                <pt idx="9">
                  <v>0.8424772614514523</v>
                </pt>
                <pt idx="10">
                  <v>0.8521642171724547</v>
                </pt>
                <pt idx="11">
                  <v>0.7046142048937463</v>
                </pt>
              </numCache>
            </numRef>
          </val>
          <smooth val="1"/>
        </ser>
        <dLbls>
          <showLegendKey val="0"/>
          <showVal val="0"/>
          <showCatName val="0"/>
          <showSerName val="0"/>
          <showPercent val="0"/>
          <showBubbleSize val="0"/>
        </dLbls>
        <smooth val="0"/>
        <axId val="48650112"/>
        <axId val="48672768"/>
      </lineChart>
      <dateAx>
        <axId val="48650112"/>
        <scaling>
          <orientation val="minMax"/>
        </scaling>
        <delete val="0"/>
        <axPos val="b"/>
        <majorGridlines>
          <spPr>
            <a:ln xmlns:a="http://schemas.openxmlformats.org/drawingml/2006/main" w="9525">
              <a:solidFill>
                <a:srgbClr val="CCCCCC"/>
              </a:solidFill>
              <a:prstDash val="dash"/>
            </a:ln>
          </spPr>
        </majorGridlines>
        <numFmt formatCode="mmm\-yy"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
            </a:r>
            <a:endParaRPr lang="en-US"/>
          </a:p>
        </txPr>
        <crossAx val="48672768"/>
        <crosses val="autoZero"/>
        <lblOffset val="100"/>
        <baseTimeUnit val="months"/>
      </dateAx>
      <valAx>
        <axId val="48672768"/>
        <scaling>
          <orientation val="minMax"/>
        </scaling>
        <delete val="0"/>
        <axPos val="l"/>
        <majorGridlines>
          <spPr>
            <a:ln xmlns:a="http://schemas.openxmlformats.org/drawingml/2006/main" w="9525">
              <a:solidFill>
                <a:srgbClr val="CCCCCC"/>
              </a:solidFill>
              <a:prstDash val="dash"/>
            </a:ln>
          </spPr>
        </majorGridlines>
        <numFmt formatCode="0%" sourceLinked="0"/>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
            </a:r>
            <a:endParaRPr lang="en-US"/>
          </a:p>
        </txPr>
        <crossAx val="48650112"/>
        <crosses val="autoZero"/>
        <crossBetween val="between"/>
      </valAx>
    </plotArea>
    <legend>
      <legendPos val="b"/>
      <overlay val="0"/>
    </legend>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6</col>
      <colOff>0</colOff>
      <row>6</row>
      <rowOff>0</rowOff>
    </from>
    <to>
      <col>14</col>
      <colOff>0</colOff>
      <row>24</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9"/>
  <sheetViews>
    <sheetView showGridLines="1" workbookViewId="0">
      <selection activeCell="A1" sqref="A1"/>
    </sheetView>
  </sheetViews>
  <sheetFormatPr baseColWidth="8" defaultColWidth="9" defaultRowHeight="15"/>
  <cols>
    <col width="3" customWidth="1" style="23" min="1" max="1"/>
    <col width="12" customWidth="1" style="23" min="2" max="2"/>
    <col width="58" customWidth="1" style="23" min="3" max="3"/>
    <col width="62" customWidth="1" style="23" min="4" max="4"/>
    <col width="14" customWidth="1" style="23" min="5" max="16384"/>
  </cols>
  <sheetData>
    <row r="1" ht="15.75" customHeight="1">
      <c r="B1" s="22" t="n"/>
      <c r="C1" s="22" t="n"/>
    </row>
    <row r="2" ht="15.75" customFormat="1" customHeight="1" s="24">
      <c r="A2" s="1" t="n"/>
      <c r="B2" s="47" t="inlineStr">
        <is>
          <t>Question #</t>
        </is>
      </c>
      <c r="C2" s="48" t="inlineStr">
        <is>
          <t>Assessment Requirement / Question</t>
        </is>
      </c>
      <c r="D2" s="48" t="inlineStr">
        <is>
          <t>Implementation Methodology &amp; Audit Reference</t>
        </is>
      </c>
      <c r="E2" s="47" t="inlineStr">
        <is>
          <t>Status</t>
        </is>
      </c>
    </row>
    <row r="3" ht="68" customFormat="1" customHeight="1" s="25">
      <c r="A3" s="4" t="n"/>
      <c r="B3" s="49" t="n">
        <v>1</v>
      </c>
      <c r="C3" s="50" t="inlineStr">
        <is>
          <t>Create a calculation to compute the Availability %. Ensure the logic includes handling for missing or error values (such as nulls or #N/A) and format the final result as a percentage.
Availability % = Available Hours / Contracted Hours
Do not cap values at 100%. Preserve calculated result if original data produces &gt; 100%. Return blank where numerator/denominator is missing, zero denominator, or error.</t>
        </is>
      </c>
      <c r="D3" s="51" t="inlineStr">
        <is>
          <t>Sheet 'Performance Data'!F2:F2540
Formula: =IFERROR(IF(OR(C2="",D2="",C2=0),"",D2/C2),"")
Formatted as 0.00%. Uncapped (preserves values &gt; 100%). Handles nulls, blanks, #N/A, and 0-denominators safely.</t>
        </is>
      </c>
      <c r="E3" s="52" t="inlineStr">
        <is>
          <t>VERIFIED</t>
        </is>
      </c>
    </row>
    <row r="4" ht="68" customFormat="1" customHeight="1" s="25">
      <c r="A4" s="4" t="n"/>
      <c r="B4" s="53" t="n">
        <v>2</v>
      </c>
      <c r="C4" s="51" t="inlineStr">
        <is>
          <t>Create calculations to determine and display the Service and Band for each User by month. Use appropriate lookup or relationship-based logic to return the correct values.
Exact lookup using User ID against Users source. Operational Area in Users represents Service.</t>
        </is>
      </c>
      <c r="D4" s="51" t="inlineStr">
        <is>
          <t>Sheet 'Performance Data'!G2:G2540 (Service) &amp; H2:H2540 (Band)
Service Formula: =IFERROR(INDEX(Users!$A$2:$A$310,MATCH(A2,Users!$B$2:$B$310,0)),"")
Band Formula: =IFERROR(INDEX(Users!$D$2:$D$310,MATCH(A2,Users!$B$2:$B$310,0)),"")
Exact match against 309 user master records.</t>
        </is>
      </c>
      <c r="E4" s="52" t="inlineStr">
        <is>
          <t>VERIFIED</t>
        </is>
      </c>
    </row>
    <row r="5" ht="68" customFormat="1" customHeight="1" s="25">
      <c r="A5" s="4" t="n"/>
      <c r="B5" s="49" t="n">
        <v>3</v>
      </c>
      <c r="C5" s="50" t="inlineStr">
        <is>
          <t>Create a calculation that returns TRUE or FALSE to indicate whether a User belongs to Service A and has a Band 3 classification. Apply conditional logic to evaluate both criteria.</t>
        </is>
      </c>
      <c r="D5" s="51" t="inlineStr">
        <is>
          <t>Sheet 'Performance Data'!I2:I2540
Formula: =AND(G2="Service A",H2="Band 3")
Returns TRUE only when both criteria are met (856 rows TRUE, 1,683 rows FALSE).</t>
        </is>
      </c>
      <c r="E5" s="52" t="inlineStr">
        <is>
          <t>VERIFIED</t>
        </is>
      </c>
    </row>
    <row r="6" ht="68" customFormat="1" customHeight="1" s="25">
      <c r="A6" s="4" t="n"/>
      <c r="B6" s="53" t="n">
        <v>4</v>
      </c>
      <c r="C6" s="51" t="inlineStr">
        <is>
          <t>Create a formula or measure to calculate both the Average and Median Availability % for the year 2025, filtered to include only Service B and Users in Band 3 and Band 5.
Expected: Average ~ 78.91%, Median ~ 85.05%, Observations ~ 796 valid rows.</t>
        </is>
      </c>
      <c r="D6" s="51" t="inlineStr">
        <is>
          <t>Sheet 'Performance Data'!J2:J2540 &amp; 'Summary'!A7:D10
Helper Column: =IF(AND(YEAR(B2)=2025,G2="Service B",OR(H2="Band 3",H2="Band 5"),ISNUMBER(F2)),F2,"")
Average Formula (Summary!B9): =IFERROR(AVERAGE('Performance Data'!$J$2:$J$2540),"") -&gt; 78.91%
Median Formula (Summary!B10): =IFERROR(MEDIAN('Performance Data'!$J$2:$J$2540),"") -&gt; 85.05%
Includes QA check section with automated PASS validation.</t>
        </is>
      </c>
      <c r="E6" s="52" t="inlineStr">
        <is>
          <t>VERIFIED</t>
        </is>
      </c>
    </row>
    <row r="7" ht="68" customFormat="1" customHeight="1" s="25">
      <c r="A7" s="4" t="n"/>
      <c r="B7" s="49" t="n">
        <v>5</v>
      </c>
      <c r="C7" s="50" t="inlineStr">
        <is>
          <t>Create a dynamic table or summary view that displays Availability % by month for 2025, which can be controlled using filters or slicers for both Band and Service. Accompany this with an appropriate visual to enable clear and interactive comparison across Bands and Services.</t>
        </is>
      </c>
      <c r="D7" s="51" t="inlineStr">
        <is>
          <t>Sheet 'Summary'!A12:E25 &amp; Dynamic Line Chart
Powered by AVERAGEIFS formulas referencing Service (B3) and Band (B4) dropdowns.
Includes 'All' options across Services (All, Service A-D) and Bands (All, Band 3-5).
Excludes formula blanks correctly without denominator distortion (Jan Service B+Band 3 = 75.93%, Feb = 84.26%). Interactive chart plots monthly comparison.</t>
        </is>
      </c>
      <c r="E7" s="52" t="inlineStr">
        <is>
          <t>VERIFIED</t>
        </is>
      </c>
    </row>
    <row r="8" ht="15.75" customHeight="1">
      <c r="B8" s="22" t="n"/>
      <c r="C8" s="22" t="n"/>
    </row>
    <row r="9" ht="15.75" customHeight="1">
      <c r="B9" s="26" t="n"/>
      <c r="C9" s="2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4373"/>
  <sheetViews>
    <sheetView workbookViewId="0">
      <selection activeCell="A1" sqref="A1"/>
    </sheetView>
  </sheetViews>
  <sheetFormatPr baseColWidth="8" defaultRowHeight="15.75"/>
  <cols>
    <col width="18" customWidth="1" style="8" min="1" max="4"/>
    <col width="14" customWidth="1" min="2" max="2"/>
    <col width="12" customWidth="1" min="3" max="3"/>
    <col width="14" customWidth="1" min="4" max="4"/>
    <col width="22" customWidth="1" style="9" min="5" max="5"/>
    <col width="22" customWidth="1" style="14" min="6" max="6"/>
    <col width="26.28515625" customWidth="1" style="17" min="7" max="7"/>
  </cols>
  <sheetData>
    <row r="1">
      <c r="A1" s="54" t="inlineStr">
        <is>
          <t>Operational Area</t>
        </is>
      </c>
      <c r="B1" s="54" t="inlineStr">
        <is>
          <t>User</t>
        </is>
      </c>
      <c r="C1" s="54" t="inlineStr">
        <is>
          <t>FTE</t>
        </is>
      </c>
      <c r="D1" s="54" t="inlineStr">
        <is>
          <t>Band</t>
        </is>
      </c>
      <c r="E1" s="55" t="inlineStr">
        <is>
          <t>Start Date (US Format)</t>
        </is>
      </c>
      <c r="F1" s="56" t="inlineStr">
        <is>
          <t>Start Date (UK Format)</t>
        </is>
      </c>
    </row>
    <row r="2">
      <c r="A2" s="8" t="inlineStr">
        <is>
          <t>Service A</t>
        </is>
      </c>
      <c r="B2" s="8" t="inlineStr">
        <is>
          <t>User1000</t>
        </is>
      </c>
      <c r="C2" s="8" t="n">
        <v>1</v>
      </c>
      <c r="D2" s="8" t="inlineStr">
        <is>
          <t>Band 3</t>
        </is>
      </c>
      <c r="E2" s="9" t="inlineStr">
        <is>
          <t>12/1/2025</t>
        </is>
      </c>
      <c r="F2" s="14" t="n">
        <v>45992</v>
      </c>
    </row>
    <row r="3">
      <c r="A3" s="8" t="inlineStr">
        <is>
          <t>Service A</t>
        </is>
      </c>
      <c r="B3" s="8" t="inlineStr">
        <is>
          <t>User1001</t>
        </is>
      </c>
      <c r="C3" s="8" t="n">
        <v>1</v>
      </c>
      <c r="D3" s="8" t="inlineStr">
        <is>
          <t>Band 5</t>
        </is>
      </c>
      <c r="E3" s="9" t="inlineStr">
        <is>
          <t>9/22/2025</t>
        </is>
      </c>
      <c r="F3" s="14" t="n">
        <v>45922</v>
      </c>
    </row>
    <row r="4">
      <c r="A4" s="8" t="inlineStr">
        <is>
          <t>Service B</t>
        </is>
      </c>
      <c r="B4" s="8" t="inlineStr">
        <is>
          <t>User1002</t>
        </is>
      </c>
      <c r="C4" s="8" t="n">
        <v>0.7999999999999999</v>
      </c>
      <c r="D4" s="8" t="inlineStr">
        <is>
          <t>Band 3</t>
        </is>
      </c>
      <c r="E4" s="9" t="inlineStr">
        <is>
          <t>10/6/2025</t>
        </is>
      </c>
      <c r="F4" s="14" t="n">
        <v>45936</v>
      </c>
    </row>
    <row r="5">
      <c r="A5" s="8" t="inlineStr">
        <is>
          <t>Service C</t>
        </is>
      </c>
      <c r="B5" s="8" t="inlineStr">
        <is>
          <t>User1003</t>
        </is>
      </c>
      <c r="C5" s="8" t="n">
        <v>1</v>
      </c>
      <c r="D5" s="8" t="inlineStr">
        <is>
          <t>Band 4</t>
        </is>
      </c>
      <c r="E5" s="9" t="inlineStr">
        <is>
          <t>12/1/2025</t>
        </is>
      </c>
      <c r="F5" s="14" t="n">
        <v>45992</v>
      </c>
    </row>
    <row r="6">
      <c r="A6" s="8" t="inlineStr">
        <is>
          <t>Service A</t>
        </is>
      </c>
      <c r="B6" s="8" t="inlineStr">
        <is>
          <t>User1004</t>
        </is>
      </c>
      <c r="C6" s="8" t="n">
        <v>1</v>
      </c>
      <c r="D6" s="8" t="inlineStr">
        <is>
          <t>Band 5</t>
        </is>
      </c>
      <c r="E6" s="9" t="inlineStr">
        <is>
          <t>9/15/2025</t>
        </is>
      </c>
      <c r="F6" s="14" t="n">
        <v>45915</v>
      </c>
    </row>
    <row r="7">
      <c r="A7" s="8" t="inlineStr">
        <is>
          <t>Service B</t>
        </is>
      </c>
      <c r="B7" s="8" t="inlineStr">
        <is>
          <t>User1005</t>
        </is>
      </c>
      <c r="C7" s="8" t="n">
        <v>1</v>
      </c>
      <c r="D7" s="8" t="inlineStr">
        <is>
          <t>Band 3</t>
        </is>
      </c>
      <c r="E7" s="9" t="inlineStr">
        <is>
          <t>10/6/2025</t>
        </is>
      </c>
      <c r="F7" s="14" t="n">
        <v>45936</v>
      </c>
    </row>
    <row r="8">
      <c r="A8" s="8" t="inlineStr">
        <is>
          <t>Service B</t>
        </is>
      </c>
      <c r="B8" s="8" t="inlineStr">
        <is>
          <t>User1006</t>
        </is>
      </c>
      <c r="C8" s="8" t="n">
        <v>1</v>
      </c>
      <c r="D8" s="8" t="inlineStr">
        <is>
          <t>Band 5</t>
        </is>
      </c>
      <c r="E8" s="9" t="inlineStr">
        <is>
          <t>11/3/2025</t>
        </is>
      </c>
      <c r="F8" s="14" t="n">
        <v>45964</v>
      </c>
    </row>
    <row r="9">
      <c r="A9" s="8" t="inlineStr">
        <is>
          <t>Service B</t>
        </is>
      </c>
      <c r="B9" s="8" t="inlineStr">
        <is>
          <t>User1007</t>
        </is>
      </c>
      <c r="C9" s="8" t="n">
        <v>1</v>
      </c>
      <c r="D9" s="8" t="inlineStr">
        <is>
          <t>Band 3</t>
        </is>
      </c>
      <c r="E9" s="9" t="inlineStr">
        <is>
          <t>10/6/2025</t>
        </is>
      </c>
      <c r="F9" s="14" t="n">
        <v>45936</v>
      </c>
    </row>
    <row r="10">
      <c r="A10" s="8" t="inlineStr">
        <is>
          <t>Service A</t>
        </is>
      </c>
      <c r="B10" s="8" t="inlineStr">
        <is>
          <t>User1008</t>
        </is>
      </c>
      <c r="C10" s="8" t="n">
        <v>1</v>
      </c>
      <c r="D10" s="8" t="inlineStr">
        <is>
          <t>Band 3</t>
        </is>
      </c>
      <c r="E10" s="9" t="inlineStr">
        <is>
          <t>12/1/2025</t>
        </is>
      </c>
      <c r="F10" s="14" t="n">
        <v>45992</v>
      </c>
    </row>
    <row r="11">
      <c r="A11" s="8" t="inlineStr">
        <is>
          <t>Service B</t>
        </is>
      </c>
      <c r="B11" s="8" t="inlineStr">
        <is>
          <t>User1009</t>
        </is>
      </c>
      <c r="C11" s="8" t="n">
        <v>1</v>
      </c>
      <c r="D11" s="8" t="inlineStr">
        <is>
          <t>Band 3</t>
        </is>
      </c>
      <c r="E11" s="9" t="inlineStr">
        <is>
          <t>10/1/2025</t>
        </is>
      </c>
      <c r="F11" s="14" t="n">
        <v>45931</v>
      </c>
    </row>
    <row r="12">
      <c r="A12" s="8" t="inlineStr">
        <is>
          <t>Service A</t>
        </is>
      </c>
      <c r="B12" s="8" t="inlineStr">
        <is>
          <t>User1010</t>
        </is>
      </c>
      <c r="C12" s="8" t="n">
        <v>0.8999999999999999</v>
      </c>
      <c r="D12" s="8" t="inlineStr">
        <is>
          <t>Band 3</t>
        </is>
      </c>
      <c r="E12" s="9" t="inlineStr">
        <is>
          <t>12/2/2025</t>
        </is>
      </c>
      <c r="F12" s="14" t="n">
        <v>45993</v>
      </c>
    </row>
    <row r="13">
      <c r="A13" s="8" t="inlineStr">
        <is>
          <t>Service A</t>
        </is>
      </c>
      <c r="B13" s="8" t="inlineStr">
        <is>
          <t>User1011</t>
        </is>
      </c>
      <c r="C13" s="8" t="n">
        <v>0.8108108108108109</v>
      </c>
      <c r="D13" s="8" t="inlineStr">
        <is>
          <t>Band 3</t>
        </is>
      </c>
      <c r="E13" s="9" t="inlineStr">
        <is>
          <t>9/15/2025</t>
        </is>
      </c>
      <c r="F13" s="14" t="n">
        <v>45915</v>
      </c>
    </row>
    <row r="14">
      <c r="A14" s="8" t="inlineStr">
        <is>
          <t>Service B</t>
        </is>
      </c>
      <c r="B14" s="8" t="inlineStr">
        <is>
          <t>User1012</t>
        </is>
      </c>
      <c r="C14" s="8" t="n">
        <v>1</v>
      </c>
      <c r="D14" s="8" t="inlineStr">
        <is>
          <t>Band 3</t>
        </is>
      </c>
      <c r="E14" s="9" t="inlineStr">
        <is>
          <t>12/1/2025</t>
        </is>
      </c>
      <c r="F14" s="14" t="n">
        <v>45992</v>
      </c>
    </row>
    <row r="15">
      <c r="A15" s="8" t="inlineStr">
        <is>
          <t>Service B</t>
        </is>
      </c>
      <c r="B15" s="8" t="inlineStr">
        <is>
          <t>User1013</t>
        </is>
      </c>
      <c r="C15" s="8" t="n">
        <v>1</v>
      </c>
      <c r="D15" s="8" t="inlineStr">
        <is>
          <t>Band 3</t>
        </is>
      </c>
      <c r="E15" s="9" t="inlineStr">
        <is>
          <t>11/10/2025</t>
        </is>
      </c>
      <c r="F15" s="14" t="n">
        <v>45971</v>
      </c>
    </row>
    <row r="16">
      <c r="A16" s="8" t="inlineStr">
        <is>
          <t>Service B</t>
        </is>
      </c>
      <c r="B16" s="8" t="inlineStr">
        <is>
          <t>User1014</t>
        </is>
      </c>
      <c r="C16" s="8" t="n">
        <v>1</v>
      </c>
      <c r="D16" s="8" t="inlineStr">
        <is>
          <t>Band 5</t>
        </is>
      </c>
      <c r="E16" s="9" t="inlineStr">
        <is>
          <t>11/3/2025</t>
        </is>
      </c>
      <c r="F16" s="14" t="n">
        <v>45964</v>
      </c>
    </row>
    <row r="17">
      <c r="A17" s="8" t="inlineStr">
        <is>
          <t>Service C</t>
        </is>
      </c>
      <c r="B17" s="8" t="inlineStr">
        <is>
          <t>User1015</t>
        </is>
      </c>
      <c r="C17" s="8" t="n">
        <v>1</v>
      </c>
      <c r="D17" s="8" t="inlineStr">
        <is>
          <t>Band 4</t>
        </is>
      </c>
      <c r="E17" s="9" t="inlineStr">
        <is>
          <t>12/8/2025</t>
        </is>
      </c>
      <c r="F17" s="14" t="n">
        <v>45999</v>
      </c>
    </row>
    <row r="18">
      <c r="A18" s="8" t="inlineStr">
        <is>
          <t>Service A</t>
        </is>
      </c>
      <c r="B18" s="8" t="inlineStr">
        <is>
          <t>User1016</t>
        </is>
      </c>
      <c r="C18" s="8" t="n">
        <v>1</v>
      </c>
      <c r="D18" s="8" t="inlineStr">
        <is>
          <t>Band 5</t>
        </is>
      </c>
      <c r="E18" s="9" t="inlineStr">
        <is>
          <t>9/22/2025</t>
        </is>
      </c>
      <c r="F18" s="14" t="n">
        <v>45922</v>
      </c>
    </row>
    <row r="19">
      <c r="A19" s="8" t="inlineStr">
        <is>
          <t>Service A</t>
        </is>
      </c>
      <c r="B19" s="8" t="inlineStr">
        <is>
          <t>User1017</t>
        </is>
      </c>
      <c r="C19" s="8" t="n">
        <v>0.8108108108108109</v>
      </c>
      <c r="D19" s="8" t="inlineStr">
        <is>
          <t>Band 3</t>
        </is>
      </c>
      <c r="E19" s="9" t="inlineStr">
        <is>
          <t>12/2/2025</t>
        </is>
      </c>
      <c r="F19" s="14" t="n">
        <v>45993</v>
      </c>
    </row>
    <row r="20">
      <c r="A20" s="8" t="inlineStr">
        <is>
          <t>Service A</t>
        </is>
      </c>
      <c r="B20" s="8" t="inlineStr">
        <is>
          <t>User1018</t>
        </is>
      </c>
      <c r="C20" s="8" t="n">
        <v>1</v>
      </c>
      <c r="D20" s="8" t="inlineStr">
        <is>
          <t>Band 3</t>
        </is>
      </c>
      <c r="E20" s="9" t="inlineStr">
        <is>
          <t>8/27/2024</t>
        </is>
      </c>
      <c r="F20" s="14" t="n">
        <v>45531</v>
      </c>
    </row>
    <row r="21">
      <c r="A21" s="8" t="inlineStr">
        <is>
          <t>Service B</t>
        </is>
      </c>
      <c r="B21" s="8" t="inlineStr">
        <is>
          <t>User1019</t>
        </is>
      </c>
      <c r="C21" s="8" t="n">
        <v>1</v>
      </c>
      <c r="D21" s="8" t="inlineStr">
        <is>
          <t>Band 3</t>
        </is>
      </c>
      <c r="E21" s="9" t="inlineStr">
        <is>
          <t>10/21/2024</t>
        </is>
      </c>
      <c r="F21" s="14" t="n">
        <v>45586</v>
      </c>
    </row>
    <row r="22">
      <c r="A22" s="8" t="inlineStr">
        <is>
          <t>Service B</t>
        </is>
      </c>
      <c r="B22" s="8" t="inlineStr">
        <is>
          <t>User1020</t>
        </is>
      </c>
      <c r="C22" s="8" t="n">
        <v>1</v>
      </c>
      <c r="D22" s="8" t="inlineStr">
        <is>
          <t>Band 5</t>
        </is>
      </c>
      <c r="E22" s="9" t="inlineStr">
        <is>
          <t>9/22/2025</t>
        </is>
      </c>
      <c r="F22" s="14" t="n">
        <v>45922</v>
      </c>
    </row>
    <row r="23">
      <c r="A23" s="8" t="inlineStr">
        <is>
          <t>Service A</t>
        </is>
      </c>
      <c r="B23" s="8" t="inlineStr">
        <is>
          <t>User1021</t>
        </is>
      </c>
      <c r="C23" s="8" t="n">
        <v>1</v>
      </c>
      <c r="D23" s="8" t="inlineStr">
        <is>
          <t>Band 3</t>
        </is>
      </c>
      <c r="E23" s="9" t="inlineStr">
        <is>
          <t>8/19/2024</t>
        </is>
      </c>
      <c r="F23" s="14" t="n">
        <v>45523</v>
      </c>
    </row>
    <row r="24">
      <c r="A24" s="8" t="inlineStr">
        <is>
          <t>Service A</t>
        </is>
      </c>
      <c r="B24" s="8" t="inlineStr">
        <is>
          <t>User1022</t>
        </is>
      </c>
      <c r="C24" s="8" t="n">
        <v>1</v>
      </c>
      <c r="D24" s="8" t="inlineStr">
        <is>
          <t>Band 3</t>
        </is>
      </c>
      <c r="E24" s="9" t="inlineStr">
        <is>
          <t>6/17/2024</t>
        </is>
      </c>
      <c r="F24" s="14" t="n">
        <v>45460</v>
      </c>
    </row>
    <row r="25">
      <c r="A25" s="8" t="inlineStr">
        <is>
          <t>Service A</t>
        </is>
      </c>
      <c r="B25" s="8" t="inlineStr">
        <is>
          <t>User1023</t>
        </is>
      </c>
      <c r="C25" s="8" t="n">
        <v>1</v>
      </c>
      <c r="D25" s="8" t="inlineStr">
        <is>
          <t>Band 3</t>
        </is>
      </c>
      <c r="E25" s="9" t="inlineStr">
        <is>
          <t>6/10/2024</t>
        </is>
      </c>
      <c r="F25" s="14" t="n">
        <v>45453</v>
      </c>
    </row>
    <row r="26">
      <c r="A26" s="8" t="inlineStr">
        <is>
          <t>Service D</t>
        </is>
      </c>
      <c r="B26" s="8" t="inlineStr">
        <is>
          <t>User1024</t>
        </is>
      </c>
      <c r="C26" s="8" t="n">
        <v>1</v>
      </c>
      <c r="D26" s="8" t="inlineStr">
        <is>
          <t>Band 3</t>
        </is>
      </c>
      <c r="E26" s="9" t="inlineStr">
        <is>
          <t>10/2/2023</t>
        </is>
      </c>
      <c r="F26" s="14" t="n">
        <v>45201</v>
      </c>
    </row>
    <row r="27">
      <c r="A27" s="8" t="inlineStr">
        <is>
          <t>Service A</t>
        </is>
      </c>
      <c r="B27" s="8" t="inlineStr">
        <is>
          <t>User1025</t>
        </is>
      </c>
      <c r="C27" s="8" t="n">
        <v>1</v>
      </c>
      <c r="D27" s="8" t="inlineStr">
        <is>
          <t>Band 3</t>
        </is>
      </c>
      <c r="E27" s="9" t="inlineStr">
        <is>
          <t>6/17/2024</t>
        </is>
      </c>
      <c r="F27" s="14" t="n">
        <v>45460</v>
      </c>
    </row>
    <row r="28">
      <c r="A28" s="8" t="inlineStr">
        <is>
          <t>Service C</t>
        </is>
      </c>
      <c r="B28" s="8" t="inlineStr">
        <is>
          <t>User1026</t>
        </is>
      </c>
      <c r="C28" s="8" t="n">
        <v>1</v>
      </c>
      <c r="D28" s="8" t="inlineStr">
        <is>
          <t>Band 3</t>
        </is>
      </c>
      <c r="E28" s="9" t="inlineStr">
        <is>
          <t>9/22/2025</t>
        </is>
      </c>
      <c r="F28" s="14" t="n">
        <v>45922</v>
      </c>
    </row>
    <row r="29">
      <c r="A29" s="8" t="inlineStr">
        <is>
          <t>Service B</t>
        </is>
      </c>
      <c r="B29" s="8" t="inlineStr">
        <is>
          <t>User1027</t>
        </is>
      </c>
      <c r="C29" s="8" t="n">
        <v>0.6</v>
      </c>
      <c r="D29" s="8" t="inlineStr">
        <is>
          <t>Band 3</t>
        </is>
      </c>
      <c r="E29" s="9" t="inlineStr">
        <is>
          <t>10/21/2024</t>
        </is>
      </c>
      <c r="F29" s="14" t="n">
        <v>45586</v>
      </c>
    </row>
    <row r="30">
      <c r="A30" s="8" t="inlineStr">
        <is>
          <t>Service A</t>
        </is>
      </c>
      <c r="B30" s="8" t="inlineStr">
        <is>
          <t>User1028</t>
        </is>
      </c>
      <c r="C30" s="8" t="n">
        <v>1</v>
      </c>
      <c r="D30" s="8" t="inlineStr">
        <is>
          <t>Band 3</t>
        </is>
      </c>
      <c r="E30" s="9" t="inlineStr">
        <is>
          <t>7/22/2024</t>
        </is>
      </c>
      <c r="F30" s="14" t="n">
        <v>45495</v>
      </c>
    </row>
    <row r="31">
      <c r="A31" s="8" t="inlineStr">
        <is>
          <t>Service B</t>
        </is>
      </c>
      <c r="B31" s="8" t="inlineStr">
        <is>
          <t>User1029</t>
        </is>
      </c>
      <c r="C31" s="8" t="n">
        <v>1</v>
      </c>
      <c r="D31" s="8" t="inlineStr">
        <is>
          <t>Band 3</t>
        </is>
      </c>
      <c r="E31" s="9" t="inlineStr">
        <is>
          <t>1/1/2024</t>
        </is>
      </c>
      <c r="F31" s="14" t="n">
        <v>45292</v>
      </c>
    </row>
    <row r="32">
      <c r="A32" s="8" t="inlineStr">
        <is>
          <t>Service D</t>
        </is>
      </c>
      <c r="B32" s="8" t="inlineStr">
        <is>
          <t>User1030</t>
        </is>
      </c>
      <c r="C32" s="8" t="n">
        <v>1</v>
      </c>
      <c r="D32" s="8" t="inlineStr">
        <is>
          <t>Band 3</t>
        </is>
      </c>
      <c r="E32" s="9" t="inlineStr">
        <is>
          <t>11/1/2023</t>
        </is>
      </c>
      <c r="F32" s="14" t="n">
        <v>45231</v>
      </c>
    </row>
    <row r="33">
      <c r="A33" s="8" t="inlineStr">
        <is>
          <t>Service D</t>
        </is>
      </c>
      <c r="B33" s="8" t="inlineStr">
        <is>
          <t>User1031</t>
        </is>
      </c>
      <c r="C33" s="8" t="n">
        <v>1</v>
      </c>
      <c r="D33" s="8" t="inlineStr">
        <is>
          <t>Band 3</t>
        </is>
      </c>
      <c r="E33" s="9" t="inlineStr">
        <is>
          <t>9/4/2023</t>
        </is>
      </c>
      <c r="F33" s="14" t="n">
        <v>45173</v>
      </c>
    </row>
    <row r="34">
      <c r="A34" s="8" t="inlineStr">
        <is>
          <t>Service D</t>
        </is>
      </c>
      <c r="B34" s="8" t="inlineStr">
        <is>
          <t>User1032</t>
        </is>
      </c>
      <c r="C34" s="8" t="n">
        <v>1</v>
      </c>
      <c r="D34" s="8" t="inlineStr">
        <is>
          <t>Band 3</t>
        </is>
      </c>
      <c r="E34" s="9" t="inlineStr">
        <is>
          <t>11/4/2024</t>
        </is>
      </c>
      <c r="F34" s="14" t="n">
        <v>45600</v>
      </c>
    </row>
    <row r="35">
      <c r="A35" s="8" t="inlineStr">
        <is>
          <t>Service B</t>
        </is>
      </c>
      <c r="B35" s="8" t="inlineStr">
        <is>
          <t>User1033</t>
        </is>
      </c>
      <c r="C35" s="8" t="n">
        <v>1</v>
      </c>
      <c r="D35" s="8" t="inlineStr">
        <is>
          <t>Band 3</t>
        </is>
      </c>
      <c r="E35" s="9" t="inlineStr">
        <is>
          <t>2/24/2025</t>
        </is>
      </c>
      <c r="F35" s="14" t="n">
        <v>45712</v>
      </c>
    </row>
    <row r="36">
      <c r="A36" s="8" t="inlineStr">
        <is>
          <t>Service B</t>
        </is>
      </c>
      <c r="B36" s="8" t="inlineStr">
        <is>
          <t>User1034</t>
        </is>
      </c>
      <c r="C36" s="8" t="n">
        <v>1</v>
      </c>
      <c r="D36" s="8" t="inlineStr">
        <is>
          <t>Band 3</t>
        </is>
      </c>
      <c r="E36" s="9" t="inlineStr">
        <is>
          <t>5/8/2024</t>
        </is>
      </c>
      <c r="F36" s="14" t="n">
        <v>45420</v>
      </c>
    </row>
    <row r="37">
      <c r="A37" s="8" t="inlineStr">
        <is>
          <t>Service B</t>
        </is>
      </c>
      <c r="B37" s="8" t="inlineStr">
        <is>
          <t>User1035</t>
        </is>
      </c>
      <c r="C37" s="8" t="n">
        <v>1</v>
      </c>
      <c r="D37" s="8" t="inlineStr">
        <is>
          <t>Band 3</t>
        </is>
      </c>
      <c r="E37" s="9" t="inlineStr">
        <is>
          <t>1/1/2024</t>
        </is>
      </c>
      <c r="F37" s="14" t="n">
        <v>45292</v>
      </c>
    </row>
    <row r="38">
      <c r="A38" s="8" t="inlineStr">
        <is>
          <t>Service B</t>
        </is>
      </c>
      <c r="B38" s="8" t="inlineStr">
        <is>
          <t>User1036</t>
        </is>
      </c>
      <c r="C38" s="8" t="n">
        <v>1</v>
      </c>
      <c r="D38" s="8" t="inlineStr">
        <is>
          <t>Band 3</t>
        </is>
      </c>
      <c r="E38" s="9" t="inlineStr">
        <is>
          <t>3/10/2025</t>
        </is>
      </c>
      <c r="F38" s="14" t="n">
        <v>45726</v>
      </c>
    </row>
    <row r="39">
      <c r="A39" s="8" t="inlineStr">
        <is>
          <t>Service C</t>
        </is>
      </c>
      <c r="B39" s="8" t="inlineStr">
        <is>
          <t>User1037</t>
        </is>
      </c>
      <c r="C39" s="8" t="n">
        <v>0.6</v>
      </c>
      <c r="D39" s="8" t="inlineStr">
        <is>
          <t>Band 5</t>
        </is>
      </c>
      <c r="E39" s="9" t="inlineStr">
        <is>
          <t>1/1/2024</t>
        </is>
      </c>
      <c r="F39" s="14" t="n">
        <v>45292</v>
      </c>
    </row>
    <row r="40">
      <c r="A40" s="8" t="inlineStr">
        <is>
          <t>Service A</t>
        </is>
      </c>
      <c r="B40" s="8" t="inlineStr">
        <is>
          <t>User1038</t>
        </is>
      </c>
      <c r="C40" s="8" t="n">
        <v>1</v>
      </c>
      <c r="D40" s="8" t="inlineStr">
        <is>
          <t>Band 3</t>
        </is>
      </c>
      <c r="E40" s="9" t="inlineStr">
        <is>
          <t>8/19/2024</t>
        </is>
      </c>
      <c r="F40" s="14" t="n">
        <v>45523</v>
      </c>
    </row>
    <row r="41">
      <c r="A41" s="8" t="inlineStr">
        <is>
          <t>Service B</t>
        </is>
      </c>
      <c r="B41" s="8" t="inlineStr">
        <is>
          <t>User1039</t>
        </is>
      </c>
      <c r="C41" s="8" t="n">
        <v>1</v>
      </c>
      <c r="D41" s="8" t="inlineStr">
        <is>
          <t>Band 3</t>
        </is>
      </c>
      <c r="E41" s="9" t="inlineStr">
        <is>
          <t>10/21/2024</t>
        </is>
      </c>
      <c r="F41" s="14" t="n">
        <v>45586</v>
      </c>
    </row>
    <row r="42">
      <c r="A42" s="8" t="inlineStr">
        <is>
          <t>Service A</t>
        </is>
      </c>
      <c r="B42" s="8" t="inlineStr">
        <is>
          <t>User1040</t>
        </is>
      </c>
      <c r="C42" s="8" t="n">
        <v>1</v>
      </c>
      <c r="D42" s="8" t="inlineStr">
        <is>
          <t>Band 5</t>
        </is>
      </c>
      <c r="E42" s="9" t="inlineStr">
        <is>
          <t>4/2/2024</t>
        </is>
      </c>
      <c r="F42" s="14" t="n">
        <v>45384</v>
      </c>
    </row>
    <row r="43">
      <c r="A43" s="8" t="inlineStr">
        <is>
          <t>Service B</t>
        </is>
      </c>
      <c r="B43" s="8" t="inlineStr">
        <is>
          <t>User1041</t>
        </is>
      </c>
      <c r="C43" s="8" t="n">
        <v>1</v>
      </c>
      <c r="D43" s="8" t="inlineStr">
        <is>
          <t>Band 5</t>
        </is>
      </c>
      <c r="E43" s="9" t="inlineStr">
        <is>
          <t>9/22/2025</t>
        </is>
      </c>
      <c r="F43" s="14" t="n">
        <v>45922</v>
      </c>
    </row>
    <row r="44">
      <c r="A44" s="8" t="inlineStr">
        <is>
          <t>Service A</t>
        </is>
      </c>
      <c r="B44" s="8" t="inlineStr">
        <is>
          <t>User1042</t>
        </is>
      </c>
      <c r="C44" s="8" t="n">
        <v>1</v>
      </c>
      <c r="D44" s="8" t="inlineStr">
        <is>
          <t>Band 3</t>
        </is>
      </c>
      <c r="E44" s="9" t="inlineStr">
        <is>
          <t>8/20/2024</t>
        </is>
      </c>
      <c r="F44" s="14" t="n">
        <v>45524</v>
      </c>
    </row>
    <row r="45">
      <c r="A45" s="8" t="inlineStr">
        <is>
          <t>Service A</t>
        </is>
      </c>
      <c r="B45" s="8" t="inlineStr">
        <is>
          <t>User1043</t>
        </is>
      </c>
      <c r="C45" s="8" t="n">
        <v>1</v>
      </c>
      <c r="D45" s="8" t="inlineStr">
        <is>
          <t>Band 5</t>
        </is>
      </c>
      <c r="E45" s="9" t="inlineStr">
        <is>
          <t>8/26/2024</t>
        </is>
      </c>
      <c r="F45" s="14" t="n">
        <v>45530</v>
      </c>
    </row>
    <row r="46">
      <c r="A46" s="8" t="inlineStr">
        <is>
          <t>Service B</t>
        </is>
      </c>
      <c r="B46" s="8" t="inlineStr">
        <is>
          <t>User1044</t>
        </is>
      </c>
      <c r="C46" s="8" t="n">
        <v>1</v>
      </c>
      <c r="D46" s="8" t="inlineStr">
        <is>
          <t>Band 3</t>
        </is>
      </c>
      <c r="E46" s="9" t="inlineStr">
        <is>
          <t>4/1/2024</t>
        </is>
      </c>
      <c r="F46" s="14" t="n">
        <v>45383</v>
      </c>
    </row>
    <row r="47">
      <c r="A47" s="8" t="inlineStr">
        <is>
          <t>Service A</t>
        </is>
      </c>
      <c r="B47" s="8" t="inlineStr">
        <is>
          <t>User1045</t>
        </is>
      </c>
      <c r="C47" s="8" t="n">
        <v>1</v>
      </c>
      <c r="D47" s="8" t="inlineStr">
        <is>
          <t>Band 5</t>
        </is>
      </c>
      <c r="E47" s="9" t="inlineStr">
        <is>
          <t>4/29/2024</t>
        </is>
      </c>
      <c r="F47" s="14" t="n">
        <v>45411</v>
      </c>
    </row>
    <row r="48">
      <c r="A48" s="8" t="inlineStr">
        <is>
          <t>Service B</t>
        </is>
      </c>
      <c r="B48" s="8" t="inlineStr">
        <is>
          <t>User1046</t>
        </is>
      </c>
      <c r="C48" s="8" t="n">
        <v>1</v>
      </c>
      <c r="D48" s="8" t="inlineStr">
        <is>
          <t>Band 3</t>
        </is>
      </c>
      <c r="E48" s="9" t="inlineStr">
        <is>
          <t>1/1/2024</t>
        </is>
      </c>
      <c r="F48" s="14" t="n">
        <v>45292</v>
      </c>
    </row>
    <row r="49">
      <c r="A49" s="8" t="inlineStr">
        <is>
          <t>Service C</t>
        </is>
      </c>
      <c r="B49" s="8" t="inlineStr">
        <is>
          <t>User1047</t>
        </is>
      </c>
      <c r="C49" s="8" t="n">
        <v>1</v>
      </c>
      <c r="D49" s="8" t="inlineStr">
        <is>
          <t>Band 4</t>
        </is>
      </c>
      <c r="E49" s="9" t="inlineStr">
        <is>
          <t>1/1/2024</t>
        </is>
      </c>
      <c r="F49" s="14" t="n">
        <v>45292</v>
      </c>
    </row>
    <row r="50">
      <c r="A50" s="8" t="inlineStr">
        <is>
          <t>Service A</t>
        </is>
      </c>
      <c r="B50" s="8" t="inlineStr">
        <is>
          <t>User1048</t>
        </is>
      </c>
      <c r="C50" s="8" t="n">
        <v>1</v>
      </c>
      <c r="D50" s="8" t="inlineStr">
        <is>
          <t>Band 3</t>
        </is>
      </c>
      <c r="E50" s="9" t="inlineStr">
        <is>
          <t>7/22/2024</t>
        </is>
      </c>
      <c r="F50" s="14" t="n">
        <v>45495</v>
      </c>
    </row>
    <row r="51">
      <c r="A51" s="8" t="inlineStr">
        <is>
          <t>Service D</t>
        </is>
      </c>
      <c r="B51" s="8" t="inlineStr">
        <is>
          <t>User1049</t>
        </is>
      </c>
      <c r="C51" s="8" t="n">
        <v>1</v>
      </c>
      <c r="D51" s="8" t="inlineStr">
        <is>
          <t>Band 3</t>
        </is>
      </c>
      <c r="E51" s="9" t="inlineStr">
        <is>
          <t>1/1/2025</t>
        </is>
      </c>
      <c r="F51" s="14" t="n">
        <v>45658</v>
      </c>
    </row>
    <row r="52">
      <c r="A52" s="8" t="inlineStr">
        <is>
          <t>Service B</t>
        </is>
      </c>
      <c r="B52" s="8" t="inlineStr">
        <is>
          <t>User1050</t>
        </is>
      </c>
      <c r="C52" s="8" t="n">
        <v>1</v>
      </c>
      <c r="D52" s="8" t="inlineStr">
        <is>
          <t>Band 5</t>
        </is>
      </c>
      <c r="E52" s="9" t="inlineStr">
        <is>
          <t>3/11/2024</t>
        </is>
      </c>
      <c r="F52" s="14" t="n">
        <v>45362</v>
      </c>
    </row>
    <row r="53">
      <c r="A53" s="8" t="inlineStr">
        <is>
          <t>Service A</t>
        </is>
      </c>
      <c r="B53" s="8" t="inlineStr">
        <is>
          <t>User1051</t>
        </is>
      </c>
      <c r="C53" s="8" t="n">
        <v>1</v>
      </c>
      <c r="D53" s="8" t="inlineStr">
        <is>
          <t>Band 5</t>
        </is>
      </c>
      <c r="E53" s="9" t="inlineStr">
        <is>
          <t>4/2/2024</t>
        </is>
      </c>
      <c r="F53" s="14" t="n">
        <v>45384</v>
      </c>
    </row>
    <row r="54">
      <c r="A54" s="8" t="inlineStr">
        <is>
          <t>Service B</t>
        </is>
      </c>
      <c r="B54" s="8" t="inlineStr">
        <is>
          <t>User1052</t>
        </is>
      </c>
      <c r="C54" s="8" t="n">
        <v>1</v>
      </c>
      <c r="D54" s="8" t="inlineStr">
        <is>
          <t>Band 5</t>
        </is>
      </c>
      <c r="E54" s="9" t="inlineStr">
        <is>
          <t>9/22/2025</t>
        </is>
      </c>
      <c r="F54" s="14" t="n">
        <v>45922</v>
      </c>
    </row>
    <row r="55">
      <c r="A55" s="8" t="inlineStr">
        <is>
          <t>Service A</t>
        </is>
      </c>
      <c r="B55" s="8" t="inlineStr">
        <is>
          <t>User1053</t>
        </is>
      </c>
      <c r="C55" s="8" t="n">
        <v>1</v>
      </c>
      <c r="D55" s="8" t="inlineStr">
        <is>
          <t>Band 5</t>
        </is>
      </c>
      <c r="E55" s="9" t="inlineStr">
        <is>
          <t>4/1/2023</t>
        </is>
      </c>
      <c r="F55" s="14" t="n">
        <v>45017</v>
      </c>
    </row>
    <row r="56">
      <c r="A56" s="8" t="inlineStr">
        <is>
          <t>Service A</t>
        </is>
      </c>
      <c r="B56" s="8" t="inlineStr">
        <is>
          <t>User1054</t>
        </is>
      </c>
      <c r="C56" s="8" t="n">
        <v>1</v>
      </c>
      <c r="D56" s="8" t="inlineStr">
        <is>
          <t>Band 5</t>
        </is>
      </c>
      <c r="E56" s="9" t="inlineStr">
        <is>
          <t>3/11/2024</t>
        </is>
      </c>
      <c r="F56" s="14" t="n">
        <v>45362</v>
      </c>
    </row>
    <row r="57">
      <c r="A57" s="8" t="inlineStr">
        <is>
          <t>Service A</t>
        </is>
      </c>
      <c r="B57" s="8" t="inlineStr">
        <is>
          <t>User1055</t>
        </is>
      </c>
      <c r="C57" s="8" t="n">
        <v>1</v>
      </c>
      <c r="D57" s="8" t="inlineStr">
        <is>
          <t>Band 5</t>
        </is>
      </c>
      <c r="E57" s="9" t="inlineStr">
        <is>
          <t>3/18/2024</t>
        </is>
      </c>
      <c r="F57" s="14" t="n">
        <v>45369</v>
      </c>
    </row>
    <row r="58">
      <c r="A58" s="8" t="inlineStr">
        <is>
          <t>Service A</t>
        </is>
      </c>
      <c r="B58" s="8" t="inlineStr">
        <is>
          <t>User1056</t>
        </is>
      </c>
      <c r="C58" s="8" t="n">
        <v>1</v>
      </c>
      <c r="D58" s="8" t="inlineStr">
        <is>
          <t>Band 5</t>
        </is>
      </c>
      <c r="E58" s="9" t="inlineStr">
        <is>
          <t>4/8/2024</t>
        </is>
      </c>
      <c r="F58" s="14" t="n">
        <v>45390</v>
      </c>
    </row>
    <row r="59">
      <c r="A59" s="8" t="inlineStr">
        <is>
          <t>Service B</t>
        </is>
      </c>
      <c r="B59" s="8" t="inlineStr">
        <is>
          <t>User1057</t>
        </is>
      </c>
      <c r="C59" s="8" t="n">
        <v>1</v>
      </c>
      <c r="D59" s="8" t="inlineStr">
        <is>
          <t>Band 3</t>
        </is>
      </c>
      <c r="E59" s="9" t="inlineStr">
        <is>
          <t>10/21/2024</t>
        </is>
      </c>
      <c r="F59" s="14" t="n">
        <v>45586</v>
      </c>
    </row>
    <row r="60">
      <c r="A60" s="8" t="inlineStr">
        <is>
          <t>Service B</t>
        </is>
      </c>
      <c r="B60" s="8" t="inlineStr">
        <is>
          <t>User1058</t>
        </is>
      </c>
      <c r="C60" s="8" t="n">
        <v>1</v>
      </c>
      <c r="D60" s="8" t="inlineStr">
        <is>
          <t>Band 3</t>
        </is>
      </c>
      <c r="E60" s="9" t="inlineStr">
        <is>
          <t>11/7/2024</t>
        </is>
      </c>
      <c r="F60" s="14" t="n">
        <v>45603</v>
      </c>
    </row>
    <row r="61">
      <c r="A61" s="8" t="inlineStr">
        <is>
          <t>Service A</t>
        </is>
      </c>
      <c r="B61" s="8" t="inlineStr">
        <is>
          <t>User1059</t>
        </is>
      </c>
      <c r="C61" s="8" t="n">
        <v>1</v>
      </c>
      <c r="D61" s="8" t="inlineStr">
        <is>
          <t>Band 3</t>
        </is>
      </c>
      <c r="E61" s="9" t="inlineStr">
        <is>
          <t>8/19/2024</t>
        </is>
      </c>
      <c r="F61" s="14" t="n">
        <v>45523</v>
      </c>
    </row>
    <row r="62">
      <c r="A62" s="8" t="inlineStr">
        <is>
          <t>Service D</t>
        </is>
      </c>
      <c r="B62" s="8" t="inlineStr">
        <is>
          <t>User1060</t>
        </is>
      </c>
      <c r="C62" s="8" t="n">
        <v>1</v>
      </c>
      <c r="D62" s="8" t="inlineStr">
        <is>
          <t>Band 3</t>
        </is>
      </c>
      <c r="E62" s="9" t="inlineStr">
        <is>
          <t>11/4/2024</t>
        </is>
      </c>
      <c r="F62" s="14" t="n">
        <v>45600</v>
      </c>
    </row>
    <row r="63">
      <c r="A63" s="8" t="inlineStr">
        <is>
          <t>Service B</t>
        </is>
      </c>
      <c r="B63" s="8" t="inlineStr">
        <is>
          <t>User1061</t>
        </is>
      </c>
      <c r="C63" s="8" t="n">
        <v>1</v>
      </c>
      <c r="D63" s="8" t="inlineStr">
        <is>
          <t>Band 3</t>
        </is>
      </c>
      <c r="E63" s="9" t="inlineStr">
        <is>
          <t>10/21/2024</t>
        </is>
      </c>
      <c r="F63" s="14" t="n">
        <v>45586</v>
      </c>
    </row>
    <row r="64">
      <c r="A64" s="8" t="inlineStr">
        <is>
          <t>Service A</t>
        </is>
      </c>
      <c r="B64" s="8" t="inlineStr">
        <is>
          <t>User1062</t>
        </is>
      </c>
      <c r="C64" s="8" t="n">
        <v>1</v>
      </c>
      <c r="D64" s="8" t="inlineStr">
        <is>
          <t>Band 5</t>
        </is>
      </c>
      <c r="E64" s="9" t="inlineStr">
        <is>
          <t>4/2/2024</t>
        </is>
      </c>
      <c r="F64" s="14" t="n">
        <v>45384</v>
      </c>
    </row>
    <row r="65">
      <c r="A65" s="8" t="inlineStr">
        <is>
          <t>Service A</t>
        </is>
      </c>
      <c r="B65" s="8" t="inlineStr">
        <is>
          <t>User1063</t>
        </is>
      </c>
      <c r="C65" s="8" t="n">
        <v>0.8648648648648648</v>
      </c>
      <c r="D65" s="8" t="inlineStr">
        <is>
          <t>Band 3</t>
        </is>
      </c>
      <c r="E65" s="9" t="inlineStr">
        <is>
          <t>7/22/2024</t>
        </is>
      </c>
      <c r="F65" s="14" t="n">
        <v>45495</v>
      </c>
    </row>
    <row r="66">
      <c r="A66" s="8" t="inlineStr">
        <is>
          <t>Service B</t>
        </is>
      </c>
      <c r="B66" s="8" t="inlineStr">
        <is>
          <t>User1064</t>
        </is>
      </c>
      <c r="C66" s="8" t="n">
        <v>1</v>
      </c>
      <c r="D66" s="8" t="inlineStr">
        <is>
          <t>Band 3</t>
        </is>
      </c>
      <c r="E66" s="9" t="inlineStr">
        <is>
          <t>2/24/2025</t>
        </is>
      </c>
      <c r="F66" s="14" t="n">
        <v>45712</v>
      </c>
    </row>
    <row r="67">
      <c r="A67" s="8" t="inlineStr">
        <is>
          <t>Service B</t>
        </is>
      </c>
      <c r="B67" s="8" t="inlineStr">
        <is>
          <t>User1065</t>
        </is>
      </c>
      <c r="C67" s="8" t="n">
        <v>1</v>
      </c>
      <c r="D67" s="8" t="inlineStr">
        <is>
          <t>Band 5</t>
        </is>
      </c>
      <c r="E67" s="9" t="inlineStr">
        <is>
          <t>3/11/2024</t>
        </is>
      </c>
      <c r="F67" s="14" t="n">
        <v>45362</v>
      </c>
    </row>
    <row r="68">
      <c r="A68" s="8" t="inlineStr">
        <is>
          <t>Service B</t>
        </is>
      </c>
      <c r="B68" s="8" t="inlineStr">
        <is>
          <t>User1066</t>
        </is>
      </c>
      <c r="C68" s="8" t="n">
        <v>1</v>
      </c>
      <c r="D68" s="8" t="inlineStr">
        <is>
          <t>Band 3</t>
        </is>
      </c>
      <c r="E68" s="9" t="inlineStr">
        <is>
          <t>4/11/2023</t>
        </is>
      </c>
      <c r="F68" s="14" t="n">
        <v>45027</v>
      </c>
    </row>
    <row r="69">
      <c r="A69" s="8" t="inlineStr">
        <is>
          <t>Service B</t>
        </is>
      </c>
      <c r="B69" s="8" t="inlineStr">
        <is>
          <t>User1067</t>
        </is>
      </c>
      <c r="C69" s="8" t="n">
        <v>1</v>
      </c>
      <c r="D69" s="8" t="inlineStr">
        <is>
          <t>Band 3</t>
        </is>
      </c>
      <c r="E69" s="9" t="inlineStr">
        <is>
          <t>3/13/2023</t>
        </is>
      </c>
      <c r="F69" s="14" t="n">
        <v>44998</v>
      </c>
    </row>
    <row r="70">
      <c r="A70" s="8" t="inlineStr">
        <is>
          <t>Service A</t>
        </is>
      </c>
      <c r="B70" s="8" t="inlineStr">
        <is>
          <t>User1068</t>
        </is>
      </c>
      <c r="C70" s="8" t="n">
        <v>1</v>
      </c>
      <c r="D70" s="8" t="inlineStr">
        <is>
          <t>Band 3</t>
        </is>
      </c>
      <c r="E70" s="9" t="inlineStr">
        <is>
          <t>6/17/2024</t>
        </is>
      </c>
      <c r="F70" s="14" t="n">
        <v>45460</v>
      </c>
    </row>
    <row r="71">
      <c r="A71" s="8" t="inlineStr">
        <is>
          <t>Service A</t>
        </is>
      </c>
      <c r="B71" s="8" t="inlineStr">
        <is>
          <t>User1069</t>
        </is>
      </c>
      <c r="C71" s="8" t="n">
        <v>0.8000000000000002</v>
      </c>
      <c r="D71" s="8" t="inlineStr">
        <is>
          <t>Band 5</t>
        </is>
      </c>
      <c r="E71" s="9" t="inlineStr">
        <is>
          <t>4/16/2024</t>
        </is>
      </c>
      <c r="F71" s="14" t="n">
        <v>45398</v>
      </c>
    </row>
    <row r="72">
      <c r="A72" s="8" t="inlineStr">
        <is>
          <t>Service B</t>
        </is>
      </c>
      <c r="B72" s="8" t="inlineStr">
        <is>
          <t>User1070</t>
        </is>
      </c>
      <c r="C72" s="8" t="n">
        <v>1</v>
      </c>
      <c r="D72" s="8" t="inlineStr">
        <is>
          <t>Band 3</t>
        </is>
      </c>
      <c r="E72" s="9" t="inlineStr">
        <is>
          <t>10/21/2024</t>
        </is>
      </c>
      <c r="F72" s="14" t="n">
        <v>45586</v>
      </c>
    </row>
    <row r="73">
      <c r="A73" s="8" t="inlineStr">
        <is>
          <t>Service A</t>
        </is>
      </c>
      <c r="B73" s="8" t="inlineStr">
        <is>
          <t>User1071</t>
        </is>
      </c>
      <c r="C73" s="8" t="n">
        <v>1</v>
      </c>
      <c r="D73" s="8" t="inlineStr">
        <is>
          <t>Band 3</t>
        </is>
      </c>
      <c r="E73" s="9" t="inlineStr">
        <is>
          <t>6/17/2024</t>
        </is>
      </c>
      <c r="F73" s="14" t="n">
        <v>45460</v>
      </c>
    </row>
    <row r="74">
      <c r="A74" s="8" t="inlineStr">
        <is>
          <t>Service A</t>
        </is>
      </c>
      <c r="B74" s="8" t="inlineStr">
        <is>
          <t>User1072</t>
        </is>
      </c>
      <c r="C74" s="8" t="n">
        <v>1</v>
      </c>
      <c r="D74" s="8" t="inlineStr">
        <is>
          <t>Band 3</t>
        </is>
      </c>
      <c r="E74" s="9" t="inlineStr">
        <is>
          <t>6/13/2024</t>
        </is>
      </c>
      <c r="F74" s="14" t="n">
        <v>45456</v>
      </c>
    </row>
    <row r="75">
      <c r="A75" s="8" t="inlineStr">
        <is>
          <t>Service A</t>
        </is>
      </c>
      <c r="B75" s="8" t="inlineStr">
        <is>
          <t>User1073</t>
        </is>
      </c>
      <c r="C75" s="8" t="n">
        <v>1</v>
      </c>
      <c r="D75" s="8" t="inlineStr">
        <is>
          <t>Band 3</t>
        </is>
      </c>
      <c r="E75" s="9" t="inlineStr">
        <is>
          <t>6/10/2024</t>
        </is>
      </c>
      <c r="F75" s="14" t="n">
        <v>45453</v>
      </c>
    </row>
    <row r="76">
      <c r="A76" s="8" t="inlineStr">
        <is>
          <t>Service B</t>
        </is>
      </c>
      <c r="B76" s="8" t="inlineStr">
        <is>
          <t>User1074</t>
        </is>
      </c>
      <c r="C76" s="8" t="n">
        <v>1</v>
      </c>
      <c r="D76" s="8" t="inlineStr">
        <is>
          <t>Band 3</t>
        </is>
      </c>
      <c r="E76" s="9" t="inlineStr">
        <is>
          <t>3/3/2025</t>
        </is>
      </c>
      <c r="F76" s="14" t="n">
        <v>45719</v>
      </c>
    </row>
    <row r="77">
      <c r="A77" s="8" t="inlineStr">
        <is>
          <t>Service B</t>
        </is>
      </c>
      <c r="B77" s="8" t="inlineStr">
        <is>
          <t>User1075</t>
        </is>
      </c>
      <c r="C77" s="8" t="n">
        <v>1</v>
      </c>
      <c r="D77" s="8" t="inlineStr">
        <is>
          <t>Band 3</t>
        </is>
      </c>
      <c r="E77" s="9" t="inlineStr">
        <is>
          <t>2/24/2025</t>
        </is>
      </c>
      <c r="F77" s="14" t="n">
        <v>45712</v>
      </c>
    </row>
    <row r="78">
      <c r="A78" s="8" t="inlineStr">
        <is>
          <t>Service A</t>
        </is>
      </c>
      <c r="B78" s="8" t="inlineStr">
        <is>
          <t>User1076</t>
        </is>
      </c>
      <c r="C78" s="8" t="n">
        <v>1</v>
      </c>
      <c r="D78" s="8" t="inlineStr">
        <is>
          <t>Band 3</t>
        </is>
      </c>
      <c r="E78" s="9" t="inlineStr">
        <is>
          <t>7/15/2024</t>
        </is>
      </c>
      <c r="F78" s="14" t="n">
        <v>45488</v>
      </c>
    </row>
    <row r="79">
      <c r="A79" s="8" t="inlineStr">
        <is>
          <t>Service B</t>
        </is>
      </c>
      <c r="B79" s="8" t="inlineStr">
        <is>
          <t>User1077</t>
        </is>
      </c>
      <c r="C79" s="8" t="n">
        <v>1</v>
      </c>
      <c r="D79" s="8" t="inlineStr">
        <is>
          <t>Band 3</t>
        </is>
      </c>
      <c r="E79" s="9" t="inlineStr">
        <is>
          <t>10/21/2024</t>
        </is>
      </c>
      <c r="F79" s="14" t="n">
        <v>45586</v>
      </c>
    </row>
    <row r="80">
      <c r="A80" s="8" t="inlineStr">
        <is>
          <t>Service A</t>
        </is>
      </c>
      <c r="B80" s="8" t="inlineStr">
        <is>
          <t>User1078</t>
        </is>
      </c>
      <c r="C80" s="8" t="n">
        <v>1</v>
      </c>
      <c r="D80" s="8" t="inlineStr">
        <is>
          <t>Band 5</t>
        </is>
      </c>
      <c r="E80" s="9" t="inlineStr">
        <is>
          <t>5/1/2024</t>
        </is>
      </c>
      <c r="F80" s="14" t="n">
        <v>45413</v>
      </c>
    </row>
    <row r="81">
      <c r="A81" s="8" t="inlineStr">
        <is>
          <t>Service A</t>
        </is>
      </c>
      <c r="B81" s="8" t="inlineStr">
        <is>
          <t>User1079</t>
        </is>
      </c>
      <c r="C81" s="8" t="n">
        <v>0.7999999999999999</v>
      </c>
      <c r="D81" s="8" t="inlineStr">
        <is>
          <t>Band 3</t>
        </is>
      </c>
      <c r="E81" s="9" t="inlineStr">
        <is>
          <t>2/17/2025</t>
        </is>
      </c>
      <c r="F81" s="14" t="n">
        <v>45705</v>
      </c>
    </row>
    <row r="82">
      <c r="A82" s="8" t="inlineStr">
        <is>
          <t>Service C</t>
        </is>
      </c>
      <c r="B82" s="8" t="inlineStr">
        <is>
          <t>User1080</t>
        </is>
      </c>
      <c r="C82" s="8" t="n">
        <v>0.7999999999999999</v>
      </c>
      <c r="D82" s="8" t="inlineStr">
        <is>
          <t>Band 4</t>
        </is>
      </c>
      <c r="E82" s="9" t="inlineStr">
        <is>
          <t>1/1/2024</t>
        </is>
      </c>
      <c r="F82" s="14" t="n">
        <v>45292</v>
      </c>
    </row>
    <row r="83">
      <c r="A83" s="8" t="inlineStr">
        <is>
          <t>Service C</t>
        </is>
      </c>
      <c r="B83" s="8" t="inlineStr">
        <is>
          <t>User1081</t>
        </is>
      </c>
      <c r="C83" s="8" t="n">
        <v>1</v>
      </c>
      <c r="D83" s="8" t="inlineStr">
        <is>
          <t>Band 3</t>
        </is>
      </c>
      <c r="E83" s="9" t="inlineStr">
        <is>
          <t>1/1/2024</t>
        </is>
      </c>
      <c r="F83" s="14" t="n">
        <v>45292</v>
      </c>
    </row>
    <row r="84">
      <c r="A84" s="8" t="inlineStr">
        <is>
          <t>Service B</t>
        </is>
      </c>
      <c r="B84" s="8" t="inlineStr">
        <is>
          <t>User1082</t>
        </is>
      </c>
      <c r="C84" s="8" t="n">
        <v>1</v>
      </c>
      <c r="D84" s="8" t="inlineStr">
        <is>
          <t>Band 5</t>
        </is>
      </c>
      <c r="E84" s="9" t="inlineStr">
        <is>
          <t>3/11/2024</t>
        </is>
      </c>
      <c r="F84" s="14" t="n">
        <v>45362</v>
      </c>
    </row>
    <row r="85">
      <c r="A85" s="8" t="inlineStr">
        <is>
          <t>Service D</t>
        </is>
      </c>
      <c r="B85" s="8" t="inlineStr">
        <is>
          <t>User1083</t>
        </is>
      </c>
      <c r="C85" s="8" t="n">
        <v>1</v>
      </c>
      <c r="D85" s="8" t="inlineStr">
        <is>
          <t>Band 3</t>
        </is>
      </c>
      <c r="E85" s="9" t="inlineStr">
        <is>
          <t>11/4/2024</t>
        </is>
      </c>
      <c r="F85" s="14" t="n">
        <v>45600</v>
      </c>
    </row>
    <row r="86">
      <c r="A86" s="8" t="inlineStr">
        <is>
          <t>Service D</t>
        </is>
      </c>
      <c r="B86" s="8" t="inlineStr">
        <is>
          <t>User1084</t>
        </is>
      </c>
      <c r="C86" s="8" t="n">
        <v>1</v>
      </c>
      <c r="D86" s="8" t="inlineStr">
        <is>
          <t>Band 3</t>
        </is>
      </c>
      <c r="E86" s="9" t="inlineStr">
        <is>
          <t>10/2/2023</t>
        </is>
      </c>
      <c r="F86" s="14" t="n">
        <v>45201</v>
      </c>
    </row>
    <row r="87">
      <c r="A87" s="8" t="inlineStr">
        <is>
          <t>Service B</t>
        </is>
      </c>
      <c r="B87" s="8" t="inlineStr">
        <is>
          <t>User1085</t>
        </is>
      </c>
      <c r="C87" s="8" t="n">
        <v>1</v>
      </c>
      <c r="D87" s="8" t="inlineStr">
        <is>
          <t>Band 5</t>
        </is>
      </c>
      <c r="E87" s="9" t="inlineStr">
        <is>
          <t>3/24/2025</t>
        </is>
      </c>
      <c r="F87" s="14" t="n">
        <v>45740</v>
      </c>
    </row>
    <row r="88">
      <c r="A88" s="8" t="inlineStr">
        <is>
          <t>Service D</t>
        </is>
      </c>
      <c r="B88" s="8" t="inlineStr">
        <is>
          <t>User1086</t>
        </is>
      </c>
      <c r="C88" s="8" t="n">
        <v>1</v>
      </c>
      <c r="D88" s="8" t="inlineStr">
        <is>
          <t>Band 3</t>
        </is>
      </c>
      <c r="E88" s="9" t="inlineStr">
        <is>
          <t>10/2/2023</t>
        </is>
      </c>
      <c r="F88" s="14" t="n">
        <v>45201</v>
      </c>
    </row>
    <row r="89">
      <c r="A89" s="8" t="inlineStr">
        <is>
          <t>Service A</t>
        </is>
      </c>
      <c r="B89" s="8" t="inlineStr">
        <is>
          <t>User1087</t>
        </is>
      </c>
      <c r="C89" s="8" t="n">
        <v>1</v>
      </c>
      <c r="D89" s="8" t="inlineStr">
        <is>
          <t>Band 3</t>
        </is>
      </c>
      <c r="E89" s="9" t="inlineStr">
        <is>
          <t>8/19/2024</t>
        </is>
      </c>
      <c r="F89" s="14" t="n">
        <v>45523</v>
      </c>
    </row>
    <row r="90">
      <c r="A90" s="8" t="inlineStr">
        <is>
          <t>Service B</t>
        </is>
      </c>
      <c r="B90" s="8" t="inlineStr">
        <is>
          <t>User1088</t>
        </is>
      </c>
      <c r="C90" s="8" t="n">
        <v>1</v>
      </c>
      <c r="D90" s="8" t="inlineStr">
        <is>
          <t>Band 5</t>
        </is>
      </c>
      <c r="E90" s="9" t="inlineStr">
        <is>
          <t>9/22/2025</t>
        </is>
      </c>
      <c r="F90" s="14" t="n">
        <v>45922</v>
      </c>
    </row>
    <row r="91">
      <c r="A91" s="8" t="inlineStr">
        <is>
          <t>Service C</t>
        </is>
      </c>
      <c r="B91" s="8" t="inlineStr">
        <is>
          <t>User1089</t>
        </is>
      </c>
      <c r="C91" s="8" t="n">
        <v>1</v>
      </c>
      <c r="D91" s="8" t="inlineStr">
        <is>
          <t>Band 3</t>
        </is>
      </c>
      <c r="E91" s="9" t="inlineStr">
        <is>
          <t>1/1/2024</t>
        </is>
      </c>
      <c r="F91" s="14" t="n">
        <v>45292</v>
      </c>
    </row>
    <row r="92">
      <c r="A92" s="8" t="inlineStr">
        <is>
          <t>Service C</t>
        </is>
      </c>
      <c r="B92" s="8" t="inlineStr">
        <is>
          <t>User1090</t>
        </is>
      </c>
      <c r="C92" s="8" t="n">
        <v>1</v>
      </c>
      <c r="D92" s="8" t="inlineStr">
        <is>
          <t>Band 3</t>
        </is>
      </c>
      <c r="E92" s="9" t="inlineStr">
        <is>
          <t>1/1/2024</t>
        </is>
      </c>
      <c r="F92" s="14" t="n">
        <v>45292</v>
      </c>
    </row>
    <row r="93">
      <c r="A93" s="8" t="inlineStr">
        <is>
          <t>Service A</t>
        </is>
      </c>
      <c r="B93" s="8" t="inlineStr">
        <is>
          <t>User1091</t>
        </is>
      </c>
      <c r="C93" s="8" t="n">
        <v>1</v>
      </c>
      <c r="D93" s="8" t="inlineStr">
        <is>
          <t>Band 3</t>
        </is>
      </c>
      <c r="E93" s="9" t="inlineStr">
        <is>
          <t>6/10/2024</t>
        </is>
      </c>
      <c r="F93" s="14" t="n">
        <v>45453</v>
      </c>
    </row>
    <row r="94">
      <c r="A94" s="8" t="inlineStr">
        <is>
          <t>Service A</t>
        </is>
      </c>
      <c r="B94" s="8" t="inlineStr">
        <is>
          <t>User1092</t>
        </is>
      </c>
      <c r="C94" s="8" t="n">
        <v>1</v>
      </c>
      <c r="D94" s="8" t="inlineStr">
        <is>
          <t>Band 3</t>
        </is>
      </c>
      <c r="E94" s="9" t="inlineStr">
        <is>
          <t>6/17/2024</t>
        </is>
      </c>
      <c r="F94" s="14" t="n">
        <v>45460</v>
      </c>
    </row>
    <row r="95">
      <c r="A95" s="8" t="inlineStr">
        <is>
          <t>Service A</t>
        </is>
      </c>
      <c r="B95" s="8" t="inlineStr">
        <is>
          <t>User1093</t>
        </is>
      </c>
      <c r="C95" s="8" t="n">
        <v>1</v>
      </c>
      <c r="D95" s="8" t="inlineStr">
        <is>
          <t>Band 3</t>
        </is>
      </c>
      <c r="E95" s="9" t="inlineStr">
        <is>
          <t>7/22/2024</t>
        </is>
      </c>
      <c r="F95" s="14" t="n">
        <v>45495</v>
      </c>
    </row>
    <row r="96">
      <c r="A96" s="8" t="inlineStr">
        <is>
          <t>Service A</t>
        </is>
      </c>
      <c r="B96" s="8" t="inlineStr">
        <is>
          <t>User1094</t>
        </is>
      </c>
      <c r="C96" s="8" t="n">
        <v>1</v>
      </c>
      <c r="D96" s="8" t="inlineStr">
        <is>
          <t>Band 5</t>
        </is>
      </c>
      <c r="E96" s="9" t="inlineStr">
        <is>
          <t>4/2/2024</t>
        </is>
      </c>
      <c r="F96" s="14" t="n">
        <v>45384</v>
      </c>
    </row>
    <row r="97">
      <c r="A97" s="8" t="inlineStr">
        <is>
          <t>Service A</t>
        </is>
      </c>
      <c r="B97" s="8" t="inlineStr">
        <is>
          <t>User1095</t>
        </is>
      </c>
      <c r="C97" s="8" t="n">
        <v>1</v>
      </c>
      <c r="D97" s="8" t="inlineStr">
        <is>
          <t>Band 5</t>
        </is>
      </c>
      <c r="E97" s="9" t="inlineStr">
        <is>
          <t>4/2/2024</t>
        </is>
      </c>
      <c r="F97" s="14" t="n">
        <v>45384</v>
      </c>
    </row>
    <row r="98">
      <c r="A98" s="8" t="inlineStr">
        <is>
          <t>Service B</t>
        </is>
      </c>
      <c r="B98" s="8" t="inlineStr">
        <is>
          <t>User1096</t>
        </is>
      </c>
      <c r="C98" s="8" t="n">
        <v>1</v>
      </c>
      <c r="D98" s="8" t="inlineStr">
        <is>
          <t>Band 5</t>
        </is>
      </c>
      <c r="E98" s="9" t="inlineStr">
        <is>
          <t>2/24/2025</t>
        </is>
      </c>
      <c r="F98" s="14" t="n">
        <v>45712</v>
      </c>
    </row>
    <row r="99">
      <c r="A99" s="8" t="inlineStr">
        <is>
          <t>Service A</t>
        </is>
      </c>
      <c r="B99" s="8" t="inlineStr">
        <is>
          <t>User1097</t>
        </is>
      </c>
      <c r="C99" s="8" t="n">
        <v>1</v>
      </c>
      <c r="D99" s="8" t="inlineStr">
        <is>
          <t>Band 5</t>
        </is>
      </c>
      <c r="E99" s="9" t="inlineStr">
        <is>
          <t>3/11/2024</t>
        </is>
      </c>
      <c r="F99" s="14" t="n">
        <v>45362</v>
      </c>
    </row>
    <row r="100">
      <c r="A100" s="8" t="inlineStr">
        <is>
          <t>Service B</t>
        </is>
      </c>
      <c r="B100" s="8" t="inlineStr">
        <is>
          <t>User1098</t>
        </is>
      </c>
      <c r="C100" s="8" t="n">
        <v>1</v>
      </c>
      <c r="D100" s="8" t="inlineStr">
        <is>
          <t>Band 3</t>
        </is>
      </c>
      <c r="E100" s="9" t="inlineStr">
        <is>
          <t>5/9/2023</t>
        </is>
      </c>
      <c r="F100" s="14" t="n">
        <v>45055</v>
      </c>
    </row>
    <row r="101">
      <c r="A101" s="8" t="inlineStr">
        <is>
          <t>Service C</t>
        </is>
      </c>
      <c r="B101" s="8" t="inlineStr">
        <is>
          <t>User1099</t>
        </is>
      </c>
      <c r="C101" s="8" t="n">
        <v>1</v>
      </c>
      <c r="D101" s="8" t="inlineStr">
        <is>
          <t>Band 5</t>
        </is>
      </c>
      <c r="E101" s="9" t="inlineStr">
        <is>
          <t>1/1/2024</t>
        </is>
      </c>
      <c r="F101" s="14" t="n">
        <v>45292</v>
      </c>
    </row>
    <row r="102">
      <c r="A102" s="8" t="inlineStr">
        <is>
          <t>Service B</t>
        </is>
      </c>
      <c r="B102" s="8" t="inlineStr">
        <is>
          <t>User1100</t>
        </is>
      </c>
      <c r="C102" s="8" t="n">
        <v>1</v>
      </c>
      <c r="D102" s="8" t="inlineStr">
        <is>
          <t>Band 5</t>
        </is>
      </c>
      <c r="E102" s="9" t="inlineStr">
        <is>
          <t>3/1/2024</t>
        </is>
      </c>
      <c r="F102" s="14" t="n">
        <v>45352</v>
      </c>
    </row>
    <row r="103">
      <c r="A103" s="8" t="inlineStr">
        <is>
          <t>Service A</t>
        </is>
      </c>
      <c r="B103" s="8" t="inlineStr">
        <is>
          <t>User1101</t>
        </is>
      </c>
      <c r="C103" s="8" t="n">
        <v>0.9400000000000002</v>
      </c>
      <c r="D103" s="8" t="inlineStr">
        <is>
          <t>Band 3</t>
        </is>
      </c>
      <c r="E103" s="9" t="inlineStr">
        <is>
          <t>5/13/2024</t>
        </is>
      </c>
      <c r="F103" s="14" t="n">
        <v>45425</v>
      </c>
    </row>
    <row r="104">
      <c r="A104" s="8" t="inlineStr">
        <is>
          <t>Service D</t>
        </is>
      </c>
      <c r="B104" s="8" t="inlineStr">
        <is>
          <t>User1102</t>
        </is>
      </c>
      <c r="C104" s="8" t="n">
        <v>0.8108108108108109</v>
      </c>
      <c r="D104" s="8" t="inlineStr">
        <is>
          <t>Band 3</t>
        </is>
      </c>
      <c r="E104" s="9" t="inlineStr">
        <is>
          <t>1/1/2025</t>
        </is>
      </c>
      <c r="F104" s="14" t="n">
        <v>45658</v>
      </c>
    </row>
    <row r="105">
      <c r="A105" s="8" t="inlineStr">
        <is>
          <t>Service A</t>
        </is>
      </c>
      <c r="B105" s="8" t="inlineStr">
        <is>
          <t>User1103</t>
        </is>
      </c>
      <c r="C105" s="8" t="n">
        <v>1</v>
      </c>
      <c r="D105" s="8" t="inlineStr">
        <is>
          <t>Band 5</t>
        </is>
      </c>
      <c r="E105" s="9" t="inlineStr">
        <is>
          <t>4/2/2024</t>
        </is>
      </c>
      <c r="F105" s="14" t="n">
        <v>45384</v>
      </c>
    </row>
    <row r="106">
      <c r="A106" s="8" t="inlineStr">
        <is>
          <t>Service A</t>
        </is>
      </c>
      <c r="B106" s="8" t="inlineStr">
        <is>
          <t>User1104</t>
        </is>
      </c>
      <c r="C106" s="8" t="n">
        <v>1</v>
      </c>
      <c r="D106" s="8" t="inlineStr">
        <is>
          <t>Band 5</t>
        </is>
      </c>
      <c r="E106" s="9" t="inlineStr">
        <is>
          <t>3/11/2024</t>
        </is>
      </c>
      <c r="F106" s="14" t="n">
        <v>45362</v>
      </c>
    </row>
    <row r="107">
      <c r="A107" s="8" t="inlineStr">
        <is>
          <t>Service B</t>
        </is>
      </c>
      <c r="B107" s="8" t="inlineStr">
        <is>
          <t>User1105</t>
        </is>
      </c>
      <c r="C107" s="8" t="n">
        <v>1</v>
      </c>
      <c r="D107" s="8" t="inlineStr">
        <is>
          <t>Band 3</t>
        </is>
      </c>
      <c r="E107" s="9" t="inlineStr">
        <is>
          <t>2/24/2025</t>
        </is>
      </c>
      <c r="F107" s="14" t="n">
        <v>45712</v>
      </c>
    </row>
    <row r="108">
      <c r="A108" s="8" t="inlineStr">
        <is>
          <t>Service D</t>
        </is>
      </c>
      <c r="B108" s="8" t="inlineStr">
        <is>
          <t>User1106</t>
        </is>
      </c>
      <c r="C108" s="8" t="n">
        <v>1</v>
      </c>
      <c r="D108" s="8" t="inlineStr">
        <is>
          <t>Band 3</t>
        </is>
      </c>
      <c r="E108" s="9" t="inlineStr">
        <is>
          <t>10/2/2023</t>
        </is>
      </c>
      <c r="F108" s="14" t="n">
        <v>45201</v>
      </c>
    </row>
    <row r="109">
      <c r="A109" s="8" t="inlineStr">
        <is>
          <t>Service C</t>
        </is>
      </c>
      <c r="B109" s="8" t="inlineStr">
        <is>
          <t>User1107</t>
        </is>
      </c>
      <c r="C109" s="8" t="n">
        <v>1</v>
      </c>
      <c r="D109" s="8" t="inlineStr">
        <is>
          <t>Band 3</t>
        </is>
      </c>
      <c r="E109" s="9" t="inlineStr">
        <is>
          <t>5/26/2025</t>
        </is>
      </c>
      <c r="F109" s="14" t="n">
        <v>45803</v>
      </c>
    </row>
    <row r="110">
      <c r="A110" s="8" t="inlineStr">
        <is>
          <t>Service B</t>
        </is>
      </c>
      <c r="B110" s="8" t="inlineStr">
        <is>
          <t>User1108</t>
        </is>
      </c>
      <c r="C110" s="8" t="n">
        <v>1</v>
      </c>
      <c r="D110" s="8" t="inlineStr">
        <is>
          <t>Band 5</t>
        </is>
      </c>
      <c r="E110" s="9" t="inlineStr">
        <is>
          <t>7/15/2024</t>
        </is>
      </c>
      <c r="F110" s="14" t="n">
        <v>45488</v>
      </c>
    </row>
    <row r="111">
      <c r="A111" s="8" t="inlineStr">
        <is>
          <t>Service C</t>
        </is>
      </c>
      <c r="B111" s="8" t="inlineStr">
        <is>
          <t>User1109</t>
        </is>
      </c>
      <c r="C111" s="8" t="n">
        <v>1</v>
      </c>
      <c r="D111" s="8" t="inlineStr">
        <is>
          <t>Band 3</t>
        </is>
      </c>
      <c r="E111" s="9" t="inlineStr">
        <is>
          <t>5/21/2025</t>
        </is>
      </c>
      <c r="F111" s="14" t="n">
        <v>45798</v>
      </c>
    </row>
    <row r="112">
      <c r="A112" s="8" t="inlineStr">
        <is>
          <t>Service A</t>
        </is>
      </c>
      <c r="B112" s="8" t="inlineStr">
        <is>
          <t>User1110</t>
        </is>
      </c>
      <c r="C112" s="8" t="n">
        <v>0.7999999999999999</v>
      </c>
      <c r="D112" s="8" t="inlineStr">
        <is>
          <t>Band 3</t>
        </is>
      </c>
      <c r="E112" s="9" t="inlineStr">
        <is>
          <t>4/2/2024</t>
        </is>
      </c>
      <c r="F112" s="14" t="n">
        <v>45384</v>
      </c>
    </row>
    <row r="113">
      <c r="A113" s="8" t="inlineStr">
        <is>
          <t>Service C</t>
        </is>
      </c>
      <c r="B113" s="8" t="inlineStr">
        <is>
          <t>User1111</t>
        </is>
      </c>
      <c r="C113" s="8" t="n">
        <v>1</v>
      </c>
      <c r="D113" s="8" t="inlineStr">
        <is>
          <t>Band 3</t>
        </is>
      </c>
      <c r="E113" s="9" t="inlineStr">
        <is>
          <t>6/2/2025</t>
        </is>
      </c>
      <c r="F113" s="14" t="n">
        <v>45810</v>
      </c>
    </row>
    <row r="114">
      <c r="A114" s="8" t="inlineStr">
        <is>
          <t>Service A</t>
        </is>
      </c>
      <c r="B114" s="8" t="inlineStr">
        <is>
          <t>User1112</t>
        </is>
      </c>
      <c r="C114" s="8" t="n">
        <v>1</v>
      </c>
      <c r="D114" s="8" t="inlineStr">
        <is>
          <t>Band 5</t>
        </is>
      </c>
      <c r="E114" s="9" t="inlineStr">
        <is>
          <t>4/29/2024</t>
        </is>
      </c>
      <c r="F114" s="14" t="n">
        <v>45411</v>
      </c>
    </row>
    <row r="115">
      <c r="A115" s="8" t="inlineStr">
        <is>
          <t>Service A</t>
        </is>
      </c>
      <c r="B115" s="8" t="inlineStr">
        <is>
          <t>User1113</t>
        </is>
      </c>
      <c r="C115" s="8" t="n">
        <v>1</v>
      </c>
      <c r="D115" s="8" t="inlineStr">
        <is>
          <t>Band 3</t>
        </is>
      </c>
      <c r="E115" s="9" t="inlineStr">
        <is>
          <t>4/2/2024</t>
        </is>
      </c>
      <c r="F115" s="14" t="n">
        <v>45384</v>
      </c>
    </row>
    <row r="116">
      <c r="A116" s="8" t="inlineStr">
        <is>
          <t>Service B</t>
        </is>
      </c>
      <c r="B116" s="8" t="inlineStr">
        <is>
          <t>User1114</t>
        </is>
      </c>
      <c r="C116" s="8" t="n">
        <v>1</v>
      </c>
      <c r="D116" s="8" t="inlineStr">
        <is>
          <t>Band 5</t>
        </is>
      </c>
      <c r="E116" s="9" t="inlineStr">
        <is>
          <t>3/11/2024</t>
        </is>
      </c>
      <c r="F116" s="14" t="n">
        <v>45362</v>
      </c>
    </row>
    <row r="117">
      <c r="A117" s="8" t="inlineStr">
        <is>
          <t>Service B</t>
        </is>
      </c>
      <c r="B117" s="8" t="inlineStr">
        <is>
          <t>User1115</t>
        </is>
      </c>
      <c r="C117" s="8" t="n">
        <v>1</v>
      </c>
      <c r="D117" s="8" t="inlineStr">
        <is>
          <t>Band 3</t>
        </is>
      </c>
      <c r="E117" s="9" t="inlineStr">
        <is>
          <t>3/1/2023</t>
        </is>
      </c>
      <c r="F117" s="14" t="n">
        <v>44986</v>
      </c>
    </row>
    <row r="118">
      <c r="A118" s="8" t="inlineStr">
        <is>
          <t>Service B</t>
        </is>
      </c>
      <c r="B118" s="8" t="inlineStr">
        <is>
          <t>User1116</t>
        </is>
      </c>
      <c r="C118" s="8" t="n">
        <v>1</v>
      </c>
      <c r="D118" s="8" t="inlineStr">
        <is>
          <t>Band 5</t>
        </is>
      </c>
      <c r="E118" s="9" t="inlineStr">
        <is>
          <t>9/22/2025</t>
        </is>
      </c>
      <c r="F118" s="14" t="n">
        <v>45922</v>
      </c>
    </row>
    <row r="119">
      <c r="A119" s="8" t="inlineStr">
        <is>
          <t>Service A</t>
        </is>
      </c>
      <c r="B119" s="8" t="inlineStr">
        <is>
          <t>User1117</t>
        </is>
      </c>
      <c r="C119" s="8" t="n">
        <v>1</v>
      </c>
      <c r="D119" s="8" t="inlineStr">
        <is>
          <t>Band 3</t>
        </is>
      </c>
      <c r="E119" s="9" t="inlineStr">
        <is>
          <t>6/10/2024</t>
        </is>
      </c>
      <c r="F119" s="14" t="n">
        <v>45453</v>
      </c>
    </row>
    <row r="120">
      <c r="A120" s="8" t="inlineStr">
        <is>
          <t>Service A</t>
        </is>
      </c>
      <c r="B120" s="8" t="inlineStr">
        <is>
          <t>User1118</t>
        </is>
      </c>
      <c r="C120" s="8" t="n">
        <v>1</v>
      </c>
      <c r="D120" s="8" t="inlineStr">
        <is>
          <t>Band 3</t>
        </is>
      </c>
      <c r="E120" s="9" t="inlineStr">
        <is>
          <t>5/7/2024</t>
        </is>
      </c>
      <c r="F120" s="14" t="n">
        <v>45419</v>
      </c>
    </row>
    <row r="121">
      <c r="A121" s="8" t="inlineStr">
        <is>
          <t>Service A</t>
        </is>
      </c>
      <c r="B121" s="8" t="inlineStr">
        <is>
          <t>User1119</t>
        </is>
      </c>
      <c r="C121" s="8" t="n">
        <v>1</v>
      </c>
      <c r="D121" s="8" t="inlineStr">
        <is>
          <t>Band 3</t>
        </is>
      </c>
      <c r="E121" s="9" t="inlineStr">
        <is>
          <t>7/18/2024</t>
        </is>
      </c>
      <c r="F121" s="14" t="n">
        <v>45491</v>
      </c>
    </row>
    <row r="122">
      <c r="A122" s="8" t="inlineStr">
        <is>
          <t>Service B</t>
        </is>
      </c>
      <c r="B122" s="8" t="inlineStr">
        <is>
          <t>User1120</t>
        </is>
      </c>
      <c r="C122" s="8" t="n">
        <v>1</v>
      </c>
      <c r="D122" s="8" t="inlineStr">
        <is>
          <t>Band 3</t>
        </is>
      </c>
      <c r="E122" s="9" t="inlineStr">
        <is>
          <t>2/24/2025</t>
        </is>
      </c>
      <c r="F122" s="14" t="n">
        <v>45712</v>
      </c>
    </row>
    <row r="123">
      <c r="A123" s="8" t="inlineStr">
        <is>
          <t>Service B</t>
        </is>
      </c>
      <c r="B123" s="8" t="inlineStr">
        <is>
          <t>User1121</t>
        </is>
      </c>
      <c r="C123" s="8" t="n">
        <v>1</v>
      </c>
      <c r="D123" s="8" t="inlineStr">
        <is>
          <t>Band 3</t>
        </is>
      </c>
      <c r="E123" s="9" t="inlineStr">
        <is>
          <t>6/13/2024</t>
        </is>
      </c>
      <c r="F123" s="14" t="n">
        <v>45456</v>
      </c>
    </row>
    <row r="124">
      <c r="A124" s="8" t="inlineStr">
        <is>
          <t>Service A</t>
        </is>
      </c>
      <c r="B124" s="8" t="inlineStr">
        <is>
          <t>User1122</t>
        </is>
      </c>
      <c r="C124" s="8" t="n">
        <v>0.6891891891891893</v>
      </c>
      <c r="D124" s="8" t="inlineStr">
        <is>
          <t>Band 3</t>
        </is>
      </c>
      <c r="E124" s="9" t="inlineStr">
        <is>
          <t>5/13/2024</t>
        </is>
      </c>
      <c r="F124" s="14" t="n">
        <v>45425</v>
      </c>
    </row>
    <row r="125">
      <c r="A125" s="8" t="inlineStr">
        <is>
          <t>Service A</t>
        </is>
      </c>
      <c r="B125" s="8" t="inlineStr">
        <is>
          <t>User1123</t>
        </is>
      </c>
      <c r="C125" s="8" t="n">
        <v>1</v>
      </c>
      <c r="D125" s="8" t="inlineStr">
        <is>
          <t>Band 3</t>
        </is>
      </c>
      <c r="E125" s="9" t="inlineStr">
        <is>
          <t>6/13/2024</t>
        </is>
      </c>
      <c r="F125" s="14" t="n">
        <v>45456</v>
      </c>
    </row>
    <row r="126">
      <c r="A126" s="8" t="inlineStr">
        <is>
          <t>Service A</t>
        </is>
      </c>
      <c r="B126" s="8" t="inlineStr">
        <is>
          <t>User1124</t>
        </is>
      </c>
      <c r="C126" s="8" t="n">
        <v>1</v>
      </c>
      <c r="D126" s="8" t="inlineStr">
        <is>
          <t>Band 3</t>
        </is>
      </c>
      <c r="E126" s="9" t="inlineStr">
        <is>
          <t>2/24/2025</t>
        </is>
      </c>
      <c r="F126" s="14" t="n">
        <v>45712</v>
      </c>
    </row>
    <row r="127">
      <c r="A127" s="8" t="inlineStr">
        <is>
          <t>Service A</t>
        </is>
      </c>
      <c r="B127" s="8" t="inlineStr">
        <is>
          <t>User1125</t>
        </is>
      </c>
      <c r="C127" s="8" t="n">
        <v>1</v>
      </c>
      <c r="D127" s="8" t="inlineStr">
        <is>
          <t>Band 3</t>
        </is>
      </c>
      <c r="E127" s="9" t="inlineStr">
        <is>
          <t>8/19/2024</t>
        </is>
      </c>
      <c r="F127" s="14" t="n">
        <v>45523</v>
      </c>
    </row>
    <row r="128">
      <c r="A128" s="8" t="inlineStr">
        <is>
          <t>Service A</t>
        </is>
      </c>
      <c r="B128" s="8" t="inlineStr">
        <is>
          <t>User1126</t>
        </is>
      </c>
      <c r="C128" s="8" t="n">
        <v>1</v>
      </c>
      <c r="D128" s="8" t="inlineStr">
        <is>
          <t>Band 3</t>
        </is>
      </c>
      <c r="E128" s="9" t="inlineStr">
        <is>
          <t>4/2/2024</t>
        </is>
      </c>
      <c r="F128" s="14" t="n">
        <v>45384</v>
      </c>
    </row>
    <row r="129">
      <c r="A129" s="8" t="inlineStr">
        <is>
          <t>Service C</t>
        </is>
      </c>
      <c r="B129" s="8" t="inlineStr">
        <is>
          <t>User1127</t>
        </is>
      </c>
      <c r="C129" s="8" t="n">
        <v>1</v>
      </c>
      <c r="D129" s="8" t="inlineStr">
        <is>
          <t>Band 5</t>
        </is>
      </c>
      <c r="E129" s="9" t="inlineStr">
        <is>
          <t>1/1/2024</t>
        </is>
      </c>
      <c r="F129" s="14" t="n">
        <v>45292</v>
      </c>
    </row>
    <row r="130">
      <c r="A130" s="8" t="inlineStr">
        <is>
          <t>Service D</t>
        </is>
      </c>
      <c r="B130" s="8" t="inlineStr">
        <is>
          <t>User1128</t>
        </is>
      </c>
      <c r="C130" s="8" t="n">
        <v>1</v>
      </c>
      <c r="D130" s="8" t="inlineStr">
        <is>
          <t>Band 3</t>
        </is>
      </c>
      <c r="E130" s="9" t="inlineStr">
        <is>
          <t>11/4/2024</t>
        </is>
      </c>
      <c r="F130" s="14" t="n">
        <v>45600</v>
      </c>
    </row>
    <row r="131">
      <c r="A131" s="8" t="inlineStr">
        <is>
          <t>Service B</t>
        </is>
      </c>
      <c r="B131" s="8" t="inlineStr">
        <is>
          <t>User1129</t>
        </is>
      </c>
      <c r="C131" s="8" t="n">
        <v>1</v>
      </c>
      <c r="D131" s="8" t="inlineStr">
        <is>
          <t>Band 3</t>
        </is>
      </c>
      <c r="E131" s="9" t="inlineStr">
        <is>
          <t>5/8/2024</t>
        </is>
      </c>
      <c r="F131" s="14" t="n">
        <v>45420</v>
      </c>
    </row>
    <row r="132">
      <c r="A132" s="8" t="inlineStr">
        <is>
          <t>Service A</t>
        </is>
      </c>
      <c r="B132" s="8" t="inlineStr">
        <is>
          <t>User1130</t>
        </is>
      </c>
      <c r="C132" s="8" t="n">
        <v>1</v>
      </c>
      <c r="D132" s="8" t="inlineStr">
        <is>
          <t>Band 3</t>
        </is>
      </c>
      <c r="E132" s="9" t="inlineStr">
        <is>
          <t>6/13/2024</t>
        </is>
      </c>
      <c r="F132" s="14" t="n">
        <v>45456</v>
      </c>
    </row>
    <row r="133">
      <c r="A133" s="8" t="inlineStr">
        <is>
          <t>Service D</t>
        </is>
      </c>
      <c r="B133" s="8" t="inlineStr">
        <is>
          <t>User1131</t>
        </is>
      </c>
      <c r="C133" s="8" t="n">
        <v>1</v>
      </c>
      <c r="D133" s="8" t="inlineStr">
        <is>
          <t>Band 3</t>
        </is>
      </c>
      <c r="E133" s="9" t="inlineStr">
        <is>
          <t>12/9/2024</t>
        </is>
      </c>
      <c r="F133" s="14" t="n">
        <v>45635</v>
      </c>
    </row>
    <row r="134">
      <c r="A134" s="8" t="inlineStr">
        <is>
          <t>Service A</t>
        </is>
      </c>
      <c r="B134" s="8" t="inlineStr">
        <is>
          <t>User1132</t>
        </is>
      </c>
      <c r="C134" s="8" t="n">
        <v>1</v>
      </c>
      <c r="D134" s="8" t="inlineStr">
        <is>
          <t>Band 3</t>
        </is>
      </c>
      <c r="E134" s="9" t="inlineStr">
        <is>
          <t>6/10/2024</t>
        </is>
      </c>
      <c r="F134" s="14" t="n">
        <v>45453</v>
      </c>
    </row>
    <row r="135">
      <c r="A135" s="8" t="inlineStr">
        <is>
          <t>Service B</t>
        </is>
      </c>
      <c r="B135" s="8" t="inlineStr">
        <is>
          <t>User1133</t>
        </is>
      </c>
      <c r="C135" s="8" t="n">
        <v>1</v>
      </c>
      <c r="D135" s="8" t="inlineStr">
        <is>
          <t>Band 3</t>
        </is>
      </c>
      <c r="E135" s="9" t="inlineStr">
        <is>
          <t>6/10/2024</t>
        </is>
      </c>
      <c r="F135" s="14" t="n">
        <v>45453</v>
      </c>
    </row>
    <row r="136">
      <c r="A136" s="8" t="inlineStr">
        <is>
          <t>Service B</t>
        </is>
      </c>
      <c r="B136" s="8" t="inlineStr">
        <is>
          <t>User1134</t>
        </is>
      </c>
      <c r="C136" s="8" t="n">
        <v>1</v>
      </c>
      <c r="D136" s="8" t="inlineStr">
        <is>
          <t>Band 5</t>
        </is>
      </c>
      <c r="E136" s="9" t="inlineStr">
        <is>
          <t>9/16/2024</t>
        </is>
      </c>
      <c r="F136" s="14" t="n">
        <v>45551</v>
      </c>
    </row>
    <row r="137">
      <c r="A137" s="8" t="inlineStr">
        <is>
          <t>Service A</t>
        </is>
      </c>
      <c r="B137" s="8" t="inlineStr">
        <is>
          <t>User1135</t>
        </is>
      </c>
      <c r="C137" s="8" t="n">
        <v>1</v>
      </c>
      <c r="D137" s="8" t="inlineStr">
        <is>
          <t>Band 5</t>
        </is>
      </c>
      <c r="E137" s="9" t="inlineStr">
        <is>
          <t>4/2/2024</t>
        </is>
      </c>
      <c r="F137" s="14" t="n">
        <v>45384</v>
      </c>
    </row>
    <row r="138">
      <c r="A138" s="8" t="inlineStr">
        <is>
          <t>Service A</t>
        </is>
      </c>
      <c r="B138" s="8" t="inlineStr">
        <is>
          <t>User1136</t>
        </is>
      </c>
      <c r="C138" s="8" t="n">
        <v>0.6486486486486487</v>
      </c>
      <c r="D138" s="8" t="inlineStr">
        <is>
          <t>Band 3</t>
        </is>
      </c>
      <c r="E138" s="9" t="inlineStr">
        <is>
          <t>5/13/2024</t>
        </is>
      </c>
      <c r="F138" s="14" t="n">
        <v>45425</v>
      </c>
    </row>
    <row r="139">
      <c r="A139" s="8" t="inlineStr">
        <is>
          <t>Service A</t>
        </is>
      </c>
      <c r="B139" s="8" t="inlineStr">
        <is>
          <t>User1137</t>
        </is>
      </c>
      <c r="C139" s="8" t="n">
        <v>0.6</v>
      </c>
      <c r="D139" s="8" t="inlineStr">
        <is>
          <t>Band 5</t>
        </is>
      </c>
      <c r="E139" s="9" t="inlineStr">
        <is>
          <t>3/11/2024</t>
        </is>
      </c>
      <c r="F139" s="14" t="n">
        <v>45362</v>
      </c>
    </row>
    <row r="140">
      <c r="A140" s="8" t="inlineStr">
        <is>
          <t>Service A</t>
        </is>
      </c>
      <c r="B140" s="8" t="inlineStr">
        <is>
          <t>User1138</t>
        </is>
      </c>
      <c r="C140" s="8" t="n">
        <v>1</v>
      </c>
      <c r="D140" s="8" t="inlineStr">
        <is>
          <t>Band 3</t>
        </is>
      </c>
      <c r="E140" s="9" t="inlineStr">
        <is>
          <t>6/17/2024</t>
        </is>
      </c>
      <c r="F140" s="14" t="n">
        <v>45460</v>
      </c>
    </row>
    <row r="141">
      <c r="A141" s="8" t="inlineStr">
        <is>
          <t>Service B</t>
        </is>
      </c>
      <c r="B141" s="8" t="inlineStr">
        <is>
          <t>User1139</t>
        </is>
      </c>
      <c r="C141" s="8" t="n">
        <v>1</v>
      </c>
      <c r="D141" s="8" t="inlineStr">
        <is>
          <t>Band 3</t>
        </is>
      </c>
      <c r="E141" s="9" t="inlineStr">
        <is>
          <t>1/1/2024</t>
        </is>
      </c>
      <c r="F141" s="14" t="n">
        <v>45292</v>
      </c>
    </row>
    <row r="142">
      <c r="A142" s="8" t="inlineStr">
        <is>
          <t>Service A</t>
        </is>
      </c>
      <c r="B142" s="8" t="inlineStr">
        <is>
          <t>User1140</t>
        </is>
      </c>
      <c r="C142" s="8" t="n">
        <v>1</v>
      </c>
      <c r="D142" s="8" t="inlineStr">
        <is>
          <t>Band 3</t>
        </is>
      </c>
      <c r="E142" s="9" t="inlineStr">
        <is>
          <t>5/13/2024</t>
        </is>
      </c>
      <c r="F142" s="14" t="n">
        <v>45425</v>
      </c>
    </row>
    <row r="143">
      <c r="A143" s="8" t="inlineStr">
        <is>
          <t>Service A</t>
        </is>
      </c>
      <c r="B143" s="8" t="inlineStr">
        <is>
          <t>User1141</t>
        </is>
      </c>
      <c r="C143" s="8" t="n">
        <v>1</v>
      </c>
      <c r="D143" s="8" t="inlineStr">
        <is>
          <t>Band 3</t>
        </is>
      </c>
      <c r="E143" s="9" t="inlineStr">
        <is>
          <t>8/27/2024</t>
        </is>
      </c>
      <c r="F143" s="14" t="n">
        <v>45531</v>
      </c>
    </row>
    <row r="144">
      <c r="A144" s="8" t="inlineStr">
        <is>
          <t>Service C</t>
        </is>
      </c>
      <c r="B144" s="8" t="inlineStr">
        <is>
          <t>User1142</t>
        </is>
      </c>
      <c r="C144" s="8" t="n">
        <v>0.7999999999999999</v>
      </c>
      <c r="D144" s="8" t="inlineStr">
        <is>
          <t>Band 4</t>
        </is>
      </c>
      <c r="E144" s="9" t="inlineStr">
        <is>
          <t>1/1/2024</t>
        </is>
      </c>
      <c r="F144" s="14" t="n">
        <v>45292</v>
      </c>
    </row>
    <row r="145">
      <c r="A145" s="8" t="inlineStr">
        <is>
          <t>Service B</t>
        </is>
      </c>
      <c r="B145" s="8" t="inlineStr">
        <is>
          <t>User1143</t>
        </is>
      </c>
      <c r="C145" s="8" t="n">
        <v>0.8108108108108109</v>
      </c>
      <c r="D145" s="8" t="inlineStr">
        <is>
          <t>Band 5</t>
        </is>
      </c>
      <c r="E145" s="9" t="inlineStr">
        <is>
          <t>9/22/2025</t>
        </is>
      </c>
      <c r="F145" s="14" t="n">
        <v>45922</v>
      </c>
    </row>
    <row r="146">
      <c r="A146" s="8" t="inlineStr">
        <is>
          <t>Service A</t>
        </is>
      </c>
      <c r="B146" s="8" t="inlineStr">
        <is>
          <t>User1144</t>
        </is>
      </c>
      <c r="C146" s="8" t="n">
        <v>1</v>
      </c>
      <c r="D146" s="8" t="inlineStr">
        <is>
          <t>Band 5</t>
        </is>
      </c>
      <c r="E146" s="9" t="inlineStr">
        <is>
          <t>4/9/2024</t>
        </is>
      </c>
      <c r="F146" s="14" t="n">
        <v>45391</v>
      </c>
    </row>
    <row r="147">
      <c r="A147" s="8" t="inlineStr">
        <is>
          <t>Service A</t>
        </is>
      </c>
      <c r="B147" s="8" t="inlineStr">
        <is>
          <t>User1145</t>
        </is>
      </c>
      <c r="C147" s="8" t="n">
        <v>0.918918918918919</v>
      </c>
      <c r="D147" s="8" t="inlineStr">
        <is>
          <t>Band 3</t>
        </is>
      </c>
      <c r="E147" s="9" t="inlineStr">
        <is>
          <t>2/24/2025</t>
        </is>
      </c>
      <c r="F147" s="14" t="n">
        <v>45712</v>
      </c>
    </row>
    <row r="148">
      <c r="A148" s="8" t="inlineStr">
        <is>
          <t>Service A</t>
        </is>
      </c>
      <c r="B148" s="8" t="inlineStr">
        <is>
          <t>User1146</t>
        </is>
      </c>
      <c r="C148" s="8" t="n">
        <v>1</v>
      </c>
      <c r="D148" s="8" t="inlineStr">
        <is>
          <t>Band 5</t>
        </is>
      </c>
      <c r="E148" s="9" t="inlineStr">
        <is>
          <t>4/2/2024</t>
        </is>
      </c>
      <c r="F148" s="14" t="n">
        <v>45384</v>
      </c>
    </row>
    <row r="149">
      <c r="A149" s="8" t="inlineStr">
        <is>
          <t>Service B</t>
        </is>
      </c>
      <c r="B149" s="8" t="inlineStr">
        <is>
          <t>User1147</t>
        </is>
      </c>
      <c r="C149" s="8" t="n">
        <v>1</v>
      </c>
      <c r="D149" s="8" t="inlineStr">
        <is>
          <t>Band 3</t>
        </is>
      </c>
      <c r="E149" s="9" t="inlineStr">
        <is>
          <t>6/10/2024</t>
        </is>
      </c>
      <c r="F149" s="14" t="n">
        <v>45453</v>
      </c>
    </row>
    <row r="150">
      <c r="A150" s="8" t="inlineStr">
        <is>
          <t>Service A</t>
        </is>
      </c>
      <c r="B150" s="8" t="inlineStr">
        <is>
          <t>User1148</t>
        </is>
      </c>
      <c r="C150" s="8" t="n">
        <v>1</v>
      </c>
      <c r="D150" s="8" t="inlineStr">
        <is>
          <t>Band 5</t>
        </is>
      </c>
      <c r="E150" s="9" t="inlineStr">
        <is>
          <t>4/2/2024</t>
        </is>
      </c>
      <c r="F150" s="14" t="n">
        <v>45384</v>
      </c>
    </row>
    <row r="151">
      <c r="A151" s="8" t="inlineStr">
        <is>
          <t>Service A</t>
        </is>
      </c>
      <c r="B151" s="8" t="inlineStr">
        <is>
          <t>User1149</t>
        </is>
      </c>
      <c r="C151" s="8" t="n">
        <v>1</v>
      </c>
      <c r="D151" s="8" t="inlineStr">
        <is>
          <t>Band 3</t>
        </is>
      </c>
      <c r="E151" s="9" t="inlineStr">
        <is>
          <t>4/2/2024</t>
        </is>
      </c>
      <c r="F151" s="14" t="n">
        <v>45384</v>
      </c>
    </row>
    <row r="152">
      <c r="A152" s="8" t="inlineStr">
        <is>
          <t>Service A</t>
        </is>
      </c>
      <c r="B152" s="8" t="inlineStr">
        <is>
          <t>User1150</t>
        </is>
      </c>
      <c r="C152" s="8" t="n">
        <v>0.8648648648648649</v>
      </c>
      <c r="D152" s="8" t="inlineStr">
        <is>
          <t>Band 3</t>
        </is>
      </c>
      <c r="E152" s="9" t="inlineStr">
        <is>
          <t>2/5/2024</t>
        </is>
      </c>
      <c r="F152" s="14" t="n">
        <v>45327</v>
      </c>
    </row>
    <row r="153">
      <c r="A153" s="8" t="inlineStr">
        <is>
          <t>Service C</t>
        </is>
      </c>
      <c r="B153" s="8" t="inlineStr">
        <is>
          <t>User1151</t>
        </is>
      </c>
      <c r="C153" s="8" t="n">
        <v>1</v>
      </c>
      <c r="D153" s="8" t="inlineStr">
        <is>
          <t>Band 5</t>
        </is>
      </c>
      <c r="E153" s="9" t="inlineStr">
        <is>
          <t>1/1/2024</t>
        </is>
      </c>
      <c r="F153" s="14" t="n">
        <v>45292</v>
      </c>
    </row>
    <row r="154">
      <c r="A154" s="8" t="inlineStr">
        <is>
          <t>Service B</t>
        </is>
      </c>
      <c r="B154" s="8" t="inlineStr">
        <is>
          <t>User1152</t>
        </is>
      </c>
      <c r="C154" s="8" t="n">
        <v>1</v>
      </c>
      <c r="D154" s="8" t="inlineStr">
        <is>
          <t>Band 3</t>
        </is>
      </c>
      <c r="E154" s="9" t="inlineStr">
        <is>
          <t>5/13/2024</t>
        </is>
      </c>
      <c r="F154" s="14" t="n">
        <v>45425</v>
      </c>
    </row>
    <row r="155">
      <c r="A155" s="8" t="inlineStr">
        <is>
          <t>Service A</t>
        </is>
      </c>
      <c r="B155" s="8" t="inlineStr">
        <is>
          <t>User1153</t>
        </is>
      </c>
      <c r="C155" s="8" t="n">
        <v>1</v>
      </c>
      <c r="D155" s="8" t="inlineStr">
        <is>
          <t>Band 3</t>
        </is>
      </c>
      <c r="E155" s="9" t="inlineStr">
        <is>
          <t>7/15/2024</t>
        </is>
      </c>
      <c r="F155" s="14" t="n">
        <v>45488</v>
      </c>
    </row>
    <row r="156">
      <c r="A156" s="8" t="inlineStr">
        <is>
          <t>Service B</t>
        </is>
      </c>
      <c r="B156" s="8" t="inlineStr">
        <is>
          <t>User1154</t>
        </is>
      </c>
      <c r="C156" s="8" t="n">
        <v>1</v>
      </c>
      <c r="D156" s="8" t="inlineStr">
        <is>
          <t>Band 3</t>
        </is>
      </c>
      <c r="E156" s="9" t="inlineStr">
        <is>
          <t>10/21/2024</t>
        </is>
      </c>
      <c r="F156" s="14" t="n">
        <v>45586</v>
      </c>
    </row>
    <row r="157">
      <c r="A157" s="8" t="inlineStr">
        <is>
          <t>Service B</t>
        </is>
      </c>
      <c r="B157" s="8" t="inlineStr">
        <is>
          <t>User1155</t>
        </is>
      </c>
      <c r="C157" s="8" t="n">
        <v>1</v>
      </c>
      <c r="D157" s="8" t="inlineStr">
        <is>
          <t>Band 3</t>
        </is>
      </c>
      <c r="E157" s="9" t="inlineStr">
        <is>
          <t>4/3/2023</t>
        </is>
      </c>
      <c r="F157" s="14" t="n">
        <v>45019</v>
      </c>
    </row>
    <row r="158">
      <c r="A158" s="8" t="inlineStr">
        <is>
          <t>Service B</t>
        </is>
      </c>
      <c r="B158" s="8" t="inlineStr">
        <is>
          <t>User1156</t>
        </is>
      </c>
      <c r="C158" s="8" t="n">
        <v>1</v>
      </c>
      <c r="D158" s="8" t="inlineStr">
        <is>
          <t>Band 5</t>
        </is>
      </c>
      <c r="E158" s="9" t="inlineStr">
        <is>
          <t>2/24/2025</t>
        </is>
      </c>
      <c r="F158" s="14" t="n">
        <v>45712</v>
      </c>
    </row>
    <row r="159">
      <c r="A159" s="8" t="inlineStr">
        <is>
          <t>Service A</t>
        </is>
      </c>
      <c r="B159" s="8" t="inlineStr">
        <is>
          <t>User1157</t>
        </is>
      </c>
      <c r="C159" s="8" t="n">
        <v>1</v>
      </c>
      <c r="D159" s="8" t="inlineStr">
        <is>
          <t>Band 5</t>
        </is>
      </c>
      <c r="E159" s="9" t="inlineStr">
        <is>
          <t>7/1/2024</t>
        </is>
      </c>
      <c r="F159" s="14" t="n">
        <v>45474</v>
      </c>
    </row>
    <row r="160">
      <c r="A160" s="8" t="inlineStr">
        <is>
          <t>Service D</t>
        </is>
      </c>
      <c r="B160" s="8" t="inlineStr">
        <is>
          <t>User1158</t>
        </is>
      </c>
      <c r="C160" s="8" t="n">
        <v>1</v>
      </c>
      <c r="D160" s="8" t="inlineStr">
        <is>
          <t>Band 3</t>
        </is>
      </c>
      <c r="E160" s="9" t="inlineStr">
        <is>
          <t>11/4/2024</t>
        </is>
      </c>
      <c r="F160" s="14" t="n">
        <v>45600</v>
      </c>
    </row>
    <row r="161">
      <c r="A161" s="8" t="inlineStr">
        <is>
          <t>Service B</t>
        </is>
      </c>
      <c r="B161" s="8" t="inlineStr">
        <is>
          <t>User1159</t>
        </is>
      </c>
      <c r="C161" s="8" t="n">
        <v>1</v>
      </c>
      <c r="D161" s="8" t="inlineStr">
        <is>
          <t>Band 5</t>
        </is>
      </c>
      <c r="E161" s="9" t="inlineStr">
        <is>
          <t>9/22/2025</t>
        </is>
      </c>
      <c r="F161" s="14" t="n">
        <v>45922</v>
      </c>
    </row>
    <row r="162">
      <c r="A162" s="8" t="inlineStr">
        <is>
          <t>Service B</t>
        </is>
      </c>
      <c r="B162" s="8" t="inlineStr">
        <is>
          <t>User1160</t>
        </is>
      </c>
      <c r="C162" s="8" t="n">
        <v>1</v>
      </c>
      <c r="D162" s="8" t="inlineStr">
        <is>
          <t>Band 5</t>
        </is>
      </c>
      <c r="E162" s="9" t="inlineStr">
        <is>
          <t>9/22/2025</t>
        </is>
      </c>
      <c r="F162" s="14" t="n">
        <v>45922</v>
      </c>
    </row>
    <row r="163">
      <c r="A163" s="8" t="inlineStr">
        <is>
          <t>Service A</t>
        </is>
      </c>
      <c r="B163" s="8" t="inlineStr">
        <is>
          <t>User1161</t>
        </is>
      </c>
      <c r="C163" s="8" t="n">
        <v>1</v>
      </c>
      <c r="D163" s="8" t="inlineStr">
        <is>
          <t>Band 5</t>
        </is>
      </c>
      <c r="E163" s="9" t="inlineStr">
        <is>
          <t>3/12/2024</t>
        </is>
      </c>
      <c r="F163" s="14" t="n">
        <v>45363</v>
      </c>
    </row>
    <row r="164">
      <c r="A164" s="8" t="inlineStr">
        <is>
          <t>Service A</t>
        </is>
      </c>
      <c r="B164" s="8" t="inlineStr">
        <is>
          <t>User1162</t>
        </is>
      </c>
      <c r="C164" s="8" t="n">
        <v>1</v>
      </c>
      <c r="D164" s="8" t="inlineStr">
        <is>
          <t>Band 3</t>
        </is>
      </c>
      <c r="E164" s="9" t="inlineStr">
        <is>
          <t>5/7/2024</t>
        </is>
      </c>
      <c r="F164" s="14" t="n">
        <v>45419</v>
      </c>
    </row>
    <row r="165">
      <c r="A165" s="8" t="inlineStr">
        <is>
          <t>Service C</t>
        </is>
      </c>
      <c r="B165" s="8" t="inlineStr">
        <is>
          <t>User1163</t>
        </is>
      </c>
      <c r="C165" s="8" t="n">
        <v>1</v>
      </c>
      <c r="D165" s="8" t="inlineStr">
        <is>
          <t>Band 4</t>
        </is>
      </c>
      <c r="E165" s="9" t="inlineStr">
        <is>
          <t>1/1/2024</t>
        </is>
      </c>
      <c r="F165" s="14" t="n">
        <v>45292</v>
      </c>
    </row>
    <row r="166">
      <c r="A166" s="8" t="inlineStr">
        <is>
          <t>Service A</t>
        </is>
      </c>
      <c r="B166" s="8" t="inlineStr">
        <is>
          <t>User1164</t>
        </is>
      </c>
      <c r="C166" s="8" t="n">
        <v>1</v>
      </c>
      <c r="D166" s="8" t="inlineStr">
        <is>
          <t>Band 5</t>
        </is>
      </c>
      <c r="E166" s="9" t="inlineStr">
        <is>
          <t>4/2/2024</t>
        </is>
      </c>
      <c r="F166" s="14" t="n">
        <v>45384</v>
      </c>
    </row>
    <row r="167">
      <c r="A167" s="8" t="inlineStr">
        <is>
          <t>Service D</t>
        </is>
      </c>
      <c r="B167" s="8" t="inlineStr">
        <is>
          <t>User1165</t>
        </is>
      </c>
      <c r="C167" s="8" t="n">
        <v>1</v>
      </c>
      <c r="D167" s="8" t="inlineStr">
        <is>
          <t>Band 3</t>
        </is>
      </c>
      <c r="E167" s="9" t="inlineStr">
        <is>
          <t>7/21/2025</t>
        </is>
      </c>
      <c r="F167" s="14" t="n">
        <v>45859</v>
      </c>
    </row>
    <row r="168">
      <c r="A168" s="8" t="inlineStr">
        <is>
          <t>Service A</t>
        </is>
      </c>
      <c r="B168" s="8" t="inlineStr">
        <is>
          <t>User1166</t>
        </is>
      </c>
      <c r="C168" s="8" t="n">
        <v>1</v>
      </c>
      <c r="D168" s="8" t="inlineStr">
        <is>
          <t>Band 5</t>
        </is>
      </c>
      <c r="E168" s="9" t="inlineStr">
        <is>
          <t>4/2/2024</t>
        </is>
      </c>
      <c r="F168" s="14" t="n">
        <v>45384</v>
      </c>
    </row>
    <row r="169">
      <c r="A169" s="8" t="inlineStr">
        <is>
          <t>Service B</t>
        </is>
      </c>
      <c r="B169" s="8" t="inlineStr">
        <is>
          <t>User1167</t>
        </is>
      </c>
      <c r="C169" s="8" t="n">
        <v>1</v>
      </c>
      <c r="D169" s="8" t="inlineStr">
        <is>
          <t>Band 5</t>
        </is>
      </c>
      <c r="E169" s="9" t="inlineStr">
        <is>
          <t>4/2/2024</t>
        </is>
      </c>
      <c r="F169" s="14" t="n">
        <v>45384</v>
      </c>
    </row>
    <row r="170">
      <c r="A170" s="8" t="inlineStr">
        <is>
          <t>Service A</t>
        </is>
      </c>
      <c r="B170" s="8" t="inlineStr">
        <is>
          <t>User1168</t>
        </is>
      </c>
      <c r="C170" s="8" t="n">
        <v>0.7</v>
      </c>
      <c r="D170" s="8" t="inlineStr">
        <is>
          <t>Band 5</t>
        </is>
      </c>
      <c r="E170" s="9" t="inlineStr">
        <is>
          <t>1/1/2024</t>
        </is>
      </c>
      <c r="F170" s="14" t="n">
        <v>45292</v>
      </c>
    </row>
    <row r="171">
      <c r="A171" s="8" t="inlineStr">
        <is>
          <t>Service A</t>
        </is>
      </c>
      <c r="B171" s="8" t="inlineStr">
        <is>
          <t>User1169</t>
        </is>
      </c>
      <c r="C171" s="8" t="n">
        <v>1</v>
      </c>
      <c r="D171" s="8" t="inlineStr">
        <is>
          <t>Band 3</t>
        </is>
      </c>
      <c r="E171" s="9" t="inlineStr">
        <is>
          <t>6/10/2024</t>
        </is>
      </c>
      <c r="F171" s="14" t="n">
        <v>45453</v>
      </c>
    </row>
    <row r="172">
      <c r="A172" s="8" t="inlineStr">
        <is>
          <t>Service B</t>
        </is>
      </c>
      <c r="B172" s="8" t="inlineStr">
        <is>
          <t>User1170</t>
        </is>
      </c>
      <c r="C172" s="8" t="n">
        <v>1</v>
      </c>
      <c r="D172" s="8" t="inlineStr">
        <is>
          <t>Band 3</t>
        </is>
      </c>
      <c r="E172" s="9" t="inlineStr">
        <is>
          <t>4/3/2023</t>
        </is>
      </c>
      <c r="F172" s="14" t="n">
        <v>45019</v>
      </c>
    </row>
    <row r="173">
      <c r="A173" s="8" t="inlineStr">
        <is>
          <t>Service B</t>
        </is>
      </c>
      <c r="B173" s="8" t="inlineStr">
        <is>
          <t>User1171</t>
        </is>
      </c>
      <c r="C173" s="8" t="n">
        <v>1</v>
      </c>
      <c r="D173" s="8" t="inlineStr">
        <is>
          <t>Band 3</t>
        </is>
      </c>
      <c r="E173" s="9" t="inlineStr">
        <is>
          <t>1/1/2024</t>
        </is>
      </c>
      <c r="F173" s="14" t="n">
        <v>45292</v>
      </c>
    </row>
    <row r="174">
      <c r="A174" s="8" t="inlineStr">
        <is>
          <t>Service B</t>
        </is>
      </c>
      <c r="B174" s="8" t="inlineStr">
        <is>
          <t>User1172</t>
        </is>
      </c>
      <c r="C174" s="8" t="n">
        <v>1</v>
      </c>
      <c r="D174" s="8" t="inlineStr">
        <is>
          <t>Band 3</t>
        </is>
      </c>
      <c r="E174" s="9" t="inlineStr">
        <is>
          <t>5/7/2024</t>
        </is>
      </c>
      <c r="F174" s="14" t="n">
        <v>45419</v>
      </c>
    </row>
    <row r="175">
      <c r="A175" s="8" t="inlineStr">
        <is>
          <t>Service B</t>
        </is>
      </c>
      <c r="B175" s="8" t="inlineStr">
        <is>
          <t>User1173</t>
        </is>
      </c>
      <c r="C175" s="8" t="n">
        <v>1</v>
      </c>
      <c r="D175" s="8" t="inlineStr">
        <is>
          <t>Band 3</t>
        </is>
      </c>
      <c r="E175" s="9" t="inlineStr">
        <is>
          <t>10/21/2024</t>
        </is>
      </c>
      <c r="F175" s="14" t="n">
        <v>45586</v>
      </c>
    </row>
    <row r="176">
      <c r="A176" s="8" t="inlineStr">
        <is>
          <t>Service A</t>
        </is>
      </c>
      <c r="B176" s="8" t="inlineStr">
        <is>
          <t>User1174</t>
        </is>
      </c>
      <c r="C176" s="8" t="n">
        <v>1</v>
      </c>
      <c r="D176" s="8" t="inlineStr">
        <is>
          <t>Band 3</t>
        </is>
      </c>
      <c r="E176" s="9" t="inlineStr">
        <is>
          <t>4/2/2024</t>
        </is>
      </c>
      <c r="F176" s="14" t="n">
        <v>45384</v>
      </c>
    </row>
    <row r="177">
      <c r="A177" s="8" t="inlineStr">
        <is>
          <t>Service D</t>
        </is>
      </c>
      <c r="B177" s="8" t="inlineStr">
        <is>
          <t>User1175</t>
        </is>
      </c>
      <c r="C177" s="8" t="n">
        <v>1</v>
      </c>
      <c r="D177" s="8" t="inlineStr">
        <is>
          <t>Band 3</t>
        </is>
      </c>
      <c r="E177" s="9" t="inlineStr">
        <is>
          <t>11/4/2024</t>
        </is>
      </c>
      <c r="F177" s="14" t="n">
        <v>45600</v>
      </c>
    </row>
    <row r="178">
      <c r="A178" s="8" t="inlineStr">
        <is>
          <t>Service B</t>
        </is>
      </c>
      <c r="B178" s="8" t="inlineStr">
        <is>
          <t>User1176</t>
        </is>
      </c>
      <c r="C178" s="8" t="n">
        <v>1</v>
      </c>
      <c r="D178" s="8" t="inlineStr">
        <is>
          <t>Band 3</t>
        </is>
      </c>
      <c r="E178" s="9" t="inlineStr">
        <is>
          <t>10/21/2024</t>
        </is>
      </c>
      <c r="F178" s="14" t="n">
        <v>45586</v>
      </c>
    </row>
    <row r="179">
      <c r="A179" s="8" t="inlineStr">
        <is>
          <t>Service A</t>
        </is>
      </c>
      <c r="B179" s="8" t="inlineStr">
        <is>
          <t>User1177</t>
        </is>
      </c>
      <c r="C179" s="8" t="n">
        <v>1</v>
      </c>
      <c r="D179" s="8" t="inlineStr">
        <is>
          <t>Band 3</t>
        </is>
      </c>
      <c r="E179" s="9" t="inlineStr">
        <is>
          <t>8/1/2024</t>
        </is>
      </c>
      <c r="F179" s="14" t="n">
        <v>45505</v>
      </c>
    </row>
    <row r="180">
      <c r="A180" s="8" t="inlineStr">
        <is>
          <t>Service B</t>
        </is>
      </c>
      <c r="B180" s="8" t="inlineStr">
        <is>
          <t>User1178</t>
        </is>
      </c>
      <c r="C180" s="8" t="n">
        <v>1</v>
      </c>
      <c r="D180" s="8" t="inlineStr">
        <is>
          <t>Band 3</t>
        </is>
      </c>
      <c r="E180" s="9" t="inlineStr">
        <is>
          <t>6/10/2024</t>
        </is>
      </c>
      <c r="F180" s="14" t="n">
        <v>45453</v>
      </c>
    </row>
    <row r="181">
      <c r="A181" s="8" t="inlineStr">
        <is>
          <t>Service D</t>
        </is>
      </c>
      <c r="B181" s="8" t="inlineStr">
        <is>
          <t>User1179</t>
        </is>
      </c>
      <c r="C181" s="8" t="n">
        <v>1</v>
      </c>
      <c r="D181" s="8" t="inlineStr">
        <is>
          <t>Band 3</t>
        </is>
      </c>
      <c r="E181" s="9" t="inlineStr">
        <is>
          <t>1/1/2025</t>
        </is>
      </c>
      <c r="F181" s="14" t="n">
        <v>45658</v>
      </c>
    </row>
    <row r="182">
      <c r="A182" s="8" t="inlineStr">
        <is>
          <t>Service B</t>
        </is>
      </c>
      <c r="B182" s="8" t="inlineStr">
        <is>
          <t>User1180</t>
        </is>
      </c>
      <c r="C182" s="8" t="n">
        <v>1</v>
      </c>
      <c r="D182" s="8" t="inlineStr">
        <is>
          <t>Band 3</t>
        </is>
      </c>
      <c r="E182" s="9" t="inlineStr">
        <is>
          <t>10/21/2024</t>
        </is>
      </c>
      <c r="F182" s="14" t="n">
        <v>45586</v>
      </c>
    </row>
    <row r="183">
      <c r="A183" s="8" t="inlineStr">
        <is>
          <t>Service B</t>
        </is>
      </c>
      <c r="B183" s="8" t="inlineStr">
        <is>
          <t>User1181</t>
        </is>
      </c>
      <c r="C183" s="8" t="n">
        <v>1</v>
      </c>
      <c r="D183" s="8" t="inlineStr">
        <is>
          <t>Band 5</t>
        </is>
      </c>
      <c r="E183" s="9" t="inlineStr">
        <is>
          <t>4/2/2024</t>
        </is>
      </c>
      <c r="F183" s="14" t="n">
        <v>45384</v>
      </c>
    </row>
    <row r="184">
      <c r="A184" s="8" t="inlineStr">
        <is>
          <t>Service B</t>
        </is>
      </c>
      <c r="B184" s="8" t="inlineStr">
        <is>
          <t>User1182</t>
        </is>
      </c>
      <c r="C184" s="8" t="n">
        <v>1</v>
      </c>
      <c r="D184" s="8" t="inlineStr">
        <is>
          <t>Band 5</t>
        </is>
      </c>
      <c r="E184" s="9" t="inlineStr">
        <is>
          <t>9/22/2025</t>
        </is>
      </c>
      <c r="F184" s="14" t="n">
        <v>45922</v>
      </c>
    </row>
    <row r="185">
      <c r="A185" s="8" t="inlineStr">
        <is>
          <t>Service A</t>
        </is>
      </c>
      <c r="B185" s="8" t="inlineStr">
        <is>
          <t>User1183</t>
        </is>
      </c>
      <c r="C185" s="8" t="n">
        <v>1</v>
      </c>
      <c r="D185" s="8" t="inlineStr">
        <is>
          <t>Band 3</t>
        </is>
      </c>
      <c r="E185" s="9" t="inlineStr">
        <is>
          <t>7/22/2024</t>
        </is>
      </c>
      <c r="F185" s="14" t="n">
        <v>45495</v>
      </c>
    </row>
    <row r="186">
      <c r="A186" s="8" t="inlineStr">
        <is>
          <t>Service A</t>
        </is>
      </c>
      <c r="B186" s="8" t="inlineStr">
        <is>
          <t>User1184</t>
        </is>
      </c>
      <c r="C186" s="8" t="n">
        <v>1</v>
      </c>
      <c r="D186" s="8" t="inlineStr">
        <is>
          <t>Band 3</t>
        </is>
      </c>
      <c r="E186" s="9" t="inlineStr">
        <is>
          <t>6/10/2024</t>
        </is>
      </c>
      <c r="F186" s="14" t="n">
        <v>45453</v>
      </c>
    </row>
    <row r="187">
      <c r="A187" s="8" t="inlineStr">
        <is>
          <t>Service B</t>
        </is>
      </c>
      <c r="B187" s="8" t="inlineStr">
        <is>
          <t>User1185</t>
        </is>
      </c>
      <c r="C187" s="8" t="n">
        <v>1</v>
      </c>
      <c r="D187" s="8" t="inlineStr">
        <is>
          <t>Band 3</t>
        </is>
      </c>
      <c r="E187" s="9" t="inlineStr">
        <is>
          <t>10/1/2024</t>
        </is>
      </c>
      <c r="F187" s="14" t="n">
        <v>45566</v>
      </c>
    </row>
    <row r="188">
      <c r="A188" s="8" t="inlineStr">
        <is>
          <t>Service B</t>
        </is>
      </c>
      <c r="B188" s="8" t="inlineStr">
        <is>
          <t>User1186</t>
        </is>
      </c>
      <c r="C188" s="8" t="n">
        <v>1</v>
      </c>
      <c r="D188" s="8" t="inlineStr">
        <is>
          <t>Band 3</t>
        </is>
      </c>
      <c r="E188" s="9" t="inlineStr">
        <is>
          <t>2/24/2025</t>
        </is>
      </c>
      <c r="F188" s="14" t="n">
        <v>45712</v>
      </c>
    </row>
    <row r="189">
      <c r="A189" s="8" t="inlineStr">
        <is>
          <t>Service C</t>
        </is>
      </c>
      <c r="B189" s="8" t="inlineStr">
        <is>
          <t>User1187</t>
        </is>
      </c>
      <c r="C189" s="8" t="n">
        <v>1</v>
      </c>
      <c r="D189" s="8" t="inlineStr">
        <is>
          <t>Band 3</t>
        </is>
      </c>
      <c r="E189" s="9" t="inlineStr">
        <is>
          <t>6/2/2025</t>
        </is>
      </c>
      <c r="F189" s="14" t="n">
        <v>45810</v>
      </c>
    </row>
    <row r="190">
      <c r="A190" s="8" t="inlineStr">
        <is>
          <t>Service C</t>
        </is>
      </c>
      <c r="B190" s="8" t="inlineStr">
        <is>
          <t>User1188</t>
        </is>
      </c>
      <c r="C190" s="8" t="n">
        <v>1</v>
      </c>
      <c r="D190" s="8" t="inlineStr">
        <is>
          <t>Band 4</t>
        </is>
      </c>
      <c r="E190" s="9" t="inlineStr">
        <is>
          <t>10/6/2025</t>
        </is>
      </c>
      <c r="F190" s="14" t="n">
        <v>45936</v>
      </c>
    </row>
    <row r="191">
      <c r="A191" s="8" t="inlineStr">
        <is>
          <t>Service A</t>
        </is>
      </c>
      <c r="B191" s="8" t="inlineStr">
        <is>
          <t>User1189</t>
        </is>
      </c>
      <c r="C191" s="8" t="n">
        <v>1</v>
      </c>
      <c r="D191" s="8" t="inlineStr">
        <is>
          <t>Band 3</t>
        </is>
      </c>
      <c r="E191" s="9" t="inlineStr">
        <is>
          <t>6/10/2024</t>
        </is>
      </c>
      <c r="F191" s="14" t="n">
        <v>45453</v>
      </c>
    </row>
    <row r="192">
      <c r="A192" s="8" t="inlineStr">
        <is>
          <t>Service A</t>
        </is>
      </c>
      <c r="B192" s="8" t="inlineStr">
        <is>
          <t>User1190</t>
        </is>
      </c>
      <c r="C192" s="8" t="n">
        <v>1</v>
      </c>
      <c r="D192" s="8" t="inlineStr">
        <is>
          <t>Band 5</t>
        </is>
      </c>
      <c r="E192" s="9" t="inlineStr">
        <is>
          <t>3/11/2024</t>
        </is>
      </c>
      <c r="F192" s="14" t="n">
        <v>45362</v>
      </c>
    </row>
    <row r="193">
      <c r="A193" s="8" t="inlineStr">
        <is>
          <t>Service A</t>
        </is>
      </c>
      <c r="B193" s="8" t="inlineStr">
        <is>
          <t>User1191</t>
        </is>
      </c>
      <c r="C193" s="8" t="n">
        <v>1</v>
      </c>
      <c r="D193" s="8" t="inlineStr">
        <is>
          <t>Band 3</t>
        </is>
      </c>
      <c r="E193" s="9" t="inlineStr">
        <is>
          <t>7/22/2024</t>
        </is>
      </c>
      <c r="F193" s="14" t="n">
        <v>45495</v>
      </c>
    </row>
    <row r="194">
      <c r="A194" s="8" t="inlineStr">
        <is>
          <t>Service D</t>
        </is>
      </c>
      <c r="B194" s="8" t="inlineStr">
        <is>
          <t>User1192</t>
        </is>
      </c>
      <c r="C194" s="8" t="n">
        <v>1</v>
      </c>
      <c r="D194" s="8" t="inlineStr">
        <is>
          <t>Band 3</t>
        </is>
      </c>
      <c r="E194" s="9" t="inlineStr">
        <is>
          <t>1/1/2024</t>
        </is>
      </c>
      <c r="F194" s="14" t="n">
        <v>45292</v>
      </c>
    </row>
    <row r="195">
      <c r="A195" s="8" t="inlineStr">
        <is>
          <t>Service C</t>
        </is>
      </c>
      <c r="B195" s="8" t="inlineStr">
        <is>
          <t>User1193</t>
        </is>
      </c>
      <c r="C195" s="8" t="n">
        <v>0.8108108108108109</v>
      </c>
      <c r="D195" s="8" t="inlineStr">
        <is>
          <t>Band 4</t>
        </is>
      </c>
      <c r="E195" s="9" t="inlineStr">
        <is>
          <t>1/1/2024</t>
        </is>
      </c>
      <c r="F195" s="14" t="n">
        <v>45292</v>
      </c>
    </row>
    <row r="196">
      <c r="A196" s="8" t="inlineStr">
        <is>
          <t>Service B</t>
        </is>
      </c>
      <c r="B196" s="8" t="inlineStr">
        <is>
          <t>User1194</t>
        </is>
      </c>
      <c r="C196" s="8" t="n">
        <v>1</v>
      </c>
      <c r="D196" s="8" t="inlineStr">
        <is>
          <t>Band 5</t>
        </is>
      </c>
      <c r="E196" s="9" t="inlineStr">
        <is>
          <t>4/1/2024</t>
        </is>
      </c>
      <c r="F196" s="14" t="n">
        <v>45383</v>
      </c>
    </row>
    <row r="197">
      <c r="A197" s="8" t="inlineStr">
        <is>
          <t>Service B</t>
        </is>
      </c>
      <c r="B197" s="8" t="inlineStr">
        <is>
          <t>User1195</t>
        </is>
      </c>
      <c r="C197" s="8" t="n">
        <v>1</v>
      </c>
      <c r="D197" s="8" t="inlineStr">
        <is>
          <t>Band 3</t>
        </is>
      </c>
      <c r="E197" s="9" t="inlineStr">
        <is>
          <t>4/13/2023</t>
        </is>
      </c>
      <c r="F197" s="14" t="n">
        <v>45029</v>
      </c>
    </row>
    <row r="198">
      <c r="A198" s="8" t="inlineStr">
        <is>
          <t>Service B</t>
        </is>
      </c>
      <c r="B198" s="8" t="inlineStr">
        <is>
          <t>User1196</t>
        </is>
      </c>
      <c r="C198" s="8" t="n">
        <v>1</v>
      </c>
      <c r="D198" s="8" t="inlineStr">
        <is>
          <t>Band 3</t>
        </is>
      </c>
      <c r="E198" s="9" t="inlineStr">
        <is>
          <t>10/21/2024</t>
        </is>
      </c>
      <c r="F198" s="14" t="n">
        <v>45586</v>
      </c>
    </row>
    <row r="199">
      <c r="A199" s="8" t="inlineStr">
        <is>
          <t>Service B</t>
        </is>
      </c>
      <c r="B199" s="8" t="inlineStr">
        <is>
          <t>User1197</t>
        </is>
      </c>
      <c r="C199" s="8" t="n">
        <v>1</v>
      </c>
      <c r="D199" s="8" t="inlineStr">
        <is>
          <t>Band 3</t>
        </is>
      </c>
      <c r="E199" s="9" t="inlineStr">
        <is>
          <t>10/21/2024</t>
        </is>
      </c>
      <c r="F199" s="14" t="n">
        <v>45586</v>
      </c>
    </row>
    <row r="200">
      <c r="A200" s="8" t="inlineStr">
        <is>
          <t>Service B</t>
        </is>
      </c>
      <c r="B200" s="8" t="inlineStr">
        <is>
          <t>User1198</t>
        </is>
      </c>
      <c r="C200" s="8" t="n">
        <v>1</v>
      </c>
      <c r="D200" s="8" t="inlineStr">
        <is>
          <t>Band 5</t>
        </is>
      </c>
      <c r="E200" s="9" t="inlineStr">
        <is>
          <t>9/22/2025</t>
        </is>
      </c>
      <c r="F200" s="14" t="n">
        <v>45922</v>
      </c>
    </row>
    <row r="201">
      <c r="A201" s="8" t="inlineStr">
        <is>
          <t>Service B</t>
        </is>
      </c>
      <c r="B201" s="8" t="inlineStr">
        <is>
          <t>User1199</t>
        </is>
      </c>
      <c r="C201" s="8" t="n">
        <v>1</v>
      </c>
      <c r="D201" s="8" t="inlineStr">
        <is>
          <t>Band 3</t>
        </is>
      </c>
      <c r="E201" s="9" t="inlineStr">
        <is>
          <t>3/3/2025</t>
        </is>
      </c>
      <c r="F201" s="14" t="n">
        <v>45719</v>
      </c>
    </row>
    <row r="202">
      <c r="A202" s="8" t="inlineStr">
        <is>
          <t>Service B</t>
        </is>
      </c>
      <c r="B202" s="8" t="inlineStr">
        <is>
          <t>User1200</t>
        </is>
      </c>
      <c r="C202" s="8" t="n">
        <v>1</v>
      </c>
      <c r="D202" s="8" t="inlineStr">
        <is>
          <t>Band 3</t>
        </is>
      </c>
      <c r="E202" s="9" t="inlineStr">
        <is>
          <t>10/21/2024</t>
        </is>
      </c>
      <c r="F202" s="14" t="n">
        <v>45586</v>
      </c>
    </row>
    <row r="203">
      <c r="A203" s="8" t="inlineStr">
        <is>
          <t>Service B</t>
        </is>
      </c>
      <c r="B203" s="8" t="inlineStr">
        <is>
          <t>User1201</t>
        </is>
      </c>
      <c r="C203" s="8" t="n">
        <v>1</v>
      </c>
      <c r="D203" s="8" t="inlineStr">
        <is>
          <t>Band 5</t>
        </is>
      </c>
      <c r="E203" s="9" t="inlineStr">
        <is>
          <t>2/24/2025</t>
        </is>
      </c>
      <c r="F203" s="14" t="n">
        <v>45712</v>
      </c>
    </row>
    <row r="204">
      <c r="A204" s="8" t="inlineStr">
        <is>
          <t>Service A</t>
        </is>
      </c>
      <c r="B204" s="8" t="inlineStr">
        <is>
          <t>User1202</t>
        </is>
      </c>
      <c r="C204" s="8" t="n">
        <v>1</v>
      </c>
      <c r="D204" s="8" t="inlineStr">
        <is>
          <t>Band 5</t>
        </is>
      </c>
      <c r="E204" s="9" t="inlineStr">
        <is>
          <t>4/3/2024</t>
        </is>
      </c>
      <c r="F204" s="14" t="n">
        <v>45385</v>
      </c>
    </row>
    <row r="205">
      <c r="A205" s="8" t="inlineStr">
        <is>
          <t>Service A</t>
        </is>
      </c>
      <c r="B205" s="8" t="inlineStr">
        <is>
          <t>User1203</t>
        </is>
      </c>
      <c r="C205" s="8" t="n">
        <v>1</v>
      </c>
      <c r="D205" s="8" t="inlineStr">
        <is>
          <t>Band 3</t>
        </is>
      </c>
      <c r="E205" s="9" t="inlineStr">
        <is>
          <t>5/13/2024</t>
        </is>
      </c>
      <c r="F205" s="14" t="n">
        <v>45425</v>
      </c>
    </row>
    <row r="206">
      <c r="A206" s="8" t="inlineStr">
        <is>
          <t>Service A</t>
        </is>
      </c>
      <c r="B206" s="8" t="inlineStr">
        <is>
          <t>User1204</t>
        </is>
      </c>
      <c r="C206" s="8" t="n">
        <v>1</v>
      </c>
      <c r="D206" s="8" t="inlineStr">
        <is>
          <t>Band 5</t>
        </is>
      </c>
      <c r="E206" s="9" t="inlineStr">
        <is>
          <t>4/2/2024</t>
        </is>
      </c>
      <c r="F206" s="14" t="n">
        <v>45384</v>
      </c>
    </row>
    <row r="207">
      <c r="A207" s="8" t="inlineStr">
        <is>
          <t>Service B</t>
        </is>
      </c>
      <c r="B207" s="8" t="inlineStr">
        <is>
          <t>User1205</t>
        </is>
      </c>
      <c r="C207" s="8" t="n">
        <v>1</v>
      </c>
      <c r="D207" s="8" t="inlineStr">
        <is>
          <t>Band 3</t>
        </is>
      </c>
      <c r="E207" s="9" t="inlineStr">
        <is>
          <t>2/24/2025</t>
        </is>
      </c>
      <c r="F207" s="14" t="n">
        <v>45712</v>
      </c>
    </row>
    <row r="208">
      <c r="A208" s="8" t="inlineStr">
        <is>
          <t>Service B</t>
        </is>
      </c>
      <c r="B208" s="8" t="inlineStr">
        <is>
          <t>User1206</t>
        </is>
      </c>
      <c r="C208" s="8" t="n">
        <v>1</v>
      </c>
      <c r="D208" s="8" t="inlineStr">
        <is>
          <t>Band 5</t>
        </is>
      </c>
      <c r="E208" s="9" t="inlineStr">
        <is>
          <t>4/1/2024</t>
        </is>
      </c>
      <c r="F208" s="14" t="n">
        <v>45383</v>
      </c>
    </row>
    <row r="209">
      <c r="A209" s="8" t="inlineStr">
        <is>
          <t>Service B</t>
        </is>
      </c>
      <c r="B209" s="8" t="inlineStr">
        <is>
          <t>User1207</t>
        </is>
      </c>
      <c r="C209" s="8" t="n">
        <v>1</v>
      </c>
      <c r="D209" s="8" t="inlineStr">
        <is>
          <t>Band 3</t>
        </is>
      </c>
      <c r="E209" s="9" t="inlineStr">
        <is>
          <t>6/10/2024</t>
        </is>
      </c>
      <c r="F209" s="14" t="n">
        <v>45453</v>
      </c>
    </row>
    <row r="210">
      <c r="A210" s="8" t="inlineStr">
        <is>
          <t>Service A</t>
        </is>
      </c>
      <c r="B210" s="8" t="inlineStr">
        <is>
          <t>User1208</t>
        </is>
      </c>
      <c r="C210" s="8" t="n">
        <v>0.8000000000000002</v>
      </c>
      <c r="D210" s="8" t="inlineStr">
        <is>
          <t>Band 5</t>
        </is>
      </c>
      <c r="E210" s="9" t="inlineStr">
        <is>
          <t>4/2/2024</t>
        </is>
      </c>
      <c r="F210" s="14" t="n">
        <v>45384</v>
      </c>
    </row>
    <row r="211">
      <c r="A211" s="8" t="inlineStr">
        <is>
          <t>Service C</t>
        </is>
      </c>
      <c r="B211" s="8" t="inlineStr">
        <is>
          <t>User1209</t>
        </is>
      </c>
      <c r="C211" s="8" t="n">
        <v>0.6</v>
      </c>
      <c r="D211" s="8" t="inlineStr">
        <is>
          <t>Band 5</t>
        </is>
      </c>
      <c r="E211" s="9" t="inlineStr">
        <is>
          <t>1/1/2024</t>
        </is>
      </c>
      <c r="F211" s="14" t="n">
        <v>45292</v>
      </c>
    </row>
    <row r="212">
      <c r="A212" s="8" t="inlineStr">
        <is>
          <t>Service A</t>
        </is>
      </c>
      <c r="B212" s="8" t="inlineStr">
        <is>
          <t>User1210</t>
        </is>
      </c>
      <c r="C212" s="8" t="n">
        <v>1</v>
      </c>
      <c r="D212" s="8" t="inlineStr">
        <is>
          <t>Band 3</t>
        </is>
      </c>
      <c r="E212" s="9" t="inlineStr">
        <is>
          <t>7/22/2024</t>
        </is>
      </c>
      <c r="F212" s="14" t="n">
        <v>45495</v>
      </c>
    </row>
    <row r="213">
      <c r="A213" s="8" t="inlineStr">
        <is>
          <t>Service A</t>
        </is>
      </c>
      <c r="B213" s="8" t="inlineStr">
        <is>
          <t>User1211</t>
        </is>
      </c>
      <c r="C213" s="8" t="n">
        <v>1</v>
      </c>
      <c r="D213" s="8" t="inlineStr">
        <is>
          <t>Band 3</t>
        </is>
      </c>
      <c r="E213" s="9" t="inlineStr">
        <is>
          <t>4/2/2024</t>
        </is>
      </c>
      <c r="F213" s="14" t="n">
        <v>45384</v>
      </c>
    </row>
    <row r="214">
      <c r="A214" s="8" t="inlineStr">
        <is>
          <t>Service A</t>
        </is>
      </c>
      <c r="B214" s="8" t="inlineStr">
        <is>
          <t>User1212</t>
        </is>
      </c>
      <c r="C214" s="8" t="n">
        <v>1</v>
      </c>
      <c r="D214" s="8" t="inlineStr">
        <is>
          <t>Band 3</t>
        </is>
      </c>
      <c r="E214" s="9" t="inlineStr">
        <is>
          <t>7/15/2024</t>
        </is>
      </c>
      <c r="F214" s="14" t="n">
        <v>45488</v>
      </c>
    </row>
    <row r="215">
      <c r="A215" s="8" t="inlineStr">
        <is>
          <t>Service A</t>
        </is>
      </c>
      <c r="B215" s="8" t="inlineStr">
        <is>
          <t>User1213</t>
        </is>
      </c>
      <c r="C215" s="8" t="n">
        <v>1</v>
      </c>
      <c r="D215" s="8" t="inlineStr">
        <is>
          <t>Band 3</t>
        </is>
      </c>
      <c r="E215" s="9" t="inlineStr">
        <is>
          <t>6/10/2024</t>
        </is>
      </c>
      <c r="F215" s="14" t="n">
        <v>45453</v>
      </c>
    </row>
    <row r="216">
      <c r="A216" s="8" t="inlineStr">
        <is>
          <t>Service A</t>
        </is>
      </c>
      <c r="B216" s="8" t="inlineStr">
        <is>
          <t>User1214</t>
        </is>
      </c>
      <c r="C216" s="8" t="n">
        <v>1</v>
      </c>
      <c r="D216" s="8" t="inlineStr">
        <is>
          <t>Band 5</t>
        </is>
      </c>
      <c r="E216" s="9" t="inlineStr">
        <is>
          <t>5/23/2024</t>
        </is>
      </c>
      <c r="F216" s="14" t="n">
        <v>45435</v>
      </c>
    </row>
    <row r="217">
      <c r="A217" s="8" t="inlineStr">
        <is>
          <t>Service A</t>
        </is>
      </c>
      <c r="B217" s="8" t="inlineStr">
        <is>
          <t>User1215</t>
        </is>
      </c>
      <c r="C217" s="8" t="n">
        <v>1</v>
      </c>
      <c r="D217" s="8" t="inlineStr">
        <is>
          <t>Band 3</t>
        </is>
      </c>
      <c r="E217" s="9" t="inlineStr">
        <is>
          <t>7/20/2024</t>
        </is>
      </c>
      <c r="F217" s="14" t="n">
        <v>45493</v>
      </c>
    </row>
    <row r="218">
      <c r="A218" s="8" t="inlineStr">
        <is>
          <t>Service A</t>
        </is>
      </c>
      <c r="B218" s="8" t="inlineStr">
        <is>
          <t>User1216</t>
        </is>
      </c>
      <c r="C218" s="8" t="n">
        <v>1</v>
      </c>
      <c r="D218" s="8" t="inlineStr">
        <is>
          <t>Band 3</t>
        </is>
      </c>
      <c r="E218" s="9" t="inlineStr">
        <is>
          <t>7/22/2024</t>
        </is>
      </c>
      <c r="F218" s="14" t="n">
        <v>45495</v>
      </c>
    </row>
    <row r="219">
      <c r="A219" s="8" t="inlineStr">
        <is>
          <t>Service A</t>
        </is>
      </c>
      <c r="B219" s="8" t="inlineStr">
        <is>
          <t>User1217</t>
        </is>
      </c>
      <c r="C219" s="8" t="n">
        <v>1</v>
      </c>
      <c r="D219" s="8" t="inlineStr">
        <is>
          <t>Band 5</t>
        </is>
      </c>
      <c r="E219" s="9" t="inlineStr">
        <is>
          <t>4/2/2024</t>
        </is>
      </c>
      <c r="F219" s="14" t="n">
        <v>45384</v>
      </c>
    </row>
    <row r="220">
      <c r="A220" s="8" t="inlineStr">
        <is>
          <t>Service B</t>
        </is>
      </c>
      <c r="B220" s="8" t="inlineStr">
        <is>
          <t>User1218</t>
        </is>
      </c>
      <c r="C220" s="8" t="n">
        <v>1</v>
      </c>
      <c r="D220" s="8" t="inlineStr">
        <is>
          <t>Band 3</t>
        </is>
      </c>
      <c r="E220" s="9" t="inlineStr">
        <is>
          <t>6/13/2024</t>
        </is>
      </c>
      <c r="F220" s="14" t="n">
        <v>45456</v>
      </c>
    </row>
    <row r="221">
      <c r="A221" s="8" t="inlineStr">
        <is>
          <t>Service A</t>
        </is>
      </c>
      <c r="B221" s="8" t="inlineStr">
        <is>
          <t>User1219</t>
        </is>
      </c>
      <c r="C221" s="8" t="n">
        <v>1</v>
      </c>
      <c r="D221" s="8" t="inlineStr">
        <is>
          <t>Band 3</t>
        </is>
      </c>
      <c r="E221" s="9" t="inlineStr">
        <is>
          <t>4/2/2024</t>
        </is>
      </c>
      <c r="F221" s="14" t="n">
        <v>45384</v>
      </c>
    </row>
    <row r="222">
      <c r="A222" s="8" t="inlineStr">
        <is>
          <t>Service A</t>
        </is>
      </c>
      <c r="B222" s="8" t="inlineStr">
        <is>
          <t>User1220</t>
        </is>
      </c>
      <c r="C222" s="8" t="n">
        <v>1</v>
      </c>
      <c r="D222" s="8" t="inlineStr">
        <is>
          <t>Band 5</t>
        </is>
      </c>
      <c r="E222" s="9" t="inlineStr">
        <is>
          <t>4/15/2024</t>
        </is>
      </c>
      <c r="F222" s="14" t="n">
        <v>45397</v>
      </c>
    </row>
    <row r="223">
      <c r="A223" s="8" t="inlineStr">
        <is>
          <t>Service B</t>
        </is>
      </c>
      <c r="B223" s="8" t="inlineStr">
        <is>
          <t>User1221</t>
        </is>
      </c>
      <c r="C223" s="8" t="n">
        <v>1</v>
      </c>
      <c r="D223" s="8" t="inlineStr">
        <is>
          <t>Band 5</t>
        </is>
      </c>
      <c r="E223" s="9" t="inlineStr">
        <is>
          <t>9/22/2025</t>
        </is>
      </c>
      <c r="F223" s="14" t="n">
        <v>45922</v>
      </c>
    </row>
    <row r="224">
      <c r="A224" s="8" t="inlineStr">
        <is>
          <t>Service B</t>
        </is>
      </c>
      <c r="B224" s="8" t="inlineStr">
        <is>
          <t>User1222</t>
        </is>
      </c>
      <c r="C224" s="8" t="n">
        <v>1</v>
      </c>
      <c r="D224" s="8" t="inlineStr">
        <is>
          <t>Band 3</t>
        </is>
      </c>
      <c r="E224" s="9" t="inlineStr">
        <is>
          <t>10/21/2024</t>
        </is>
      </c>
      <c r="F224" s="14" t="n">
        <v>45586</v>
      </c>
    </row>
    <row r="225">
      <c r="A225" s="8" t="inlineStr">
        <is>
          <t>Service B</t>
        </is>
      </c>
      <c r="B225" s="8" t="inlineStr">
        <is>
          <t>User1223</t>
        </is>
      </c>
      <c r="C225" s="8" t="n">
        <v>1</v>
      </c>
      <c r="D225" s="8" t="inlineStr">
        <is>
          <t>Band 3</t>
        </is>
      </c>
      <c r="E225" s="9" t="inlineStr">
        <is>
          <t>5/19/2025</t>
        </is>
      </c>
      <c r="F225" s="14" t="n">
        <v>45796</v>
      </c>
    </row>
    <row r="226">
      <c r="A226" s="8" t="inlineStr">
        <is>
          <t>Service B</t>
        </is>
      </c>
      <c r="B226" s="8" t="inlineStr">
        <is>
          <t>User1224</t>
        </is>
      </c>
      <c r="C226" s="8" t="n">
        <v>1</v>
      </c>
      <c r="D226" s="8" t="inlineStr">
        <is>
          <t>Band 3</t>
        </is>
      </c>
      <c r="E226" s="9" t="inlineStr">
        <is>
          <t>10/21/2024</t>
        </is>
      </c>
      <c r="F226" s="14" t="n">
        <v>45586</v>
      </c>
    </row>
    <row r="227">
      <c r="A227" s="8" t="inlineStr">
        <is>
          <t>Service B</t>
        </is>
      </c>
      <c r="B227" s="8" t="inlineStr">
        <is>
          <t>User1225</t>
        </is>
      </c>
      <c r="C227" s="8" t="n">
        <v>1</v>
      </c>
      <c r="D227" s="8" t="inlineStr">
        <is>
          <t>Band 5</t>
        </is>
      </c>
      <c r="E227" s="9" t="inlineStr">
        <is>
          <t>2/24/2025</t>
        </is>
      </c>
      <c r="F227" s="14" t="n">
        <v>45712</v>
      </c>
    </row>
    <row r="228">
      <c r="A228" s="8" t="inlineStr">
        <is>
          <t>Service A</t>
        </is>
      </c>
      <c r="B228" s="8" t="inlineStr">
        <is>
          <t>User1226</t>
        </is>
      </c>
      <c r="C228" s="8" t="n">
        <v>1</v>
      </c>
      <c r="D228" s="8" t="inlineStr">
        <is>
          <t>Band 5</t>
        </is>
      </c>
      <c r="E228" s="9" t="inlineStr">
        <is>
          <t>4/22/2024</t>
        </is>
      </c>
      <c r="F228" s="14" t="n">
        <v>45404</v>
      </c>
    </row>
    <row r="229">
      <c r="A229" s="8" t="inlineStr">
        <is>
          <t>Service A</t>
        </is>
      </c>
      <c r="B229" s="8" t="inlineStr">
        <is>
          <t>User1227</t>
        </is>
      </c>
      <c r="C229" s="8" t="n">
        <v>1</v>
      </c>
      <c r="D229" s="8" t="inlineStr">
        <is>
          <t>Band 3</t>
        </is>
      </c>
      <c r="E229" s="9" t="inlineStr">
        <is>
          <t>6/10/2024</t>
        </is>
      </c>
      <c r="F229" s="14" t="n">
        <v>45453</v>
      </c>
    </row>
    <row r="230">
      <c r="A230" s="8" t="inlineStr">
        <is>
          <t>Service B</t>
        </is>
      </c>
      <c r="B230" s="8" t="inlineStr">
        <is>
          <t>User1228</t>
        </is>
      </c>
      <c r="C230" s="8" t="n">
        <v>1</v>
      </c>
      <c r="D230" s="8" t="inlineStr">
        <is>
          <t>Band 3</t>
        </is>
      </c>
      <c r="E230" s="9" t="inlineStr">
        <is>
          <t>5/8/2024</t>
        </is>
      </c>
      <c r="F230" s="14" t="n">
        <v>45420</v>
      </c>
    </row>
    <row r="231">
      <c r="A231" s="8" t="inlineStr">
        <is>
          <t>Service A</t>
        </is>
      </c>
      <c r="B231" s="8" t="inlineStr">
        <is>
          <t>User1229</t>
        </is>
      </c>
      <c r="C231" s="8" t="n">
        <v>1</v>
      </c>
      <c r="D231" s="8" t="inlineStr">
        <is>
          <t>Band 5</t>
        </is>
      </c>
      <c r="E231" s="9" t="inlineStr">
        <is>
          <t>6/3/2024</t>
        </is>
      </c>
      <c r="F231" s="14" t="n">
        <v>45446</v>
      </c>
    </row>
    <row r="232">
      <c r="A232" s="8" t="inlineStr">
        <is>
          <t>Service A</t>
        </is>
      </c>
      <c r="B232" s="8" t="inlineStr">
        <is>
          <t>User1230</t>
        </is>
      </c>
      <c r="C232" s="8" t="n">
        <v>1</v>
      </c>
      <c r="D232" s="8" t="inlineStr">
        <is>
          <t>Band 3</t>
        </is>
      </c>
      <c r="E232" s="9" t="inlineStr">
        <is>
          <t>6/10/2024</t>
        </is>
      </c>
      <c r="F232" s="14" t="n">
        <v>45453</v>
      </c>
    </row>
    <row r="233">
      <c r="A233" s="8" t="inlineStr">
        <is>
          <t>Service B</t>
        </is>
      </c>
      <c r="B233" s="8" t="inlineStr">
        <is>
          <t>User1231</t>
        </is>
      </c>
      <c r="C233" s="8" t="n">
        <v>0.6081081081081081</v>
      </c>
      <c r="D233" s="8" t="inlineStr">
        <is>
          <t>Band 3</t>
        </is>
      </c>
      <c r="E233" s="9" t="inlineStr">
        <is>
          <t>6/13/2024</t>
        </is>
      </c>
      <c r="F233" s="14" t="n">
        <v>45456</v>
      </c>
    </row>
    <row r="234">
      <c r="A234" s="8" t="inlineStr">
        <is>
          <t>Service C</t>
        </is>
      </c>
      <c r="B234" s="8" t="inlineStr">
        <is>
          <t>User1232</t>
        </is>
      </c>
      <c r="C234" s="8" t="n">
        <v>1</v>
      </c>
      <c r="D234" s="8" t="inlineStr">
        <is>
          <t>Band 4</t>
        </is>
      </c>
      <c r="E234" s="9" t="inlineStr">
        <is>
          <t>1/1/2024</t>
        </is>
      </c>
      <c r="F234" s="14" t="n">
        <v>45292</v>
      </c>
    </row>
    <row r="235">
      <c r="A235" s="8" t="inlineStr">
        <is>
          <t>Service A</t>
        </is>
      </c>
      <c r="B235" s="8" t="inlineStr">
        <is>
          <t>User1233</t>
        </is>
      </c>
      <c r="C235" s="8" t="n">
        <v>1</v>
      </c>
      <c r="D235" s="8" t="inlineStr">
        <is>
          <t>Band 3</t>
        </is>
      </c>
      <c r="E235" s="9" t="inlineStr">
        <is>
          <t>7/22/2024</t>
        </is>
      </c>
      <c r="F235" s="14" t="n">
        <v>45495</v>
      </c>
    </row>
    <row r="236">
      <c r="A236" s="8" t="inlineStr">
        <is>
          <t>Service B</t>
        </is>
      </c>
      <c r="B236" s="8" t="inlineStr">
        <is>
          <t>User1234</t>
        </is>
      </c>
      <c r="C236" s="8" t="n">
        <v>1</v>
      </c>
      <c r="D236" s="8" t="inlineStr">
        <is>
          <t>Band 3</t>
        </is>
      </c>
      <c r="E236" s="9" t="inlineStr">
        <is>
          <t>4/11/2023</t>
        </is>
      </c>
      <c r="F236" s="14" t="n">
        <v>45027</v>
      </c>
    </row>
    <row r="237">
      <c r="A237" s="8" t="inlineStr">
        <is>
          <t>Service A</t>
        </is>
      </c>
      <c r="B237" s="8" t="inlineStr">
        <is>
          <t>User1235</t>
        </is>
      </c>
      <c r="C237" s="8" t="n">
        <v>1</v>
      </c>
      <c r="D237" s="8" t="inlineStr">
        <is>
          <t>Band 3</t>
        </is>
      </c>
      <c r="E237" s="9" t="inlineStr">
        <is>
          <t>5/7/2024</t>
        </is>
      </c>
      <c r="F237" s="14" t="n">
        <v>45419</v>
      </c>
    </row>
    <row r="238">
      <c r="A238" s="8" t="inlineStr">
        <is>
          <t>Service B</t>
        </is>
      </c>
      <c r="B238" s="8" t="inlineStr">
        <is>
          <t>User1236</t>
        </is>
      </c>
      <c r="C238" s="8" t="n">
        <v>1</v>
      </c>
      <c r="D238" s="8" t="inlineStr">
        <is>
          <t>Band 5</t>
        </is>
      </c>
      <c r="E238" s="9" t="inlineStr">
        <is>
          <t>3/24/2025</t>
        </is>
      </c>
      <c r="F238" s="14" t="n">
        <v>45740</v>
      </c>
    </row>
    <row r="239">
      <c r="A239" s="8" t="inlineStr">
        <is>
          <t>Service A</t>
        </is>
      </c>
      <c r="B239" s="8" t="inlineStr">
        <is>
          <t>User1237</t>
        </is>
      </c>
      <c r="C239" s="8" t="n">
        <v>1</v>
      </c>
      <c r="D239" s="8" t="inlineStr">
        <is>
          <t>Band 3</t>
        </is>
      </c>
      <c r="E239" s="9" t="inlineStr">
        <is>
          <t>6/13/2024</t>
        </is>
      </c>
      <c r="F239" s="14" t="n">
        <v>45456</v>
      </c>
    </row>
    <row r="240">
      <c r="A240" s="8" t="inlineStr">
        <is>
          <t>Service B</t>
        </is>
      </c>
      <c r="B240" s="8" t="inlineStr">
        <is>
          <t>User1238</t>
        </is>
      </c>
      <c r="C240" s="8" t="n">
        <v>1</v>
      </c>
      <c r="D240" s="8" t="inlineStr">
        <is>
          <t>Band 3</t>
        </is>
      </c>
      <c r="E240" s="9" t="inlineStr">
        <is>
          <t>3/10/2025</t>
        </is>
      </c>
      <c r="F240" s="14" t="n">
        <v>45726</v>
      </c>
    </row>
    <row r="241">
      <c r="A241" s="8" t="inlineStr">
        <is>
          <t>Service B</t>
        </is>
      </c>
      <c r="B241" s="8" t="inlineStr">
        <is>
          <t>User1239</t>
        </is>
      </c>
      <c r="C241" s="8" t="n">
        <v>1</v>
      </c>
      <c r="D241" s="8" t="inlineStr">
        <is>
          <t>Band 3</t>
        </is>
      </c>
      <c r="E241" s="9" t="inlineStr">
        <is>
          <t>5/13/2024</t>
        </is>
      </c>
      <c r="F241" s="14" t="n">
        <v>45425</v>
      </c>
    </row>
    <row r="242">
      <c r="A242" s="8" t="inlineStr">
        <is>
          <t>Service B</t>
        </is>
      </c>
      <c r="B242" s="8" t="inlineStr">
        <is>
          <t>User1240</t>
        </is>
      </c>
      <c r="C242" s="8" t="n">
        <v>1</v>
      </c>
      <c r="D242" s="8" t="inlineStr">
        <is>
          <t>Band 3</t>
        </is>
      </c>
      <c r="E242" s="9" t="inlineStr">
        <is>
          <t>9/9/2024</t>
        </is>
      </c>
      <c r="F242" s="14" t="n">
        <v>45544</v>
      </c>
    </row>
    <row r="243">
      <c r="A243" s="8" t="inlineStr">
        <is>
          <t>Service A</t>
        </is>
      </c>
      <c r="B243" s="8" t="inlineStr">
        <is>
          <t>User1241</t>
        </is>
      </c>
      <c r="C243" s="8" t="n">
        <v>1</v>
      </c>
      <c r="D243" s="8" t="inlineStr">
        <is>
          <t>Band 3</t>
        </is>
      </c>
      <c r="E243" s="9" t="inlineStr">
        <is>
          <t>4/2/2024</t>
        </is>
      </c>
      <c r="F243" s="14" t="n">
        <v>45384</v>
      </c>
    </row>
    <row r="244">
      <c r="A244" s="8" t="inlineStr">
        <is>
          <t>Service A</t>
        </is>
      </c>
      <c r="B244" s="8" t="inlineStr">
        <is>
          <t>User1242</t>
        </is>
      </c>
      <c r="C244" s="8" t="n">
        <v>1</v>
      </c>
      <c r="D244" s="8" t="inlineStr">
        <is>
          <t>Band 3</t>
        </is>
      </c>
      <c r="E244" s="9" t="inlineStr">
        <is>
          <t>2/24/2025</t>
        </is>
      </c>
      <c r="F244" s="14" t="n">
        <v>45712</v>
      </c>
    </row>
    <row r="245">
      <c r="A245" s="8" t="inlineStr">
        <is>
          <t>Service C</t>
        </is>
      </c>
      <c r="B245" s="8" t="inlineStr">
        <is>
          <t>User1243</t>
        </is>
      </c>
      <c r="C245" s="8" t="n">
        <v>1</v>
      </c>
      <c r="D245" s="8" t="inlineStr">
        <is>
          <t>Band 5</t>
        </is>
      </c>
      <c r="E245" s="9" t="inlineStr">
        <is>
          <t>1/1/2024</t>
        </is>
      </c>
      <c r="F245" s="14" t="n">
        <v>45292</v>
      </c>
    </row>
    <row r="246">
      <c r="A246" s="8" t="inlineStr">
        <is>
          <t>Service A</t>
        </is>
      </c>
      <c r="B246" s="8" t="inlineStr">
        <is>
          <t>User1244</t>
        </is>
      </c>
      <c r="C246" s="8" t="n">
        <v>1</v>
      </c>
      <c r="D246" s="8" t="inlineStr">
        <is>
          <t>Band 5</t>
        </is>
      </c>
      <c r="E246" s="9" t="inlineStr">
        <is>
          <t>4/2/2024</t>
        </is>
      </c>
      <c r="F246" s="14" t="n">
        <v>45384</v>
      </c>
    </row>
    <row r="247">
      <c r="A247" s="8" t="inlineStr">
        <is>
          <t>Service A</t>
        </is>
      </c>
      <c r="B247" s="8" t="inlineStr">
        <is>
          <t>User1245</t>
        </is>
      </c>
      <c r="C247" s="8" t="n">
        <v>1</v>
      </c>
      <c r="D247" s="8" t="inlineStr">
        <is>
          <t>Band 3</t>
        </is>
      </c>
      <c r="E247" s="9" t="inlineStr">
        <is>
          <t>6/17/2024</t>
        </is>
      </c>
      <c r="F247" s="14" t="n">
        <v>45460</v>
      </c>
    </row>
    <row r="248">
      <c r="A248" s="8" t="inlineStr">
        <is>
          <t>Service C</t>
        </is>
      </c>
      <c r="B248" s="8" t="inlineStr">
        <is>
          <t>User1246</t>
        </is>
      </c>
      <c r="C248" s="8" t="n">
        <v>1</v>
      </c>
      <c r="D248" s="8" t="inlineStr">
        <is>
          <t>Band 4</t>
        </is>
      </c>
      <c r="E248" s="9" t="inlineStr">
        <is>
          <t>1/1/2024</t>
        </is>
      </c>
      <c r="F248" s="14" t="n">
        <v>45292</v>
      </c>
    </row>
    <row r="249">
      <c r="A249" s="8" t="inlineStr">
        <is>
          <t>Service C</t>
        </is>
      </c>
      <c r="B249" s="8" t="inlineStr">
        <is>
          <t>User1247</t>
        </is>
      </c>
      <c r="C249" s="8" t="n">
        <v>1</v>
      </c>
      <c r="D249" s="8" t="inlineStr">
        <is>
          <t>Band 4</t>
        </is>
      </c>
      <c r="E249" s="9" t="inlineStr">
        <is>
          <t>1/1/2024</t>
        </is>
      </c>
      <c r="F249" s="14" t="n">
        <v>45292</v>
      </c>
    </row>
    <row r="250">
      <c r="A250" s="8" t="inlineStr">
        <is>
          <t>Service C</t>
        </is>
      </c>
      <c r="B250" s="8" t="inlineStr">
        <is>
          <t>User1248</t>
        </is>
      </c>
      <c r="C250" s="8" t="n">
        <v>1</v>
      </c>
      <c r="D250" s="8" t="inlineStr">
        <is>
          <t>Band 4</t>
        </is>
      </c>
      <c r="E250" s="9" t="inlineStr">
        <is>
          <t>1/1/2024</t>
        </is>
      </c>
      <c r="F250" s="14" t="n">
        <v>45292</v>
      </c>
    </row>
    <row r="251">
      <c r="A251" s="8" t="inlineStr">
        <is>
          <t>Service B</t>
        </is>
      </c>
      <c r="B251" s="8" t="inlineStr">
        <is>
          <t>User1249</t>
        </is>
      </c>
      <c r="C251" s="8" t="n">
        <v>1</v>
      </c>
      <c r="D251" s="8" t="inlineStr">
        <is>
          <t>Band 5</t>
        </is>
      </c>
      <c r="E251" s="9" t="inlineStr">
        <is>
          <t>5/1/2024</t>
        </is>
      </c>
      <c r="F251" s="14" t="n">
        <v>45413</v>
      </c>
    </row>
    <row r="252">
      <c r="A252" s="8" t="inlineStr">
        <is>
          <t>Service A</t>
        </is>
      </c>
      <c r="B252" s="8" t="inlineStr">
        <is>
          <t>User1250</t>
        </is>
      </c>
      <c r="C252" s="8" t="n">
        <v>1</v>
      </c>
      <c r="D252" s="8" t="inlineStr">
        <is>
          <t>Band 3</t>
        </is>
      </c>
      <c r="E252" s="9" t="inlineStr">
        <is>
          <t>8/1/2024</t>
        </is>
      </c>
      <c r="F252" s="14" t="n">
        <v>45505</v>
      </c>
    </row>
    <row r="253">
      <c r="A253" s="8" t="inlineStr">
        <is>
          <t>Service A</t>
        </is>
      </c>
      <c r="B253" s="8" t="inlineStr">
        <is>
          <t>User1251</t>
        </is>
      </c>
      <c r="C253" s="8" t="n">
        <v>1</v>
      </c>
      <c r="D253" s="8" t="inlineStr">
        <is>
          <t>Band 5</t>
        </is>
      </c>
      <c r="E253" s="9" t="inlineStr">
        <is>
          <t>7/1/2024</t>
        </is>
      </c>
      <c r="F253" s="14" t="n">
        <v>45474</v>
      </c>
    </row>
    <row r="254">
      <c r="A254" s="8" t="inlineStr">
        <is>
          <t>Service B</t>
        </is>
      </c>
      <c r="B254" s="8" t="inlineStr">
        <is>
          <t>User1252</t>
        </is>
      </c>
      <c r="C254" s="8" t="n">
        <v>1</v>
      </c>
      <c r="D254" s="8" t="inlineStr">
        <is>
          <t>Band 5</t>
        </is>
      </c>
      <c r="E254" s="9" t="inlineStr">
        <is>
          <t>5/1/2024</t>
        </is>
      </c>
      <c r="F254" s="14" t="n">
        <v>45413</v>
      </c>
    </row>
    <row r="255">
      <c r="A255" s="8" t="inlineStr">
        <is>
          <t>Service B</t>
        </is>
      </c>
      <c r="B255" s="8" t="inlineStr">
        <is>
          <t>User1253</t>
        </is>
      </c>
      <c r="C255" s="8" t="n">
        <v>1</v>
      </c>
      <c r="D255" s="8" t="inlineStr">
        <is>
          <t>Band 3</t>
        </is>
      </c>
      <c r="E255" s="9" t="inlineStr">
        <is>
          <t>2/24/2025</t>
        </is>
      </c>
      <c r="F255" s="14" t="n">
        <v>45712</v>
      </c>
    </row>
    <row r="256">
      <c r="A256" s="8" t="inlineStr">
        <is>
          <t>Service A</t>
        </is>
      </c>
      <c r="B256" s="8" t="inlineStr">
        <is>
          <t>User1254</t>
        </is>
      </c>
      <c r="C256" s="8" t="n">
        <v>1</v>
      </c>
      <c r="D256" s="8" t="inlineStr">
        <is>
          <t>Band 5</t>
        </is>
      </c>
      <c r="E256" s="9" t="inlineStr">
        <is>
          <t>3/11/2024</t>
        </is>
      </c>
      <c r="F256" s="14" t="n">
        <v>45362</v>
      </c>
    </row>
    <row r="257">
      <c r="A257" s="8" t="inlineStr">
        <is>
          <t>Service A</t>
        </is>
      </c>
      <c r="B257" s="8" t="inlineStr">
        <is>
          <t>User1255</t>
        </is>
      </c>
      <c r="C257" s="8" t="n">
        <v>1</v>
      </c>
      <c r="D257" s="8" t="inlineStr">
        <is>
          <t>Band 5</t>
        </is>
      </c>
      <c r="E257" s="9" t="inlineStr">
        <is>
          <t>4/2/2024</t>
        </is>
      </c>
      <c r="F257" s="14" t="n">
        <v>45384</v>
      </c>
    </row>
    <row r="258">
      <c r="A258" s="8" t="inlineStr">
        <is>
          <t>Service A</t>
        </is>
      </c>
      <c r="B258" s="8" t="inlineStr">
        <is>
          <t>User1256</t>
        </is>
      </c>
      <c r="C258" s="8" t="n">
        <v>1</v>
      </c>
      <c r="D258" s="8" t="inlineStr">
        <is>
          <t>Band 3</t>
        </is>
      </c>
      <c r="E258" s="9" t="inlineStr">
        <is>
          <t>6/3/2024</t>
        </is>
      </c>
      <c r="F258" s="14" t="n">
        <v>45446</v>
      </c>
    </row>
    <row r="259">
      <c r="A259" s="8" t="inlineStr">
        <is>
          <t>Service A</t>
        </is>
      </c>
      <c r="B259" s="8" t="inlineStr">
        <is>
          <t>User1257</t>
        </is>
      </c>
      <c r="C259" s="8" t="n">
        <v>1</v>
      </c>
      <c r="D259" s="8" t="inlineStr">
        <is>
          <t>Band 3</t>
        </is>
      </c>
      <c r="E259" s="9" t="inlineStr">
        <is>
          <t>6/10/2024</t>
        </is>
      </c>
      <c r="F259" s="14" t="n">
        <v>45453</v>
      </c>
    </row>
    <row r="260">
      <c r="A260" s="8" t="inlineStr">
        <is>
          <t>Service D</t>
        </is>
      </c>
      <c r="B260" s="8" t="inlineStr">
        <is>
          <t>User1258</t>
        </is>
      </c>
      <c r="C260" s="8" t="n">
        <v>1</v>
      </c>
      <c r="D260" s="8" t="inlineStr">
        <is>
          <t>Band 3</t>
        </is>
      </c>
      <c r="E260" s="9" t="inlineStr">
        <is>
          <t>11/11/2024</t>
        </is>
      </c>
      <c r="F260" s="14" t="n">
        <v>45607</v>
      </c>
    </row>
    <row r="261">
      <c r="A261" s="8" t="inlineStr">
        <is>
          <t>Service A</t>
        </is>
      </c>
      <c r="B261" s="8" t="inlineStr">
        <is>
          <t>User1259</t>
        </is>
      </c>
      <c r="C261" s="8" t="n">
        <v>1</v>
      </c>
      <c r="D261" s="8" t="inlineStr">
        <is>
          <t>Band 3</t>
        </is>
      </c>
      <c r="E261" s="9" t="inlineStr">
        <is>
          <t>7/22/2024</t>
        </is>
      </c>
      <c r="F261" s="14" t="n">
        <v>45495</v>
      </c>
    </row>
    <row r="262">
      <c r="A262" s="8" t="inlineStr">
        <is>
          <t>Service A</t>
        </is>
      </c>
      <c r="B262" s="8" t="inlineStr">
        <is>
          <t>User1260</t>
        </is>
      </c>
      <c r="C262" s="8" t="n">
        <v>1</v>
      </c>
      <c r="D262" s="8" t="inlineStr">
        <is>
          <t>Band 5</t>
        </is>
      </c>
      <c r="E262" s="9" t="inlineStr">
        <is>
          <t>4/2/2024</t>
        </is>
      </c>
      <c r="F262" s="14" t="n">
        <v>45384</v>
      </c>
    </row>
    <row r="263">
      <c r="A263" s="8" t="inlineStr">
        <is>
          <t>Service A</t>
        </is>
      </c>
      <c r="B263" s="8" t="inlineStr">
        <is>
          <t>User1261</t>
        </is>
      </c>
      <c r="C263" s="8" t="n">
        <v>1</v>
      </c>
      <c r="D263" s="8" t="inlineStr">
        <is>
          <t>Band 5</t>
        </is>
      </c>
      <c r="E263" s="9" t="inlineStr">
        <is>
          <t>4/2/2024</t>
        </is>
      </c>
      <c r="F263" s="14" t="n">
        <v>45384</v>
      </c>
    </row>
    <row r="264">
      <c r="A264" s="8" t="inlineStr">
        <is>
          <t>Service B</t>
        </is>
      </c>
      <c r="B264" s="8" t="inlineStr">
        <is>
          <t>User1262</t>
        </is>
      </c>
      <c r="C264" s="8" t="n">
        <v>1</v>
      </c>
      <c r="D264" s="8" t="inlineStr">
        <is>
          <t>Band 3</t>
        </is>
      </c>
      <c r="E264" s="9" t="inlineStr">
        <is>
          <t>11/3/2025</t>
        </is>
      </c>
      <c r="F264" s="14" t="n">
        <v>45964</v>
      </c>
    </row>
    <row r="265">
      <c r="A265" s="8" t="inlineStr">
        <is>
          <t>Service B</t>
        </is>
      </c>
      <c r="B265" s="8" t="inlineStr">
        <is>
          <t>User1263</t>
        </is>
      </c>
      <c r="C265" s="8" t="n">
        <v>1</v>
      </c>
      <c r="D265" s="8" t="inlineStr">
        <is>
          <t>Band 3</t>
        </is>
      </c>
      <c r="E265" s="9" t="inlineStr">
        <is>
          <t>11/3/2025</t>
        </is>
      </c>
      <c r="F265" s="14" t="n">
        <v>45964</v>
      </c>
    </row>
    <row r="266">
      <c r="A266" s="8" t="inlineStr">
        <is>
          <t>Service B</t>
        </is>
      </c>
      <c r="B266" s="8" t="inlineStr">
        <is>
          <t>User1264</t>
        </is>
      </c>
      <c r="C266" s="8" t="n">
        <v>1</v>
      </c>
      <c r="D266" s="8" t="inlineStr">
        <is>
          <t>Band 3</t>
        </is>
      </c>
      <c r="E266" s="9" t="inlineStr">
        <is>
          <t>11/3/2025</t>
        </is>
      </c>
      <c r="F266" s="14" t="n">
        <v>45964</v>
      </c>
    </row>
    <row r="267">
      <c r="A267" s="8" t="inlineStr">
        <is>
          <t>Service B</t>
        </is>
      </c>
      <c r="B267" s="8" t="inlineStr">
        <is>
          <t>User1265</t>
        </is>
      </c>
      <c r="C267" s="8" t="n">
        <v>1</v>
      </c>
      <c r="D267" s="8" t="inlineStr">
        <is>
          <t>Band 3</t>
        </is>
      </c>
      <c r="E267" s="9" t="inlineStr">
        <is>
          <t>12/1/2025</t>
        </is>
      </c>
      <c r="F267" s="14" t="n">
        <v>45992</v>
      </c>
    </row>
    <row r="268">
      <c r="A268" s="8" t="inlineStr">
        <is>
          <t>Service B</t>
        </is>
      </c>
      <c r="B268" s="8" t="inlineStr">
        <is>
          <t>User1266</t>
        </is>
      </c>
      <c r="C268" s="8" t="n">
        <v>1</v>
      </c>
      <c r="D268" s="8" t="inlineStr">
        <is>
          <t>Band 5</t>
        </is>
      </c>
      <c r="E268" s="9" t="inlineStr">
        <is>
          <t>11/3/2025</t>
        </is>
      </c>
      <c r="F268" s="14" t="n">
        <v>45964</v>
      </c>
    </row>
    <row r="269">
      <c r="A269" s="8" t="inlineStr">
        <is>
          <t>Service B</t>
        </is>
      </c>
      <c r="B269" s="8" t="inlineStr">
        <is>
          <t>User1267</t>
        </is>
      </c>
      <c r="C269" s="8" t="n">
        <v>1</v>
      </c>
      <c r="D269" s="8" t="inlineStr">
        <is>
          <t>Band 3</t>
        </is>
      </c>
      <c r="E269" s="9" t="inlineStr">
        <is>
          <t>11/3/2025</t>
        </is>
      </c>
      <c r="F269" s="14" t="n">
        <v>45964</v>
      </c>
    </row>
    <row r="270">
      <c r="A270" s="8" t="inlineStr">
        <is>
          <t>Service B</t>
        </is>
      </c>
      <c r="B270" s="8" t="inlineStr">
        <is>
          <t>User1268</t>
        </is>
      </c>
      <c r="C270" s="8" t="n">
        <v>1</v>
      </c>
      <c r="D270" s="8" t="inlineStr">
        <is>
          <t>Band 3</t>
        </is>
      </c>
      <c r="E270" s="9" t="inlineStr">
        <is>
          <t>11/3/2025</t>
        </is>
      </c>
      <c r="F270" s="14" t="n">
        <v>45964</v>
      </c>
    </row>
    <row r="271">
      <c r="A271" s="8" t="inlineStr">
        <is>
          <t>Service B</t>
        </is>
      </c>
      <c r="B271" s="8" t="inlineStr">
        <is>
          <t>User1269</t>
        </is>
      </c>
      <c r="C271" s="8" t="n">
        <v>1</v>
      </c>
      <c r="D271" s="8" t="inlineStr">
        <is>
          <t>Band 3</t>
        </is>
      </c>
      <c r="E271" s="9" t="inlineStr">
        <is>
          <t>12/1/2025</t>
        </is>
      </c>
      <c r="F271" s="14" t="n">
        <v>45992</v>
      </c>
    </row>
    <row r="272">
      <c r="A272" s="8" t="inlineStr">
        <is>
          <t>Service A</t>
        </is>
      </c>
      <c r="B272" s="8" t="inlineStr">
        <is>
          <t>User1270</t>
        </is>
      </c>
      <c r="C272" s="8" t="n">
        <v>1</v>
      </c>
      <c r="D272" s="8" t="inlineStr">
        <is>
          <t>Band 3</t>
        </is>
      </c>
      <c r="E272" s="9" t="inlineStr">
        <is>
          <t>11/3/2025</t>
        </is>
      </c>
      <c r="F272" s="14" t="n">
        <v>45964</v>
      </c>
    </row>
    <row r="273">
      <c r="A273" s="8" t="inlineStr">
        <is>
          <t>Service B</t>
        </is>
      </c>
      <c r="B273" s="8" t="inlineStr">
        <is>
          <t>User1271</t>
        </is>
      </c>
      <c r="C273" s="8" t="n">
        <v>1</v>
      </c>
      <c r="D273" s="8" t="inlineStr">
        <is>
          <t>Band 3</t>
        </is>
      </c>
      <c r="E273" s="9" t="inlineStr">
        <is>
          <t>11/3/2025</t>
        </is>
      </c>
      <c r="F273" s="14" t="n">
        <v>45964</v>
      </c>
    </row>
    <row r="274">
      <c r="A274" s="8" t="inlineStr">
        <is>
          <t>Service A</t>
        </is>
      </c>
      <c r="B274" s="8" t="inlineStr">
        <is>
          <t>User1272</t>
        </is>
      </c>
      <c r="C274" s="8" t="n">
        <v>1</v>
      </c>
      <c r="D274" s="8" t="inlineStr">
        <is>
          <t>Band 3</t>
        </is>
      </c>
      <c r="E274" s="9" t="inlineStr">
        <is>
          <t>11/3/2025</t>
        </is>
      </c>
      <c r="F274" s="14" t="n">
        <v>45964</v>
      </c>
    </row>
    <row r="275">
      <c r="A275" s="8" t="inlineStr">
        <is>
          <t>Service A</t>
        </is>
      </c>
      <c r="B275" s="8" t="inlineStr">
        <is>
          <t>User1273</t>
        </is>
      </c>
      <c r="C275" s="8" t="n">
        <v>1</v>
      </c>
      <c r="D275" s="8" t="inlineStr">
        <is>
          <t>Band 3</t>
        </is>
      </c>
      <c r="E275" s="9" t="inlineStr">
        <is>
          <t>10/5/2025</t>
        </is>
      </c>
      <c r="F275" s="14" t="n">
        <v>45935</v>
      </c>
    </row>
    <row r="276">
      <c r="A276" s="8" t="inlineStr">
        <is>
          <t>Service B</t>
        </is>
      </c>
      <c r="B276" s="8" t="inlineStr">
        <is>
          <t>User1274</t>
        </is>
      </c>
      <c r="C276" s="8" t="n">
        <v>1</v>
      </c>
      <c r="D276" s="8" t="inlineStr">
        <is>
          <t>Band 3</t>
        </is>
      </c>
      <c r="E276" s="9" t="inlineStr">
        <is>
          <t>1/5/2026</t>
        </is>
      </c>
      <c r="F276" s="14" t="n">
        <v>46027</v>
      </c>
    </row>
    <row r="277">
      <c r="A277" s="8" t="inlineStr">
        <is>
          <t>Service A</t>
        </is>
      </c>
      <c r="B277" s="8" t="inlineStr">
        <is>
          <t>User1275</t>
        </is>
      </c>
      <c r="C277" s="8" t="n">
        <v>1</v>
      </c>
      <c r="D277" s="8" t="inlineStr">
        <is>
          <t>Band 3</t>
        </is>
      </c>
      <c r="E277" s="9" t="inlineStr">
        <is>
          <t>10/5/2025</t>
        </is>
      </c>
      <c r="F277" s="14" t="n">
        <v>45935</v>
      </c>
    </row>
    <row r="278">
      <c r="A278" s="8" t="inlineStr">
        <is>
          <t>Service B</t>
        </is>
      </c>
      <c r="B278" s="8" t="inlineStr">
        <is>
          <t>User1276</t>
        </is>
      </c>
      <c r="C278" s="8" t="n">
        <v>1</v>
      </c>
      <c r="D278" s="8" t="inlineStr">
        <is>
          <t>Band 3</t>
        </is>
      </c>
      <c r="E278" s="9" t="inlineStr">
        <is>
          <t>1/5/2026</t>
        </is>
      </c>
      <c r="F278" s="14" t="n">
        <v>46027</v>
      </c>
    </row>
    <row r="279">
      <c r="A279" s="8" t="inlineStr">
        <is>
          <t>Service B</t>
        </is>
      </c>
      <c r="B279" s="8" t="inlineStr">
        <is>
          <t>User1277</t>
        </is>
      </c>
      <c r="C279" s="8" t="n">
        <v>1</v>
      </c>
      <c r="D279" s="8" t="inlineStr">
        <is>
          <t>Band 3</t>
        </is>
      </c>
      <c r="E279" s="9" t="inlineStr">
        <is>
          <t>12/1/2025</t>
        </is>
      </c>
      <c r="F279" s="14" t="n">
        <v>45992</v>
      </c>
    </row>
    <row r="280">
      <c r="A280" s="8" t="inlineStr">
        <is>
          <t>Service B</t>
        </is>
      </c>
      <c r="B280" s="8" t="inlineStr">
        <is>
          <t>User1278</t>
        </is>
      </c>
      <c r="C280" s="8" t="n">
        <v>1</v>
      </c>
      <c r="D280" s="8" t="inlineStr">
        <is>
          <t>Band 3</t>
        </is>
      </c>
      <c r="E280" s="9" t="inlineStr">
        <is>
          <t>11/3/2025</t>
        </is>
      </c>
      <c r="F280" s="14" t="n">
        <v>45964</v>
      </c>
    </row>
    <row r="281">
      <c r="A281" s="8" t="inlineStr">
        <is>
          <t>Service B</t>
        </is>
      </c>
      <c r="B281" s="8" t="inlineStr">
        <is>
          <t>User1279</t>
        </is>
      </c>
      <c r="C281" s="8" t="n">
        <v>1</v>
      </c>
      <c r="D281" s="8" t="inlineStr">
        <is>
          <t>Band 3</t>
        </is>
      </c>
      <c r="E281" s="9" t="inlineStr">
        <is>
          <t>11/3/2025</t>
        </is>
      </c>
      <c r="F281" s="14" t="n">
        <v>45964</v>
      </c>
    </row>
    <row r="282">
      <c r="A282" s="8" t="inlineStr">
        <is>
          <t>Service B</t>
        </is>
      </c>
      <c r="B282" s="8" t="inlineStr">
        <is>
          <t>User1280</t>
        </is>
      </c>
      <c r="C282" s="8" t="n">
        <v>1</v>
      </c>
      <c r="D282" s="8" t="inlineStr">
        <is>
          <t>Band 3</t>
        </is>
      </c>
      <c r="E282" s="9" t="inlineStr">
        <is>
          <t>12/1/2025</t>
        </is>
      </c>
      <c r="F282" s="14" t="n">
        <v>45992</v>
      </c>
    </row>
    <row r="283">
      <c r="A283" s="8" t="inlineStr">
        <is>
          <t>Service B</t>
        </is>
      </c>
      <c r="B283" s="8" t="inlineStr">
        <is>
          <t>User1281</t>
        </is>
      </c>
      <c r="C283" s="8" t="n">
        <v>1</v>
      </c>
      <c r="D283" s="8" t="inlineStr">
        <is>
          <t>Band 3</t>
        </is>
      </c>
      <c r="E283" s="9" t="inlineStr">
        <is>
          <t>12/25/2025</t>
        </is>
      </c>
      <c r="F283" s="14" t="n">
        <v>46016</v>
      </c>
    </row>
    <row r="284">
      <c r="A284" s="8" t="inlineStr">
        <is>
          <t>Service A</t>
        </is>
      </c>
      <c r="B284" s="8" t="inlineStr">
        <is>
          <t>User1282</t>
        </is>
      </c>
      <c r="C284" s="8" t="n">
        <v>1</v>
      </c>
      <c r="D284" s="8" t="inlineStr">
        <is>
          <t>Band 3</t>
        </is>
      </c>
      <c r="E284" s="9" t="inlineStr">
        <is>
          <t>11/3/2025</t>
        </is>
      </c>
      <c r="F284" s="14" t="n">
        <v>45964</v>
      </c>
    </row>
    <row r="285">
      <c r="A285" s="8" t="inlineStr">
        <is>
          <t>Service B</t>
        </is>
      </c>
      <c r="B285" s="8" t="inlineStr">
        <is>
          <t>User1283</t>
        </is>
      </c>
      <c r="C285" s="8" t="n">
        <v>1</v>
      </c>
      <c r="D285" s="8" t="inlineStr">
        <is>
          <t>Band 3</t>
        </is>
      </c>
      <c r="E285" s="9" t="inlineStr">
        <is>
          <t>11/3/2025</t>
        </is>
      </c>
      <c r="F285" s="14" t="n">
        <v>45964</v>
      </c>
    </row>
    <row r="286">
      <c r="A286" s="8" t="inlineStr">
        <is>
          <t>Service B</t>
        </is>
      </c>
      <c r="B286" s="8" t="inlineStr">
        <is>
          <t>User1284</t>
        </is>
      </c>
      <c r="C286" s="8" t="n">
        <v>1</v>
      </c>
      <c r="D286" s="8" t="inlineStr">
        <is>
          <t>Band 3</t>
        </is>
      </c>
      <c r="E286" s="9" t="inlineStr">
        <is>
          <t>11/3/2025</t>
        </is>
      </c>
      <c r="F286" s="14" t="n">
        <v>45964</v>
      </c>
    </row>
    <row r="287">
      <c r="A287" s="8" t="inlineStr">
        <is>
          <t>Service B</t>
        </is>
      </c>
      <c r="B287" s="8" t="inlineStr">
        <is>
          <t>User1285</t>
        </is>
      </c>
      <c r="C287" s="8" t="n">
        <v>1</v>
      </c>
      <c r="D287" s="8" t="inlineStr">
        <is>
          <t>Band 3</t>
        </is>
      </c>
      <c r="E287" s="9" t="inlineStr">
        <is>
          <t>12/1/2025</t>
        </is>
      </c>
      <c r="F287" s="14" t="n">
        <v>45992</v>
      </c>
    </row>
    <row r="288">
      <c r="A288" s="8" t="inlineStr">
        <is>
          <t>Service A</t>
        </is>
      </c>
      <c r="B288" s="8" t="inlineStr">
        <is>
          <t>User1286</t>
        </is>
      </c>
      <c r="C288" s="8" t="n">
        <v>1</v>
      </c>
      <c r="D288" s="8" t="inlineStr">
        <is>
          <t>Band 3</t>
        </is>
      </c>
      <c r="E288" s="9" t="inlineStr">
        <is>
          <t>12/8/2025</t>
        </is>
      </c>
      <c r="F288" s="14" t="n">
        <v>45999</v>
      </c>
    </row>
    <row r="289">
      <c r="A289" s="8" t="inlineStr">
        <is>
          <t>Service A</t>
        </is>
      </c>
      <c r="B289" s="8" t="inlineStr">
        <is>
          <t>User1287</t>
        </is>
      </c>
      <c r="C289" s="8" t="n">
        <v>1</v>
      </c>
      <c r="D289" s="8" t="inlineStr">
        <is>
          <t>Band 3</t>
        </is>
      </c>
      <c r="E289" s="9" t="inlineStr">
        <is>
          <t>11/3/2025</t>
        </is>
      </c>
      <c r="F289" s="14" t="n">
        <v>45964</v>
      </c>
    </row>
    <row r="290">
      <c r="A290" s="8" t="inlineStr">
        <is>
          <t>Service B</t>
        </is>
      </c>
      <c r="B290" s="8" t="inlineStr">
        <is>
          <t>User1288</t>
        </is>
      </c>
      <c r="C290" s="8" t="n">
        <v>1</v>
      </c>
      <c r="D290" s="8" t="inlineStr">
        <is>
          <t>Band 5</t>
        </is>
      </c>
      <c r="E290" s="9" t="inlineStr">
        <is>
          <t>1/5/2026</t>
        </is>
      </c>
      <c r="F290" s="14" t="n">
        <v>46027</v>
      </c>
    </row>
    <row r="291">
      <c r="A291" s="8" t="inlineStr">
        <is>
          <t>Service A</t>
        </is>
      </c>
      <c r="B291" s="8" t="inlineStr">
        <is>
          <t>User1289</t>
        </is>
      </c>
      <c r="C291" s="8" t="n">
        <v>1</v>
      </c>
      <c r="D291" s="8" t="inlineStr">
        <is>
          <t>Band 5</t>
        </is>
      </c>
      <c r="E291" s="9" t="inlineStr">
        <is>
          <t>1/19/2026</t>
        </is>
      </c>
      <c r="F291" s="14" t="n">
        <v>46041</v>
      </c>
    </row>
    <row r="292">
      <c r="A292" s="8" t="inlineStr">
        <is>
          <t>Service B</t>
        </is>
      </c>
      <c r="B292" s="8" t="inlineStr">
        <is>
          <t>User1290</t>
        </is>
      </c>
      <c r="C292" s="8" t="n">
        <v>1</v>
      </c>
      <c r="D292" s="8" t="inlineStr">
        <is>
          <t>Band 5</t>
        </is>
      </c>
      <c r="E292" s="9" t="inlineStr">
        <is>
          <t>1/5/2026</t>
        </is>
      </c>
      <c r="F292" s="14" t="n">
        <v>46027</v>
      </c>
    </row>
    <row r="293">
      <c r="A293" s="8" t="inlineStr">
        <is>
          <t>Service B</t>
        </is>
      </c>
      <c r="B293" s="8" t="inlineStr">
        <is>
          <t>User1291</t>
        </is>
      </c>
      <c r="C293" s="8" t="n">
        <v>1</v>
      </c>
      <c r="D293" s="8" t="inlineStr">
        <is>
          <t>Band 5</t>
        </is>
      </c>
      <c r="E293" s="9" t="inlineStr">
        <is>
          <t>1/5/2026</t>
        </is>
      </c>
      <c r="F293" s="14" t="n">
        <v>46027</v>
      </c>
    </row>
    <row r="294">
      <c r="A294" s="8" t="inlineStr">
        <is>
          <t>Service B</t>
        </is>
      </c>
      <c r="B294" s="8" t="inlineStr">
        <is>
          <t>User1292</t>
        </is>
      </c>
      <c r="C294" s="8" t="n">
        <v>1</v>
      </c>
      <c r="D294" s="8" t="inlineStr">
        <is>
          <t>Band 5</t>
        </is>
      </c>
      <c r="E294" s="9" t="inlineStr">
        <is>
          <t>1/5/2026</t>
        </is>
      </c>
      <c r="F294" s="14" t="n">
        <v>46027</v>
      </c>
    </row>
    <row r="295">
      <c r="A295" s="8" t="inlineStr">
        <is>
          <t>Service B</t>
        </is>
      </c>
      <c r="B295" s="8" t="inlineStr">
        <is>
          <t>User1293</t>
        </is>
      </c>
      <c r="C295" s="8" t="n">
        <v>1</v>
      </c>
      <c r="D295" s="8" t="inlineStr">
        <is>
          <t>Band 5</t>
        </is>
      </c>
      <c r="E295" s="9" t="inlineStr">
        <is>
          <t>1/5/2026</t>
        </is>
      </c>
      <c r="F295" s="14" t="n">
        <v>46027</v>
      </c>
    </row>
    <row r="296">
      <c r="A296" s="8" t="inlineStr">
        <is>
          <t>Service A</t>
        </is>
      </c>
      <c r="B296" s="8" t="inlineStr">
        <is>
          <t>User1294</t>
        </is>
      </c>
      <c r="C296" s="8" t="n">
        <v>1</v>
      </c>
      <c r="D296" s="8" t="inlineStr">
        <is>
          <t>Band 3</t>
        </is>
      </c>
      <c r="E296" s="9" t="inlineStr">
        <is>
          <t>12/1/2025</t>
        </is>
      </c>
      <c r="F296" s="14" t="n">
        <v>45992</v>
      </c>
    </row>
    <row r="297">
      <c r="A297" s="8" t="inlineStr">
        <is>
          <t>Service B</t>
        </is>
      </c>
      <c r="B297" s="8" t="inlineStr">
        <is>
          <t>User1295</t>
        </is>
      </c>
      <c r="C297" s="8" t="n">
        <v>1</v>
      </c>
      <c r="D297" s="8" t="inlineStr">
        <is>
          <t>Band 5</t>
        </is>
      </c>
      <c r="E297" s="9" t="inlineStr">
        <is>
          <t>1/5/2026</t>
        </is>
      </c>
      <c r="F297" s="14" t="n">
        <v>46027</v>
      </c>
    </row>
    <row r="298">
      <c r="A298" s="8" t="inlineStr">
        <is>
          <t>Service B</t>
        </is>
      </c>
      <c r="B298" s="8" t="inlineStr">
        <is>
          <t>User1296</t>
        </is>
      </c>
      <c r="C298" s="8" t="n">
        <v>1</v>
      </c>
      <c r="D298" s="8" t="inlineStr">
        <is>
          <t>Band 5</t>
        </is>
      </c>
      <c r="E298" s="9" t="inlineStr">
        <is>
          <t>1/5/2026</t>
        </is>
      </c>
      <c r="F298" s="14" t="n">
        <v>46027</v>
      </c>
    </row>
    <row r="299">
      <c r="A299" s="8" t="inlineStr">
        <is>
          <t>Service B</t>
        </is>
      </c>
      <c r="B299" s="8" t="inlineStr">
        <is>
          <t>User1297</t>
        </is>
      </c>
      <c r="C299" s="8" t="n">
        <v>1</v>
      </c>
      <c r="D299" s="8" t="inlineStr">
        <is>
          <t>Band 5</t>
        </is>
      </c>
      <c r="E299" s="9" t="inlineStr">
        <is>
          <t>1/5/2026</t>
        </is>
      </c>
      <c r="F299" s="14" t="n">
        <v>46027</v>
      </c>
    </row>
    <row r="300">
      <c r="A300" s="8" t="inlineStr">
        <is>
          <t>Service A</t>
        </is>
      </c>
      <c r="B300" s="8" t="inlineStr">
        <is>
          <t>User1298</t>
        </is>
      </c>
      <c r="C300" s="8" t="n">
        <v>1</v>
      </c>
      <c r="D300" s="8" t="inlineStr">
        <is>
          <t>Band 3</t>
        </is>
      </c>
      <c r="E300" s="9" t="inlineStr">
        <is>
          <t>11/3/2025</t>
        </is>
      </c>
      <c r="F300" s="14" t="n">
        <v>45964</v>
      </c>
    </row>
    <row r="301">
      <c r="A301" s="8" t="inlineStr">
        <is>
          <t>Service B</t>
        </is>
      </c>
      <c r="B301" s="8" t="inlineStr">
        <is>
          <t>User1299</t>
        </is>
      </c>
      <c r="C301" s="8" t="n">
        <v>1</v>
      </c>
      <c r="D301" s="8" t="inlineStr">
        <is>
          <t>Band 3</t>
        </is>
      </c>
      <c r="E301" s="9" t="inlineStr">
        <is>
          <t>1/5/2026</t>
        </is>
      </c>
      <c r="F301" s="14" t="n">
        <v>46027</v>
      </c>
    </row>
    <row r="302">
      <c r="A302" s="8" t="inlineStr">
        <is>
          <t>Service A</t>
        </is>
      </c>
      <c r="B302" s="8" t="inlineStr">
        <is>
          <t>User1300</t>
        </is>
      </c>
      <c r="C302" s="8" t="n">
        <v>1</v>
      </c>
      <c r="D302" s="8" t="inlineStr">
        <is>
          <t>Band 3</t>
        </is>
      </c>
      <c r="E302" s="9" t="inlineStr">
        <is>
          <t>1/5/2026</t>
        </is>
      </c>
      <c r="F302" s="14" t="n">
        <v>46027</v>
      </c>
    </row>
    <row r="303">
      <c r="A303" s="8" t="inlineStr">
        <is>
          <t>Service B</t>
        </is>
      </c>
      <c r="B303" s="8" t="inlineStr">
        <is>
          <t>User1301</t>
        </is>
      </c>
      <c r="C303" s="8" t="n">
        <v>1</v>
      </c>
      <c r="D303" s="8" t="inlineStr">
        <is>
          <t>Band 5</t>
        </is>
      </c>
      <c r="E303" s="9" t="inlineStr">
        <is>
          <t>1/5/2026</t>
        </is>
      </c>
      <c r="F303" s="14" t="n">
        <v>46027</v>
      </c>
    </row>
    <row r="304">
      <c r="A304" s="8" t="inlineStr">
        <is>
          <t>Service B</t>
        </is>
      </c>
      <c r="B304" s="8" t="inlineStr">
        <is>
          <t>User1302</t>
        </is>
      </c>
      <c r="C304" s="8" t="n">
        <v>1</v>
      </c>
      <c r="D304" s="8" t="inlineStr">
        <is>
          <t>Band 3</t>
        </is>
      </c>
      <c r="E304" s="9" t="inlineStr">
        <is>
          <t>12/1/2025</t>
        </is>
      </c>
      <c r="F304" s="14" t="n">
        <v>45992</v>
      </c>
    </row>
    <row r="305">
      <c r="A305" s="8" t="inlineStr">
        <is>
          <t>Service B</t>
        </is>
      </c>
      <c r="B305" s="8" t="inlineStr">
        <is>
          <t>User1303</t>
        </is>
      </c>
      <c r="C305" s="8" t="n">
        <v>1</v>
      </c>
      <c r="D305" s="8" t="inlineStr">
        <is>
          <t>Band 3</t>
        </is>
      </c>
      <c r="E305" s="9" t="inlineStr">
        <is>
          <t>1/5/2026</t>
        </is>
      </c>
      <c r="F305" s="14" t="n">
        <v>46027</v>
      </c>
    </row>
    <row r="306">
      <c r="A306" s="8" t="inlineStr">
        <is>
          <t>Service B</t>
        </is>
      </c>
      <c r="B306" s="8" t="inlineStr">
        <is>
          <t>User1304</t>
        </is>
      </c>
      <c r="C306" s="8" t="n">
        <v>1</v>
      </c>
      <c r="D306" s="8" t="inlineStr">
        <is>
          <t>Band 5</t>
        </is>
      </c>
      <c r="E306" s="9" t="inlineStr">
        <is>
          <t>1/5/2026</t>
        </is>
      </c>
      <c r="F306" s="14" t="n">
        <v>46027</v>
      </c>
    </row>
    <row r="307">
      <c r="A307" s="8" t="inlineStr">
        <is>
          <t>Service A</t>
        </is>
      </c>
      <c r="B307" s="8" t="inlineStr">
        <is>
          <t>User1305</t>
        </is>
      </c>
      <c r="C307" s="8" t="n">
        <v>1</v>
      </c>
      <c r="D307" s="8" t="inlineStr">
        <is>
          <t>Band 5</t>
        </is>
      </c>
      <c r="E307" s="9" t="inlineStr">
        <is>
          <t>1/5/2026</t>
        </is>
      </c>
      <c r="F307" s="14" t="n">
        <v>46027</v>
      </c>
    </row>
    <row r="308">
      <c r="A308" s="8" t="inlineStr">
        <is>
          <t>Service B</t>
        </is>
      </c>
      <c r="B308" s="8" t="inlineStr">
        <is>
          <t>User1306</t>
        </is>
      </c>
      <c r="C308" s="8" t="n">
        <v>1</v>
      </c>
      <c r="D308" s="8" t="inlineStr">
        <is>
          <t>Band 5</t>
        </is>
      </c>
      <c r="E308" s="9" t="inlineStr">
        <is>
          <t>1/5/2026</t>
        </is>
      </c>
      <c r="F308" s="14" t="n">
        <v>46027</v>
      </c>
    </row>
    <row r="309">
      <c r="A309" s="8" t="inlineStr">
        <is>
          <t>Service A</t>
        </is>
      </c>
      <c r="B309" s="8" t="inlineStr">
        <is>
          <t>User1307</t>
        </is>
      </c>
      <c r="C309" s="8" t="n">
        <v>1</v>
      </c>
      <c r="D309" s="8" t="inlineStr">
        <is>
          <t>Band 3</t>
        </is>
      </c>
      <c r="E309" s="9" t="inlineStr">
        <is>
          <t>12/1/2025</t>
        </is>
      </c>
      <c r="F309" s="14" t="n">
        <v>45992</v>
      </c>
    </row>
    <row r="310">
      <c r="A310" s="8" t="inlineStr">
        <is>
          <t>Service B</t>
        </is>
      </c>
      <c r="B310" s="8" t="inlineStr">
        <is>
          <t>User1308</t>
        </is>
      </c>
      <c r="C310" s="8" t="n">
        <v>1</v>
      </c>
      <c r="D310" s="8" t="inlineStr">
        <is>
          <t>Band 5</t>
        </is>
      </c>
      <c r="E310" s="9" t="inlineStr">
        <is>
          <t>1/5/2026</t>
        </is>
      </c>
      <c r="F310" s="14" t="n">
        <v>46027</v>
      </c>
    </row>
    <row r="311" ht="15" customHeight="1">
      <c r="E311" s="16" t="n"/>
      <c r="F311" s="15" t="n"/>
    </row>
    <row r="312" ht="15" customHeight="1">
      <c r="E312" s="16" t="n"/>
      <c r="F312" s="15" t="n"/>
    </row>
    <row r="313" ht="15" customHeight="1">
      <c r="E313" s="16" t="n"/>
      <c r="F313" s="15" t="n"/>
    </row>
    <row r="314" ht="15" customHeight="1">
      <c r="E314" s="16" t="n"/>
      <c r="F314" s="15" t="n"/>
    </row>
    <row r="315" ht="15" customHeight="1">
      <c r="E315" s="16" t="n"/>
      <c r="F315" s="15" t="n"/>
    </row>
    <row r="316" ht="15" customHeight="1">
      <c r="E316" s="16" t="n"/>
      <c r="F316" s="15" t="n"/>
    </row>
    <row r="317" ht="15" customHeight="1">
      <c r="E317" s="16" t="n"/>
      <c r="F317" s="15" t="n"/>
    </row>
    <row r="318" ht="15" customHeight="1">
      <c r="E318" s="16" t="n"/>
      <c r="F318" s="15" t="n"/>
    </row>
    <row r="319" ht="15" customHeight="1">
      <c r="E319" s="16" t="n"/>
      <c r="F319" s="15" t="n"/>
    </row>
    <row r="320" ht="15" customHeight="1">
      <c r="E320" s="16" t="n"/>
      <c r="F320" s="15" t="n"/>
    </row>
    <row r="321">
      <c r="E321" s="16" t="n"/>
      <c r="F321" s="15" t="n"/>
    </row>
    <row r="322">
      <c r="E322" s="16" t="n"/>
      <c r="F322" s="15" t="n"/>
    </row>
    <row r="323">
      <c r="E323" s="16" t="n"/>
      <c r="F323" s="15" t="n"/>
    </row>
    <row r="324">
      <c r="E324" s="16" t="n"/>
      <c r="F324" s="15" t="n"/>
    </row>
    <row r="325">
      <c r="E325" s="16" t="n"/>
      <c r="F325" s="15" t="n"/>
    </row>
    <row r="326">
      <c r="E326" s="16" t="n"/>
      <c r="F326" s="15" t="n"/>
    </row>
    <row r="327">
      <c r="E327" s="16" t="n"/>
      <c r="F327" s="15" t="n"/>
    </row>
    <row r="328">
      <c r="E328" s="16" t="n"/>
      <c r="F328" s="15" t="n"/>
    </row>
    <row r="329">
      <c r="E329" s="16" t="n"/>
      <c r="F329" s="15" t="n"/>
    </row>
    <row r="330">
      <c r="E330" s="16" t="n"/>
      <c r="F330" s="15" t="n"/>
    </row>
    <row r="331">
      <c r="E331" s="16" t="n"/>
      <c r="F331" s="15" t="n"/>
    </row>
    <row r="332">
      <c r="E332" s="16" t="n"/>
      <c r="F332" s="15" t="n"/>
    </row>
    <row r="333">
      <c r="E333" s="16" t="n"/>
      <c r="F333" s="15" t="n"/>
    </row>
    <row r="334">
      <c r="E334" s="16" t="n"/>
      <c r="F334" s="15" t="n"/>
    </row>
    <row r="335">
      <c r="E335" s="16" t="n"/>
      <c r="F335" s="15" t="n"/>
    </row>
    <row r="336">
      <c r="E336" s="16" t="n"/>
      <c r="F336" s="15" t="n"/>
    </row>
    <row r="337">
      <c r="E337" s="16" t="n"/>
      <c r="F337" s="15" t="n"/>
    </row>
    <row r="338">
      <c r="E338" s="16" t="n"/>
      <c r="F338" s="15" t="n"/>
    </row>
    <row r="339">
      <c r="E339" s="16" t="n"/>
      <c r="F339" s="15" t="n"/>
    </row>
    <row r="340">
      <c r="E340" s="16" t="n"/>
      <c r="F340" s="15" t="n"/>
    </row>
    <row r="341">
      <c r="E341" s="16" t="n"/>
      <c r="F341" s="15" t="n"/>
    </row>
    <row r="342">
      <c r="E342" s="16" t="n"/>
      <c r="F342" s="15" t="n"/>
    </row>
    <row r="343">
      <c r="E343" s="16" t="n"/>
      <c r="F343" s="15" t="n"/>
    </row>
    <row r="344">
      <c r="E344" s="16" t="n"/>
      <c r="F344" s="15" t="n"/>
    </row>
    <row r="345">
      <c r="E345" s="16" t="n"/>
      <c r="F345" s="15" t="n"/>
    </row>
    <row r="346">
      <c r="E346" s="16" t="n"/>
      <c r="F346" s="15" t="n"/>
    </row>
    <row r="347">
      <c r="E347" s="16" t="n"/>
      <c r="F347" s="15" t="n"/>
    </row>
    <row r="348">
      <c r="E348" s="16" t="n"/>
      <c r="F348" s="15" t="n"/>
    </row>
    <row r="349">
      <c r="E349" s="16" t="n"/>
      <c r="F349" s="15" t="n"/>
    </row>
    <row r="350">
      <c r="E350" s="16" t="n"/>
      <c r="F350" s="15" t="n"/>
    </row>
    <row r="351">
      <c r="E351" s="16" t="n"/>
      <c r="F351" s="15" t="n"/>
    </row>
    <row r="352">
      <c r="E352" s="16" t="n"/>
      <c r="F352" s="15" t="n"/>
    </row>
    <row r="353">
      <c r="E353" s="16" t="n"/>
      <c r="F353" s="15" t="n"/>
    </row>
    <row r="354">
      <c r="E354" s="16" t="n"/>
      <c r="F354" s="15" t="n"/>
    </row>
    <row r="355">
      <c r="E355" s="16" t="n"/>
      <c r="F355" s="15" t="n"/>
    </row>
    <row r="356">
      <c r="E356" s="16" t="n"/>
      <c r="F356" s="15" t="n"/>
    </row>
    <row r="357">
      <c r="E357" s="16" t="n"/>
      <c r="F357" s="15" t="n"/>
    </row>
    <row r="358">
      <c r="E358" s="16" t="n"/>
      <c r="F358" s="15" t="n"/>
    </row>
    <row r="359">
      <c r="E359" s="16" t="n"/>
      <c r="F359" s="15" t="n"/>
    </row>
    <row r="360">
      <c r="E360" s="16" t="n"/>
      <c r="F360" s="15" t="n"/>
    </row>
    <row r="361">
      <c r="E361" s="16" t="n"/>
      <c r="F361" s="15" t="n"/>
    </row>
    <row r="362">
      <c r="E362" s="16" t="n"/>
      <c r="F362" s="15" t="n"/>
    </row>
    <row r="363">
      <c r="E363" s="16" t="n"/>
      <c r="F363" s="15" t="n"/>
    </row>
    <row r="364">
      <c r="E364" s="16" t="n"/>
      <c r="F364" s="15" t="n"/>
    </row>
    <row r="365">
      <c r="E365" s="16" t="n"/>
      <c r="F365" s="15" t="n"/>
    </row>
    <row r="366">
      <c r="E366" s="16" t="n"/>
      <c r="F366" s="15" t="n"/>
    </row>
    <row r="367">
      <c r="E367" s="16" t="n"/>
      <c r="F367" s="15" t="n"/>
    </row>
    <row r="368">
      <c r="E368" s="16" t="n"/>
      <c r="F368" s="15" t="n"/>
    </row>
    <row r="369">
      <c r="E369" s="16" t="n"/>
      <c r="F369" s="15" t="n"/>
    </row>
    <row r="370">
      <c r="E370" s="16" t="n"/>
      <c r="F370" s="15" t="n"/>
    </row>
    <row r="371">
      <c r="E371" s="16" t="n"/>
      <c r="F371" s="15" t="n"/>
    </row>
    <row r="372">
      <c r="E372" s="16" t="n"/>
      <c r="F372" s="15" t="n"/>
    </row>
    <row r="373">
      <c r="E373" s="16" t="n"/>
      <c r="F373" s="15" t="n"/>
    </row>
    <row r="374">
      <c r="E374" s="16" t="n"/>
      <c r="F374" s="15" t="n"/>
    </row>
    <row r="375">
      <c r="E375" s="16" t="n"/>
      <c r="F375" s="15" t="n"/>
    </row>
    <row r="376">
      <c r="E376" s="16" t="n"/>
      <c r="F376" s="15" t="n"/>
    </row>
    <row r="377">
      <c r="E377" s="16" t="n"/>
      <c r="F377" s="15" t="n"/>
    </row>
    <row r="378">
      <c r="E378" s="16" t="n"/>
      <c r="F378" s="15" t="n"/>
    </row>
    <row r="379">
      <c r="E379" s="16" t="n"/>
      <c r="F379" s="15" t="n"/>
    </row>
    <row r="380">
      <c r="E380" s="16" t="n"/>
      <c r="F380" s="15" t="n"/>
    </row>
    <row r="381">
      <c r="E381" s="16" t="n"/>
      <c r="F381" s="15" t="n"/>
    </row>
    <row r="382">
      <c r="E382" s="16" t="n"/>
      <c r="F382" s="15" t="n"/>
    </row>
    <row r="383">
      <c r="E383" s="16" t="n"/>
      <c r="F383" s="15" t="n"/>
    </row>
    <row r="384">
      <c r="E384" s="16" t="n"/>
      <c r="F384" s="15" t="n"/>
    </row>
    <row r="385">
      <c r="E385" s="16" t="n"/>
      <c r="F385" s="15" t="n"/>
    </row>
    <row r="386">
      <c r="E386" s="16" t="n"/>
      <c r="F386" s="15" t="n"/>
    </row>
    <row r="387">
      <c r="E387" s="16" t="n"/>
      <c r="F387" s="15" t="n"/>
    </row>
    <row r="388">
      <c r="E388" s="16" t="n"/>
      <c r="F388" s="15" t="n"/>
    </row>
    <row r="389">
      <c r="E389" s="16" t="n"/>
      <c r="F389" s="15" t="n"/>
    </row>
    <row r="390">
      <c r="E390" s="16" t="n"/>
      <c r="F390" s="15" t="n"/>
    </row>
    <row r="391">
      <c r="E391" s="16" t="n"/>
      <c r="F391" s="15" t="n"/>
    </row>
    <row r="392">
      <c r="E392" s="16" t="n"/>
      <c r="F392" s="15" t="n"/>
    </row>
    <row r="393">
      <c r="E393" s="16" t="n"/>
      <c r="F393" s="15" t="n"/>
    </row>
    <row r="394">
      <c r="E394" s="16" t="n"/>
      <c r="F394" s="15" t="n"/>
    </row>
    <row r="395">
      <c r="E395" s="16" t="n"/>
      <c r="F395" s="15" t="n"/>
    </row>
    <row r="396">
      <c r="E396" s="16" t="n"/>
      <c r="F396" s="15" t="n"/>
    </row>
    <row r="397">
      <c r="E397" s="16" t="n"/>
      <c r="F397" s="15" t="n"/>
    </row>
    <row r="398">
      <c r="E398" s="16" t="n"/>
      <c r="F398" s="15" t="n"/>
    </row>
    <row r="399">
      <c r="E399" s="16" t="n"/>
      <c r="F399" s="15" t="n"/>
    </row>
    <row r="400">
      <c r="E400" s="16" t="n"/>
      <c r="F400" s="15" t="n"/>
    </row>
    <row r="401">
      <c r="E401" s="16" t="n"/>
      <c r="F401" s="15" t="n"/>
    </row>
    <row r="402">
      <c r="E402" s="16" t="n"/>
      <c r="F402" s="15" t="n"/>
    </row>
    <row r="403">
      <c r="E403" s="16" t="n"/>
      <c r="F403" s="15" t="n"/>
    </row>
    <row r="404">
      <c r="E404" s="16" t="n"/>
      <c r="F404" s="15" t="n"/>
    </row>
    <row r="405">
      <c r="E405" s="16" t="n"/>
      <c r="F405" s="15" t="n"/>
    </row>
    <row r="406">
      <c r="E406" s="16" t="n"/>
      <c r="F406" s="15" t="n"/>
    </row>
    <row r="407">
      <c r="E407" s="16" t="n"/>
      <c r="F407" s="15" t="n"/>
    </row>
    <row r="408">
      <c r="E408" s="16" t="n"/>
      <c r="F408" s="15" t="n"/>
    </row>
    <row r="409">
      <c r="E409" s="16" t="n"/>
      <c r="F409" s="15" t="n"/>
    </row>
    <row r="410">
      <c r="E410" s="16" t="n"/>
      <c r="F410" s="15" t="n"/>
    </row>
    <row r="411">
      <c r="E411" s="16" t="n"/>
      <c r="F411" s="15" t="n"/>
    </row>
    <row r="412">
      <c r="E412" s="16" t="n"/>
      <c r="F412" s="15" t="n"/>
    </row>
    <row r="413">
      <c r="E413" s="16" t="n"/>
      <c r="F413" s="15" t="n"/>
    </row>
    <row r="414">
      <c r="E414" s="16" t="n"/>
      <c r="F414" s="15" t="n"/>
    </row>
    <row r="415">
      <c r="E415" s="16" t="n"/>
      <c r="F415" s="15" t="n"/>
    </row>
    <row r="416">
      <c r="E416" s="16" t="n"/>
      <c r="F416" s="15" t="n"/>
    </row>
    <row r="417">
      <c r="E417" s="16" t="n"/>
      <c r="F417" s="15" t="n"/>
    </row>
    <row r="418">
      <c r="E418" s="16" t="n"/>
      <c r="F418" s="15" t="n"/>
    </row>
    <row r="419">
      <c r="E419" s="16" t="n"/>
      <c r="F419" s="15" t="n"/>
    </row>
    <row r="420">
      <c r="E420" s="16" t="n"/>
      <c r="F420" s="15" t="n"/>
    </row>
    <row r="421">
      <c r="E421" s="16" t="n"/>
      <c r="F421" s="15" t="n"/>
    </row>
    <row r="422">
      <c r="E422" s="16" t="n"/>
      <c r="F422" s="15" t="n"/>
    </row>
    <row r="423">
      <c r="E423" s="16" t="n"/>
      <c r="F423" s="15" t="n"/>
    </row>
    <row r="424">
      <c r="E424" s="16" t="n"/>
      <c r="F424" s="15" t="n"/>
    </row>
    <row r="425">
      <c r="E425" s="16" t="n"/>
      <c r="F425" s="15" t="n"/>
    </row>
    <row r="426">
      <c r="E426" s="16" t="n"/>
      <c r="F426" s="15" t="n"/>
    </row>
    <row r="427">
      <c r="E427" s="16" t="n"/>
      <c r="F427" s="15" t="n"/>
    </row>
    <row r="428">
      <c r="E428" s="16" t="n"/>
      <c r="F428" s="15" t="n"/>
    </row>
    <row r="429">
      <c r="E429" s="16" t="n"/>
      <c r="F429" s="15" t="n"/>
    </row>
    <row r="430">
      <c r="E430" s="16" t="n"/>
      <c r="F430" s="15" t="n"/>
    </row>
    <row r="431">
      <c r="E431" s="16" t="n"/>
      <c r="F431" s="15" t="n"/>
    </row>
    <row r="432">
      <c r="E432" s="16" t="n"/>
      <c r="F432" s="15" t="n"/>
    </row>
    <row r="433">
      <c r="E433" s="16" t="n"/>
      <c r="F433" s="15" t="n"/>
    </row>
    <row r="434">
      <c r="E434" s="16" t="n"/>
      <c r="F434" s="15" t="n"/>
    </row>
    <row r="435">
      <c r="E435" s="16" t="n"/>
      <c r="F435" s="15" t="n"/>
    </row>
    <row r="436">
      <c r="E436" s="16" t="n"/>
      <c r="F436" s="15" t="n"/>
    </row>
    <row r="437">
      <c r="E437" s="16" t="n"/>
      <c r="F437" s="15" t="n"/>
    </row>
    <row r="438">
      <c r="E438" s="16" t="n"/>
      <c r="F438" s="15" t="n"/>
    </row>
    <row r="439">
      <c r="E439" s="16" t="n"/>
      <c r="F439" s="15" t="n"/>
    </row>
    <row r="440">
      <c r="E440" s="16" t="n"/>
      <c r="F440" s="15" t="n"/>
    </row>
    <row r="441">
      <c r="E441" s="16" t="n"/>
      <c r="F441" s="15" t="n"/>
    </row>
    <row r="442">
      <c r="E442" s="16" t="n"/>
      <c r="F442" s="15" t="n"/>
    </row>
    <row r="443">
      <c r="E443" s="16" t="n"/>
      <c r="F443" s="15" t="n"/>
    </row>
    <row r="444">
      <c r="E444" s="16" t="n"/>
      <c r="F444" s="15" t="n"/>
    </row>
    <row r="445">
      <c r="E445" s="16" t="n"/>
      <c r="F445" s="15" t="n"/>
    </row>
    <row r="446">
      <c r="E446" s="16" t="n"/>
      <c r="F446" s="15" t="n"/>
    </row>
    <row r="447">
      <c r="E447" s="16" t="n"/>
      <c r="F447" s="15" t="n"/>
    </row>
    <row r="448">
      <c r="E448" s="16" t="n"/>
      <c r="F448" s="15" t="n"/>
    </row>
    <row r="449">
      <c r="E449" s="16" t="n"/>
      <c r="F449" s="15" t="n"/>
    </row>
    <row r="450">
      <c r="E450" s="16" t="n"/>
      <c r="F450" s="15" t="n"/>
    </row>
    <row r="451">
      <c r="E451" s="16" t="n"/>
      <c r="F451" s="15" t="n"/>
    </row>
    <row r="452">
      <c r="E452" s="16" t="n"/>
      <c r="F452" s="15" t="n"/>
    </row>
    <row r="453">
      <c r="E453" s="16" t="n"/>
      <c r="F453" s="15" t="n"/>
    </row>
    <row r="454">
      <c r="E454" s="16" t="n"/>
      <c r="F454" s="15" t="n"/>
    </row>
    <row r="455">
      <c r="E455" s="16" t="n"/>
      <c r="F455" s="15" t="n"/>
    </row>
    <row r="456">
      <c r="E456" s="16" t="n"/>
      <c r="F456" s="15" t="n"/>
    </row>
    <row r="457">
      <c r="E457" s="16" t="n"/>
      <c r="F457" s="15" t="n"/>
    </row>
    <row r="458">
      <c r="E458" s="16" t="n"/>
      <c r="F458" s="15" t="n"/>
    </row>
    <row r="459">
      <c r="E459" s="16" t="n"/>
      <c r="F459" s="15" t="n"/>
    </row>
    <row r="460">
      <c r="E460" s="16" t="n"/>
      <c r="F460" s="15" t="n"/>
    </row>
    <row r="461">
      <c r="E461" s="16" t="n"/>
      <c r="F461" s="15" t="n"/>
    </row>
    <row r="462">
      <c r="E462" s="16" t="n"/>
      <c r="F462" s="15" t="n"/>
    </row>
    <row r="463">
      <c r="E463" s="16" t="n"/>
      <c r="F463" s="15" t="n"/>
    </row>
    <row r="464">
      <c r="E464" s="16" t="n"/>
      <c r="F464" s="15" t="n"/>
    </row>
    <row r="465">
      <c r="E465" s="16" t="n"/>
      <c r="F465" s="15" t="n"/>
    </row>
    <row r="466">
      <c r="E466" s="16" t="n"/>
      <c r="F466" s="15" t="n"/>
    </row>
    <row r="467">
      <c r="E467" s="16" t="n"/>
      <c r="F467" s="15" t="n"/>
    </row>
    <row r="468">
      <c r="E468" s="16" t="n"/>
      <c r="F468" s="15" t="n"/>
    </row>
    <row r="469">
      <c r="E469" s="16" t="n"/>
      <c r="F469" s="15" t="n"/>
    </row>
    <row r="470">
      <c r="E470" s="16" t="n"/>
      <c r="F470" s="15" t="n"/>
    </row>
    <row r="471">
      <c r="E471" s="16" t="n"/>
      <c r="F471" s="15" t="n"/>
    </row>
    <row r="472">
      <c r="E472" s="16" t="n"/>
      <c r="F472" s="15" t="n"/>
    </row>
    <row r="473">
      <c r="E473" s="16" t="n"/>
      <c r="F473" s="15" t="n"/>
    </row>
    <row r="474">
      <c r="E474" s="16" t="n"/>
      <c r="F474" s="15" t="n"/>
    </row>
    <row r="475">
      <c r="E475" s="16" t="n"/>
      <c r="F475" s="15" t="n"/>
    </row>
    <row r="476">
      <c r="E476" s="16" t="n"/>
      <c r="F476" s="15" t="n"/>
    </row>
    <row r="477">
      <c r="E477" s="16" t="n"/>
      <c r="F477" s="15" t="n"/>
    </row>
    <row r="478">
      <c r="E478" s="16" t="n"/>
      <c r="F478" s="15" t="n"/>
    </row>
    <row r="479">
      <c r="E479" s="16" t="n"/>
      <c r="F479" s="15" t="n"/>
    </row>
    <row r="480">
      <c r="E480" s="16" t="n"/>
      <c r="F480" s="15" t="n"/>
    </row>
    <row r="481">
      <c r="E481" s="16" t="n"/>
      <c r="F481" s="15" t="n"/>
    </row>
    <row r="482">
      <c r="E482" s="16" t="n"/>
      <c r="F482" s="15" t="n"/>
    </row>
    <row r="483">
      <c r="E483" s="16" t="n"/>
      <c r="F483" s="15" t="n"/>
    </row>
    <row r="484">
      <c r="E484" s="16" t="n"/>
      <c r="F484" s="15" t="n"/>
    </row>
    <row r="485">
      <c r="E485" s="16" t="n"/>
      <c r="F485" s="15" t="n"/>
    </row>
    <row r="486">
      <c r="E486" s="16" t="n"/>
      <c r="F486" s="15" t="n"/>
    </row>
    <row r="487">
      <c r="E487" s="16" t="n"/>
      <c r="F487" s="15" t="n"/>
    </row>
    <row r="488">
      <c r="E488" s="16" t="n"/>
      <c r="F488" s="15" t="n"/>
    </row>
    <row r="489">
      <c r="E489" s="16" t="n"/>
      <c r="F489" s="15" t="n"/>
    </row>
    <row r="490">
      <c r="E490" s="16" t="n"/>
      <c r="F490" s="15" t="n"/>
    </row>
    <row r="491">
      <c r="E491" s="16" t="n"/>
      <c r="F491" s="15" t="n"/>
    </row>
    <row r="492">
      <c r="E492" s="16" t="n"/>
      <c r="F492" s="15" t="n"/>
    </row>
    <row r="493">
      <c r="E493" s="16" t="n"/>
      <c r="F493" s="15" t="n"/>
    </row>
    <row r="494">
      <c r="E494" s="16" t="n"/>
      <c r="F494" s="15" t="n"/>
    </row>
    <row r="495">
      <c r="E495" s="16" t="n"/>
      <c r="F495" s="15" t="n"/>
    </row>
    <row r="496">
      <c r="E496" s="16" t="n"/>
      <c r="F496" s="15" t="n"/>
    </row>
    <row r="497">
      <c r="E497" s="16" t="n"/>
      <c r="F497" s="15" t="n"/>
    </row>
    <row r="498">
      <c r="E498" s="16" t="n"/>
      <c r="F498" s="15" t="n"/>
    </row>
    <row r="499">
      <c r="E499" s="16" t="n"/>
      <c r="F499" s="15" t="n"/>
    </row>
    <row r="500">
      <c r="E500" s="16" t="n"/>
      <c r="F500" s="15" t="n"/>
    </row>
    <row r="501">
      <c r="E501" s="16" t="n"/>
      <c r="F501" s="15" t="n"/>
    </row>
    <row r="502">
      <c r="E502" s="16" t="n"/>
      <c r="F502" s="15" t="n"/>
    </row>
    <row r="503">
      <c r="E503" s="16" t="n"/>
      <c r="F503" s="15" t="n"/>
    </row>
    <row r="504">
      <c r="E504" s="16" t="n"/>
      <c r="F504" s="15" t="n"/>
    </row>
    <row r="505">
      <c r="E505" s="16" t="n"/>
      <c r="F505" s="15" t="n"/>
    </row>
    <row r="506">
      <c r="E506" s="16" t="n"/>
      <c r="F506" s="15" t="n"/>
    </row>
    <row r="507">
      <c r="E507" s="16" t="n"/>
      <c r="F507" s="15" t="n"/>
    </row>
    <row r="508">
      <c r="E508" s="16" t="n"/>
      <c r="F508" s="15" t="n"/>
    </row>
    <row r="509">
      <c r="E509" s="16" t="n"/>
      <c r="F509" s="15" t="n"/>
    </row>
    <row r="510">
      <c r="E510" s="16" t="n"/>
      <c r="F510" s="15" t="n"/>
    </row>
    <row r="511">
      <c r="E511" s="16" t="n"/>
      <c r="F511" s="15" t="n"/>
    </row>
    <row r="512">
      <c r="E512" s="16" t="n"/>
      <c r="F512" s="15" t="n"/>
    </row>
    <row r="513">
      <c r="E513" s="16" t="n"/>
      <c r="F513" s="15" t="n"/>
    </row>
    <row r="514">
      <c r="E514" s="16" t="n"/>
      <c r="F514" s="15" t="n"/>
    </row>
    <row r="515">
      <c r="E515" s="16" t="n"/>
      <c r="F515" s="15" t="n"/>
    </row>
    <row r="516">
      <c r="E516" s="16" t="n"/>
      <c r="F516" s="15" t="n"/>
    </row>
    <row r="517">
      <c r="E517" s="16" t="n"/>
      <c r="F517" s="15" t="n"/>
    </row>
    <row r="518">
      <c r="E518" s="16" t="n"/>
      <c r="F518" s="15" t="n"/>
    </row>
    <row r="519">
      <c r="E519" s="16" t="n"/>
      <c r="F519" s="15" t="n"/>
    </row>
    <row r="520">
      <c r="E520" s="16" t="n"/>
      <c r="F520" s="15" t="n"/>
    </row>
    <row r="521">
      <c r="E521" s="16" t="n"/>
      <c r="F521" s="15" t="n"/>
    </row>
    <row r="522">
      <c r="E522" s="16" t="n"/>
      <c r="F522" s="15" t="n"/>
    </row>
    <row r="523">
      <c r="E523" s="16" t="n"/>
      <c r="F523" s="15" t="n"/>
    </row>
    <row r="524">
      <c r="E524" s="16" t="n"/>
      <c r="F524" s="15" t="n"/>
    </row>
    <row r="525">
      <c r="E525" s="16" t="n"/>
      <c r="F525" s="15" t="n"/>
    </row>
    <row r="526">
      <c r="E526" s="16" t="n"/>
      <c r="F526" s="15" t="n"/>
    </row>
    <row r="527">
      <c r="E527" s="16" t="n"/>
      <c r="F527" s="15" t="n"/>
    </row>
    <row r="528">
      <c r="E528" s="16" t="n"/>
      <c r="F528" s="15" t="n"/>
    </row>
    <row r="529">
      <c r="E529" s="16" t="n"/>
      <c r="F529" s="15" t="n"/>
    </row>
    <row r="530">
      <c r="E530" s="16" t="n"/>
      <c r="F530" s="15" t="n"/>
    </row>
    <row r="531">
      <c r="E531" s="16" t="n"/>
      <c r="F531" s="15" t="n"/>
    </row>
    <row r="532">
      <c r="E532" s="16" t="n"/>
      <c r="F532" s="15" t="n"/>
    </row>
    <row r="533">
      <c r="E533" s="16" t="n"/>
      <c r="F533" s="15" t="n"/>
    </row>
    <row r="534">
      <c r="E534" s="16" t="n"/>
      <c r="F534" s="15" t="n"/>
    </row>
    <row r="535">
      <c r="E535" s="16" t="n"/>
      <c r="F535" s="15" t="n"/>
    </row>
    <row r="536">
      <c r="E536" s="16" t="n"/>
      <c r="F536" s="15" t="n"/>
    </row>
    <row r="537">
      <c r="E537" s="16" t="n"/>
      <c r="F537" s="15" t="n"/>
    </row>
    <row r="538">
      <c r="E538" s="16" t="n"/>
      <c r="F538" s="15" t="n"/>
    </row>
    <row r="539">
      <c r="E539" s="16" t="n"/>
      <c r="F539" s="15" t="n"/>
    </row>
    <row r="540">
      <c r="E540" s="16" t="n"/>
      <c r="F540" s="15" t="n"/>
    </row>
    <row r="541">
      <c r="E541" s="16" t="n"/>
      <c r="F541" s="15" t="n"/>
    </row>
    <row r="542">
      <c r="E542" s="16" t="n"/>
      <c r="F542" s="15" t="n"/>
    </row>
    <row r="543">
      <c r="E543" s="16" t="n"/>
      <c r="F543" s="15" t="n"/>
    </row>
    <row r="544">
      <c r="E544" s="16" t="n"/>
      <c r="F544" s="15" t="n"/>
    </row>
    <row r="545">
      <c r="E545" s="16" t="n"/>
      <c r="F545" s="15" t="n"/>
    </row>
    <row r="546">
      <c r="E546" s="16" t="n"/>
      <c r="F546" s="15" t="n"/>
    </row>
    <row r="547">
      <c r="E547" s="16" t="n"/>
      <c r="F547" s="15" t="n"/>
    </row>
    <row r="548">
      <c r="E548" s="16" t="n"/>
      <c r="F548" s="15" t="n"/>
    </row>
    <row r="549">
      <c r="E549" s="16" t="n"/>
      <c r="F549" s="15" t="n"/>
    </row>
    <row r="550">
      <c r="E550" s="16" t="n"/>
      <c r="F550" s="15" t="n"/>
    </row>
    <row r="551">
      <c r="E551" s="16" t="n"/>
      <c r="F551" s="15" t="n"/>
    </row>
    <row r="552">
      <c r="E552" s="16" t="n"/>
      <c r="F552" s="15" t="n"/>
    </row>
    <row r="553">
      <c r="E553" s="16" t="n"/>
      <c r="F553" s="15" t="n"/>
    </row>
    <row r="554">
      <c r="E554" s="16" t="n"/>
      <c r="F554" s="15" t="n"/>
    </row>
    <row r="555">
      <c r="E555" s="16" t="n"/>
      <c r="F555" s="15" t="n"/>
    </row>
    <row r="556">
      <c r="E556" s="16" t="n"/>
      <c r="F556" s="15" t="n"/>
    </row>
    <row r="557">
      <c r="E557" s="16" t="n"/>
      <c r="F557" s="15" t="n"/>
    </row>
    <row r="558">
      <c r="E558" s="16" t="n"/>
      <c r="F558" s="15" t="n"/>
    </row>
    <row r="559">
      <c r="E559" s="16" t="n"/>
      <c r="F559" s="15" t="n"/>
    </row>
    <row r="560">
      <c r="E560" s="16" t="n"/>
      <c r="F560" s="15" t="n"/>
    </row>
    <row r="561">
      <c r="E561" s="16" t="n"/>
      <c r="F561" s="15" t="n"/>
    </row>
    <row r="562">
      <c r="E562" s="16" t="n"/>
      <c r="F562" s="15" t="n"/>
    </row>
    <row r="563">
      <c r="E563" s="16" t="n"/>
      <c r="F563" s="15" t="n"/>
    </row>
    <row r="564">
      <c r="E564" s="16" t="n"/>
      <c r="F564" s="15" t="n"/>
    </row>
    <row r="565">
      <c r="E565" s="16" t="n"/>
      <c r="F565" s="15" t="n"/>
    </row>
    <row r="566">
      <c r="E566" s="16" t="n"/>
      <c r="F566" s="15" t="n"/>
    </row>
    <row r="567">
      <c r="E567" s="16" t="n"/>
      <c r="F567" s="15" t="n"/>
    </row>
    <row r="568">
      <c r="E568" s="16" t="n"/>
      <c r="F568" s="15" t="n"/>
    </row>
    <row r="569">
      <c r="E569" s="16" t="n"/>
      <c r="F569" s="15" t="n"/>
    </row>
    <row r="570">
      <c r="E570" s="16" t="n"/>
      <c r="F570" s="15" t="n"/>
    </row>
    <row r="571">
      <c r="E571" s="16" t="n"/>
      <c r="F571" s="15" t="n"/>
    </row>
    <row r="572">
      <c r="E572" s="16" t="n"/>
      <c r="F572" s="15" t="n"/>
    </row>
    <row r="573">
      <c r="E573" s="16" t="n"/>
      <c r="F573" s="15" t="n"/>
    </row>
    <row r="574">
      <c r="E574" s="16" t="n"/>
      <c r="F574" s="15" t="n"/>
    </row>
    <row r="575">
      <c r="E575" s="16" t="n"/>
      <c r="F575" s="15" t="n"/>
    </row>
    <row r="576">
      <c r="E576" s="16" t="n"/>
      <c r="F576" s="15" t="n"/>
    </row>
    <row r="577">
      <c r="E577" s="16" t="n"/>
      <c r="F577" s="15" t="n"/>
    </row>
    <row r="578">
      <c r="E578" s="16" t="n"/>
      <c r="F578" s="15" t="n"/>
    </row>
    <row r="579">
      <c r="E579" s="16" t="n"/>
      <c r="F579" s="15" t="n"/>
    </row>
    <row r="580">
      <c r="E580" s="16" t="n"/>
      <c r="F580" s="15" t="n"/>
    </row>
    <row r="581">
      <c r="E581" s="16" t="n"/>
      <c r="F581" s="15" t="n"/>
    </row>
    <row r="582">
      <c r="E582" s="16" t="n"/>
      <c r="F582" s="15" t="n"/>
    </row>
    <row r="583">
      <c r="E583" s="16" t="n"/>
      <c r="F583" s="15" t="n"/>
    </row>
    <row r="584">
      <c r="E584" s="16" t="n"/>
      <c r="F584" s="15" t="n"/>
    </row>
    <row r="585">
      <c r="E585" s="16" t="n"/>
      <c r="F585" s="15" t="n"/>
    </row>
    <row r="586">
      <c r="E586" s="16" t="n"/>
      <c r="F586" s="15" t="n"/>
    </row>
    <row r="587">
      <c r="E587" s="16" t="n"/>
      <c r="F587" s="15" t="n"/>
    </row>
    <row r="588">
      <c r="E588" s="16" t="n"/>
      <c r="F588" s="15" t="n"/>
    </row>
    <row r="589">
      <c r="E589" s="16" t="n"/>
      <c r="F589" s="15" t="n"/>
    </row>
    <row r="590">
      <c r="E590" s="16" t="n"/>
      <c r="F590" s="15" t="n"/>
    </row>
    <row r="591">
      <c r="E591" s="16" t="n"/>
      <c r="F591" s="15" t="n"/>
    </row>
    <row r="592">
      <c r="E592" s="16" t="n"/>
      <c r="F592" s="15" t="n"/>
    </row>
    <row r="593">
      <c r="E593" s="16" t="n"/>
      <c r="F593" s="15" t="n"/>
    </row>
    <row r="594">
      <c r="E594" s="16" t="n"/>
      <c r="F594" s="15" t="n"/>
    </row>
    <row r="595">
      <c r="E595" s="16" t="n"/>
      <c r="F595" s="15" t="n"/>
    </row>
    <row r="596">
      <c r="E596" s="16" t="n"/>
      <c r="F596" s="15" t="n"/>
    </row>
    <row r="597">
      <c r="E597" s="16" t="n"/>
      <c r="F597" s="15" t="n"/>
    </row>
    <row r="598">
      <c r="E598" s="16" t="n"/>
      <c r="F598" s="15" t="n"/>
    </row>
    <row r="599">
      <c r="E599" s="16" t="n"/>
      <c r="F599" s="15" t="n"/>
    </row>
    <row r="600">
      <c r="E600" s="16" t="n"/>
      <c r="F600" s="15" t="n"/>
    </row>
    <row r="601">
      <c r="E601" s="16" t="n"/>
      <c r="F601" s="15" t="n"/>
    </row>
    <row r="602">
      <c r="E602" s="16" t="n"/>
      <c r="F602" s="15" t="n"/>
    </row>
    <row r="603">
      <c r="E603" s="16" t="n"/>
      <c r="F603" s="15" t="n"/>
    </row>
    <row r="604">
      <c r="E604" s="16" t="n"/>
      <c r="F604" s="15" t="n"/>
    </row>
    <row r="605">
      <c r="E605" s="16" t="n"/>
      <c r="F605" s="15" t="n"/>
    </row>
    <row r="606">
      <c r="E606" s="16" t="n"/>
      <c r="F606" s="15" t="n"/>
    </row>
    <row r="607">
      <c r="E607" s="16" t="n"/>
      <c r="F607" s="15" t="n"/>
    </row>
    <row r="608">
      <c r="E608" s="16" t="n"/>
      <c r="F608" s="15" t="n"/>
    </row>
    <row r="609">
      <c r="E609" s="16" t="n"/>
      <c r="F609" s="15" t="n"/>
    </row>
    <row r="610">
      <c r="E610" s="16" t="n"/>
      <c r="F610" s="15" t="n"/>
    </row>
    <row r="611">
      <c r="E611" s="16" t="n"/>
      <c r="F611" s="15" t="n"/>
    </row>
    <row r="612">
      <c r="E612" s="16" t="n"/>
      <c r="F612" s="15" t="n"/>
    </row>
    <row r="613">
      <c r="E613" s="16" t="n"/>
      <c r="F613" s="15" t="n"/>
    </row>
    <row r="614">
      <c r="E614" s="16" t="n"/>
      <c r="F614" s="15" t="n"/>
    </row>
    <row r="615">
      <c r="E615" s="16" t="n"/>
      <c r="F615" s="15" t="n"/>
    </row>
    <row r="616">
      <c r="E616" s="16" t="n"/>
      <c r="F616" s="15" t="n"/>
    </row>
    <row r="617">
      <c r="E617" s="16" t="n"/>
      <c r="F617" s="15" t="n"/>
    </row>
    <row r="618">
      <c r="E618" s="16" t="n"/>
      <c r="F618" s="15" t="n"/>
    </row>
    <row r="619">
      <c r="E619" s="16" t="n"/>
      <c r="F619" s="15" t="n"/>
    </row>
    <row r="620">
      <c r="E620" s="16" t="n"/>
      <c r="F620" s="15" t="n"/>
    </row>
    <row r="621">
      <c r="E621" s="16" t="n"/>
      <c r="F621" s="15" t="n"/>
    </row>
    <row r="622">
      <c r="E622" s="16" t="n"/>
      <c r="F622" s="15" t="n"/>
    </row>
    <row r="623">
      <c r="E623" s="16" t="n"/>
      <c r="F623" s="15" t="n"/>
    </row>
    <row r="624">
      <c r="E624" s="16" t="n"/>
      <c r="F624" s="15" t="n"/>
    </row>
    <row r="625">
      <c r="E625" s="16" t="n"/>
      <c r="F625" s="15" t="n"/>
    </row>
    <row r="626">
      <c r="E626" s="16" t="n"/>
      <c r="F626" s="15" t="n"/>
    </row>
    <row r="627">
      <c r="E627" s="16" t="n"/>
      <c r="F627" s="15" t="n"/>
    </row>
    <row r="628">
      <c r="E628" s="16" t="n"/>
      <c r="F628" s="15" t="n"/>
    </row>
    <row r="629">
      <c r="E629" s="16" t="n"/>
      <c r="F629" s="15" t="n"/>
    </row>
    <row r="630">
      <c r="E630" s="16" t="n"/>
      <c r="F630" s="15" t="n"/>
    </row>
    <row r="631">
      <c r="E631" s="16" t="n"/>
      <c r="F631" s="15" t="n"/>
    </row>
    <row r="632">
      <c r="E632" s="16" t="n"/>
      <c r="F632" s="15" t="n"/>
    </row>
    <row r="633">
      <c r="E633" s="16" t="n"/>
      <c r="F633" s="15" t="n"/>
    </row>
    <row r="634">
      <c r="E634" s="16" t="n"/>
      <c r="F634" s="15" t="n"/>
    </row>
    <row r="635">
      <c r="E635" s="16" t="n"/>
      <c r="F635" s="15" t="n"/>
    </row>
    <row r="636">
      <c r="E636" s="16" t="n"/>
      <c r="F636" s="15" t="n"/>
    </row>
    <row r="637">
      <c r="E637" s="16" t="n"/>
      <c r="F637" s="15" t="n"/>
    </row>
    <row r="638">
      <c r="E638" s="16" t="n"/>
      <c r="F638" s="15" t="n"/>
    </row>
    <row r="639">
      <c r="E639" s="16" t="n"/>
      <c r="F639" s="15" t="n"/>
    </row>
    <row r="640">
      <c r="E640" s="16" t="n"/>
      <c r="F640" s="15" t="n"/>
    </row>
    <row r="641">
      <c r="E641" s="16" t="n"/>
      <c r="F641" s="15" t="n"/>
    </row>
    <row r="642">
      <c r="E642" s="16" t="n"/>
      <c r="F642" s="15" t="n"/>
    </row>
    <row r="643">
      <c r="E643" s="16" t="n"/>
      <c r="F643" s="15" t="n"/>
    </row>
    <row r="644">
      <c r="E644" s="16" t="n"/>
      <c r="F644" s="15" t="n"/>
    </row>
    <row r="645">
      <c r="E645" s="16" t="n"/>
      <c r="F645" s="15" t="n"/>
    </row>
    <row r="646">
      <c r="E646" s="16" t="n"/>
      <c r="F646" s="15" t="n"/>
    </row>
    <row r="647">
      <c r="E647" s="16" t="n"/>
      <c r="F647" s="15" t="n"/>
    </row>
    <row r="648">
      <c r="E648" s="16" t="n"/>
      <c r="F648" s="15" t="n"/>
    </row>
    <row r="649">
      <c r="E649" s="16" t="n"/>
      <c r="F649" s="15" t="n"/>
    </row>
    <row r="650">
      <c r="E650" s="16" t="n"/>
      <c r="F650" s="15" t="n"/>
    </row>
    <row r="651">
      <c r="E651" s="16" t="n"/>
      <c r="F651" s="15" t="n"/>
    </row>
    <row r="652">
      <c r="E652" s="16" t="n"/>
      <c r="F652" s="15" t="n"/>
    </row>
    <row r="653">
      <c r="E653" s="16" t="n"/>
      <c r="F653" s="15" t="n"/>
    </row>
    <row r="654">
      <c r="E654" s="16" t="n"/>
      <c r="F654" s="15" t="n"/>
    </row>
    <row r="655">
      <c r="E655" s="16" t="n"/>
      <c r="F655" s="15" t="n"/>
    </row>
    <row r="656">
      <c r="E656" s="16" t="n"/>
      <c r="F656" s="15" t="n"/>
    </row>
    <row r="657">
      <c r="E657" s="16" t="n"/>
      <c r="F657" s="15" t="n"/>
    </row>
    <row r="658">
      <c r="E658" s="16" t="n"/>
      <c r="F658" s="15" t="n"/>
    </row>
    <row r="659">
      <c r="E659" s="16" t="n"/>
      <c r="F659" s="15" t="n"/>
    </row>
    <row r="660">
      <c r="E660" s="16" t="n"/>
      <c r="F660" s="15" t="n"/>
    </row>
    <row r="661">
      <c r="E661" s="16" t="n"/>
      <c r="F661" s="15" t="n"/>
    </row>
    <row r="662">
      <c r="E662" s="16" t="n"/>
      <c r="F662" s="15" t="n"/>
    </row>
    <row r="663">
      <c r="E663" s="16" t="n"/>
      <c r="F663" s="15" t="n"/>
    </row>
    <row r="664">
      <c r="E664" s="16" t="n"/>
      <c r="F664" s="15" t="n"/>
    </row>
    <row r="665">
      <c r="E665" s="16" t="n"/>
      <c r="F665" s="15" t="n"/>
    </row>
    <row r="666">
      <c r="E666" s="16" t="n"/>
      <c r="F666" s="15" t="n"/>
    </row>
    <row r="667">
      <c r="E667" s="16" t="n"/>
      <c r="F667" s="15" t="n"/>
    </row>
    <row r="668">
      <c r="E668" s="16" t="n"/>
      <c r="F668" s="15" t="n"/>
    </row>
    <row r="669">
      <c r="E669" s="16" t="n"/>
      <c r="F669" s="15" t="n"/>
    </row>
    <row r="670">
      <c r="E670" s="16" t="n"/>
      <c r="F670" s="15" t="n"/>
    </row>
    <row r="671">
      <c r="E671" s="16" t="n"/>
      <c r="F671" s="15" t="n"/>
    </row>
    <row r="672">
      <c r="E672" s="16" t="n"/>
      <c r="F672" s="15" t="n"/>
    </row>
    <row r="673">
      <c r="E673" s="16" t="n"/>
      <c r="F673" s="15" t="n"/>
    </row>
    <row r="674">
      <c r="E674" s="16" t="n"/>
      <c r="F674" s="15" t="n"/>
    </row>
    <row r="675">
      <c r="E675" s="16" t="n"/>
      <c r="F675" s="15" t="n"/>
    </row>
    <row r="676">
      <c r="E676" s="16" t="n"/>
      <c r="F676" s="15" t="n"/>
    </row>
    <row r="677">
      <c r="E677" s="16" t="n"/>
      <c r="F677" s="15" t="n"/>
    </row>
    <row r="678">
      <c r="E678" s="16" t="n"/>
      <c r="F678" s="15" t="n"/>
    </row>
    <row r="679">
      <c r="E679" s="16" t="n"/>
      <c r="F679" s="15" t="n"/>
    </row>
    <row r="680">
      <c r="E680" s="16" t="n"/>
      <c r="F680" s="15" t="n"/>
    </row>
    <row r="681">
      <c r="E681" s="16" t="n"/>
      <c r="F681" s="15" t="n"/>
    </row>
    <row r="682">
      <c r="E682" s="16" t="n"/>
      <c r="F682" s="15" t="n"/>
    </row>
    <row r="683">
      <c r="E683" s="16" t="n"/>
      <c r="F683" s="15" t="n"/>
    </row>
    <row r="684">
      <c r="E684" s="16" t="n"/>
      <c r="F684" s="15" t="n"/>
    </row>
    <row r="685">
      <c r="E685" s="16" t="n"/>
      <c r="F685" s="15" t="n"/>
    </row>
    <row r="686">
      <c r="E686" s="16" t="n"/>
      <c r="F686" s="15" t="n"/>
    </row>
    <row r="687">
      <c r="E687" s="16" t="n"/>
      <c r="F687" s="15" t="n"/>
    </row>
    <row r="688">
      <c r="E688" s="16" t="n"/>
      <c r="F688" s="15" t="n"/>
    </row>
    <row r="689">
      <c r="E689" s="16" t="n"/>
      <c r="F689" s="15" t="n"/>
    </row>
    <row r="690">
      <c r="E690" s="16" t="n"/>
      <c r="F690" s="15" t="n"/>
    </row>
    <row r="691">
      <c r="E691" s="16" t="n"/>
      <c r="F691" s="15" t="n"/>
    </row>
    <row r="692">
      <c r="E692" s="16" t="n"/>
      <c r="F692" s="15" t="n"/>
    </row>
    <row r="693">
      <c r="E693" s="16" t="n"/>
      <c r="F693" s="15" t="n"/>
    </row>
    <row r="694">
      <c r="E694" s="16" t="n"/>
      <c r="F694" s="15" t="n"/>
    </row>
    <row r="695">
      <c r="E695" s="16" t="n"/>
      <c r="F695" s="15" t="n"/>
    </row>
    <row r="696">
      <c r="E696" s="16" t="n"/>
      <c r="F696" s="15" t="n"/>
    </row>
    <row r="697">
      <c r="E697" s="16" t="n"/>
      <c r="F697" s="15" t="n"/>
    </row>
    <row r="698">
      <c r="E698" s="16" t="n"/>
      <c r="F698" s="15" t="n"/>
    </row>
    <row r="699">
      <c r="E699" s="16" t="n"/>
      <c r="F699" s="15" t="n"/>
    </row>
    <row r="700">
      <c r="E700" s="16" t="n"/>
      <c r="F700" s="15" t="n"/>
    </row>
    <row r="701">
      <c r="E701" s="16" t="n"/>
      <c r="F701" s="15" t="n"/>
    </row>
    <row r="702">
      <c r="E702" s="16" t="n"/>
      <c r="F702" s="15" t="n"/>
    </row>
    <row r="703">
      <c r="E703" s="16" t="n"/>
      <c r="F703" s="15" t="n"/>
    </row>
    <row r="704">
      <c r="E704" s="16" t="n"/>
      <c r="F704" s="15" t="n"/>
    </row>
    <row r="705">
      <c r="E705" s="16" t="n"/>
      <c r="F705" s="15" t="n"/>
    </row>
    <row r="706">
      <c r="E706" s="16" t="n"/>
      <c r="F706" s="15" t="n"/>
    </row>
    <row r="707">
      <c r="E707" s="16" t="n"/>
      <c r="F707" s="15" t="n"/>
    </row>
    <row r="708">
      <c r="E708" s="16" t="n"/>
      <c r="F708" s="15" t="n"/>
    </row>
    <row r="709">
      <c r="E709" s="16" t="n"/>
      <c r="F709" s="15" t="n"/>
    </row>
    <row r="710">
      <c r="E710" s="16" t="n"/>
      <c r="F710" s="15" t="n"/>
    </row>
    <row r="711">
      <c r="E711" s="16" t="n"/>
      <c r="F711" s="15" t="n"/>
    </row>
    <row r="712">
      <c r="E712" s="16" t="n"/>
      <c r="F712" s="15" t="n"/>
    </row>
    <row r="713">
      <c r="E713" s="16" t="n"/>
      <c r="F713" s="15" t="n"/>
    </row>
    <row r="714">
      <c r="E714" s="16" t="n"/>
      <c r="F714" s="15" t="n"/>
    </row>
    <row r="715">
      <c r="E715" s="16" t="n"/>
      <c r="F715" s="15" t="n"/>
    </row>
    <row r="716">
      <c r="E716" s="16" t="n"/>
      <c r="F716" s="15" t="n"/>
    </row>
    <row r="717">
      <c r="E717" s="16" t="n"/>
      <c r="F717" s="15" t="n"/>
    </row>
    <row r="718">
      <c r="E718" s="16" t="n"/>
      <c r="F718" s="15" t="n"/>
    </row>
    <row r="719">
      <c r="E719" s="16" t="n"/>
      <c r="F719" s="15" t="n"/>
    </row>
    <row r="720">
      <c r="E720" s="16" t="n"/>
      <c r="F720" s="15" t="n"/>
    </row>
    <row r="721">
      <c r="E721" s="16" t="n"/>
      <c r="F721" s="15" t="n"/>
    </row>
    <row r="722">
      <c r="E722" s="16" t="n"/>
      <c r="F722" s="15" t="n"/>
    </row>
    <row r="723">
      <c r="E723" s="16" t="n"/>
      <c r="F723" s="15" t="n"/>
    </row>
    <row r="724">
      <c r="E724" s="16" t="n"/>
      <c r="F724" s="15" t="n"/>
    </row>
    <row r="725">
      <c r="E725" s="16" t="n"/>
      <c r="F725" s="15" t="n"/>
    </row>
    <row r="726">
      <c r="E726" s="16" t="n"/>
      <c r="F726" s="15" t="n"/>
    </row>
    <row r="727">
      <c r="E727" s="16" t="n"/>
      <c r="F727" s="15" t="n"/>
    </row>
    <row r="728">
      <c r="E728" s="16" t="n"/>
      <c r="F728" s="15" t="n"/>
    </row>
    <row r="729">
      <c r="E729" s="16" t="n"/>
      <c r="F729" s="15" t="n"/>
    </row>
    <row r="730">
      <c r="E730" s="16" t="n"/>
      <c r="F730" s="15" t="n"/>
    </row>
    <row r="731">
      <c r="E731" s="16" t="n"/>
      <c r="F731" s="15" t="n"/>
    </row>
    <row r="732">
      <c r="E732" s="16" t="n"/>
      <c r="F732" s="15" t="n"/>
    </row>
    <row r="733">
      <c r="E733" s="16" t="n"/>
      <c r="F733" s="15" t="n"/>
    </row>
    <row r="734">
      <c r="E734" s="16" t="n"/>
      <c r="F734" s="15" t="n"/>
    </row>
    <row r="735">
      <c r="E735" s="16" t="n"/>
      <c r="F735" s="15" t="n"/>
    </row>
    <row r="736">
      <c r="E736" s="16" t="n"/>
      <c r="F736" s="15" t="n"/>
    </row>
    <row r="737">
      <c r="E737" s="16" t="n"/>
      <c r="F737" s="15" t="n"/>
    </row>
    <row r="738">
      <c r="E738" s="16" t="n"/>
      <c r="F738" s="15" t="n"/>
    </row>
    <row r="739">
      <c r="E739" s="16" t="n"/>
      <c r="F739" s="15" t="n"/>
    </row>
    <row r="740">
      <c r="E740" s="16" t="n"/>
      <c r="F740" s="15" t="n"/>
    </row>
    <row r="741">
      <c r="E741" s="16" t="n"/>
      <c r="F741" s="15" t="n"/>
    </row>
    <row r="742">
      <c r="E742" s="16" t="n"/>
      <c r="F742" s="15" t="n"/>
    </row>
    <row r="743">
      <c r="E743" s="16" t="n"/>
      <c r="F743" s="15" t="n"/>
    </row>
    <row r="744">
      <c r="E744" s="16" t="n"/>
      <c r="F744" s="15" t="n"/>
    </row>
    <row r="745">
      <c r="E745" s="16" t="n"/>
      <c r="F745" s="15" t="n"/>
    </row>
    <row r="746">
      <c r="E746" s="16" t="n"/>
      <c r="F746" s="15" t="n"/>
    </row>
    <row r="747">
      <c r="E747" s="16" t="n"/>
      <c r="F747" s="15" t="n"/>
    </row>
    <row r="748">
      <c r="E748" s="16" t="n"/>
      <c r="F748" s="15" t="n"/>
    </row>
    <row r="749">
      <c r="E749" s="16" t="n"/>
      <c r="F749" s="15" t="n"/>
    </row>
    <row r="750">
      <c r="E750" s="16" t="n"/>
      <c r="F750" s="15" t="n"/>
    </row>
    <row r="751">
      <c r="E751" s="16" t="n"/>
      <c r="F751" s="15" t="n"/>
    </row>
    <row r="752">
      <c r="E752" s="16" t="n"/>
      <c r="F752" s="15" t="n"/>
    </row>
    <row r="753">
      <c r="E753" s="16" t="n"/>
      <c r="F753" s="15" t="n"/>
    </row>
    <row r="754">
      <c r="E754" s="16" t="n"/>
      <c r="F754" s="15" t="n"/>
    </row>
    <row r="755">
      <c r="E755" s="16" t="n"/>
      <c r="F755" s="15" t="n"/>
    </row>
    <row r="756">
      <c r="E756" s="16" t="n"/>
      <c r="F756" s="15" t="n"/>
    </row>
    <row r="757">
      <c r="E757" s="16" t="n"/>
      <c r="F757" s="15" t="n"/>
    </row>
    <row r="758">
      <c r="E758" s="16" t="n"/>
      <c r="F758" s="15" t="n"/>
    </row>
    <row r="759">
      <c r="E759" s="16" t="n"/>
      <c r="F759" s="15" t="n"/>
    </row>
    <row r="760">
      <c r="E760" s="16" t="n"/>
      <c r="F760" s="15" t="n"/>
    </row>
    <row r="761">
      <c r="E761" s="16" t="n"/>
      <c r="F761" s="15" t="n"/>
    </row>
    <row r="762">
      <c r="E762" s="16" t="n"/>
      <c r="F762" s="15" t="n"/>
    </row>
    <row r="763">
      <c r="E763" s="16" t="n"/>
      <c r="F763" s="15" t="n"/>
    </row>
    <row r="764">
      <c r="E764" s="16" t="n"/>
      <c r="F764" s="15" t="n"/>
    </row>
    <row r="765">
      <c r="E765" s="16" t="n"/>
      <c r="F765" s="15" t="n"/>
    </row>
    <row r="766">
      <c r="E766" s="16" t="n"/>
      <c r="F766" s="15" t="n"/>
    </row>
    <row r="767">
      <c r="E767" s="16" t="n"/>
      <c r="F767" s="15" t="n"/>
    </row>
    <row r="768">
      <c r="E768" s="16" t="n"/>
      <c r="F768" s="15" t="n"/>
    </row>
    <row r="769">
      <c r="E769" s="16" t="n"/>
      <c r="F769" s="15" t="n"/>
    </row>
    <row r="770">
      <c r="E770" s="16" t="n"/>
      <c r="F770" s="15" t="n"/>
    </row>
    <row r="771">
      <c r="E771" s="16" t="n"/>
      <c r="F771" s="15" t="n"/>
    </row>
    <row r="772">
      <c r="E772" s="16" t="n"/>
      <c r="F772" s="15" t="n"/>
    </row>
    <row r="773">
      <c r="E773" s="16" t="n"/>
      <c r="F773" s="15" t="n"/>
    </row>
    <row r="774">
      <c r="E774" s="16" t="n"/>
      <c r="F774" s="15" t="n"/>
    </row>
    <row r="775">
      <c r="E775" s="16" t="n"/>
      <c r="F775" s="15" t="n"/>
    </row>
    <row r="776">
      <c r="E776" s="16" t="n"/>
      <c r="F776" s="15" t="n"/>
    </row>
    <row r="777">
      <c r="E777" s="16" t="n"/>
      <c r="F777" s="15" t="n"/>
    </row>
    <row r="778">
      <c r="E778" s="16" t="n"/>
      <c r="F778" s="15" t="n"/>
    </row>
    <row r="779">
      <c r="E779" s="16" t="n"/>
      <c r="F779" s="15" t="n"/>
    </row>
    <row r="780">
      <c r="E780" s="16" t="n"/>
      <c r="F780" s="15" t="n"/>
    </row>
    <row r="781">
      <c r="E781" s="16" t="n"/>
      <c r="F781" s="15" t="n"/>
    </row>
    <row r="782">
      <c r="E782" s="16" t="n"/>
      <c r="F782" s="15" t="n"/>
    </row>
    <row r="783">
      <c r="E783" s="16" t="n"/>
      <c r="F783" s="15" t="n"/>
    </row>
    <row r="784">
      <c r="E784" s="16" t="n"/>
      <c r="F784" s="15" t="n"/>
    </row>
    <row r="785">
      <c r="E785" s="16" t="n"/>
      <c r="F785" s="15" t="n"/>
    </row>
    <row r="786">
      <c r="E786" s="16" t="n"/>
      <c r="F786" s="15" t="n"/>
    </row>
    <row r="787">
      <c r="E787" s="16" t="n"/>
      <c r="F787" s="15" t="n"/>
    </row>
    <row r="788">
      <c r="E788" s="16" t="n"/>
      <c r="F788" s="15" t="n"/>
    </row>
    <row r="789">
      <c r="E789" s="16" t="n"/>
      <c r="F789" s="15" t="n"/>
    </row>
    <row r="790">
      <c r="E790" s="16" t="n"/>
      <c r="F790" s="15" t="n"/>
    </row>
    <row r="791">
      <c r="E791" s="16" t="n"/>
      <c r="F791" s="15" t="n"/>
    </row>
    <row r="792">
      <c r="E792" s="16" t="n"/>
      <c r="F792" s="15" t="n"/>
    </row>
    <row r="793">
      <c r="E793" s="16" t="n"/>
      <c r="F793" s="15" t="n"/>
    </row>
    <row r="794">
      <c r="E794" s="16" t="n"/>
      <c r="F794" s="15" t="n"/>
    </row>
    <row r="795">
      <c r="E795" s="16" t="n"/>
      <c r="F795" s="15" t="n"/>
    </row>
    <row r="796">
      <c r="E796" s="16" t="n"/>
      <c r="F796" s="15" t="n"/>
    </row>
    <row r="797">
      <c r="E797" s="16" t="n"/>
      <c r="F797" s="15" t="n"/>
    </row>
    <row r="798">
      <c r="E798" s="16" t="n"/>
      <c r="F798" s="15" t="n"/>
    </row>
    <row r="799">
      <c r="E799" s="16" t="n"/>
      <c r="F799" s="15" t="n"/>
    </row>
    <row r="800">
      <c r="E800" s="16" t="n"/>
      <c r="F800" s="15" t="n"/>
    </row>
    <row r="801">
      <c r="E801" s="16" t="n"/>
      <c r="F801" s="15" t="n"/>
    </row>
    <row r="802">
      <c r="E802" s="16" t="n"/>
      <c r="F802" s="15" t="n"/>
    </row>
    <row r="803">
      <c r="E803" s="16" t="n"/>
      <c r="F803" s="15" t="n"/>
    </row>
    <row r="804">
      <c r="E804" s="16" t="n"/>
      <c r="F804" s="15" t="n"/>
    </row>
    <row r="805">
      <c r="E805" s="16" t="n"/>
      <c r="F805" s="15" t="n"/>
    </row>
    <row r="806">
      <c r="E806" s="16" t="n"/>
      <c r="F806" s="15" t="n"/>
    </row>
    <row r="807">
      <c r="E807" s="16" t="n"/>
      <c r="F807" s="15" t="n"/>
    </row>
    <row r="808">
      <c r="E808" s="16" t="n"/>
      <c r="F808" s="15" t="n"/>
    </row>
    <row r="809">
      <c r="E809" s="16" t="n"/>
      <c r="F809" s="15" t="n"/>
    </row>
    <row r="810">
      <c r="E810" s="16" t="n"/>
      <c r="F810" s="15" t="n"/>
    </row>
    <row r="811">
      <c r="E811" s="16" t="n"/>
      <c r="F811" s="15" t="n"/>
    </row>
    <row r="812">
      <c r="E812" s="16" t="n"/>
      <c r="F812" s="15" t="n"/>
    </row>
    <row r="813">
      <c r="E813" s="16" t="n"/>
      <c r="F813" s="15" t="n"/>
    </row>
    <row r="814">
      <c r="E814" s="16" t="n"/>
      <c r="F814" s="15" t="n"/>
    </row>
    <row r="815">
      <c r="E815" s="16" t="n"/>
      <c r="F815" s="15" t="n"/>
    </row>
    <row r="816">
      <c r="E816" s="16" t="n"/>
      <c r="F816" s="15" t="n"/>
    </row>
    <row r="817">
      <c r="E817" s="16" t="n"/>
      <c r="F817" s="15" t="n"/>
    </row>
    <row r="818">
      <c r="E818" s="16" t="n"/>
      <c r="F818" s="15" t="n"/>
    </row>
    <row r="819">
      <c r="E819" s="16" t="n"/>
      <c r="F819" s="15" t="n"/>
    </row>
    <row r="820">
      <c r="E820" s="16" t="n"/>
      <c r="F820" s="15" t="n"/>
    </row>
    <row r="821">
      <c r="E821" s="16" t="n"/>
      <c r="F821" s="15" t="n"/>
    </row>
    <row r="822">
      <c r="E822" s="16" t="n"/>
      <c r="F822" s="15" t="n"/>
    </row>
    <row r="823">
      <c r="E823" s="16" t="n"/>
      <c r="F823" s="15" t="n"/>
    </row>
    <row r="824">
      <c r="E824" s="16" t="n"/>
      <c r="F824" s="15" t="n"/>
    </row>
    <row r="825">
      <c r="E825" s="16" t="n"/>
      <c r="F825" s="15" t="n"/>
    </row>
    <row r="826">
      <c r="E826" s="16" t="n"/>
      <c r="F826" s="15" t="n"/>
    </row>
    <row r="827">
      <c r="E827" s="16" t="n"/>
      <c r="F827" s="15" t="n"/>
    </row>
    <row r="828">
      <c r="E828" s="16" t="n"/>
      <c r="F828" s="15" t="n"/>
    </row>
    <row r="829">
      <c r="E829" s="16" t="n"/>
      <c r="F829" s="15" t="n"/>
    </row>
    <row r="830">
      <c r="E830" s="16" t="n"/>
      <c r="F830" s="15" t="n"/>
    </row>
    <row r="831">
      <c r="E831" s="16" t="n"/>
      <c r="F831" s="15" t="n"/>
    </row>
    <row r="832">
      <c r="E832" s="16" t="n"/>
      <c r="F832" s="15" t="n"/>
    </row>
    <row r="833">
      <c r="E833" s="16" t="n"/>
      <c r="F833" s="15" t="n"/>
    </row>
    <row r="834">
      <c r="E834" s="16" t="n"/>
      <c r="F834" s="15" t="n"/>
    </row>
    <row r="835">
      <c r="E835" s="16" t="n"/>
      <c r="F835" s="15" t="n"/>
    </row>
    <row r="836">
      <c r="E836" s="16" t="n"/>
      <c r="F836" s="15" t="n"/>
    </row>
    <row r="837">
      <c r="E837" s="16" t="n"/>
      <c r="F837" s="15" t="n"/>
    </row>
    <row r="838">
      <c r="E838" s="16" t="n"/>
      <c r="F838" s="15" t="n"/>
    </row>
    <row r="839">
      <c r="E839" s="16" t="n"/>
      <c r="F839" s="15" t="n"/>
    </row>
    <row r="840">
      <c r="E840" s="16" t="n"/>
      <c r="F840" s="15" t="n"/>
    </row>
    <row r="841">
      <c r="E841" s="16" t="n"/>
      <c r="F841" s="15" t="n"/>
    </row>
    <row r="842">
      <c r="E842" s="16" t="n"/>
      <c r="F842" s="15" t="n"/>
    </row>
    <row r="843">
      <c r="E843" s="16" t="n"/>
      <c r="F843" s="15" t="n"/>
    </row>
    <row r="844">
      <c r="E844" s="16" t="n"/>
      <c r="F844" s="15" t="n"/>
    </row>
    <row r="845">
      <c r="E845" s="16" t="n"/>
      <c r="F845" s="15" t="n"/>
    </row>
    <row r="846">
      <c r="E846" s="16" t="n"/>
      <c r="F846" s="15" t="n"/>
    </row>
    <row r="847">
      <c r="E847" s="16" t="n"/>
      <c r="F847" s="15" t="n"/>
    </row>
    <row r="848">
      <c r="E848" s="16" t="n"/>
      <c r="F848" s="15" t="n"/>
    </row>
    <row r="849">
      <c r="E849" s="16" t="n"/>
      <c r="F849" s="15" t="n"/>
    </row>
    <row r="850">
      <c r="E850" s="16" t="n"/>
      <c r="F850" s="15" t="n"/>
    </row>
    <row r="851">
      <c r="E851" s="16" t="n"/>
      <c r="F851" s="15" t="n"/>
    </row>
    <row r="852">
      <c r="E852" s="16" t="n"/>
      <c r="F852" s="15" t="n"/>
    </row>
    <row r="853">
      <c r="E853" s="16" t="n"/>
      <c r="F853" s="15" t="n"/>
    </row>
    <row r="854">
      <c r="E854" s="16" t="n"/>
      <c r="F854" s="15" t="n"/>
    </row>
    <row r="855">
      <c r="E855" s="16" t="n"/>
      <c r="F855" s="15" t="n"/>
    </row>
    <row r="856">
      <c r="E856" s="16" t="n"/>
      <c r="F856" s="15" t="n"/>
    </row>
    <row r="857">
      <c r="E857" s="16" t="n"/>
      <c r="F857" s="15" t="n"/>
    </row>
    <row r="858">
      <c r="E858" s="16" t="n"/>
      <c r="F858" s="15" t="n"/>
    </row>
    <row r="859">
      <c r="E859" s="16" t="n"/>
      <c r="F859" s="15" t="n"/>
    </row>
    <row r="860">
      <c r="E860" s="16" t="n"/>
      <c r="F860" s="15" t="n"/>
    </row>
    <row r="861">
      <c r="E861" s="16" t="n"/>
      <c r="F861" s="15" t="n"/>
    </row>
    <row r="862">
      <c r="E862" s="16" t="n"/>
      <c r="F862" s="15" t="n"/>
    </row>
    <row r="863">
      <c r="E863" s="16" t="n"/>
      <c r="F863" s="15" t="n"/>
    </row>
    <row r="864">
      <c r="E864" s="16" t="n"/>
      <c r="F864" s="15" t="n"/>
    </row>
    <row r="865">
      <c r="E865" s="16" t="n"/>
      <c r="F865" s="15" t="n"/>
    </row>
    <row r="866">
      <c r="E866" s="16" t="n"/>
      <c r="F866" s="15" t="n"/>
    </row>
    <row r="867">
      <c r="E867" s="16" t="n"/>
      <c r="F867" s="15" t="n"/>
    </row>
    <row r="868">
      <c r="E868" s="16" t="n"/>
      <c r="F868" s="15" t="n"/>
    </row>
    <row r="869">
      <c r="E869" s="16" t="n"/>
      <c r="F869" s="15" t="n"/>
    </row>
    <row r="870">
      <c r="E870" s="16" t="n"/>
      <c r="F870" s="15" t="n"/>
    </row>
    <row r="871">
      <c r="E871" s="16" t="n"/>
      <c r="F871" s="15" t="n"/>
    </row>
    <row r="872">
      <c r="E872" s="16" t="n"/>
      <c r="F872" s="15" t="n"/>
    </row>
    <row r="873">
      <c r="E873" s="16" t="n"/>
      <c r="F873" s="15" t="n"/>
    </row>
    <row r="874">
      <c r="E874" s="16" t="n"/>
      <c r="F874" s="15" t="n"/>
    </row>
    <row r="875">
      <c r="E875" s="16" t="n"/>
      <c r="F875" s="15" t="n"/>
    </row>
    <row r="876">
      <c r="E876" s="16" t="n"/>
      <c r="F876" s="15" t="n"/>
    </row>
    <row r="877">
      <c r="E877" s="16" t="n"/>
      <c r="F877" s="15" t="n"/>
    </row>
    <row r="878">
      <c r="E878" s="16" t="n"/>
      <c r="F878" s="15" t="n"/>
    </row>
    <row r="879">
      <c r="E879" s="16" t="n"/>
      <c r="F879" s="15" t="n"/>
    </row>
    <row r="880">
      <c r="E880" s="16" t="n"/>
      <c r="F880" s="15" t="n"/>
    </row>
    <row r="881">
      <c r="E881" s="16" t="n"/>
      <c r="F881" s="15" t="n"/>
    </row>
    <row r="882">
      <c r="E882" s="16" t="n"/>
      <c r="F882" s="15" t="n"/>
    </row>
    <row r="883">
      <c r="E883" s="16" t="n"/>
      <c r="F883" s="15" t="n"/>
    </row>
    <row r="884">
      <c r="E884" s="16" t="n"/>
      <c r="F884" s="15" t="n"/>
    </row>
    <row r="885">
      <c r="E885" s="16" t="n"/>
      <c r="F885" s="15" t="n"/>
    </row>
    <row r="886">
      <c r="E886" s="16" t="n"/>
      <c r="F886" s="15" t="n"/>
    </row>
    <row r="887">
      <c r="E887" s="16" t="n"/>
      <c r="F887" s="15" t="n"/>
    </row>
    <row r="888">
      <c r="E888" s="16" t="n"/>
      <c r="F888" s="15" t="n"/>
    </row>
    <row r="889">
      <c r="E889" s="16" t="n"/>
      <c r="F889" s="15" t="n"/>
    </row>
    <row r="890">
      <c r="E890" s="16" t="n"/>
      <c r="F890" s="15" t="n"/>
    </row>
    <row r="891">
      <c r="E891" s="16" t="n"/>
      <c r="F891" s="15" t="n"/>
    </row>
    <row r="892">
      <c r="E892" s="16" t="n"/>
      <c r="F892" s="15" t="n"/>
    </row>
    <row r="893">
      <c r="E893" s="16" t="n"/>
      <c r="F893" s="15" t="n"/>
    </row>
    <row r="894">
      <c r="E894" s="16" t="n"/>
      <c r="F894" s="15" t="n"/>
    </row>
    <row r="895">
      <c r="E895" s="16" t="n"/>
      <c r="F895" s="15" t="n"/>
    </row>
    <row r="896">
      <c r="E896" s="16" t="n"/>
      <c r="F896" s="15" t="n"/>
    </row>
    <row r="897">
      <c r="E897" s="16" t="n"/>
      <c r="F897" s="15" t="n"/>
    </row>
    <row r="898">
      <c r="E898" s="16" t="n"/>
      <c r="F898" s="15" t="n"/>
    </row>
    <row r="899">
      <c r="E899" s="16" t="n"/>
      <c r="F899" s="15" t="n"/>
    </row>
    <row r="900">
      <c r="E900" s="16" t="n"/>
      <c r="F900" s="15" t="n"/>
    </row>
    <row r="901">
      <c r="E901" s="16" t="n"/>
      <c r="F901" s="15" t="n"/>
    </row>
    <row r="902">
      <c r="E902" s="16" t="n"/>
      <c r="F902" s="15" t="n"/>
    </row>
    <row r="903">
      <c r="E903" s="16" t="n"/>
      <c r="F903" s="15" t="n"/>
    </row>
    <row r="904">
      <c r="E904" s="16" t="n"/>
      <c r="F904" s="15" t="n"/>
    </row>
    <row r="905">
      <c r="E905" s="16" t="n"/>
      <c r="F905" s="15" t="n"/>
    </row>
    <row r="906">
      <c r="E906" s="16" t="n"/>
      <c r="F906" s="15" t="n"/>
    </row>
    <row r="907">
      <c r="E907" s="16" t="n"/>
      <c r="F907" s="15" t="n"/>
    </row>
    <row r="908">
      <c r="E908" s="16" t="n"/>
      <c r="F908" s="15" t="n"/>
    </row>
    <row r="909">
      <c r="E909" s="16" t="n"/>
      <c r="F909" s="15" t="n"/>
    </row>
    <row r="910">
      <c r="E910" s="16" t="n"/>
      <c r="F910" s="15" t="n"/>
    </row>
    <row r="911">
      <c r="E911" s="16" t="n"/>
      <c r="F911" s="15" t="n"/>
    </row>
    <row r="912">
      <c r="E912" s="16" t="n"/>
      <c r="F912" s="15" t="n"/>
    </row>
    <row r="913">
      <c r="E913" s="16" t="n"/>
      <c r="F913" s="15" t="n"/>
    </row>
    <row r="914">
      <c r="E914" s="16" t="n"/>
      <c r="F914" s="15" t="n"/>
    </row>
    <row r="915">
      <c r="E915" s="16" t="n"/>
      <c r="F915" s="15" t="n"/>
    </row>
    <row r="916">
      <c r="E916" s="16" t="n"/>
      <c r="F916" s="15" t="n"/>
    </row>
    <row r="917">
      <c r="E917" s="16" t="n"/>
      <c r="F917" s="15" t="n"/>
    </row>
    <row r="918">
      <c r="E918" s="16" t="n"/>
      <c r="F918" s="15" t="n"/>
    </row>
    <row r="919">
      <c r="E919" s="16" t="n"/>
      <c r="F919" s="15" t="n"/>
    </row>
    <row r="920">
      <c r="E920" s="16" t="n"/>
      <c r="F920" s="15" t="n"/>
    </row>
    <row r="921">
      <c r="E921" s="16" t="n"/>
      <c r="F921" s="15" t="n"/>
    </row>
    <row r="922">
      <c r="E922" s="16" t="n"/>
      <c r="F922" s="15" t="n"/>
    </row>
    <row r="923">
      <c r="E923" s="16" t="n"/>
      <c r="F923" s="15" t="n"/>
    </row>
    <row r="924">
      <c r="E924" s="16" t="n"/>
      <c r="F924" s="15" t="n"/>
    </row>
    <row r="925">
      <c r="E925" s="16" t="n"/>
      <c r="F925" s="15" t="n"/>
    </row>
    <row r="926">
      <c r="E926" s="16" t="n"/>
      <c r="F926" s="15" t="n"/>
    </row>
    <row r="927">
      <c r="E927" s="16" t="n"/>
      <c r="F927" s="15" t="n"/>
    </row>
    <row r="928">
      <c r="E928" s="16" t="n"/>
      <c r="F928" s="15" t="n"/>
    </row>
    <row r="929">
      <c r="E929" s="16" t="n"/>
      <c r="F929" s="15" t="n"/>
    </row>
    <row r="930">
      <c r="E930" s="16" t="n"/>
      <c r="F930" s="15" t="n"/>
    </row>
    <row r="931">
      <c r="E931" s="16" t="n"/>
      <c r="F931" s="15" t="n"/>
    </row>
    <row r="932">
      <c r="E932" s="16" t="n"/>
      <c r="F932" s="15" t="n"/>
    </row>
    <row r="933">
      <c r="E933" s="16" t="n"/>
      <c r="F933" s="15" t="n"/>
    </row>
    <row r="934">
      <c r="E934" s="16" t="n"/>
      <c r="F934" s="15" t="n"/>
    </row>
    <row r="935">
      <c r="E935" s="16" t="n"/>
      <c r="F935" s="15" t="n"/>
    </row>
    <row r="936">
      <c r="E936" s="16" t="n"/>
      <c r="F936" s="15" t="n"/>
    </row>
    <row r="937">
      <c r="E937" s="16" t="n"/>
      <c r="F937" s="15" t="n"/>
    </row>
    <row r="938">
      <c r="E938" s="16" t="n"/>
      <c r="F938" s="15" t="n"/>
    </row>
    <row r="939">
      <c r="E939" s="16" t="n"/>
      <c r="F939" s="15" t="n"/>
    </row>
    <row r="940">
      <c r="E940" s="16" t="n"/>
      <c r="F940" s="15" t="n"/>
    </row>
    <row r="941">
      <c r="E941" s="16" t="n"/>
      <c r="F941" s="15" t="n"/>
    </row>
    <row r="942">
      <c r="E942" s="16" t="n"/>
      <c r="F942" s="15" t="n"/>
    </row>
    <row r="943">
      <c r="E943" s="16" t="n"/>
      <c r="F943" s="15" t="n"/>
    </row>
    <row r="944">
      <c r="E944" s="16" t="n"/>
      <c r="F944" s="15" t="n"/>
    </row>
    <row r="945">
      <c r="E945" s="16" t="n"/>
      <c r="F945" s="15" t="n"/>
    </row>
    <row r="946">
      <c r="E946" s="16" t="n"/>
      <c r="F946" s="15" t="n"/>
    </row>
    <row r="947">
      <c r="E947" s="16" t="n"/>
      <c r="F947" s="15" t="n"/>
    </row>
    <row r="948">
      <c r="E948" s="16" t="n"/>
      <c r="F948" s="15" t="n"/>
    </row>
    <row r="949">
      <c r="E949" s="16" t="n"/>
      <c r="F949" s="15" t="n"/>
    </row>
    <row r="950">
      <c r="E950" s="16" t="n"/>
      <c r="F950" s="15" t="n"/>
    </row>
    <row r="951">
      <c r="E951" s="16" t="n"/>
      <c r="F951" s="15" t="n"/>
    </row>
    <row r="952">
      <c r="E952" s="16" t="n"/>
      <c r="F952" s="15" t="n"/>
    </row>
    <row r="953">
      <c r="E953" s="16" t="n"/>
      <c r="F953" s="15" t="n"/>
    </row>
    <row r="954">
      <c r="E954" s="16" t="n"/>
      <c r="F954" s="15" t="n"/>
    </row>
    <row r="955">
      <c r="E955" s="16" t="n"/>
      <c r="F955" s="15" t="n"/>
    </row>
    <row r="956">
      <c r="E956" s="16" t="n"/>
      <c r="F956" s="15" t="n"/>
    </row>
    <row r="957">
      <c r="E957" s="16" t="n"/>
      <c r="F957" s="15" t="n"/>
    </row>
    <row r="958">
      <c r="E958" s="16" t="n"/>
      <c r="F958" s="15" t="n"/>
    </row>
    <row r="959">
      <c r="E959" s="16" t="n"/>
      <c r="F959" s="15" t="n"/>
    </row>
    <row r="960">
      <c r="E960" s="16" t="n"/>
      <c r="F960" s="15" t="n"/>
    </row>
    <row r="961">
      <c r="E961" s="16" t="n"/>
      <c r="F961" s="15" t="n"/>
    </row>
    <row r="962">
      <c r="E962" s="16" t="n"/>
      <c r="F962" s="15" t="n"/>
    </row>
    <row r="963">
      <c r="E963" s="16" t="n"/>
      <c r="F963" s="15" t="n"/>
    </row>
    <row r="964">
      <c r="E964" s="16" t="n"/>
      <c r="F964" s="15" t="n"/>
    </row>
    <row r="965">
      <c r="E965" s="16" t="n"/>
      <c r="F965" s="15" t="n"/>
    </row>
    <row r="966">
      <c r="E966" s="16" t="n"/>
      <c r="F966" s="15" t="n"/>
    </row>
    <row r="967">
      <c r="E967" s="16" t="n"/>
      <c r="F967" s="15" t="n"/>
    </row>
    <row r="968">
      <c r="E968" s="16" t="n"/>
      <c r="F968" s="15" t="n"/>
    </row>
    <row r="969">
      <c r="E969" s="16" t="n"/>
      <c r="F969" s="15" t="n"/>
    </row>
    <row r="970">
      <c r="E970" s="16" t="n"/>
      <c r="F970" s="15" t="n"/>
    </row>
    <row r="971">
      <c r="E971" s="16" t="n"/>
      <c r="F971" s="15" t="n"/>
    </row>
    <row r="972">
      <c r="E972" s="16" t="n"/>
      <c r="F972" s="15" t="n"/>
    </row>
    <row r="973">
      <c r="E973" s="16" t="n"/>
      <c r="F973" s="15" t="n"/>
    </row>
    <row r="974">
      <c r="E974" s="16" t="n"/>
      <c r="F974" s="15" t="n"/>
    </row>
    <row r="975">
      <c r="E975" s="16" t="n"/>
      <c r="F975" s="15" t="n"/>
    </row>
    <row r="976">
      <c r="E976" s="16" t="n"/>
      <c r="F976" s="15" t="n"/>
    </row>
    <row r="977">
      <c r="E977" s="16" t="n"/>
      <c r="F977" s="15" t="n"/>
    </row>
    <row r="978">
      <c r="E978" s="16" t="n"/>
      <c r="F978" s="15" t="n"/>
    </row>
    <row r="979">
      <c r="E979" s="16" t="n"/>
      <c r="F979" s="15" t="n"/>
    </row>
    <row r="980">
      <c r="E980" s="16" t="n"/>
      <c r="F980" s="15" t="n"/>
    </row>
    <row r="981">
      <c r="E981" s="16" t="n"/>
      <c r="F981" s="15" t="n"/>
    </row>
    <row r="982">
      <c r="E982" s="16" t="n"/>
      <c r="F982" s="15" t="n"/>
    </row>
    <row r="983">
      <c r="E983" s="16" t="n"/>
      <c r="F983" s="15" t="n"/>
    </row>
    <row r="984">
      <c r="E984" s="16" t="n"/>
      <c r="F984" s="15" t="n"/>
    </row>
    <row r="985">
      <c r="E985" s="16" t="n"/>
      <c r="F985" s="15" t="n"/>
    </row>
    <row r="986">
      <c r="E986" s="16" t="n"/>
      <c r="F986" s="15" t="n"/>
    </row>
    <row r="987">
      <c r="E987" s="16" t="n"/>
      <c r="F987" s="15" t="n"/>
    </row>
    <row r="988">
      <c r="E988" s="16" t="n"/>
      <c r="F988" s="15" t="n"/>
    </row>
    <row r="989">
      <c r="E989" s="16" t="n"/>
      <c r="F989" s="15" t="n"/>
    </row>
    <row r="990">
      <c r="E990" s="16" t="n"/>
      <c r="F990" s="15" t="n"/>
    </row>
    <row r="991">
      <c r="E991" s="16" t="n"/>
      <c r="F991" s="15" t="n"/>
    </row>
    <row r="992">
      <c r="E992" s="16" t="n"/>
      <c r="F992" s="15" t="n"/>
    </row>
    <row r="993">
      <c r="E993" s="16" t="n"/>
      <c r="F993" s="15" t="n"/>
    </row>
    <row r="994">
      <c r="E994" s="16" t="n"/>
      <c r="F994" s="15" t="n"/>
    </row>
    <row r="995">
      <c r="E995" s="16" t="n"/>
      <c r="F995" s="15" t="n"/>
    </row>
    <row r="996">
      <c r="E996" s="16" t="n"/>
      <c r="F996" s="15" t="n"/>
    </row>
    <row r="997">
      <c r="E997" s="16" t="n"/>
      <c r="F997" s="15" t="n"/>
    </row>
    <row r="998">
      <c r="E998" s="16" t="n"/>
      <c r="F998" s="15" t="n"/>
    </row>
    <row r="999">
      <c r="E999" s="16" t="n"/>
      <c r="F999" s="15" t="n"/>
    </row>
    <row r="1000">
      <c r="E1000" s="16" t="n"/>
      <c r="F1000" s="15" t="n"/>
    </row>
    <row r="1001">
      <c r="E1001" s="16" t="n"/>
      <c r="F1001" s="15" t="n"/>
    </row>
    <row r="1002">
      <c r="E1002" s="16" t="n"/>
      <c r="F1002" s="15" t="n"/>
    </row>
    <row r="1003">
      <c r="E1003" s="16" t="n"/>
      <c r="F1003" s="15" t="n"/>
    </row>
    <row r="1004">
      <c r="E1004" s="16" t="n"/>
      <c r="F1004" s="15" t="n"/>
    </row>
    <row r="1005">
      <c r="E1005" s="16" t="n"/>
      <c r="F1005" s="15" t="n"/>
    </row>
    <row r="1006">
      <c r="E1006" s="16" t="n"/>
      <c r="F1006" s="15" t="n"/>
    </row>
    <row r="1007">
      <c r="E1007" s="16" t="n"/>
      <c r="F1007" s="15" t="n"/>
    </row>
    <row r="1008">
      <c r="E1008" s="16" t="n"/>
      <c r="F1008" s="15" t="n"/>
    </row>
    <row r="1009">
      <c r="E1009" s="16" t="n"/>
      <c r="F1009" s="15" t="n"/>
    </row>
    <row r="1010">
      <c r="E1010" s="16" t="n"/>
      <c r="F1010" s="15" t="n"/>
    </row>
    <row r="1011">
      <c r="E1011" s="16" t="n"/>
      <c r="F1011" s="15" t="n"/>
    </row>
    <row r="1012">
      <c r="E1012" s="16" t="n"/>
      <c r="F1012" s="15" t="n"/>
    </row>
    <row r="1013">
      <c r="E1013" s="16" t="n"/>
      <c r="F1013" s="15" t="n"/>
    </row>
    <row r="1014">
      <c r="E1014" s="16" t="n"/>
      <c r="F1014" s="15" t="n"/>
    </row>
    <row r="1015">
      <c r="E1015" s="16" t="n"/>
      <c r="F1015" s="15" t="n"/>
    </row>
    <row r="1016">
      <c r="E1016" s="16" t="n"/>
      <c r="F1016" s="15" t="n"/>
    </row>
    <row r="1017">
      <c r="E1017" s="16" t="n"/>
      <c r="F1017" s="15" t="n"/>
    </row>
    <row r="1018">
      <c r="E1018" s="16" t="n"/>
      <c r="F1018" s="15" t="n"/>
    </row>
    <row r="1019">
      <c r="E1019" s="16" t="n"/>
      <c r="F1019" s="15" t="n"/>
    </row>
    <row r="1020">
      <c r="E1020" s="16" t="n"/>
      <c r="F1020" s="15" t="n"/>
    </row>
    <row r="1021">
      <c r="E1021" s="16" t="n"/>
      <c r="F1021" s="15" t="n"/>
    </row>
    <row r="1022">
      <c r="E1022" s="16" t="n"/>
      <c r="F1022" s="15" t="n"/>
    </row>
    <row r="1023">
      <c r="E1023" s="16" t="n"/>
      <c r="F1023" s="15" t="n"/>
    </row>
    <row r="1024">
      <c r="E1024" s="16" t="n"/>
      <c r="F1024" s="15" t="n"/>
    </row>
    <row r="1025">
      <c r="E1025" s="16" t="n"/>
      <c r="F1025" s="15" t="n"/>
    </row>
    <row r="1026">
      <c r="E1026" s="16" t="n"/>
      <c r="F1026" s="15" t="n"/>
    </row>
    <row r="1027">
      <c r="E1027" s="16" t="n"/>
      <c r="F1027" s="15" t="n"/>
    </row>
    <row r="1028">
      <c r="E1028" s="16" t="n"/>
      <c r="F1028" s="15" t="n"/>
    </row>
    <row r="1029">
      <c r="E1029" s="16" t="n"/>
      <c r="F1029" s="15" t="n"/>
    </row>
    <row r="1030">
      <c r="E1030" s="16" t="n"/>
      <c r="F1030" s="15" t="n"/>
    </row>
    <row r="1031">
      <c r="E1031" s="16" t="n"/>
      <c r="F1031" s="15" t="n"/>
    </row>
    <row r="1032">
      <c r="E1032" s="16" t="n"/>
      <c r="F1032" s="15" t="n"/>
    </row>
    <row r="1033">
      <c r="E1033" s="16" t="n"/>
      <c r="F1033" s="15" t="n"/>
    </row>
    <row r="1034">
      <c r="E1034" s="16" t="n"/>
      <c r="F1034" s="15" t="n"/>
    </row>
    <row r="1035">
      <c r="E1035" s="16" t="n"/>
      <c r="F1035" s="15" t="n"/>
    </row>
    <row r="1036">
      <c r="E1036" s="16" t="n"/>
      <c r="F1036" s="15" t="n"/>
    </row>
    <row r="1037">
      <c r="E1037" s="16" t="n"/>
      <c r="F1037" s="15" t="n"/>
    </row>
    <row r="1038">
      <c r="E1038" s="16" t="n"/>
      <c r="F1038" s="15" t="n"/>
    </row>
    <row r="1039">
      <c r="E1039" s="16" t="n"/>
      <c r="F1039" s="15" t="n"/>
    </row>
    <row r="1040">
      <c r="E1040" s="16" t="n"/>
      <c r="F1040" s="15" t="n"/>
    </row>
    <row r="1041">
      <c r="E1041" s="16" t="n"/>
      <c r="F1041" s="15" t="n"/>
    </row>
    <row r="1042">
      <c r="E1042" s="16" t="n"/>
      <c r="F1042" s="15" t="n"/>
    </row>
    <row r="1043">
      <c r="E1043" s="16" t="n"/>
      <c r="F1043" s="15" t="n"/>
    </row>
    <row r="1044">
      <c r="E1044" s="16" t="n"/>
      <c r="F1044" s="15" t="n"/>
    </row>
    <row r="1045">
      <c r="E1045" s="16" t="n"/>
      <c r="F1045" s="15" t="n"/>
    </row>
    <row r="1046">
      <c r="E1046" s="16" t="n"/>
      <c r="F1046" s="15" t="n"/>
    </row>
    <row r="1047">
      <c r="E1047" s="16" t="n"/>
      <c r="F1047" s="15" t="n"/>
    </row>
    <row r="1048">
      <c r="E1048" s="16" t="n"/>
      <c r="F1048" s="15" t="n"/>
    </row>
    <row r="1049">
      <c r="E1049" s="16" t="n"/>
      <c r="F1049" s="15" t="n"/>
    </row>
    <row r="1050">
      <c r="E1050" s="16" t="n"/>
      <c r="F1050" s="15" t="n"/>
    </row>
    <row r="1051">
      <c r="E1051" s="16" t="n"/>
      <c r="F1051" s="15" t="n"/>
    </row>
    <row r="1052">
      <c r="E1052" s="16" t="n"/>
      <c r="F1052" s="15" t="n"/>
    </row>
    <row r="1053">
      <c r="E1053" s="16" t="n"/>
      <c r="F1053" s="15" t="n"/>
    </row>
    <row r="1054">
      <c r="E1054" s="16" t="n"/>
      <c r="F1054" s="15" t="n"/>
    </row>
    <row r="1055">
      <c r="E1055" s="16" t="n"/>
      <c r="F1055" s="15" t="n"/>
    </row>
    <row r="1056">
      <c r="E1056" s="16" t="n"/>
      <c r="F1056" s="15" t="n"/>
    </row>
    <row r="1057">
      <c r="E1057" s="16" t="n"/>
      <c r="F1057" s="15" t="n"/>
    </row>
    <row r="1058">
      <c r="E1058" s="16" t="n"/>
      <c r="F1058" s="15" t="n"/>
    </row>
    <row r="1059">
      <c r="E1059" s="16" t="n"/>
      <c r="F1059" s="15" t="n"/>
    </row>
    <row r="1060">
      <c r="E1060" s="16" t="n"/>
      <c r="F1060" s="15" t="n"/>
    </row>
    <row r="1061">
      <c r="E1061" s="16" t="n"/>
      <c r="F1061" s="15" t="n"/>
    </row>
    <row r="1062">
      <c r="E1062" s="16" t="n"/>
      <c r="F1062" s="15" t="n"/>
    </row>
    <row r="1063">
      <c r="E1063" s="16" t="n"/>
      <c r="F1063" s="15" t="n"/>
    </row>
    <row r="1064">
      <c r="E1064" s="16" t="n"/>
      <c r="F1064" s="15" t="n"/>
    </row>
    <row r="1065">
      <c r="E1065" s="16" t="n"/>
      <c r="F1065" s="15" t="n"/>
    </row>
    <row r="1066">
      <c r="E1066" s="16" t="n"/>
      <c r="F1066" s="15" t="n"/>
    </row>
    <row r="1067">
      <c r="E1067" s="16" t="n"/>
      <c r="F1067" s="15" t="n"/>
    </row>
    <row r="1068">
      <c r="E1068" s="16" t="n"/>
      <c r="F1068" s="15" t="n"/>
    </row>
    <row r="1069">
      <c r="E1069" s="16" t="n"/>
      <c r="F1069" s="15" t="n"/>
    </row>
    <row r="1070">
      <c r="E1070" s="16" t="n"/>
      <c r="F1070" s="15" t="n"/>
    </row>
    <row r="1071">
      <c r="E1071" s="16" t="n"/>
      <c r="F1071" s="15" t="n"/>
    </row>
    <row r="1072">
      <c r="E1072" s="16" t="n"/>
      <c r="F1072" s="15" t="n"/>
    </row>
    <row r="1073">
      <c r="E1073" s="16" t="n"/>
      <c r="F1073" s="15" t="n"/>
    </row>
    <row r="1074">
      <c r="E1074" s="16" t="n"/>
      <c r="F1074" s="15" t="n"/>
    </row>
    <row r="1075">
      <c r="E1075" s="16" t="n"/>
      <c r="F1075" s="15" t="n"/>
    </row>
    <row r="1076">
      <c r="E1076" s="16" t="n"/>
      <c r="F1076" s="15" t="n"/>
    </row>
    <row r="1077">
      <c r="E1077" s="16" t="n"/>
      <c r="F1077" s="15" t="n"/>
    </row>
    <row r="1078">
      <c r="E1078" s="16" t="n"/>
      <c r="F1078" s="15" t="n"/>
    </row>
    <row r="1079">
      <c r="E1079" s="16" t="n"/>
      <c r="F1079" s="15" t="n"/>
    </row>
    <row r="1080">
      <c r="E1080" s="16" t="n"/>
      <c r="F1080" s="15" t="n"/>
    </row>
    <row r="1081">
      <c r="E1081" s="16" t="n"/>
      <c r="F1081" s="15" t="n"/>
    </row>
    <row r="1082">
      <c r="E1082" s="16" t="n"/>
      <c r="F1082" s="15" t="n"/>
    </row>
    <row r="1083">
      <c r="E1083" s="16" t="n"/>
      <c r="F1083" s="15" t="n"/>
    </row>
    <row r="1084">
      <c r="E1084" s="16" t="n"/>
      <c r="F1084" s="15" t="n"/>
    </row>
    <row r="1085">
      <c r="E1085" s="16" t="n"/>
      <c r="F1085" s="15" t="n"/>
    </row>
    <row r="1086">
      <c r="E1086" s="16" t="n"/>
      <c r="F1086" s="15" t="n"/>
    </row>
    <row r="1087">
      <c r="E1087" s="16" t="n"/>
      <c r="F1087" s="15" t="n"/>
    </row>
    <row r="1088">
      <c r="E1088" s="16" t="n"/>
      <c r="F1088" s="15" t="n"/>
    </row>
    <row r="1089">
      <c r="E1089" s="16" t="n"/>
      <c r="F1089" s="15" t="n"/>
    </row>
    <row r="1090">
      <c r="E1090" s="16" t="n"/>
      <c r="F1090" s="15" t="n"/>
    </row>
    <row r="1091">
      <c r="E1091" s="16" t="n"/>
      <c r="F1091" s="15" t="n"/>
    </row>
    <row r="1092">
      <c r="E1092" s="16" t="n"/>
      <c r="F1092" s="15" t="n"/>
    </row>
    <row r="1093">
      <c r="E1093" s="16" t="n"/>
      <c r="F1093" s="15" t="n"/>
    </row>
    <row r="1094">
      <c r="E1094" s="16" t="n"/>
      <c r="F1094" s="15" t="n"/>
    </row>
    <row r="1095">
      <c r="E1095" s="16" t="n"/>
      <c r="F1095" s="15" t="n"/>
    </row>
    <row r="1096">
      <c r="E1096" s="16" t="n"/>
      <c r="F1096" s="15" t="n"/>
    </row>
    <row r="1097">
      <c r="E1097" s="16" t="n"/>
      <c r="F1097" s="15" t="n"/>
    </row>
    <row r="1098">
      <c r="E1098" s="16" t="n"/>
      <c r="F1098" s="15" t="n"/>
    </row>
    <row r="1099">
      <c r="E1099" s="16" t="n"/>
      <c r="F1099" s="15" t="n"/>
    </row>
    <row r="1100">
      <c r="E1100" s="16" t="n"/>
      <c r="F1100" s="15" t="n"/>
    </row>
    <row r="1101">
      <c r="E1101" s="16" t="n"/>
      <c r="F1101" s="15" t="n"/>
    </row>
    <row r="1102">
      <c r="E1102" s="16" t="n"/>
      <c r="F1102" s="15" t="n"/>
    </row>
    <row r="1103">
      <c r="E1103" s="16" t="n"/>
      <c r="F1103" s="15" t="n"/>
    </row>
    <row r="1104">
      <c r="E1104" s="16" t="n"/>
      <c r="F1104" s="15" t="n"/>
    </row>
    <row r="1105">
      <c r="E1105" s="16" t="n"/>
      <c r="F1105" s="15" t="n"/>
    </row>
    <row r="1106">
      <c r="E1106" s="16" t="n"/>
      <c r="F1106" s="15" t="n"/>
    </row>
    <row r="1107">
      <c r="E1107" s="16" t="n"/>
      <c r="F1107" s="15" t="n"/>
    </row>
    <row r="1108">
      <c r="E1108" s="16" t="n"/>
      <c r="F1108" s="15" t="n"/>
    </row>
    <row r="1109">
      <c r="E1109" s="16" t="n"/>
      <c r="F1109" s="15" t="n"/>
    </row>
    <row r="1110">
      <c r="E1110" s="16" t="n"/>
      <c r="F1110" s="15" t="n"/>
    </row>
    <row r="1111">
      <c r="E1111" s="16" t="n"/>
      <c r="F1111" s="15" t="n"/>
    </row>
    <row r="1112">
      <c r="E1112" s="16" t="n"/>
      <c r="F1112" s="15" t="n"/>
    </row>
    <row r="1113">
      <c r="E1113" s="16" t="n"/>
      <c r="F1113" s="15" t="n"/>
    </row>
    <row r="1114">
      <c r="E1114" s="16" t="n"/>
      <c r="F1114" s="15" t="n"/>
    </row>
    <row r="1115">
      <c r="E1115" s="16" t="n"/>
      <c r="F1115" s="15" t="n"/>
    </row>
    <row r="1116">
      <c r="E1116" s="16" t="n"/>
      <c r="F1116" s="15" t="n"/>
    </row>
    <row r="1117">
      <c r="E1117" s="16" t="n"/>
      <c r="F1117" s="15" t="n"/>
    </row>
    <row r="1118">
      <c r="E1118" s="16" t="n"/>
      <c r="F1118" s="15" t="n"/>
    </row>
    <row r="1119">
      <c r="E1119" s="16" t="n"/>
      <c r="F1119" s="15" t="n"/>
    </row>
    <row r="1120">
      <c r="E1120" s="16" t="n"/>
      <c r="F1120" s="15" t="n"/>
    </row>
    <row r="1121">
      <c r="E1121" s="16" t="n"/>
      <c r="F1121" s="15" t="n"/>
    </row>
    <row r="1122">
      <c r="E1122" s="16" t="n"/>
      <c r="F1122" s="15" t="n"/>
    </row>
    <row r="1123">
      <c r="E1123" s="16" t="n"/>
      <c r="F1123" s="15" t="n"/>
    </row>
    <row r="1124">
      <c r="E1124" s="16" t="n"/>
      <c r="F1124" s="15" t="n"/>
    </row>
    <row r="1125">
      <c r="E1125" s="16" t="n"/>
      <c r="F1125" s="15" t="n"/>
    </row>
    <row r="1126">
      <c r="E1126" s="16" t="n"/>
      <c r="F1126" s="15" t="n"/>
    </row>
    <row r="1127">
      <c r="E1127" s="16" t="n"/>
      <c r="F1127" s="15" t="n"/>
    </row>
    <row r="1128">
      <c r="E1128" s="16" t="n"/>
      <c r="F1128" s="15" t="n"/>
    </row>
    <row r="1129">
      <c r="E1129" s="16" t="n"/>
      <c r="F1129" s="15" t="n"/>
    </row>
    <row r="1130">
      <c r="E1130" s="16" t="n"/>
      <c r="F1130" s="15" t="n"/>
    </row>
    <row r="1131">
      <c r="E1131" s="16" t="n"/>
      <c r="F1131" s="15" t="n"/>
    </row>
    <row r="1132">
      <c r="E1132" s="16" t="n"/>
      <c r="F1132" s="15" t="n"/>
    </row>
    <row r="1133">
      <c r="E1133" s="16" t="n"/>
      <c r="F1133" s="15" t="n"/>
    </row>
    <row r="1134">
      <c r="E1134" s="16" t="n"/>
      <c r="F1134" s="15" t="n"/>
    </row>
    <row r="1135">
      <c r="E1135" s="16" t="n"/>
      <c r="F1135" s="15" t="n"/>
    </row>
    <row r="1136">
      <c r="E1136" s="16" t="n"/>
      <c r="F1136" s="15" t="n"/>
    </row>
    <row r="1137">
      <c r="E1137" s="16" t="n"/>
      <c r="F1137" s="15" t="n"/>
    </row>
    <row r="1138">
      <c r="E1138" s="16" t="n"/>
      <c r="F1138" s="15" t="n"/>
    </row>
    <row r="1139">
      <c r="E1139" s="16" t="n"/>
      <c r="F1139" s="15" t="n"/>
    </row>
    <row r="1140">
      <c r="E1140" s="16" t="n"/>
      <c r="F1140" s="15" t="n"/>
    </row>
    <row r="1141">
      <c r="E1141" s="16" t="n"/>
      <c r="F1141" s="15" t="n"/>
    </row>
    <row r="1142">
      <c r="E1142" s="16" t="n"/>
      <c r="F1142" s="15" t="n"/>
    </row>
    <row r="1143">
      <c r="E1143" s="16" t="n"/>
      <c r="F1143" s="15" t="n"/>
    </row>
    <row r="1144">
      <c r="E1144" s="16" t="n"/>
      <c r="F1144" s="15" t="n"/>
    </row>
    <row r="1145">
      <c r="E1145" s="16" t="n"/>
      <c r="F1145" s="15" t="n"/>
    </row>
    <row r="1146">
      <c r="E1146" s="16" t="n"/>
      <c r="F1146" s="15" t="n"/>
    </row>
    <row r="1147">
      <c r="E1147" s="16" t="n"/>
      <c r="F1147" s="15" t="n"/>
    </row>
    <row r="1148">
      <c r="E1148" s="16" t="n"/>
      <c r="F1148" s="15" t="n"/>
    </row>
    <row r="1149">
      <c r="E1149" s="16" t="n"/>
      <c r="F1149" s="15" t="n"/>
    </row>
    <row r="1150">
      <c r="E1150" s="16" t="n"/>
      <c r="F1150" s="15" t="n"/>
    </row>
    <row r="1151">
      <c r="E1151" s="16" t="n"/>
      <c r="F1151" s="15" t="n"/>
    </row>
    <row r="1152">
      <c r="E1152" s="16" t="n"/>
      <c r="F1152" s="15" t="n"/>
    </row>
    <row r="1153">
      <c r="E1153" s="16" t="n"/>
      <c r="F1153" s="15" t="n"/>
    </row>
    <row r="1154">
      <c r="E1154" s="16" t="n"/>
      <c r="F1154" s="15" t="n"/>
    </row>
    <row r="1155">
      <c r="E1155" s="16" t="n"/>
      <c r="F1155" s="15" t="n"/>
    </row>
    <row r="1156">
      <c r="E1156" s="16" t="n"/>
      <c r="F1156" s="15" t="n"/>
    </row>
    <row r="1157">
      <c r="E1157" s="16" t="n"/>
      <c r="F1157" s="15" t="n"/>
    </row>
    <row r="1158">
      <c r="E1158" s="16" t="n"/>
      <c r="F1158" s="15" t="n"/>
    </row>
    <row r="1159">
      <c r="E1159" s="16" t="n"/>
      <c r="F1159" s="15" t="n"/>
    </row>
    <row r="1160">
      <c r="E1160" s="16" t="n"/>
      <c r="F1160" s="15" t="n"/>
    </row>
    <row r="1161">
      <c r="E1161" s="16" t="n"/>
      <c r="F1161" s="15" t="n"/>
    </row>
    <row r="1162">
      <c r="E1162" s="16" t="n"/>
      <c r="F1162" s="15" t="n"/>
    </row>
    <row r="1163">
      <c r="E1163" s="16" t="n"/>
      <c r="F1163" s="15" t="n"/>
    </row>
    <row r="1164">
      <c r="E1164" s="16" t="n"/>
      <c r="F1164" s="15" t="n"/>
    </row>
    <row r="1165">
      <c r="E1165" s="16" t="n"/>
      <c r="F1165" s="15" t="n"/>
    </row>
    <row r="1166">
      <c r="E1166" s="16" t="n"/>
      <c r="F1166" s="15" t="n"/>
    </row>
    <row r="1167">
      <c r="E1167" s="16" t="n"/>
      <c r="F1167" s="15" t="n"/>
    </row>
    <row r="1168">
      <c r="E1168" s="16" t="n"/>
      <c r="F1168" s="15" t="n"/>
    </row>
    <row r="1169">
      <c r="E1169" s="16" t="n"/>
      <c r="F1169" s="15" t="n"/>
    </row>
    <row r="1170">
      <c r="E1170" s="16" t="n"/>
      <c r="F1170" s="15" t="n"/>
    </row>
    <row r="1171">
      <c r="E1171" s="16" t="n"/>
      <c r="F1171" s="15" t="n"/>
    </row>
    <row r="1172">
      <c r="E1172" s="16" t="n"/>
      <c r="F1172" s="15" t="n"/>
    </row>
    <row r="1173">
      <c r="E1173" s="16" t="n"/>
      <c r="F1173" s="15" t="n"/>
    </row>
    <row r="1174">
      <c r="E1174" s="16" t="n"/>
      <c r="F1174" s="15" t="n"/>
    </row>
    <row r="1175">
      <c r="E1175" s="16" t="n"/>
      <c r="F1175" s="15" t="n"/>
    </row>
    <row r="1176">
      <c r="E1176" s="16" t="n"/>
      <c r="F1176" s="15" t="n"/>
    </row>
    <row r="1177">
      <c r="E1177" s="16" t="n"/>
      <c r="F1177" s="15" t="n"/>
    </row>
    <row r="1178">
      <c r="E1178" s="16" t="n"/>
      <c r="F1178" s="15" t="n"/>
    </row>
    <row r="1179">
      <c r="E1179" s="16" t="n"/>
      <c r="F1179" s="15" t="n"/>
    </row>
    <row r="1180">
      <c r="E1180" s="16" t="n"/>
      <c r="F1180" s="15" t="n"/>
    </row>
    <row r="1181">
      <c r="E1181" s="16" t="n"/>
      <c r="F1181" s="15" t="n"/>
    </row>
    <row r="1182">
      <c r="E1182" s="16" t="n"/>
      <c r="F1182" s="15" t="n"/>
    </row>
    <row r="1183">
      <c r="E1183" s="16" t="n"/>
      <c r="F1183" s="15" t="n"/>
    </row>
    <row r="1184">
      <c r="E1184" s="16" t="n"/>
      <c r="F1184" s="15" t="n"/>
    </row>
    <row r="1185">
      <c r="E1185" s="16" t="n"/>
      <c r="F1185" s="15" t="n"/>
    </row>
    <row r="1186">
      <c r="E1186" s="16" t="n"/>
      <c r="F1186" s="15" t="n"/>
    </row>
    <row r="1187">
      <c r="E1187" s="16" t="n"/>
      <c r="F1187" s="15" t="n"/>
    </row>
    <row r="1188">
      <c r="E1188" s="16" t="n"/>
      <c r="F1188" s="15" t="n"/>
    </row>
    <row r="1189">
      <c r="E1189" s="16" t="n"/>
      <c r="F1189" s="15" t="n"/>
    </row>
    <row r="1190">
      <c r="E1190" s="16" t="n"/>
      <c r="F1190" s="15" t="n"/>
    </row>
    <row r="1191">
      <c r="E1191" s="16" t="n"/>
      <c r="F1191" s="15" t="n"/>
    </row>
    <row r="1192">
      <c r="E1192" s="16" t="n"/>
      <c r="F1192" s="15" t="n"/>
    </row>
    <row r="1193">
      <c r="E1193" s="16" t="n"/>
      <c r="F1193" s="15" t="n"/>
    </row>
    <row r="1194">
      <c r="E1194" s="16" t="n"/>
      <c r="F1194" s="15" t="n"/>
    </row>
    <row r="1195">
      <c r="E1195" s="16" t="n"/>
      <c r="F1195" s="15" t="n"/>
    </row>
    <row r="1196">
      <c r="E1196" s="16" t="n"/>
      <c r="F1196" s="15" t="n"/>
    </row>
    <row r="1197">
      <c r="E1197" s="16" t="n"/>
      <c r="F1197" s="15" t="n"/>
    </row>
    <row r="1198">
      <c r="E1198" s="16" t="n"/>
      <c r="F1198" s="15" t="n"/>
    </row>
    <row r="1199">
      <c r="E1199" s="16" t="n"/>
      <c r="F1199" s="15" t="n"/>
    </row>
    <row r="1200">
      <c r="E1200" s="16" t="n"/>
      <c r="F1200" s="15" t="n"/>
    </row>
    <row r="1201">
      <c r="E1201" s="16" t="n"/>
      <c r="F1201" s="15" t="n"/>
    </row>
    <row r="1202">
      <c r="E1202" s="16" t="n"/>
      <c r="F1202" s="15" t="n"/>
    </row>
    <row r="1203">
      <c r="E1203" s="16" t="n"/>
      <c r="F1203" s="15" t="n"/>
    </row>
    <row r="1204">
      <c r="E1204" s="16" t="n"/>
      <c r="F1204" s="15" t="n"/>
    </row>
    <row r="1205">
      <c r="E1205" s="16" t="n"/>
      <c r="F1205" s="15" t="n"/>
    </row>
    <row r="1206">
      <c r="E1206" s="16" t="n"/>
      <c r="F1206" s="15" t="n"/>
    </row>
    <row r="1207">
      <c r="E1207" s="16" t="n"/>
      <c r="F1207" s="15" t="n"/>
    </row>
    <row r="1208">
      <c r="E1208" s="16" t="n"/>
      <c r="F1208" s="15" t="n"/>
    </row>
    <row r="1209">
      <c r="E1209" s="16" t="n"/>
      <c r="F1209" s="15" t="n"/>
    </row>
    <row r="1210">
      <c r="E1210" s="16" t="n"/>
      <c r="F1210" s="15" t="n"/>
    </row>
    <row r="1211">
      <c r="E1211" s="16" t="n"/>
      <c r="F1211" s="15" t="n"/>
    </row>
    <row r="1212">
      <c r="E1212" s="16" t="n"/>
      <c r="F1212" s="15" t="n"/>
    </row>
    <row r="1213">
      <c r="E1213" s="16" t="n"/>
      <c r="F1213" s="15" t="n"/>
    </row>
    <row r="1214">
      <c r="E1214" s="16" t="n"/>
      <c r="F1214" s="15" t="n"/>
    </row>
    <row r="1215">
      <c r="E1215" s="16" t="n"/>
      <c r="F1215" s="15" t="n"/>
    </row>
    <row r="1216">
      <c r="E1216" s="16" t="n"/>
      <c r="F1216" s="15" t="n"/>
    </row>
    <row r="1217">
      <c r="E1217" s="16" t="n"/>
      <c r="F1217" s="15" t="n"/>
    </row>
    <row r="1218">
      <c r="E1218" s="16" t="n"/>
      <c r="F1218" s="15" t="n"/>
    </row>
    <row r="1219">
      <c r="E1219" s="16" t="n"/>
      <c r="F1219" s="15" t="n"/>
    </row>
    <row r="1220">
      <c r="E1220" s="16" t="n"/>
      <c r="F1220" s="15" t="n"/>
    </row>
    <row r="1221">
      <c r="E1221" s="16" t="n"/>
      <c r="F1221" s="15" t="n"/>
    </row>
    <row r="1222">
      <c r="E1222" s="16" t="n"/>
      <c r="F1222" s="15" t="n"/>
    </row>
    <row r="1223">
      <c r="E1223" s="16" t="n"/>
      <c r="F1223" s="15" t="n"/>
    </row>
    <row r="1224">
      <c r="E1224" s="16" t="n"/>
      <c r="F1224" s="15" t="n"/>
    </row>
    <row r="1225">
      <c r="E1225" s="16" t="n"/>
      <c r="F1225" s="15" t="n"/>
    </row>
    <row r="1226">
      <c r="E1226" s="16" t="n"/>
      <c r="F1226" s="15" t="n"/>
    </row>
    <row r="1227">
      <c r="E1227" s="16" t="n"/>
      <c r="F1227" s="15" t="n"/>
    </row>
    <row r="1228">
      <c r="E1228" s="16" t="n"/>
      <c r="F1228" s="15" t="n"/>
    </row>
    <row r="1229">
      <c r="E1229" s="16" t="n"/>
      <c r="F1229" s="15" t="n"/>
    </row>
    <row r="1230">
      <c r="E1230" s="16" t="n"/>
      <c r="F1230" s="15" t="n"/>
    </row>
    <row r="1231">
      <c r="E1231" s="16" t="n"/>
      <c r="F1231" s="15" t="n"/>
    </row>
    <row r="1232">
      <c r="E1232" s="16" t="n"/>
      <c r="F1232" s="15" t="n"/>
    </row>
    <row r="1233">
      <c r="E1233" s="16" t="n"/>
      <c r="F1233" s="15" t="n"/>
    </row>
    <row r="1234">
      <c r="E1234" s="16" t="n"/>
      <c r="F1234" s="15" t="n"/>
    </row>
    <row r="1235">
      <c r="E1235" s="16" t="n"/>
      <c r="F1235" s="15" t="n"/>
    </row>
    <row r="1236">
      <c r="E1236" s="16" t="n"/>
      <c r="F1236" s="15" t="n"/>
    </row>
    <row r="1237">
      <c r="E1237" s="16" t="n"/>
      <c r="F1237" s="15" t="n"/>
    </row>
    <row r="1238">
      <c r="E1238" s="16" t="n"/>
      <c r="F1238" s="15" t="n"/>
    </row>
    <row r="1239">
      <c r="E1239" s="16" t="n"/>
      <c r="F1239" s="15" t="n"/>
    </row>
    <row r="1240">
      <c r="E1240" s="16" t="n"/>
      <c r="F1240" s="15" t="n"/>
    </row>
    <row r="1241">
      <c r="E1241" s="16" t="n"/>
      <c r="F1241" s="15" t="n"/>
    </row>
    <row r="1242">
      <c r="E1242" s="16" t="n"/>
      <c r="F1242" s="15" t="n"/>
    </row>
    <row r="1243">
      <c r="E1243" s="16" t="n"/>
      <c r="F1243" s="15" t="n"/>
    </row>
    <row r="1244">
      <c r="E1244" s="16" t="n"/>
      <c r="F1244" s="15" t="n"/>
    </row>
    <row r="1245">
      <c r="E1245" s="16" t="n"/>
      <c r="F1245" s="15" t="n"/>
    </row>
    <row r="1246">
      <c r="E1246" s="16" t="n"/>
      <c r="F1246" s="15" t="n"/>
    </row>
    <row r="1247">
      <c r="E1247" s="16" t="n"/>
      <c r="F1247" s="15" t="n"/>
    </row>
    <row r="1248">
      <c r="E1248" s="16" t="n"/>
      <c r="F1248" s="15" t="n"/>
    </row>
    <row r="1249">
      <c r="E1249" s="16" t="n"/>
      <c r="F1249" s="15" t="n"/>
    </row>
    <row r="1250">
      <c r="E1250" s="16" t="n"/>
      <c r="F1250" s="15" t="n"/>
    </row>
    <row r="1251">
      <c r="E1251" s="16" t="n"/>
      <c r="F1251" s="15" t="n"/>
    </row>
    <row r="1252">
      <c r="E1252" s="16" t="n"/>
      <c r="F1252" s="15" t="n"/>
    </row>
    <row r="1253">
      <c r="E1253" s="16" t="n"/>
      <c r="F1253" s="15" t="n"/>
    </row>
    <row r="1254">
      <c r="E1254" s="16" t="n"/>
      <c r="F1254" s="15" t="n"/>
    </row>
    <row r="1255">
      <c r="E1255" s="16" t="n"/>
      <c r="F1255" s="15" t="n"/>
    </row>
    <row r="1256">
      <c r="E1256" s="16" t="n"/>
      <c r="F1256" s="15" t="n"/>
    </row>
    <row r="1257">
      <c r="E1257" s="16" t="n"/>
      <c r="F1257" s="15" t="n"/>
    </row>
    <row r="1258">
      <c r="E1258" s="16" t="n"/>
      <c r="F1258" s="15" t="n"/>
    </row>
    <row r="1259">
      <c r="E1259" s="16" t="n"/>
      <c r="F1259" s="15" t="n"/>
    </row>
    <row r="1260">
      <c r="E1260" s="16" t="n"/>
      <c r="F1260" s="15" t="n"/>
    </row>
    <row r="1261">
      <c r="E1261" s="16" t="n"/>
      <c r="F1261" s="15" t="n"/>
    </row>
    <row r="1262">
      <c r="E1262" s="16" t="n"/>
      <c r="F1262" s="15" t="n"/>
    </row>
    <row r="1263">
      <c r="E1263" s="16" t="n"/>
      <c r="F1263" s="15" t="n"/>
    </row>
    <row r="1264">
      <c r="E1264" s="16" t="n"/>
      <c r="F1264" s="15" t="n"/>
    </row>
    <row r="1265">
      <c r="E1265" s="16" t="n"/>
      <c r="F1265" s="15" t="n"/>
    </row>
    <row r="1266">
      <c r="E1266" s="16" t="n"/>
      <c r="F1266" s="15" t="n"/>
    </row>
    <row r="1267">
      <c r="E1267" s="16" t="n"/>
      <c r="F1267" s="15" t="n"/>
    </row>
    <row r="1268">
      <c r="E1268" s="16" t="n"/>
      <c r="F1268" s="15" t="n"/>
    </row>
    <row r="1269">
      <c r="E1269" s="16" t="n"/>
      <c r="F1269" s="15" t="n"/>
    </row>
    <row r="1270">
      <c r="E1270" s="16" t="n"/>
      <c r="F1270" s="15" t="n"/>
    </row>
    <row r="1271">
      <c r="E1271" s="16" t="n"/>
      <c r="F1271" s="15" t="n"/>
    </row>
    <row r="1272">
      <c r="E1272" s="16" t="n"/>
      <c r="F1272" s="15" t="n"/>
    </row>
    <row r="1273">
      <c r="E1273" s="16" t="n"/>
      <c r="F1273" s="15" t="n"/>
    </row>
    <row r="1274">
      <c r="E1274" s="16" t="n"/>
      <c r="F1274" s="15" t="n"/>
    </row>
    <row r="1275">
      <c r="E1275" s="16" t="n"/>
      <c r="F1275" s="15" t="n"/>
    </row>
    <row r="1276">
      <c r="E1276" s="16" t="n"/>
      <c r="F1276" s="15" t="n"/>
    </row>
    <row r="1277">
      <c r="E1277" s="16" t="n"/>
      <c r="F1277" s="15" t="n"/>
    </row>
    <row r="1278">
      <c r="E1278" s="16" t="n"/>
      <c r="F1278" s="15" t="n"/>
    </row>
    <row r="1279">
      <c r="E1279" s="16" t="n"/>
      <c r="F1279" s="15" t="n"/>
    </row>
    <row r="1280">
      <c r="E1280" s="16" t="n"/>
      <c r="F1280" s="15" t="n"/>
    </row>
    <row r="1281">
      <c r="E1281" s="16" t="n"/>
      <c r="F1281" s="15" t="n"/>
    </row>
    <row r="1282">
      <c r="E1282" s="16" t="n"/>
      <c r="F1282" s="15" t="n"/>
    </row>
    <row r="1283">
      <c r="E1283" s="16" t="n"/>
      <c r="F1283" s="15" t="n"/>
    </row>
    <row r="1284">
      <c r="E1284" s="16" t="n"/>
      <c r="F1284" s="15" t="n"/>
    </row>
    <row r="1285">
      <c r="E1285" s="16" t="n"/>
      <c r="F1285" s="15" t="n"/>
    </row>
    <row r="1286">
      <c r="E1286" s="16" t="n"/>
      <c r="F1286" s="15" t="n"/>
    </row>
    <row r="1287">
      <c r="E1287" s="16" t="n"/>
      <c r="F1287" s="15" t="n"/>
    </row>
    <row r="1288">
      <c r="E1288" s="16" t="n"/>
      <c r="F1288" s="15" t="n"/>
    </row>
    <row r="1289">
      <c r="E1289" s="16" t="n"/>
      <c r="F1289" s="15" t="n"/>
    </row>
    <row r="1290">
      <c r="E1290" s="16" t="n"/>
      <c r="F1290" s="15" t="n"/>
    </row>
    <row r="1291">
      <c r="E1291" s="16" t="n"/>
      <c r="F1291" s="15" t="n"/>
    </row>
    <row r="1292">
      <c r="E1292" s="16" t="n"/>
      <c r="F1292" s="15" t="n"/>
    </row>
    <row r="1293">
      <c r="E1293" s="16" t="n"/>
      <c r="F1293" s="15" t="n"/>
    </row>
    <row r="1294">
      <c r="E1294" s="16" t="n"/>
      <c r="F1294" s="15" t="n"/>
    </row>
    <row r="1295">
      <c r="E1295" s="16" t="n"/>
      <c r="F1295" s="15" t="n"/>
    </row>
    <row r="1296">
      <c r="E1296" s="16" t="n"/>
      <c r="F1296" s="15" t="n"/>
    </row>
    <row r="1297">
      <c r="E1297" s="16" t="n"/>
      <c r="F1297" s="15" t="n"/>
    </row>
    <row r="1298">
      <c r="E1298" s="16" t="n"/>
      <c r="F1298" s="15" t="n"/>
    </row>
    <row r="1299">
      <c r="E1299" s="16" t="n"/>
      <c r="F1299" s="15" t="n"/>
    </row>
    <row r="1300">
      <c r="E1300" s="16" t="n"/>
      <c r="F1300" s="15" t="n"/>
    </row>
    <row r="1301">
      <c r="E1301" s="16" t="n"/>
      <c r="F1301" s="15" t="n"/>
    </row>
    <row r="1302">
      <c r="E1302" s="16" t="n"/>
      <c r="F1302" s="15" t="n"/>
    </row>
    <row r="1303">
      <c r="E1303" s="16" t="n"/>
      <c r="F1303" s="15" t="n"/>
    </row>
    <row r="1304">
      <c r="E1304" s="16" t="n"/>
      <c r="F1304" s="15" t="n"/>
    </row>
    <row r="1305">
      <c r="E1305" s="16" t="n"/>
      <c r="F1305" s="15" t="n"/>
    </row>
    <row r="1306">
      <c r="E1306" s="16" t="n"/>
      <c r="F1306" s="15" t="n"/>
    </row>
    <row r="1307">
      <c r="E1307" s="16" t="n"/>
      <c r="F1307" s="15" t="n"/>
    </row>
    <row r="1308">
      <c r="E1308" s="16" t="n"/>
      <c r="F1308" s="15" t="n"/>
    </row>
    <row r="1309">
      <c r="E1309" s="16" t="n"/>
      <c r="F1309" s="15" t="n"/>
    </row>
    <row r="1310">
      <c r="E1310" s="16" t="n"/>
      <c r="F1310" s="15" t="n"/>
    </row>
    <row r="1311">
      <c r="E1311" s="16" t="n"/>
      <c r="F1311" s="15" t="n"/>
    </row>
    <row r="1312">
      <c r="E1312" s="16" t="n"/>
      <c r="F1312" s="15" t="n"/>
    </row>
    <row r="1313">
      <c r="E1313" s="16" t="n"/>
      <c r="F1313" s="15" t="n"/>
    </row>
    <row r="1314">
      <c r="E1314" s="16" t="n"/>
      <c r="F1314" s="15" t="n"/>
    </row>
    <row r="1315">
      <c r="E1315" s="16" t="n"/>
      <c r="F1315" s="15" t="n"/>
    </row>
    <row r="1316">
      <c r="E1316" s="16" t="n"/>
      <c r="F1316" s="15" t="n"/>
    </row>
    <row r="1317">
      <c r="E1317" s="16" t="n"/>
      <c r="F1317" s="15" t="n"/>
    </row>
    <row r="1318">
      <c r="E1318" s="16" t="n"/>
      <c r="F1318" s="15" t="n"/>
    </row>
    <row r="1319">
      <c r="E1319" s="16" t="n"/>
      <c r="F1319" s="15" t="n"/>
    </row>
    <row r="1320">
      <c r="E1320" s="16" t="n"/>
      <c r="F1320" s="15" t="n"/>
    </row>
    <row r="1321">
      <c r="E1321" s="16" t="n"/>
      <c r="F1321" s="15" t="n"/>
    </row>
    <row r="1322">
      <c r="E1322" s="16" t="n"/>
      <c r="F1322" s="15" t="n"/>
    </row>
    <row r="1323">
      <c r="E1323" s="16" t="n"/>
      <c r="F1323" s="15" t="n"/>
    </row>
    <row r="1324">
      <c r="E1324" s="16" t="n"/>
      <c r="F1324" s="15" t="n"/>
    </row>
    <row r="1325">
      <c r="E1325" s="16" t="n"/>
      <c r="F1325" s="15" t="n"/>
    </row>
    <row r="1326">
      <c r="E1326" s="16" t="n"/>
      <c r="F1326" s="15" t="n"/>
    </row>
    <row r="1327">
      <c r="E1327" s="16" t="n"/>
      <c r="F1327" s="15" t="n"/>
    </row>
    <row r="1328">
      <c r="E1328" s="16" t="n"/>
      <c r="F1328" s="15" t="n"/>
    </row>
    <row r="1329">
      <c r="E1329" s="16" t="n"/>
      <c r="F1329" s="15" t="n"/>
    </row>
    <row r="1330">
      <c r="E1330" s="16" t="n"/>
      <c r="F1330" s="15" t="n"/>
    </row>
    <row r="1331">
      <c r="E1331" s="16" t="n"/>
      <c r="F1331" s="15" t="n"/>
    </row>
    <row r="1332">
      <c r="E1332" s="16" t="n"/>
      <c r="F1332" s="15" t="n"/>
    </row>
    <row r="1333">
      <c r="E1333" s="16" t="n"/>
      <c r="F1333" s="15" t="n"/>
    </row>
    <row r="1334">
      <c r="E1334" s="16" t="n"/>
      <c r="F1334" s="15" t="n"/>
    </row>
    <row r="1335">
      <c r="E1335" s="16" t="n"/>
      <c r="F1335" s="15" t="n"/>
    </row>
    <row r="1336">
      <c r="E1336" s="16" t="n"/>
      <c r="F1336" s="15" t="n"/>
    </row>
    <row r="1337">
      <c r="E1337" s="16" t="n"/>
      <c r="F1337" s="15" t="n"/>
    </row>
    <row r="1338">
      <c r="E1338" s="16" t="n"/>
      <c r="F1338" s="15" t="n"/>
    </row>
    <row r="1339">
      <c r="E1339" s="16" t="n"/>
      <c r="F1339" s="15" t="n"/>
    </row>
    <row r="1340">
      <c r="E1340" s="16" t="n"/>
      <c r="F1340" s="15" t="n"/>
    </row>
    <row r="1341">
      <c r="E1341" s="16" t="n"/>
      <c r="F1341" s="15" t="n"/>
    </row>
    <row r="1342">
      <c r="E1342" s="16" t="n"/>
      <c r="F1342" s="15" t="n"/>
    </row>
    <row r="1343">
      <c r="E1343" s="16" t="n"/>
      <c r="F1343" s="15" t="n"/>
    </row>
    <row r="1344">
      <c r="E1344" s="16" t="n"/>
      <c r="F1344" s="15" t="n"/>
    </row>
    <row r="1345">
      <c r="E1345" s="16" t="n"/>
      <c r="F1345" s="15" t="n"/>
    </row>
    <row r="1346">
      <c r="E1346" s="16" t="n"/>
      <c r="F1346" s="15" t="n"/>
    </row>
    <row r="1347">
      <c r="E1347" s="16" t="n"/>
      <c r="F1347" s="15" t="n"/>
    </row>
    <row r="1348">
      <c r="E1348" s="16" t="n"/>
      <c r="F1348" s="15" t="n"/>
    </row>
    <row r="1349">
      <c r="E1349" s="16" t="n"/>
      <c r="F1349" s="15" t="n"/>
    </row>
    <row r="1350">
      <c r="E1350" s="16" t="n"/>
      <c r="F1350" s="15" t="n"/>
    </row>
    <row r="1351">
      <c r="E1351" s="16" t="n"/>
      <c r="F1351" s="15" t="n"/>
    </row>
    <row r="1352">
      <c r="E1352" s="16" t="n"/>
      <c r="F1352" s="15" t="n"/>
    </row>
    <row r="1353">
      <c r="E1353" s="16" t="n"/>
      <c r="F1353" s="15" t="n"/>
    </row>
    <row r="1354">
      <c r="E1354" s="16" t="n"/>
      <c r="F1354" s="15" t="n"/>
    </row>
    <row r="1355">
      <c r="E1355" s="16" t="n"/>
      <c r="F1355" s="15" t="n"/>
    </row>
    <row r="1356">
      <c r="E1356" s="16" t="n"/>
      <c r="F1356" s="15" t="n"/>
    </row>
    <row r="1357">
      <c r="E1357" s="16" t="n"/>
      <c r="F1357" s="15" t="n"/>
    </row>
    <row r="1358">
      <c r="E1358" s="16" t="n"/>
      <c r="F1358" s="15" t="n"/>
    </row>
    <row r="1359">
      <c r="E1359" s="16" t="n"/>
      <c r="F1359" s="15" t="n"/>
    </row>
    <row r="1360">
      <c r="E1360" s="16" t="n"/>
      <c r="F1360" s="15" t="n"/>
    </row>
    <row r="1361">
      <c r="E1361" s="16" t="n"/>
      <c r="F1361" s="15" t="n"/>
    </row>
    <row r="1362">
      <c r="E1362" s="16" t="n"/>
      <c r="F1362" s="15" t="n"/>
    </row>
    <row r="1363">
      <c r="E1363" s="16" t="n"/>
      <c r="F1363" s="15" t="n"/>
    </row>
    <row r="1364">
      <c r="E1364" s="16" t="n"/>
      <c r="F1364" s="15" t="n"/>
    </row>
    <row r="1365">
      <c r="E1365" s="16" t="n"/>
      <c r="F1365" s="15" t="n"/>
    </row>
    <row r="1366">
      <c r="E1366" s="16" t="n"/>
      <c r="F1366" s="15" t="n"/>
    </row>
    <row r="1367">
      <c r="E1367" s="16" t="n"/>
      <c r="F1367" s="15" t="n"/>
    </row>
    <row r="1368">
      <c r="E1368" s="16" t="n"/>
      <c r="F1368" s="15" t="n"/>
    </row>
    <row r="1369">
      <c r="E1369" s="16" t="n"/>
      <c r="F1369" s="15" t="n"/>
    </row>
    <row r="1370">
      <c r="E1370" s="16" t="n"/>
      <c r="F1370" s="15" t="n"/>
    </row>
    <row r="1371">
      <c r="E1371" s="16" t="n"/>
      <c r="F1371" s="15" t="n"/>
    </row>
    <row r="1372">
      <c r="E1372" s="16" t="n"/>
      <c r="F1372" s="15" t="n"/>
    </row>
    <row r="1373">
      <c r="E1373" s="16" t="n"/>
      <c r="F1373" s="15" t="n"/>
    </row>
    <row r="1374">
      <c r="E1374" s="16" t="n"/>
      <c r="F1374" s="15" t="n"/>
    </row>
    <row r="1375">
      <c r="E1375" s="16" t="n"/>
      <c r="F1375" s="15" t="n"/>
    </row>
    <row r="1376">
      <c r="E1376" s="16" t="n"/>
      <c r="F1376" s="15" t="n"/>
    </row>
    <row r="1377">
      <c r="E1377" s="16" t="n"/>
      <c r="F1377" s="15" t="n"/>
    </row>
    <row r="1378">
      <c r="E1378" s="16" t="n"/>
      <c r="F1378" s="15" t="n"/>
    </row>
    <row r="1379">
      <c r="E1379" s="16" t="n"/>
      <c r="F1379" s="15" t="n"/>
    </row>
    <row r="1380">
      <c r="E1380" s="16" t="n"/>
      <c r="F1380" s="15" t="n"/>
    </row>
    <row r="1381">
      <c r="E1381" s="16" t="n"/>
      <c r="F1381" s="15" t="n"/>
    </row>
    <row r="1382">
      <c r="E1382" s="16" t="n"/>
      <c r="F1382" s="15" t="n"/>
    </row>
    <row r="1383">
      <c r="E1383" s="16" t="n"/>
      <c r="F1383" s="15" t="n"/>
    </row>
    <row r="1384">
      <c r="E1384" s="16" t="n"/>
      <c r="F1384" s="15" t="n"/>
    </row>
    <row r="1385">
      <c r="E1385" s="16" t="n"/>
      <c r="F1385" s="15" t="n"/>
    </row>
    <row r="1386">
      <c r="E1386" s="16" t="n"/>
      <c r="F1386" s="15" t="n"/>
    </row>
    <row r="1387">
      <c r="E1387" s="16" t="n"/>
      <c r="F1387" s="15" t="n"/>
    </row>
    <row r="1388">
      <c r="E1388" s="16" t="n"/>
      <c r="F1388" s="15" t="n"/>
    </row>
    <row r="1389">
      <c r="E1389" s="16" t="n"/>
      <c r="F1389" s="15" t="n"/>
    </row>
    <row r="1390">
      <c r="E1390" s="16" t="n"/>
      <c r="F1390" s="15" t="n"/>
    </row>
    <row r="1391">
      <c r="E1391" s="16" t="n"/>
      <c r="F1391" s="15" t="n"/>
    </row>
    <row r="1392">
      <c r="E1392" s="16" t="n"/>
      <c r="F1392" s="15" t="n"/>
    </row>
    <row r="1393">
      <c r="E1393" s="16" t="n"/>
      <c r="F1393" s="15" t="n"/>
    </row>
    <row r="1394">
      <c r="E1394" s="16" t="n"/>
      <c r="F1394" s="15" t="n"/>
    </row>
    <row r="1395">
      <c r="E1395" s="16" t="n"/>
      <c r="F1395" s="15" t="n"/>
    </row>
    <row r="1396">
      <c r="E1396" s="16" t="n"/>
      <c r="F1396" s="15" t="n"/>
    </row>
    <row r="1397">
      <c r="E1397" s="16" t="n"/>
      <c r="F1397" s="15" t="n"/>
    </row>
    <row r="1398">
      <c r="E1398" s="16" t="n"/>
      <c r="F1398" s="15" t="n"/>
    </row>
    <row r="1399">
      <c r="E1399" s="16" t="n"/>
      <c r="F1399" s="15" t="n"/>
    </row>
    <row r="1400">
      <c r="E1400" s="16" t="n"/>
      <c r="F1400" s="15" t="n"/>
    </row>
    <row r="1401">
      <c r="E1401" s="16" t="n"/>
      <c r="F1401" s="15" t="n"/>
    </row>
    <row r="1402">
      <c r="E1402" s="16" t="n"/>
      <c r="F1402" s="15" t="n"/>
    </row>
    <row r="1403">
      <c r="E1403" s="16" t="n"/>
      <c r="F1403" s="15" t="n"/>
    </row>
    <row r="1404">
      <c r="E1404" s="16" t="n"/>
      <c r="F1404" s="15" t="n"/>
    </row>
    <row r="1405">
      <c r="E1405" s="16" t="n"/>
      <c r="F1405" s="15" t="n"/>
    </row>
    <row r="1406">
      <c r="E1406" s="16" t="n"/>
      <c r="F1406" s="15" t="n"/>
    </row>
    <row r="1407">
      <c r="E1407" s="16" t="n"/>
      <c r="F1407" s="15" t="n"/>
    </row>
    <row r="1408">
      <c r="E1408" s="16" t="n"/>
      <c r="F1408" s="15" t="n"/>
    </row>
    <row r="1409">
      <c r="E1409" s="16" t="n"/>
      <c r="F1409" s="15" t="n"/>
    </row>
    <row r="1410">
      <c r="E1410" s="16" t="n"/>
      <c r="F1410" s="15" t="n"/>
    </row>
    <row r="1411">
      <c r="E1411" s="16" t="n"/>
      <c r="F1411" s="15" t="n"/>
    </row>
    <row r="1412">
      <c r="E1412" s="16" t="n"/>
      <c r="F1412" s="15" t="n"/>
    </row>
    <row r="1413">
      <c r="E1413" s="16" t="n"/>
      <c r="F1413" s="15" t="n"/>
    </row>
    <row r="1414">
      <c r="E1414" s="16" t="n"/>
      <c r="F1414" s="15" t="n"/>
    </row>
    <row r="1415">
      <c r="E1415" s="16" t="n"/>
      <c r="F1415" s="15" t="n"/>
    </row>
    <row r="1416">
      <c r="E1416" s="16" t="n"/>
      <c r="F1416" s="15" t="n"/>
    </row>
    <row r="1417">
      <c r="E1417" s="16" t="n"/>
      <c r="F1417" s="15" t="n"/>
    </row>
    <row r="1418">
      <c r="E1418" s="16" t="n"/>
      <c r="F1418" s="15" t="n"/>
    </row>
    <row r="1419">
      <c r="E1419" s="16" t="n"/>
      <c r="F1419" s="15" t="n"/>
    </row>
    <row r="1420">
      <c r="E1420" s="16" t="n"/>
      <c r="F1420" s="15" t="n"/>
    </row>
    <row r="1421">
      <c r="E1421" s="16" t="n"/>
      <c r="F1421" s="15" t="n"/>
    </row>
    <row r="1422">
      <c r="E1422" s="16" t="n"/>
      <c r="F1422" s="15" t="n"/>
    </row>
    <row r="1423">
      <c r="E1423" s="16" t="n"/>
      <c r="F1423" s="15" t="n"/>
    </row>
    <row r="1424">
      <c r="E1424" s="16" t="n"/>
      <c r="F1424" s="15" t="n"/>
    </row>
    <row r="1425">
      <c r="E1425" s="16" t="n"/>
      <c r="F1425" s="15" t="n"/>
    </row>
    <row r="1426">
      <c r="E1426" s="16" t="n"/>
      <c r="F1426" s="15" t="n"/>
    </row>
    <row r="1427">
      <c r="E1427" s="16" t="n"/>
      <c r="F1427" s="15" t="n"/>
    </row>
    <row r="1428">
      <c r="E1428" s="16" t="n"/>
      <c r="F1428" s="15" t="n"/>
    </row>
    <row r="1429">
      <c r="E1429" s="16" t="n"/>
      <c r="F1429" s="15" t="n"/>
    </row>
    <row r="1430">
      <c r="E1430" s="16" t="n"/>
      <c r="F1430" s="15" t="n"/>
    </row>
    <row r="1431">
      <c r="E1431" s="16" t="n"/>
      <c r="F1431" s="15" t="n"/>
    </row>
    <row r="1432">
      <c r="E1432" s="16" t="n"/>
      <c r="F1432" s="15" t="n"/>
    </row>
    <row r="1433">
      <c r="E1433" s="16" t="n"/>
      <c r="F1433" s="15" t="n"/>
    </row>
    <row r="1434">
      <c r="E1434" s="16" t="n"/>
      <c r="F1434" s="15" t="n"/>
    </row>
    <row r="1435">
      <c r="E1435" s="16" t="n"/>
      <c r="F1435" s="15" t="n"/>
    </row>
    <row r="1436">
      <c r="E1436" s="16" t="n"/>
      <c r="F1436" s="15" t="n"/>
    </row>
    <row r="1437">
      <c r="E1437" s="16" t="n"/>
      <c r="F1437" s="15" t="n"/>
    </row>
    <row r="1438">
      <c r="E1438" s="16" t="n"/>
      <c r="F1438" s="15" t="n"/>
    </row>
    <row r="1439">
      <c r="E1439" s="16" t="n"/>
      <c r="F1439" s="15" t="n"/>
    </row>
    <row r="1440">
      <c r="E1440" s="16" t="n"/>
      <c r="F1440" s="15" t="n"/>
    </row>
    <row r="1441">
      <c r="E1441" s="16" t="n"/>
      <c r="F1441" s="15" t="n"/>
    </row>
    <row r="1442">
      <c r="E1442" s="16" t="n"/>
      <c r="F1442" s="15" t="n"/>
    </row>
    <row r="1443">
      <c r="E1443" s="16" t="n"/>
      <c r="F1443" s="15" t="n"/>
    </row>
    <row r="1444">
      <c r="E1444" s="16" t="n"/>
      <c r="F1444" s="15" t="n"/>
    </row>
    <row r="1445">
      <c r="E1445" s="16" t="n"/>
      <c r="F1445" s="15" t="n"/>
    </row>
    <row r="1446">
      <c r="E1446" s="16" t="n"/>
      <c r="F1446" s="15" t="n"/>
    </row>
    <row r="1447">
      <c r="E1447" s="16" t="n"/>
      <c r="F1447" s="15" t="n"/>
    </row>
    <row r="1448">
      <c r="E1448" s="16" t="n"/>
      <c r="F1448" s="15" t="n"/>
    </row>
    <row r="1449">
      <c r="E1449" s="16" t="n"/>
      <c r="F1449" s="15" t="n"/>
    </row>
    <row r="1450">
      <c r="E1450" s="16" t="n"/>
      <c r="F1450" s="15" t="n"/>
    </row>
    <row r="1451">
      <c r="E1451" s="16" t="n"/>
      <c r="F1451" s="15" t="n"/>
    </row>
    <row r="1452">
      <c r="E1452" s="16" t="n"/>
      <c r="F1452" s="15" t="n"/>
    </row>
    <row r="1453">
      <c r="E1453" s="16" t="n"/>
      <c r="F1453" s="15" t="n"/>
    </row>
    <row r="1454">
      <c r="E1454" s="16" t="n"/>
      <c r="F1454" s="15" t="n"/>
    </row>
    <row r="1455">
      <c r="E1455" s="16" t="n"/>
      <c r="F1455" s="15" t="n"/>
    </row>
    <row r="1456">
      <c r="E1456" s="16" t="n"/>
      <c r="F1456" s="15" t="n"/>
    </row>
    <row r="1457">
      <c r="E1457" s="16" t="n"/>
      <c r="F1457" s="15" t="n"/>
    </row>
    <row r="1458">
      <c r="E1458" s="16" t="n"/>
      <c r="F1458" s="15" t="n"/>
    </row>
    <row r="1459">
      <c r="E1459" s="16" t="n"/>
      <c r="F1459" s="15" t="n"/>
    </row>
    <row r="1460">
      <c r="E1460" s="16" t="n"/>
      <c r="F1460" s="15" t="n"/>
    </row>
    <row r="1461">
      <c r="E1461" s="16" t="n"/>
      <c r="F1461" s="15" t="n"/>
    </row>
    <row r="1462">
      <c r="E1462" s="16" t="n"/>
      <c r="F1462" s="15" t="n"/>
    </row>
    <row r="1463">
      <c r="E1463" s="16" t="n"/>
      <c r="F1463" s="15" t="n"/>
    </row>
    <row r="1464">
      <c r="E1464" s="16" t="n"/>
      <c r="F1464" s="15" t="n"/>
    </row>
    <row r="1465">
      <c r="E1465" s="16" t="n"/>
      <c r="F1465" s="15" t="n"/>
    </row>
    <row r="1466">
      <c r="E1466" s="16" t="n"/>
      <c r="F1466" s="15" t="n"/>
    </row>
    <row r="1467">
      <c r="E1467" s="16" t="n"/>
      <c r="F1467" s="15" t="n"/>
    </row>
    <row r="1468">
      <c r="E1468" s="16" t="n"/>
      <c r="F1468" s="15" t="n"/>
    </row>
    <row r="1469">
      <c r="E1469" s="16" t="n"/>
      <c r="F1469" s="15" t="n"/>
    </row>
    <row r="1470">
      <c r="E1470" s="16" t="n"/>
      <c r="F1470" s="15" t="n"/>
    </row>
    <row r="1471">
      <c r="E1471" s="16" t="n"/>
      <c r="F1471" s="15" t="n"/>
    </row>
    <row r="1472">
      <c r="E1472" s="16" t="n"/>
      <c r="F1472" s="15" t="n"/>
    </row>
    <row r="1473">
      <c r="E1473" s="16" t="n"/>
      <c r="F1473" s="15" t="n"/>
    </row>
    <row r="1474">
      <c r="E1474" s="16" t="n"/>
      <c r="F1474" s="15" t="n"/>
    </row>
    <row r="1475">
      <c r="E1475" s="16" t="n"/>
      <c r="F1475" s="15" t="n"/>
    </row>
    <row r="1476">
      <c r="E1476" s="16" t="n"/>
      <c r="F1476" s="15" t="n"/>
    </row>
    <row r="1477">
      <c r="E1477" s="16" t="n"/>
      <c r="F1477" s="15" t="n"/>
    </row>
    <row r="1478">
      <c r="E1478" s="16" t="n"/>
      <c r="F1478" s="15" t="n"/>
    </row>
    <row r="1479">
      <c r="E1479" s="16" t="n"/>
      <c r="F1479" s="15" t="n"/>
    </row>
    <row r="1480">
      <c r="E1480" s="16" t="n"/>
      <c r="F1480" s="15" t="n"/>
    </row>
    <row r="1481">
      <c r="E1481" s="16" t="n"/>
      <c r="F1481" s="15" t="n"/>
    </row>
    <row r="1482">
      <c r="E1482" s="16" t="n"/>
      <c r="F1482" s="15" t="n"/>
    </row>
    <row r="1483">
      <c r="E1483" s="16" t="n"/>
      <c r="F1483" s="15" t="n"/>
    </row>
    <row r="1484">
      <c r="E1484" s="16" t="n"/>
      <c r="F1484" s="15" t="n"/>
    </row>
    <row r="1485">
      <c r="E1485" s="16" t="n"/>
      <c r="F1485" s="15" t="n"/>
    </row>
    <row r="1486">
      <c r="E1486" s="16" t="n"/>
      <c r="F1486" s="15" t="n"/>
    </row>
    <row r="1487">
      <c r="E1487" s="16" t="n"/>
      <c r="F1487" s="15" t="n"/>
    </row>
    <row r="1488">
      <c r="E1488" s="16" t="n"/>
      <c r="F1488" s="15" t="n"/>
    </row>
    <row r="1489">
      <c r="E1489" s="16" t="n"/>
      <c r="F1489" s="15" t="n"/>
    </row>
    <row r="1490">
      <c r="E1490" s="16" t="n"/>
      <c r="F1490" s="15" t="n"/>
    </row>
    <row r="1491">
      <c r="E1491" s="16" t="n"/>
      <c r="F1491" s="15" t="n"/>
    </row>
    <row r="1492">
      <c r="E1492" s="16" t="n"/>
      <c r="F1492" s="15" t="n"/>
    </row>
    <row r="1493">
      <c r="E1493" s="16" t="n"/>
      <c r="F1493" s="15" t="n"/>
    </row>
    <row r="1494">
      <c r="E1494" s="16" t="n"/>
      <c r="F1494" s="15" t="n"/>
    </row>
    <row r="1495">
      <c r="E1495" s="16" t="n"/>
      <c r="F1495" s="15" t="n"/>
    </row>
    <row r="1496">
      <c r="E1496" s="16" t="n"/>
      <c r="F1496" s="15" t="n"/>
    </row>
    <row r="1497">
      <c r="E1497" s="16" t="n"/>
      <c r="F1497" s="15" t="n"/>
    </row>
    <row r="1498">
      <c r="E1498" s="16" t="n"/>
      <c r="F1498" s="15" t="n"/>
    </row>
    <row r="1499">
      <c r="E1499" s="16" t="n"/>
      <c r="F1499" s="15" t="n"/>
    </row>
    <row r="1500">
      <c r="E1500" s="16" t="n"/>
      <c r="F1500" s="15" t="n"/>
    </row>
    <row r="1501">
      <c r="E1501" s="16" t="n"/>
      <c r="F1501" s="15" t="n"/>
    </row>
    <row r="1502">
      <c r="E1502" s="16" t="n"/>
      <c r="F1502" s="15" t="n"/>
    </row>
    <row r="1503">
      <c r="E1503" s="16" t="n"/>
      <c r="F1503" s="15" t="n"/>
    </row>
    <row r="1504">
      <c r="E1504" s="16" t="n"/>
      <c r="F1504" s="15" t="n"/>
    </row>
    <row r="1505">
      <c r="E1505" s="16" t="n"/>
      <c r="F1505" s="15" t="n"/>
    </row>
    <row r="1506">
      <c r="E1506" s="16" t="n"/>
      <c r="F1506" s="15" t="n"/>
    </row>
    <row r="1507">
      <c r="E1507" s="16" t="n"/>
      <c r="F1507" s="15" t="n"/>
    </row>
    <row r="1508">
      <c r="E1508" s="16" t="n"/>
      <c r="F1508" s="15" t="n"/>
    </row>
    <row r="1509">
      <c r="E1509" s="16" t="n"/>
      <c r="F1509" s="15" t="n"/>
    </row>
    <row r="1510">
      <c r="E1510" s="16" t="n"/>
      <c r="F1510" s="15" t="n"/>
    </row>
    <row r="1511">
      <c r="E1511" s="16" t="n"/>
      <c r="F1511" s="15" t="n"/>
    </row>
    <row r="1512">
      <c r="E1512" s="16" t="n"/>
      <c r="F1512" s="15" t="n"/>
    </row>
    <row r="1513">
      <c r="E1513" s="16" t="n"/>
      <c r="F1513" s="15" t="n"/>
    </row>
    <row r="1514">
      <c r="E1514" s="16" t="n"/>
      <c r="F1514" s="15" t="n"/>
    </row>
    <row r="1515">
      <c r="E1515" s="16" t="n"/>
      <c r="F1515" s="15" t="n"/>
    </row>
    <row r="1516">
      <c r="E1516" s="16" t="n"/>
      <c r="F1516" s="15" t="n"/>
    </row>
    <row r="1517">
      <c r="E1517" s="16" t="n"/>
      <c r="F1517" s="15" t="n"/>
    </row>
    <row r="1518">
      <c r="E1518" s="16" t="n"/>
      <c r="F1518" s="15" t="n"/>
    </row>
    <row r="1519">
      <c r="E1519" s="16" t="n"/>
      <c r="F1519" s="15" t="n"/>
    </row>
    <row r="1520">
      <c r="E1520" s="16" t="n"/>
      <c r="F1520" s="15" t="n"/>
    </row>
    <row r="1521">
      <c r="E1521" s="16" t="n"/>
      <c r="F1521" s="15" t="n"/>
    </row>
    <row r="1522">
      <c r="E1522" s="16" t="n"/>
      <c r="F1522" s="15" t="n"/>
    </row>
    <row r="1523">
      <c r="E1523" s="16" t="n"/>
      <c r="F1523" s="15" t="n"/>
    </row>
    <row r="1524">
      <c r="E1524" s="16" t="n"/>
      <c r="F1524" s="15" t="n"/>
    </row>
    <row r="1525">
      <c r="E1525" s="16" t="n"/>
      <c r="F1525" s="15" t="n"/>
    </row>
    <row r="1526">
      <c r="E1526" s="16" t="n"/>
      <c r="F1526" s="15" t="n"/>
    </row>
    <row r="1527">
      <c r="E1527" s="16" t="n"/>
      <c r="F1527" s="15" t="n"/>
    </row>
    <row r="1528">
      <c r="E1528" s="16" t="n"/>
      <c r="F1528" s="15" t="n"/>
    </row>
    <row r="1529">
      <c r="E1529" s="16" t="n"/>
      <c r="F1529" s="15" t="n"/>
    </row>
    <row r="1530">
      <c r="E1530" s="16" t="n"/>
      <c r="F1530" s="15" t="n"/>
    </row>
    <row r="1531">
      <c r="E1531" s="16" t="n"/>
      <c r="F1531" s="15" t="n"/>
    </row>
    <row r="1532">
      <c r="E1532" s="16" t="n"/>
      <c r="F1532" s="15" t="n"/>
    </row>
    <row r="1533">
      <c r="E1533" s="16" t="n"/>
      <c r="F1533" s="15" t="n"/>
    </row>
    <row r="1534">
      <c r="E1534" s="16" t="n"/>
      <c r="F1534" s="15" t="n"/>
    </row>
    <row r="1535">
      <c r="E1535" s="16" t="n"/>
      <c r="F1535" s="15" t="n"/>
    </row>
    <row r="1536">
      <c r="E1536" s="16" t="n"/>
      <c r="F1536" s="15" t="n"/>
    </row>
    <row r="1537">
      <c r="E1537" s="16" t="n"/>
      <c r="F1537" s="15" t="n"/>
    </row>
    <row r="1538">
      <c r="E1538" s="16" t="n"/>
      <c r="F1538" s="15" t="n"/>
    </row>
    <row r="1539">
      <c r="E1539" s="16" t="n"/>
      <c r="F1539" s="15" t="n"/>
    </row>
    <row r="1540">
      <c r="E1540" s="16" t="n"/>
      <c r="F1540" s="15" t="n"/>
    </row>
    <row r="1541">
      <c r="E1541" s="16" t="n"/>
      <c r="F1541" s="15" t="n"/>
    </row>
    <row r="1542">
      <c r="E1542" s="16" t="n"/>
      <c r="F1542" s="15" t="n"/>
    </row>
    <row r="1543">
      <c r="E1543" s="16" t="n"/>
      <c r="F1543" s="15" t="n"/>
    </row>
    <row r="1544">
      <c r="E1544" s="16" t="n"/>
      <c r="F1544" s="15" t="n"/>
    </row>
    <row r="1545">
      <c r="E1545" s="16" t="n"/>
      <c r="F1545" s="15" t="n"/>
    </row>
    <row r="1546">
      <c r="E1546" s="16" t="n"/>
      <c r="F1546" s="15" t="n"/>
    </row>
    <row r="1547">
      <c r="E1547" s="16" t="n"/>
      <c r="F1547" s="15" t="n"/>
    </row>
    <row r="1548">
      <c r="E1548" s="16" t="n"/>
      <c r="F1548" s="15" t="n"/>
    </row>
    <row r="1549">
      <c r="E1549" s="16" t="n"/>
      <c r="F1549" s="15" t="n"/>
    </row>
    <row r="1550">
      <c r="E1550" s="16" t="n"/>
      <c r="F1550" s="15" t="n"/>
    </row>
    <row r="1551">
      <c r="E1551" s="16" t="n"/>
      <c r="F1551" s="15" t="n"/>
    </row>
    <row r="1552">
      <c r="E1552" s="16" t="n"/>
      <c r="F1552" s="15" t="n"/>
    </row>
    <row r="1553">
      <c r="E1553" s="16" t="n"/>
      <c r="F1553" s="15" t="n"/>
    </row>
    <row r="1554">
      <c r="E1554" s="16" t="n"/>
      <c r="F1554" s="15" t="n"/>
    </row>
    <row r="1555">
      <c r="E1555" s="16" t="n"/>
      <c r="F1555" s="15" t="n"/>
    </row>
    <row r="1556">
      <c r="E1556" s="16" t="n"/>
      <c r="F1556" s="15" t="n"/>
    </row>
    <row r="1557">
      <c r="E1557" s="16" t="n"/>
      <c r="F1557" s="15" t="n"/>
    </row>
    <row r="1558">
      <c r="E1558" s="16" t="n"/>
      <c r="F1558" s="15" t="n"/>
    </row>
    <row r="1559">
      <c r="E1559" s="16" t="n"/>
      <c r="F1559" s="15" t="n"/>
    </row>
    <row r="1560">
      <c r="E1560" s="16" t="n"/>
      <c r="F1560" s="15" t="n"/>
    </row>
    <row r="1561">
      <c r="E1561" s="16" t="n"/>
      <c r="F1561" s="15" t="n"/>
    </row>
    <row r="1562">
      <c r="E1562" s="16" t="n"/>
      <c r="F1562" s="15" t="n"/>
    </row>
    <row r="1563">
      <c r="E1563" s="16" t="n"/>
      <c r="F1563" s="15" t="n"/>
    </row>
    <row r="1564">
      <c r="E1564" s="16" t="n"/>
      <c r="F1564" s="15" t="n"/>
    </row>
    <row r="1565">
      <c r="E1565" s="16" t="n"/>
      <c r="F1565" s="15" t="n"/>
    </row>
    <row r="1566">
      <c r="E1566" s="16" t="n"/>
      <c r="F1566" s="15" t="n"/>
    </row>
    <row r="1567">
      <c r="E1567" s="16" t="n"/>
      <c r="F1567" s="15" t="n"/>
    </row>
    <row r="1568">
      <c r="E1568" s="16" t="n"/>
      <c r="F1568" s="15" t="n"/>
    </row>
    <row r="1569">
      <c r="E1569" s="16" t="n"/>
      <c r="F1569" s="15" t="n"/>
    </row>
    <row r="1570">
      <c r="E1570" s="16" t="n"/>
      <c r="F1570" s="15" t="n"/>
    </row>
    <row r="1571">
      <c r="E1571" s="16" t="n"/>
      <c r="F1571" s="15" t="n"/>
    </row>
    <row r="1572">
      <c r="E1572" s="16" t="n"/>
      <c r="F1572" s="15" t="n"/>
    </row>
    <row r="1573">
      <c r="E1573" s="16" t="n"/>
      <c r="F1573" s="15" t="n"/>
    </row>
    <row r="1574">
      <c r="E1574" s="16" t="n"/>
      <c r="F1574" s="15" t="n"/>
    </row>
    <row r="1575">
      <c r="E1575" s="16" t="n"/>
      <c r="F1575" s="15" t="n"/>
    </row>
    <row r="1576">
      <c r="E1576" s="16" t="n"/>
      <c r="F1576" s="15" t="n"/>
    </row>
    <row r="1577">
      <c r="E1577" s="16" t="n"/>
      <c r="F1577" s="15" t="n"/>
    </row>
    <row r="1578">
      <c r="E1578" s="16" t="n"/>
      <c r="F1578" s="15" t="n"/>
    </row>
    <row r="1579">
      <c r="E1579" s="16" t="n"/>
      <c r="F1579" s="15" t="n"/>
    </row>
    <row r="1580">
      <c r="E1580" s="16" t="n"/>
      <c r="F1580" s="15" t="n"/>
    </row>
    <row r="1581">
      <c r="E1581" s="16" t="n"/>
      <c r="F1581" s="15" t="n"/>
    </row>
    <row r="1582">
      <c r="E1582" s="16" t="n"/>
      <c r="F1582" s="15" t="n"/>
    </row>
    <row r="1583">
      <c r="E1583" s="16" t="n"/>
      <c r="F1583" s="15" t="n"/>
    </row>
    <row r="1584">
      <c r="E1584" s="16" t="n"/>
      <c r="F1584" s="15" t="n"/>
    </row>
    <row r="1585">
      <c r="E1585" s="16" t="n"/>
      <c r="F1585" s="15" t="n"/>
    </row>
    <row r="1586">
      <c r="E1586" s="16" t="n"/>
      <c r="F1586" s="15" t="n"/>
    </row>
    <row r="1587">
      <c r="E1587" s="16" t="n"/>
      <c r="F1587" s="15" t="n"/>
    </row>
    <row r="1588">
      <c r="E1588" s="16" t="n"/>
      <c r="F1588" s="15" t="n"/>
    </row>
    <row r="1589">
      <c r="E1589" s="16" t="n"/>
      <c r="F1589" s="15" t="n"/>
    </row>
    <row r="1590">
      <c r="E1590" s="16" t="n"/>
      <c r="F1590" s="15" t="n"/>
    </row>
    <row r="1591">
      <c r="E1591" s="16" t="n"/>
      <c r="F1591" s="15" t="n"/>
    </row>
    <row r="1592">
      <c r="E1592" s="16" t="n"/>
      <c r="F1592" s="15" t="n"/>
    </row>
    <row r="1593">
      <c r="E1593" s="16" t="n"/>
      <c r="F1593" s="15" t="n"/>
    </row>
    <row r="1594">
      <c r="E1594" s="16" t="n"/>
      <c r="F1594" s="15" t="n"/>
    </row>
    <row r="1595">
      <c r="E1595" s="16" t="n"/>
      <c r="F1595" s="15" t="n"/>
    </row>
    <row r="1596">
      <c r="E1596" s="16" t="n"/>
      <c r="F1596" s="15" t="n"/>
    </row>
    <row r="1597">
      <c r="E1597" s="16" t="n"/>
      <c r="F1597" s="15" t="n"/>
    </row>
    <row r="1598">
      <c r="E1598" s="16" t="n"/>
      <c r="F1598" s="15" t="n"/>
    </row>
    <row r="1599">
      <c r="E1599" s="16" t="n"/>
      <c r="F1599" s="15" t="n"/>
    </row>
    <row r="1600">
      <c r="E1600" s="16" t="n"/>
      <c r="F1600" s="15" t="n"/>
    </row>
    <row r="1601">
      <c r="E1601" s="16" t="n"/>
      <c r="F1601" s="15" t="n"/>
    </row>
    <row r="1602">
      <c r="E1602" s="16" t="n"/>
      <c r="F1602" s="15" t="n"/>
    </row>
    <row r="1603">
      <c r="E1603" s="16" t="n"/>
      <c r="F1603" s="15" t="n"/>
    </row>
    <row r="1604">
      <c r="E1604" s="16" t="n"/>
      <c r="F1604" s="15" t="n"/>
    </row>
    <row r="1605">
      <c r="E1605" s="16" t="n"/>
      <c r="F1605" s="15" t="n"/>
    </row>
    <row r="1606">
      <c r="E1606" s="16" t="n"/>
      <c r="F1606" s="15" t="n"/>
    </row>
    <row r="1607">
      <c r="E1607" s="16" t="n"/>
      <c r="F1607" s="15" t="n"/>
    </row>
    <row r="1608">
      <c r="E1608" s="16" t="n"/>
      <c r="F1608" s="15" t="n"/>
    </row>
    <row r="1609">
      <c r="E1609" s="16" t="n"/>
      <c r="F1609" s="15" t="n"/>
    </row>
    <row r="1610">
      <c r="E1610" s="16" t="n"/>
      <c r="F1610" s="15" t="n"/>
    </row>
    <row r="1611">
      <c r="E1611" s="16" t="n"/>
      <c r="F1611" s="15" t="n"/>
    </row>
    <row r="1612">
      <c r="E1612" s="16" t="n"/>
      <c r="F1612" s="15" t="n"/>
    </row>
    <row r="1613">
      <c r="E1613" s="16" t="n"/>
      <c r="F1613" s="15" t="n"/>
    </row>
    <row r="1614">
      <c r="E1614" s="16" t="n"/>
      <c r="F1614" s="15" t="n"/>
    </row>
    <row r="1615">
      <c r="E1615" s="16" t="n"/>
      <c r="F1615" s="15" t="n"/>
    </row>
    <row r="1616">
      <c r="E1616" s="16" t="n"/>
      <c r="F1616" s="15" t="n"/>
    </row>
    <row r="1617">
      <c r="E1617" s="16" t="n"/>
      <c r="F1617" s="15" t="n"/>
    </row>
    <row r="1618">
      <c r="E1618" s="16" t="n"/>
      <c r="F1618" s="15" t="n"/>
    </row>
    <row r="1619">
      <c r="E1619" s="16" t="n"/>
      <c r="F1619" s="15" t="n"/>
    </row>
    <row r="1620">
      <c r="E1620" s="16" t="n"/>
      <c r="F1620" s="15" t="n"/>
    </row>
    <row r="1621">
      <c r="E1621" s="16" t="n"/>
      <c r="F1621" s="15" t="n"/>
    </row>
    <row r="1622">
      <c r="E1622" s="16" t="n"/>
      <c r="F1622" s="15" t="n"/>
    </row>
    <row r="1623">
      <c r="E1623" s="16" t="n"/>
      <c r="F1623" s="15" t="n"/>
    </row>
    <row r="1624">
      <c r="E1624" s="16" t="n"/>
      <c r="F1624" s="15" t="n"/>
    </row>
    <row r="1625">
      <c r="E1625" s="16" t="n"/>
      <c r="F1625" s="15" t="n"/>
    </row>
    <row r="1626">
      <c r="E1626" s="16" t="n"/>
      <c r="F1626" s="15" t="n"/>
    </row>
    <row r="1627">
      <c r="E1627" s="16" t="n"/>
      <c r="F1627" s="15" t="n"/>
    </row>
    <row r="1628">
      <c r="E1628" s="16" t="n"/>
      <c r="F1628" s="15" t="n"/>
    </row>
    <row r="1629">
      <c r="E1629" s="16" t="n"/>
      <c r="F1629" s="15" t="n"/>
    </row>
    <row r="1630">
      <c r="E1630" s="16" t="n"/>
      <c r="F1630" s="15" t="n"/>
    </row>
    <row r="1631">
      <c r="E1631" s="16" t="n"/>
      <c r="F1631" s="15" t="n"/>
    </row>
    <row r="1632">
      <c r="E1632" s="16" t="n"/>
      <c r="F1632" s="15" t="n"/>
    </row>
    <row r="1633">
      <c r="E1633" s="16" t="n"/>
      <c r="F1633" s="15" t="n"/>
    </row>
    <row r="1634">
      <c r="E1634" s="16" t="n"/>
      <c r="F1634" s="15" t="n"/>
    </row>
    <row r="1635">
      <c r="E1635" s="16" t="n"/>
      <c r="F1635" s="15" t="n"/>
    </row>
    <row r="1636">
      <c r="E1636" s="16" t="n"/>
      <c r="F1636" s="15" t="n"/>
    </row>
    <row r="1637">
      <c r="E1637" s="16" t="n"/>
      <c r="F1637" s="15" t="n"/>
    </row>
    <row r="1638">
      <c r="E1638" s="16" t="n"/>
      <c r="F1638" s="15" t="n"/>
    </row>
    <row r="1639">
      <c r="E1639" s="16" t="n"/>
      <c r="F1639" s="15" t="n"/>
    </row>
    <row r="1640">
      <c r="E1640" s="16" t="n"/>
      <c r="F1640" s="15" t="n"/>
    </row>
    <row r="1641">
      <c r="E1641" s="16" t="n"/>
      <c r="F1641" s="15" t="n"/>
    </row>
    <row r="1642">
      <c r="E1642" s="16" t="n"/>
      <c r="F1642" s="15" t="n"/>
    </row>
    <row r="1643">
      <c r="E1643" s="16" t="n"/>
      <c r="F1643" s="15" t="n"/>
    </row>
    <row r="1644">
      <c r="E1644" s="16" t="n"/>
      <c r="F1644" s="15" t="n"/>
    </row>
    <row r="1645">
      <c r="E1645" s="16" t="n"/>
      <c r="F1645" s="15" t="n"/>
    </row>
    <row r="1646">
      <c r="E1646" s="16" t="n"/>
      <c r="F1646" s="15" t="n"/>
    </row>
    <row r="1647">
      <c r="E1647" s="16" t="n"/>
      <c r="F1647" s="15" t="n"/>
    </row>
    <row r="1648">
      <c r="E1648" s="16" t="n"/>
      <c r="F1648" s="15" t="n"/>
    </row>
    <row r="1649">
      <c r="E1649" s="16" t="n"/>
      <c r="F1649" s="15" t="n"/>
    </row>
    <row r="1650">
      <c r="E1650" s="16" t="n"/>
      <c r="F1650" s="15" t="n"/>
    </row>
    <row r="1651">
      <c r="E1651" s="16" t="n"/>
      <c r="F1651" s="15" t="n"/>
    </row>
    <row r="1652">
      <c r="E1652" s="16" t="n"/>
      <c r="F1652" s="15" t="n"/>
    </row>
    <row r="1653">
      <c r="E1653" s="16" t="n"/>
      <c r="F1653" s="15" t="n"/>
    </row>
    <row r="1654">
      <c r="E1654" s="16" t="n"/>
      <c r="F1654" s="15" t="n"/>
    </row>
    <row r="1655">
      <c r="E1655" s="16" t="n"/>
      <c r="F1655" s="15" t="n"/>
    </row>
    <row r="1656">
      <c r="E1656" s="16" t="n"/>
      <c r="F1656" s="15" t="n"/>
    </row>
    <row r="1657">
      <c r="E1657" s="16" t="n"/>
      <c r="F1657" s="15" t="n"/>
    </row>
    <row r="1658">
      <c r="E1658" s="16" t="n"/>
      <c r="F1658" s="15" t="n"/>
    </row>
    <row r="1659">
      <c r="E1659" s="16" t="n"/>
      <c r="F1659" s="15" t="n"/>
    </row>
    <row r="1660">
      <c r="E1660" s="16" t="n"/>
      <c r="F1660" s="15" t="n"/>
    </row>
    <row r="1661">
      <c r="E1661" s="16" t="n"/>
      <c r="F1661" s="15" t="n"/>
    </row>
    <row r="1662">
      <c r="E1662" s="16" t="n"/>
      <c r="F1662" s="15" t="n"/>
    </row>
    <row r="1663">
      <c r="E1663" s="16" t="n"/>
      <c r="F1663" s="15" t="n"/>
    </row>
    <row r="1664">
      <c r="E1664" s="16" t="n"/>
      <c r="F1664" s="15" t="n"/>
    </row>
    <row r="1665">
      <c r="E1665" s="16" t="n"/>
      <c r="F1665" s="15" t="n"/>
    </row>
    <row r="1666">
      <c r="E1666" s="16" t="n"/>
      <c r="F1666" s="15" t="n"/>
    </row>
    <row r="1667">
      <c r="E1667" s="16" t="n"/>
      <c r="F1667" s="15" t="n"/>
    </row>
    <row r="1668">
      <c r="E1668" s="16" t="n"/>
      <c r="F1668" s="15" t="n"/>
    </row>
    <row r="1669">
      <c r="E1669" s="16" t="n"/>
      <c r="F1669" s="15" t="n"/>
    </row>
    <row r="1670">
      <c r="E1670" s="16" t="n"/>
      <c r="F1670" s="15" t="n"/>
    </row>
    <row r="1671">
      <c r="E1671" s="16" t="n"/>
      <c r="F1671" s="15" t="n"/>
    </row>
    <row r="1672">
      <c r="E1672" s="16" t="n"/>
      <c r="F1672" s="15" t="n"/>
    </row>
    <row r="1673">
      <c r="E1673" s="16" t="n"/>
      <c r="F1673" s="15" t="n"/>
    </row>
    <row r="1674">
      <c r="E1674" s="16" t="n"/>
      <c r="F1674" s="15" t="n"/>
    </row>
    <row r="1675">
      <c r="E1675" s="16" t="n"/>
      <c r="F1675" s="15" t="n"/>
    </row>
    <row r="1676">
      <c r="E1676" s="16" t="n"/>
      <c r="F1676" s="15" t="n"/>
    </row>
    <row r="1677">
      <c r="E1677" s="16" t="n"/>
      <c r="F1677" s="15" t="n"/>
    </row>
    <row r="1678">
      <c r="E1678" s="16" t="n"/>
      <c r="F1678" s="15" t="n"/>
    </row>
    <row r="1679">
      <c r="E1679" s="16" t="n"/>
      <c r="F1679" s="15" t="n"/>
    </row>
    <row r="1680">
      <c r="E1680" s="16" t="n"/>
      <c r="F1680" s="15" t="n"/>
    </row>
    <row r="1681">
      <c r="E1681" s="16" t="n"/>
      <c r="F1681" s="15" t="n"/>
    </row>
    <row r="1682">
      <c r="E1682" s="16" t="n"/>
      <c r="F1682" s="15" t="n"/>
    </row>
    <row r="1683">
      <c r="E1683" s="16" t="n"/>
      <c r="F1683" s="15" t="n"/>
    </row>
    <row r="1684">
      <c r="E1684" s="16" t="n"/>
      <c r="F1684" s="15" t="n"/>
    </row>
    <row r="1685">
      <c r="E1685" s="16" t="n"/>
      <c r="F1685" s="15" t="n"/>
    </row>
    <row r="1686">
      <c r="E1686" s="16" t="n"/>
      <c r="F1686" s="15" t="n"/>
    </row>
    <row r="1687">
      <c r="E1687" s="16" t="n"/>
      <c r="F1687" s="15" t="n"/>
    </row>
    <row r="1688">
      <c r="E1688" s="16" t="n"/>
      <c r="F1688" s="15" t="n"/>
    </row>
    <row r="1689">
      <c r="E1689" s="16" t="n"/>
      <c r="F1689" s="15" t="n"/>
    </row>
    <row r="1690">
      <c r="E1690" s="16" t="n"/>
      <c r="F1690" s="15" t="n"/>
    </row>
    <row r="1691">
      <c r="E1691" s="16" t="n"/>
      <c r="F1691" s="15" t="n"/>
    </row>
    <row r="1692">
      <c r="E1692" s="16" t="n"/>
      <c r="F1692" s="15" t="n"/>
    </row>
    <row r="1693">
      <c r="E1693" s="16" t="n"/>
      <c r="F1693" s="15" t="n"/>
    </row>
    <row r="1694">
      <c r="E1694" s="16" t="n"/>
      <c r="F1694" s="15" t="n"/>
    </row>
    <row r="1695">
      <c r="E1695" s="16" t="n"/>
      <c r="F1695" s="15" t="n"/>
    </row>
    <row r="1696">
      <c r="E1696" s="16" t="n"/>
      <c r="F1696" s="15" t="n"/>
    </row>
    <row r="1697">
      <c r="E1697" s="16" t="n"/>
      <c r="F1697" s="15" t="n"/>
    </row>
    <row r="1698">
      <c r="E1698" s="16" t="n"/>
      <c r="F1698" s="15" t="n"/>
    </row>
    <row r="1699">
      <c r="E1699" s="16" t="n"/>
      <c r="F1699" s="15" t="n"/>
    </row>
    <row r="1700">
      <c r="E1700" s="16" t="n"/>
      <c r="F1700" s="15" t="n"/>
    </row>
    <row r="1701">
      <c r="E1701" s="16" t="n"/>
      <c r="F1701" s="15" t="n"/>
    </row>
    <row r="1702">
      <c r="E1702" s="16" t="n"/>
      <c r="F1702" s="15" t="n"/>
    </row>
    <row r="1703">
      <c r="E1703" s="16" t="n"/>
      <c r="F1703" s="15" t="n"/>
    </row>
    <row r="1704">
      <c r="E1704" s="16" t="n"/>
      <c r="F1704" s="15" t="n"/>
    </row>
    <row r="1705">
      <c r="E1705" s="16" t="n"/>
      <c r="F1705" s="15" t="n"/>
    </row>
    <row r="1706">
      <c r="E1706" s="16" t="n"/>
      <c r="F1706" s="15" t="n"/>
    </row>
    <row r="1707">
      <c r="E1707" s="16" t="n"/>
      <c r="F1707" s="15" t="n"/>
    </row>
    <row r="1708">
      <c r="E1708" s="16" t="n"/>
      <c r="F1708" s="15" t="n"/>
    </row>
    <row r="1709">
      <c r="E1709" s="16" t="n"/>
      <c r="F1709" s="15" t="n"/>
    </row>
    <row r="1710">
      <c r="E1710" s="16" t="n"/>
      <c r="F1710" s="15" t="n"/>
    </row>
    <row r="1711">
      <c r="E1711" s="16" t="n"/>
      <c r="F1711" s="15" t="n"/>
    </row>
    <row r="1712">
      <c r="E1712" s="16" t="n"/>
      <c r="F1712" s="15" t="n"/>
    </row>
    <row r="1713">
      <c r="E1713" s="16" t="n"/>
      <c r="F1713" s="15" t="n"/>
    </row>
    <row r="1714">
      <c r="E1714" s="16" t="n"/>
      <c r="F1714" s="15" t="n"/>
    </row>
    <row r="1715">
      <c r="E1715" s="16" t="n"/>
      <c r="F1715" s="15" t="n"/>
    </row>
    <row r="1716">
      <c r="E1716" s="16" t="n"/>
      <c r="F1716" s="15" t="n"/>
    </row>
    <row r="1717">
      <c r="E1717" s="16" t="n"/>
      <c r="F1717" s="15" t="n"/>
    </row>
    <row r="1718">
      <c r="E1718" s="16" t="n"/>
      <c r="F1718" s="15" t="n"/>
    </row>
    <row r="1719">
      <c r="E1719" s="16" t="n"/>
      <c r="F1719" s="15" t="n"/>
    </row>
    <row r="1720">
      <c r="E1720" s="16" t="n"/>
      <c r="F1720" s="15" t="n"/>
    </row>
    <row r="1721">
      <c r="E1721" s="16" t="n"/>
      <c r="F1721" s="15" t="n"/>
    </row>
    <row r="1722">
      <c r="E1722" s="16" t="n"/>
      <c r="F1722" s="15" t="n"/>
    </row>
    <row r="1723">
      <c r="E1723" s="16" t="n"/>
      <c r="F1723" s="15" t="n"/>
    </row>
    <row r="1724">
      <c r="E1724" s="16" t="n"/>
      <c r="F1724" s="15" t="n"/>
    </row>
    <row r="1725">
      <c r="E1725" s="16" t="n"/>
      <c r="F1725" s="15" t="n"/>
    </row>
    <row r="1726">
      <c r="E1726" s="16" t="n"/>
      <c r="F1726" s="15" t="n"/>
    </row>
    <row r="1727">
      <c r="E1727" s="16" t="n"/>
      <c r="F1727" s="15" t="n"/>
    </row>
    <row r="1728">
      <c r="E1728" s="16" t="n"/>
      <c r="F1728" s="15" t="n"/>
    </row>
    <row r="1729">
      <c r="E1729" s="16" t="n"/>
      <c r="F1729" s="15" t="n"/>
    </row>
    <row r="1730">
      <c r="E1730" s="16" t="n"/>
      <c r="F1730" s="15" t="n"/>
    </row>
    <row r="1731">
      <c r="E1731" s="16" t="n"/>
      <c r="F1731" s="15" t="n"/>
    </row>
    <row r="1732">
      <c r="E1732" s="16" t="n"/>
      <c r="F1732" s="15" t="n"/>
    </row>
    <row r="1733">
      <c r="E1733" s="16" t="n"/>
      <c r="F1733" s="15" t="n"/>
    </row>
    <row r="1734">
      <c r="E1734" s="16" t="n"/>
      <c r="F1734" s="15" t="n"/>
    </row>
    <row r="1735">
      <c r="E1735" s="16" t="n"/>
      <c r="F1735" s="15" t="n"/>
    </row>
    <row r="1736">
      <c r="E1736" s="16" t="n"/>
      <c r="F1736" s="15" t="n"/>
    </row>
    <row r="1737">
      <c r="E1737" s="16" t="n"/>
      <c r="F1737" s="15" t="n"/>
    </row>
    <row r="1738">
      <c r="E1738" s="16" t="n"/>
      <c r="F1738" s="15" t="n"/>
    </row>
    <row r="1739">
      <c r="E1739" s="16" t="n"/>
      <c r="F1739" s="15" t="n"/>
    </row>
    <row r="1740">
      <c r="E1740" s="16" t="n"/>
      <c r="F1740" s="15" t="n"/>
    </row>
    <row r="1741">
      <c r="E1741" s="16" t="n"/>
      <c r="F1741" s="15" t="n"/>
    </row>
    <row r="1742">
      <c r="E1742" s="16" t="n"/>
      <c r="F1742" s="15" t="n"/>
    </row>
    <row r="1743">
      <c r="E1743" s="16" t="n"/>
      <c r="F1743" s="15" t="n"/>
    </row>
    <row r="1744">
      <c r="E1744" s="16" t="n"/>
      <c r="F1744" s="15" t="n"/>
    </row>
    <row r="1745">
      <c r="E1745" s="16" t="n"/>
      <c r="F1745" s="15" t="n"/>
    </row>
    <row r="1746">
      <c r="E1746" s="16" t="n"/>
      <c r="F1746" s="15" t="n"/>
    </row>
    <row r="1747">
      <c r="E1747" s="16" t="n"/>
      <c r="F1747" s="15" t="n"/>
    </row>
    <row r="1748">
      <c r="E1748" s="16" t="n"/>
      <c r="F1748" s="15" t="n"/>
    </row>
    <row r="1749">
      <c r="E1749" s="16" t="n"/>
      <c r="F1749" s="15" t="n"/>
    </row>
    <row r="1750">
      <c r="E1750" s="16" t="n"/>
      <c r="F1750" s="15" t="n"/>
    </row>
    <row r="1751">
      <c r="E1751" s="16" t="n"/>
      <c r="F1751" s="15" t="n"/>
    </row>
    <row r="1752">
      <c r="E1752" s="16" t="n"/>
      <c r="F1752" s="15" t="n"/>
    </row>
    <row r="1753">
      <c r="E1753" s="16" t="n"/>
      <c r="F1753" s="15" t="n"/>
    </row>
    <row r="1754">
      <c r="E1754" s="16" t="n"/>
      <c r="F1754" s="15" t="n"/>
    </row>
    <row r="1755">
      <c r="E1755" s="16" t="n"/>
      <c r="F1755" s="15" t="n"/>
    </row>
    <row r="1756">
      <c r="E1756" s="16" t="n"/>
      <c r="F1756" s="15" t="n"/>
    </row>
    <row r="1757">
      <c r="E1757" s="16" t="n"/>
      <c r="F1757" s="15" t="n"/>
    </row>
    <row r="1758">
      <c r="E1758" s="16" t="n"/>
      <c r="F1758" s="15" t="n"/>
    </row>
    <row r="1759">
      <c r="E1759" s="16" t="n"/>
      <c r="F1759" s="15" t="n"/>
    </row>
    <row r="1760">
      <c r="E1760" s="16" t="n"/>
      <c r="F1760" s="15" t="n"/>
    </row>
    <row r="1761">
      <c r="E1761" s="16" t="n"/>
      <c r="F1761" s="15" t="n"/>
    </row>
    <row r="1762">
      <c r="E1762" s="16" t="n"/>
      <c r="F1762" s="15" t="n"/>
    </row>
    <row r="1763">
      <c r="E1763" s="16" t="n"/>
      <c r="F1763" s="15" t="n"/>
    </row>
    <row r="1764">
      <c r="E1764" s="16" t="n"/>
      <c r="F1764" s="15" t="n"/>
    </row>
    <row r="1765">
      <c r="E1765" s="16" t="n"/>
      <c r="F1765" s="15" t="n"/>
    </row>
    <row r="1766">
      <c r="E1766" s="16" t="n"/>
      <c r="F1766" s="15" t="n"/>
    </row>
    <row r="1767">
      <c r="E1767" s="16" t="n"/>
      <c r="F1767" s="15" t="n"/>
    </row>
    <row r="1768">
      <c r="E1768" s="16" t="n"/>
      <c r="F1768" s="15" t="n"/>
    </row>
    <row r="1769">
      <c r="E1769" s="16" t="n"/>
      <c r="F1769" s="15" t="n"/>
    </row>
    <row r="1770">
      <c r="E1770" s="16" t="n"/>
      <c r="F1770" s="15" t="n"/>
    </row>
    <row r="1771">
      <c r="E1771" s="16" t="n"/>
      <c r="F1771" s="15" t="n"/>
    </row>
    <row r="1772">
      <c r="E1772" s="16" t="n"/>
      <c r="F1772" s="15" t="n"/>
    </row>
    <row r="1773">
      <c r="E1773" s="16" t="n"/>
      <c r="F1773" s="15" t="n"/>
    </row>
    <row r="1774">
      <c r="E1774" s="16" t="n"/>
      <c r="F1774" s="15" t="n"/>
    </row>
    <row r="1775">
      <c r="E1775" s="16" t="n"/>
      <c r="F1775" s="15" t="n"/>
    </row>
    <row r="1776">
      <c r="E1776" s="16" t="n"/>
      <c r="F1776" s="15" t="n"/>
    </row>
    <row r="1777">
      <c r="E1777" s="16" t="n"/>
      <c r="F1777" s="15" t="n"/>
    </row>
    <row r="1778">
      <c r="E1778" s="16" t="n"/>
      <c r="F1778" s="15" t="n"/>
    </row>
    <row r="1779">
      <c r="E1779" s="16" t="n"/>
      <c r="F1779" s="15" t="n"/>
    </row>
    <row r="1780">
      <c r="E1780" s="16" t="n"/>
      <c r="F1780" s="15" t="n"/>
    </row>
    <row r="1781">
      <c r="E1781" s="16" t="n"/>
      <c r="F1781" s="15" t="n"/>
    </row>
    <row r="1782">
      <c r="E1782" s="16" t="n"/>
      <c r="F1782" s="15" t="n"/>
    </row>
    <row r="1783">
      <c r="E1783" s="16" t="n"/>
      <c r="F1783" s="15" t="n"/>
    </row>
    <row r="1784">
      <c r="E1784" s="16" t="n"/>
      <c r="F1784" s="15" t="n"/>
    </row>
    <row r="1785">
      <c r="E1785" s="16" t="n"/>
      <c r="F1785" s="15" t="n"/>
    </row>
    <row r="1786">
      <c r="E1786" s="16" t="n"/>
      <c r="F1786" s="15" t="n"/>
    </row>
    <row r="1787">
      <c r="E1787" s="16" t="n"/>
      <c r="F1787" s="15" t="n"/>
    </row>
    <row r="1788">
      <c r="E1788" s="16" t="n"/>
      <c r="F1788" s="15" t="n"/>
    </row>
    <row r="1789">
      <c r="E1789" s="16" t="n"/>
      <c r="F1789" s="15" t="n"/>
    </row>
    <row r="1790">
      <c r="E1790" s="16" t="n"/>
      <c r="F1790" s="15" t="n"/>
    </row>
    <row r="1791">
      <c r="E1791" s="16" t="n"/>
      <c r="F1791" s="15" t="n"/>
    </row>
    <row r="1792">
      <c r="E1792" s="16" t="n"/>
      <c r="F1792" s="15" t="n"/>
    </row>
    <row r="1793">
      <c r="E1793" s="16" t="n"/>
      <c r="F1793" s="15" t="n"/>
    </row>
    <row r="1794">
      <c r="E1794" s="16" t="n"/>
      <c r="F1794" s="15" t="n"/>
    </row>
    <row r="1795">
      <c r="E1795" s="16" t="n"/>
      <c r="F1795" s="15" t="n"/>
    </row>
    <row r="1796">
      <c r="E1796" s="16" t="n"/>
      <c r="F1796" s="15" t="n"/>
    </row>
    <row r="1797">
      <c r="E1797" s="16" t="n"/>
      <c r="F1797" s="15" t="n"/>
    </row>
    <row r="1798">
      <c r="E1798" s="16" t="n"/>
      <c r="F1798" s="15" t="n"/>
    </row>
    <row r="1799">
      <c r="E1799" s="16" t="n"/>
      <c r="F1799" s="15" t="n"/>
    </row>
    <row r="1800">
      <c r="E1800" s="16" t="n"/>
      <c r="F1800" s="15" t="n"/>
    </row>
    <row r="1801">
      <c r="E1801" s="16" t="n"/>
      <c r="F1801" s="15" t="n"/>
    </row>
    <row r="1802">
      <c r="E1802" s="16" t="n"/>
      <c r="F1802" s="15" t="n"/>
    </row>
    <row r="1803">
      <c r="E1803" s="16" t="n"/>
      <c r="F1803" s="15" t="n"/>
    </row>
    <row r="1804">
      <c r="E1804" s="16" t="n"/>
      <c r="F1804" s="15" t="n"/>
    </row>
    <row r="1805">
      <c r="E1805" s="16" t="n"/>
      <c r="F1805" s="15" t="n"/>
    </row>
    <row r="1806">
      <c r="E1806" s="16" t="n"/>
      <c r="F1806" s="15" t="n"/>
    </row>
    <row r="1807">
      <c r="E1807" s="16" t="n"/>
      <c r="F1807" s="15" t="n"/>
    </row>
    <row r="1808">
      <c r="E1808" s="16" t="n"/>
      <c r="F1808" s="15" t="n"/>
    </row>
    <row r="1809">
      <c r="E1809" s="16" t="n"/>
      <c r="F1809" s="15" t="n"/>
    </row>
    <row r="1810">
      <c r="E1810" s="16" t="n"/>
      <c r="F1810" s="15" t="n"/>
    </row>
    <row r="1811">
      <c r="E1811" s="16" t="n"/>
      <c r="F1811" s="15" t="n"/>
    </row>
    <row r="1812">
      <c r="E1812" s="16" t="n"/>
      <c r="F1812" s="15" t="n"/>
    </row>
    <row r="1813">
      <c r="E1813" s="16" t="n"/>
      <c r="F1813" s="15" t="n"/>
    </row>
    <row r="1814">
      <c r="E1814" s="16" t="n"/>
      <c r="F1814" s="15" t="n"/>
    </row>
    <row r="1815">
      <c r="E1815" s="16" t="n"/>
      <c r="F1815" s="15" t="n"/>
    </row>
    <row r="1816">
      <c r="E1816" s="16" t="n"/>
      <c r="F1816" s="15" t="n"/>
    </row>
    <row r="1817">
      <c r="E1817" s="16" t="n"/>
      <c r="F1817" s="15" t="n"/>
    </row>
    <row r="1818">
      <c r="E1818" s="16" t="n"/>
      <c r="F1818" s="15" t="n"/>
    </row>
    <row r="1819">
      <c r="E1819" s="16" t="n"/>
      <c r="F1819" s="15" t="n"/>
    </row>
    <row r="1820">
      <c r="E1820" s="16" t="n"/>
      <c r="F1820" s="15" t="n"/>
    </row>
    <row r="1821">
      <c r="E1821" s="16" t="n"/>
      <c r="F1821" s="15" t="n"/>
    </row>
    <row r="1822">
      <c r="E1822" s="16" t="n"/>
      <c r="F1822" s="15" t="n"/>
    </row>
    <row r="1823">
      <c r="E1823" s="16" t="n"/>
      <c r="F1823" s="15" t="n"/>
    </row>
    <row r="1824">
      <c r="E1824" s="16" t="n"/>
      <c r="F1824" s="15" t="n"/>
    </row>
    <row r="1825">
      <c r="E1825" s="16" t="n"/>
      <c r="F1825" s="15" t="n"/>
    </row>
    <row r="1826">
      <c r="E1826" s="16" t="n"/>
      <c r="F1826" s="15" t="n"/>
    </row>
    <row r="1827">
      <c r="E1827" s="16" t="n"/>
      <c r="F1827" s="15" t="n"/>
    </row>
    <row r="1828">
      <c r="E1828" s="16" t="n"/>
      <c r="F1828" s="15" t="n"/>
    </row>
    <row r="1829">
      <c r="E1829" s="16" t="n"/>
      <c r="F1829" s="15" t="n"/>
    </row>
    <row r="1830">
      <c r="E1830" s="16" t="n"/>
      <c r="F1830" s="15" t="n"/>
    </row>
    <row r="1831">
      <c r="E1831" s="16" t="n"/>
      <c r="F1831" s="15" t="n"/>
    </row>
    <row r="1832">
      <c r="E1832" s="16" t="n"/>
      <c r="F1832" s="15" t="n"/>
    </row>
    <row r="1833">
      <c r="E1833" s="16" t="n"/>
      <c r="F1833" s="15" t="n"/>
    </row>
    <row r="1834">
      <c r="E1834" s="16" t="n"/>
      <c r="F1834" s="15" t="n"/>
    </row>
    <row r="1835">
      <c r="E1835" s="16" t="n"/>
      <c r="F1835" s="15" t="n"/>
    </row>
    <row r="1836">
      <c r="E1836" s="16" t="n"/>
      <c r="F1836" s="15" t="n"/>
    </row>
    <row r="1837">
      <c r="E1837" s="16" t="n"/>
      <c r="F1837" s="15" t="n"/>
    </row>
    <row r="1838">
      <c r="E1838" s="16" t="n"/>
      <c r="F1838" s="15" t="n"/>
    </row>
    <row r="1839">
      <c r="E1839" s="16" t="n"/>
      <c r="F1839" s="15" t="n"/>
    </row>
    <row r="1840">
      <c r="E1840" s="16" t="n"/>
      <c r="F1840" s="15" t="n"/>
    </row>
    <row r="1841">
      <c r="E1841" s="16" t="n"/>
      <c r="F1841" s="15" t="n"/>
    </row>
    <row r="1842">
      <c r="E1842" s="16" t="n"/>
      <c r="F1842" s="15" t="n"/>
    </row>
    <row r="1843">
      <c r="E1843" s="16" t="n"/>
      <c r="F1843" s="15" t="n"/>
    </row>
    <row r="1844">
      <c r="E1844" s="16" t="n"/>
      <c r="F1844" s="15" t="n"/>
    </row>
    <row r="1845">
      <c r="E1845" s="16" t="n"/>
      <c r="F1845" s="15" t="n"/>
    </row>
    <row r="1846">
      <c r="E1846" s="16" t="n"/>
      <c r="F1846" s="15" t="n"/>
    </row>
    <row r="1847">
      <c r="E1847" s="16" t="n"/>
      <c r="F1847" s="15" t="n"/>
    </row>
    <row r="1848">
      <c r="E1848" s="16" t="n"/>
      <c r="F1848" s="15" t="n"/>
    </row>
    <row r="1849">
      <c r="E1849" s="16" t="n"/>
      <c r="F1849" s="15" t="n"/>
    </row>
    <row r="1850">
      <c r="E1850" s="16" t="n"/>
      <c r="F1850" s="15" t="n"/>
    </row>
    <row r="1851">
      <c r="E1851" s="16" t="n"/>
      <c r="F1851" s="15" t="n"/>
    </row>
    <row r="1852">
      <c r="E1852" s="16" t="n"/>
      <c r="F1852" s="15" t="n"/>
    </row>
    <row r="1853">
      <c r="E1853" s="16" t="n"/>
      <c r="F1853" s="15" t="n"/>
    </row>
    <row r="1854">
      <c r="E1854" s="16" t="n"/>
      <c r="F1854" s="15" t="n"/>
    </row>
    <row r="1855">
      <c r="E1855" s="16" t="n"/>
      <c r="F1855" s="15" t="n"/>
    </row>
    <row r="1856">
      <c r="E1856" s="16" t="n"/>
      <c r="F1856" s="15" t="n"/>
    </row>
    <row r="1857">
      <c r="E1857" s="16" t="n"/>
      <c r="F1857" s="15" t="n"/>
    </row>
    <row r="1858">
      <c r="E1858" s="16" t="n"/>
      <c r="F1858" s="15" t="n"/>
    </row>
    <row r="1859">
      <c r="E1859" s="16" t="n"/>
      <c r="F1859" s="15" t="n"/>
    </row>
    <row r="1860">
      <c r="E1860" s="16" t="n"/>
      <c r="F1860" s="15" t="n"/>
    </row>
    <row r="1861">
      <c r="E1861" s="16" t="n"/>
      <c r="F1861" s="15" t="n"/>
    </row>
    <row r="1862">
      <c r="E1862" s="16" t="n"/>
      <c r="F1862" s="15" t="n"/>
    </row>
    <row r="1863">
      <c r="E1863" s="16" t="n"/>
      <c r="F1863" s="15" t="n"/>
    </row>
    <row r="1864">
      <c r="E1864" s="16" t="n"/>
      <c r="F1864" s="15" t="n"/>
    </row>
    <row r="1865">
      <c r="E1865" s="16" t="n"/>
      <c r="F1865" s="15" t="n"/>
    </row>
    <row r="1866">
      <c r="E1866" s="16" t="n"/>
      <c r="F1866" s="15" t="n"/>
    </row>
    <row r="1867">
      <c r="E1867" s="16" t="n"/>
      <c r="F1867" s="15" t="n"/>
    </row>
    <row r="1868">
      <c r="E1868" s="16" t="n"/>
      <c r="F1868" s="15" t="n"/>
    </row>
    <row r="1869">
      <c r="E1869" s="16" t="n"/>
      <c r="F1869" s="15" t="n"/>
    </row>
    <row r="1870">
      <c r="E1870" s="16" t="n"/>
      <c r="F1870" s="15" t="n"/>
    </row>
    <row r="1871">
      <c r="E1871" s="16" t="n"/>
      <c r="F1871" s="15" t="n"/>
    </row>
    <row r="1872">
      <c r="E1872" s="16" t="n"/>
      <c r="F1872" s="15" t="n"/>
    </row>
    <row r="1873">
      <c r="E1873" s="16" t="n"/>
      <c r="F1873" s="15" t="n"/>
    </row>
    <row r="1874">
      <c r="E1874" s="16" t="n"/>
      <c r="F1874" s="15" t="n"/>
    </row>
    <row r="1875">
      <c r="E1875" s="16" t="n"/>
      <c r="F1875" s="15" t="n"/>
    </row>
    <row r="1876">
      <c r="E1876" s="16" t="n"/>
      <c r="F1876" s="15" t="n"/>
    </row>
    <row r="1877">
      <c r="E1877" s="16" t="n"/>
      <c r="F1877" s="15" t="n"/>
    </row>
    <row r="1878">
      <c r="E1878" s="16" t="n"/>
      <c r="F1878" s="15" t="n"/>
    </row>
    <row r="1879">
      <c r="E1879" s="16" t="n"/>
      <c r="F1879" s="15" t="n"/>
    </row>
    <row r="1880">
      <c r="E1880" s="16" t="n"/>
      <c r="F1880" s="15" t="n"/>
    </row>
    <row r="1881">
      <c r="E1881" s="16" t="n"/>
      <c r="F1881" s="15" t="n"/>
    </row>
    <row r="1882">
      <c r="E1882" s="16" t="n"/>
      <c r="F1882" s="15" t="n"/>
    </row>
    <row r="1883">
      <c r="E1883" s="16" t="n"/>
      <c r="F1883" s="15" t="n"/>
    </row>
    <row r="1884">
      <c r="E1884" s="16" t="n"/>
      <c r="F1884" s="15" t="n"/>
    </row>
    <row r="1885">
      <c r="E1885" s="16" t="n"/>
      <c r="F1885" s="15" t="n"/>
    </row>
    <row r="1886">
      <c r="E1886" s="16" t="n"/>
      <c r="F1886" s="15" t="n"/>
    </row>
    <row r="1887">
      <c r="E1887" s="16" t="n"/>
      <c r="F1887" s="15" t="n"/>
    </row>
    <row r="1888">
      <c r="E1888" s="16" t="n"/>
      <c r="F1888" s="15" t="n"/>
    </row>
    <row r="1889">
      <c r="E1889" s="16" t="n"/>
      <c r="F1889" s="15" t="n"/>
    </row>
    <row r="1890">
      <c r="E1890" s="16" t="n"/>
      <c r="F1890" s="15" t="n"/>
    </row>
    <row r="1891">
      <c r="E1891" s="16" t="n"/>
      <c r="F1891" s="15" t="n"/>
    </row>
    <row r="1892">
      <c r="E1892" s="16" t="n"/>
      <c r="F1892" s="15" t="n"/>
    </row>
    <row r="1893">
      <c r="E1893" s="16" t="n"/>
      <c r="F1893" s="15" t="n"/>
    </row>
    <row r="1894">
      <c r="E1894" s="16" t="n"/>
      <c r="F1894" s="15" t="n"/>
    </row>
    <row r="1895">
      <c r="E1895" s="16" t="n"/>
      <c r="F1895" s="15" t="n"/>
    </row>
    <row r="1896">
      <c r="E1896" s="16" t="n"/>
      <c r="F1896" s="15" t="n"/>
    </row>
    <row r="1897">
      <c r="E1897" s="16" t="n"/>
      <c r="F1897" s="15" t="n"/>
    </row>
    <row r="1898">
      <c r="E1898" s="16" t="n"/>
      <c r="F1898" s="15" t="n"/>
    </row>
    <row r="1899">
      <c r="E1899" s="16" t="n"/>
      <c r="F1899" s="15" t="n"/>
    </row>
    <row r="1900">
      <c r="E1900" s="16" t="n"/>
      <c r="F1900" s="15" t="n"/>
    </row>
    <row r="1901">
      <c r="E1901" s="16" t="n"/>
      <c r="F1901" s="15" t="n"/>
    </row>
    <row r="1902">
      <c r="E1902" s="16" t="n"/>
      <c r="F1902" s="15" t="n"/>
    </row>
    <row r="1903">
      <c r="E1903" s="16" t="n"/>
      <c r="F1903" s="15" t="n"/>
    </row>
    <row r="1904">
      <c r="E1904" s="16" t="n"/>
      <c r="F1904" s="15" t="n"/>
    </row>
    <row r="1905">
      <c r="E1905" s="16" t="n"/>
      <c r="F1905" s="15" t="n"/>
    </row>
    <row r="1906">
      <c r="E1906" s="16" t="n"/>
      <c r="F1906" s="15" t="n"/>
    </row>
    <row r="1907">
      <c r="E1907" s="16" t="n"/>
      <c r="F1907" s="15" t="n"/>
    </row>
    <row r="1908">
      <c r="E1908" s="16" t="n"/>
      <c r="F1908" s="15" t="n"/>
    </row>
    <row r="1909">
      <c r="E1909" s="16" t="n"/>
      <c r="F1909" s="15" t="n"/>
    </row>
    <row r="1910">
      <c r="E1910" s="16" t="n"/>
      <c r="F1910" s="15" t="n"/>
    </row>
    <row r="1911">
      <c r="E1911" s="16" t="n"/>
      <c r="F1911" s="15" t="n"/>
    </row>
    <row r="1912">
      <c r="E1912" s="16" t="n"/>
      <c r="F1912" s="15" t="n"/>
    </row>
    <row r="1913">
      <c r="E1913" s="16" t="n"/>
      <c r="F1913" s="15" t="n"/>
    </row>
    <row r="1914">
      <c r="E1914" s="16" t="n"/>
      <c r="F1914" s="15" t="n"/>
    </row>
    <row r="1915">
      <c r="E1915" s="16" t="n"/>
      <c r="F1915" s="15" t="n"/>
    </row>
    <row r="1916">
      <c r="E1916" s="16" t="n"/>
      <c r="F1916" s="15" t="n"/>
    </row>
    <row r="1917">
      <c r="E1917" s="16" t="n"/>
      <c r="F1917" s="15" t="n"/>
    </row>
    <row r="1918">
      <c r="E1918" s="16" t="n"/>
      <c r="F1918" s="15" t="n"/>
    </row>
    <row r="1919">
      <c r="E1919" s="16" t="n"/>
      <c r="F1919" s="15" t="n"/>
    </row>
    <row r="1920">
      <c r="E1920" s="16" t="n"/>
      <c r="F1920" s="15" t="n"/>
    </row>
    <row r="1921">
      <c r="E1921" s="16" t="n"/>
      <c r="F1921" s="15" t="n"/>
    </row>
    <row r="1922">
      <c r="E1922" s="16" t="n"/>
      <c r="F1922" s="15" t="n"/>
    </row>
    <row r="1923">
      <c r="E1923" s="16" t="n"/>
      <c r="F1923" s="15" t="n"/>
    </row>
    <row r="1924">
      <c r="E1924" s="16" t="n"/>
      <c r="F1924" s="15" t="n"/>
    </row>
    <row r="1925">
      <c r="E1925" s="16" t="n"/>
      <c r="F1925" s="15" t="n"/>
    </row>
    <row r="1926">
      <c r="E1926" s="16" t="n"/>
      <c r="F1926" s="15" t="n"/>
    </row>
    <row r="1927">
      <c r="E1927" s="16" t="n"/>
      <c r="F1927" s="15" t="n"/>
    </row>
    <row r="1928">
      <c r="E1928" s="16" t="n"/>
      <c r="F1928" s="15" t="n"/>
    </row>
    <row r="1929">
      <c r="E1929" s="16" t="n"/>
      <c r="F1929" s="15" t="n"/>
    </row>
    <row r="1930">
      <c r="E1930" s="16" t="n"/>
      <c r="F1930" s="15" t="n"/>
    </row>
    <row r="1931">
      <c r="E1931" s="16" t="n"/>
      <c r="F1931" s="15" t="n"/>
    </row>
    <row r="1932">
      <c r="E1932" s="16" t="n"/>
      <c r="F1932" s="15" t="n"/>
    </row>
    <row r="1933">
      <c r="E1933" s="16" t="n"/>
      <c r="F1933" s="15" t="n"/>
    </row>
    <row r="1934">
      <c r="E1934" s="16" t="n"/>
      <c r="F1934" s="15" t="n"/>
    </row>
    <row r="1935">
      <c r="E1935" s="16" t="n"/>
      <c r="F1935" s="15" t="n"/>
    </row>
    <row r="1936">
      <c r="E1936" s="16" t="n"/>
      <c r="F1936" s="15" t="n"/>
    </row>
    <row r="1937">
      <c r="E1937" s="16" t="n"/>
      <c r="F1937" s="15" t="n"/>
    </row>
    <row r="1938">
      <c r="E1938" s="16" t="n"/>
      <c r="F1938" s="15" t="n"/>
    </row>
    <row r="1939">
      <c r="E1939" s="16" t="n"/>
      <c r="F1939" s="15" t="n"/>
    </row>
    <row r="1940">
      <c r="E1940" s="16" t="n"/>
      <c r="F1940" s="15" t="n"/>
    </row>
    <row r="1941">
      <c r="E1941" s="16" t="n"/>
      <c r="F1941" s="15" t="n"/>
    </row>
    <row r="1942">
      <c r="E1942" s="16" t="n"/>
      <c r="F1942" s="15" t="n"/>
    </row>
    <row r="1943">
      <c r="E1943" s="16" t="n"/>
      <c r="F1943" s="15" t="n"/>
    </row>
    <row r="1944">
      <c r="E1944" s="16" t="n"/>
      <c r="F1944" s="15" t="n"/>
    </row>
    <row r="1945">
      <c r="E1945" s="16" t="n"/>
      <c r="F1945" s="15" t="n"/>
    </row>
    <row r="1946">
      <c r="E1946" s="16" t="n"/>
      <c r="F1946" s="15" t="n"/>
    </row>
    <row r="1947">
      <c r="E1947" s="16" t="n"/>
      <c r="F1947" s="15" t="n"/>
    </row>
    <row r="1948">
      <c r="E1948" s="16" t="n"/>
      <c r="F1948" s="15" t="n"/>
    </row>
    <row r="1949">
      <c r="E1949" s="16" t="n"/>
      <c r="F1949" s="15" t="n"/>
    </row>
    <row r="1950">
      <c r="E1950" s="16" t="n"/>
      <c r="F1950" s="15" t="n"/>
    </row>
    <row r="1951">
      <c r="E1951" s="16" t="n"/>
      <c r="F1951" s="15" t="n"/>
    </row>
    <row r="1952">
      <c r="E1952" s="16" t="n"/>
      <c r="F1952" s="15" t="n"/>
    </row>
    <row r="1953">
      <c r="E1953" s="16" t="n"/>
      <c r="F1953" s="15" t="n"/>
    </row>
    <row r="1954">
      <c r="E1954" s="16" t="n"/>
      <c r="F1954" s="15" t="n"/>
    </row>
    <row r="1955">
      <c r="E1955" s="16" t="n"/>
      <c r="F1955" s="15" t="n"/>
    </row>
    <row r="1956">
      <c r="E1956" s="16" t="n"/>
      <c r="F1956" s="15" t="n"/>
    </row>
    <row r="1957">
      <c r="E1957" s="16" t="n"/>
      <c r="F1957" s="15" t="n"/>
    </row>
    <row r="1958">
      <c r="E1958" s="16" t="n"/>
      <c r="F1958" s="15" t="n"/>
    </row>
    <row r="1959">
      <c r="E1959" s="16" t="n"/>
      <c r="F1959" s="15" t="n"/>
    </row>
    <row r="1960">
      <c r="E1960" s="16" t="n"/>
      <c r="F1960" s="15" t="n"/>
    </row>
    <row r="1961">
      <c r="E1961" s="16" t="n"/>
      <c r="F1961" s="15" t="n"/>
    </row>
    <row r="1962">
      <c r="E1962" s="16" t="n"/>
      <c r="F1962" s="15" t="n"/>
    </row>
    <row r="1963">
      <c r="E1963" s="16" t="n"/>
      <c r="F1963" s="15" t="n"/>
    </row>
    <row r="1964">
      <c r="E1964" s="16" t="n"/>
      <c r="F1964" s="15" t="n"/>
    </row>
    <row r="1965">
      <c r="E1965" s="16" t="n"/>
      <c r="F1965" s="15" t="n"/>
    </row>
    <row r="1966">
      <c r="E1966" s="16" t="n"/>
      <c r="F1966" s="15" t="n"/>
    </row>
    <row r="1967">
      <c r="E1967" s="16" t="n"/>
      <c r="F1967" s="15" t="n"/>
    </row>
    <row r="1968">
      <c r="E1968" s="16" t="n"/>
      <c r="F1968" s="15" t="n"/>
    </row>
    <row r="1969">
      <c r="E1969" s="16" t="n"/>
      <c r="F1969" s="15" t="n"/>
    </row>
    <row r="1970">
      <c r="E1970" s="16" t="n"/>
      <c r="F1970" s="15" t="n"/>
    </row>
    <row r="1971">
      <c r="E1971" s="16" t="n"/>
      <c r="F1971" s="15" t="n"/>
    </row>
    <row r="1972">
      <c r="E1972" s="16" t="n"/>
      <c r="F1972" s="15" t="n"/>
    </row>
    <row r="1973">
      <c r="E1973" s="16" t="n"/>
      <c r="F1973" s="15" t="n"/>
    </row>
    <row r="1974">
      <c r="E1974" s="16" t="n"/>
      <c r="F1974" s="15" t="n"/>
    </row>
    <row r="1975">
      <c r="E1975" s="16" t="n"/>
      <c r="F1975" s="15" t="n"/>
    </row>
    <row r="1976">
      <c r="E1976" s="16" t="n"/>
      <c r="F1976" s="15" t="n"/>
    </row>
    <row r="1977">
      <c r="E1977" s="16" t="n"/>
      <c r="F1977" s="15" t="n"/>
    </row>
    <row r="1978">
      <c r="E1978" s="16" t="n"/>
      <c r="F1978" s="15" t="n"/>
    </row>
    <row r="1979">
      <c r="E1979" s="16" t="n"/>
      <c r="F1979" s="15" t="n"/>
    </row>
    <row r="1980">
      <c r="E1980" s="16" t="n"/>
      <c r="F1980" s="15" t="n"/>
    </row>
    <row r="1981">
      <c r="E1981" s="16" t="n"/>
      <c r="F1981" s="15" t="n"/>
    </row>
    <row r="1982">
      <c r="E1982" s="16" t="n"/>
      <c r="F1982" s="15" t="n"/>
    </row>
    <row r="1983">
      <c r="E1983" s="16" t="n"/>
      <c r="F1983" s="15" t="n"/>
    </row>
    <row r="1984">
      <c r="E1984" s="16" t="n"/>
      <c r="F1984" s="15" t="n"/>
    </row>
    <row r="1985">
      <c r="E1985" s="16" t="n"/>
      <c r="F1985" s="15" t="n"/>
    </row>
    <row r="1986">
      <c r="E1986" s="16" t="n"/>
      <c r="F1986" s="15" t="n"/>
    </row>
    <row r="1987">
      <c r="E1987" s="16" t="n"/>
      <c r="F1987" s="15" t="n"/>
    </row>
    <row r="1988">
      <c r="E1988" s="16" t="n"/>
      <c r="F1988" s="15" t="n"/>
    </row>
    <row r="1989">
      <c r="E1989" s="16" t="n"/>
      <c r="F1989" s="15" t="n"/>
    </row>
    <row r="1990">
      <c r="E1990" s="16" t="n"/>
      <c r="F1990" s="15" t="n"/>
    </row>
    <row r="1991">
      <c r="E1991" s="16" t="n"/>
      <c r="F1991" s="15" t="n"/>
    </row>
    <row r="1992">
      <c r="E1992" s="16" t="n"/>
      <c r="F1992" s="15" t="n"/>
    </row>
    <row r="1993">
      <c r="E1993" s="16" t="n"/>
      <c r="F1993" s="15" t="n"/>
    </row>
    <row r="1994">
      <c r="E1994" s="16" t="n"/>
      <c r="F1994" s="15" t="n"/>
    </row>
    <row r="1995">
      <c r="E1995" s="16" t="n"/>
      <c r="F1995" s="15" t="n"/>
    </row>
    <row r="1996">
      <c r="E1996" s="16" t="n"/>
      <c r="F1996" s="15" t="n"/>
    </row>
    <row r="1997">
      <c r="E1997" s="16" t="n"/>
      <c r="F1997" s="15" t="n"/>
    </row>
    <row r="1998">
      <c r="E1998" s="16" t="n"/>
      <c r="F1998" s="15" t="n"/>
    </row>
    <row r="1999">
      <c r="E1999" s="16" t="n"/>
      <c r="F1999" s="15" t="n"/>
    </row>
    <row r="2000">
      <c r="E2000" s="16" t="n"/>
      <c r="F2000" s="15" t="n"/>
    </row>
    <row r="2001">
      <c r="E2001" s="16" t="n"/>
      <c r="F2001" s="15" t="n"/>
    </row>
    <row r="2002">
      <c r="E2002" s="16" t="n"/>
      <c r="F2002" s="15" t="n"/>
    </row>
    <row r="2003">
      <c r="E2003" s="16" t="n"/>
      <c r="F2003" s="15" t="n"/>
    </row>
    <row r="2004">
      <c r="E2004" s="16" t="n"/>
      <c r="F2004" s="15" t="n"/>
    </row>
    <row r="2005">
      <c r="E2005" s="16" t="n"/>
      <c r="F2005" s="15" t="n"/>
    </row>
    <row r="2006">
      <c r="E2006" s="16" t="n"/>
      <c r="F2006" s="15" t="n"/>
    </row>
    <row r="2007">
      <c r="E2007" s="16" t="n"/>
      <c r="F2007" s="15" t="n"/>
    </row>
    <row r="2008">
      <c r="E2008" s="16" t="n"/>
      <c r="F2008" s="15" t="n"/>
    </row>
    <row r="2009">
      <c r="E2009" s="16" t="n"/>
      <c r="F2009" s="15" t="n"/>
    </row>
    <row r="2010">
      <c r="E2010" s="16" t="n"/>
      <c r="F2010" s="15" t="n"/>
    </row>
    <row r="2011">
      <c r="E2011" s="16" t="n"/>
      <c r="F2011" s="15" t="n"/>
    </row>
    <row r="2012">
      <c r="E2012" s="16" t="n"/>
      <c r="F2012" s="15" t="n"/>
    </row>
    <row r="2013">
      <c r="E2013" s="16" t="n"/>
      <c r="F2013" s="15" t="n"/>
    </row>
    <row r="2014">
      <c r="E2014" s="16" t="n"/>
      <c r="F2014" s="15" t="n"/>
    </row>
    <row r="2015">
      <c r="E2015" s="16" t="n"/>
      <c r="F2015" s="15" t="n"/>
    </row>
    <row r="2016">
      <c r="E2016" s="16" t="n"/>
      <c r="F2016" s="15" t="n"/>
    </row>
    <row r="2017">
      <c r="E2017" s="16" t="n"/>
      <c r="F2017" s="15" t="n"/>
    </row>
    <row r="2018">
      <c r="E2018" s="16" t="n"/>
      <c r="F2018" s="15" t="n"/>
    </row>
    <row r="2019">
      <c r="E2019" s="16" t="n"/>
      <c r="F2019" s="15" t="n"/>
    </row>
    <row r="2020">
      <c r="E2020" s="16" t="n"/>
      <c r="F2020" s="15" t="n"/>
    </row>
    <row r="2021">
      <c r="E2021" s="16" t="n"/>
      <c r="F2021" s="15" t="n"/>
    </row>
    <row r="2022">
      <c r="E2022" s="16" t="n"/>
      <c r="F2022" s="15" t="n"/>
    </row>
    <row r="2023">
      <c r="E2023" s="16" t="n"/>
      <c r="F2023" s="15" t="n"/>
    </row>
    <row r="2024">
      <c r="E2024" s="16" t="n"/>
      <c r="F2024" s="15" t="n"/>
    </row>
    <row r="2025">
      <c r="E2025" s="16" t="n"/>
      <c r="F2025" s="15" t="n"/>
    </row>
    <row r="2026">
      <c r="E2026" s="16" t="n"/>
      <c r="F2026" s="15" t="n"/>
    </row>
    <row r="2027">
      <c r="E2027" s="16" t="n"/>
      <c r="F2027" s="15" t="n"/>
    </row>
    <row r="2028">
      <c r="E2028" s="16" t="n"/>
      <c r="F2028" s="15" t="n"/>
    </row>
    <row r="2029">
      <c r="E2029" s="16" t="n"/>
      <c r="F2029" s="15" t="n"/>
    </row>
    <row r="2030">
      <c r="E2030" s="16" t="n"/>
      <c r="F2030" s="15" t="n"/>
    </row>
    <row r="2031">
      <c r="E2031" s="16" t="n"/>
      <c r="F2031" s="15" t="n"/>
    </row>
    <row r="2032">
      <c r="E2032" s="16" t="n"/>
      <c r="F2032" s="15" t="n"/>
    </row>
    <row r="2033">
      <c r="E2033" s="16" t="n"/>
      <c r="F2033" s="15" t="n"/>
    </row>
    <row r="2034">
      <c r="E2034" s="16" t="n"/>
      <c r="F2034" s="15" t="n"/>
    </row>
    <row r="2035">
      <c r="E2035" s="16" t="n"/>
      <c r="F2035" s="15" t="n"/>
    </row>
    <row r="2036">
      <c r="E2036" s="16" t="n"/>
      <c r="F2036" s="15" t="n"/>
    </row>
    <row r="2037">
      <c r="E2037" s="16" t="n"/>
      <c r="F2037" s="15" t="n"/>
    </row>
    <row r="2038">
      <c r="E2038" s="16" t="n"/>
      <c r="F2038" s="15" t="n"/>
    </row>
    <row r="2039">
      <c r="E2039" s="16" t="n"/>
      <c r="F2039" s="15" t="n"/>
    </row>
    <row r="2040">
      <c r="E2040" s="16" t="n"/>
      <c r="F2040" s="15" t="n"/>
    </row>
    <row r="2041">
      <c r="E2041" s="16" t="n"/>
      <c r="F2041" s="15" t="n"/>
    </row>
    <row r="2042">
      <c r="E2042" s="16" t="n"/>
      <c r="F2042" s="15" t="n"/>
    </row>
    <row r="2043">
      <c r="E2043" s="16" t="n"/>
      <c r="F2043" s="15" t="n"/>
    </row>
    <row r="2044">
      <c r="E2044" s="16" t="n"/>
      <c r="F2044" s="15" t="n"/>
    </row>
    <row r="2045">
      <c r="E2045" s="16" t="n"/>
      <c r="F2045" s="15" t="n"/>
    </row>
    <row r="2046">
      <c r="E2046" s="16" t="n"/>
      <c r="F2046" s="15" t="n"/>
    </row>
    <row r="2047">
      <c r="E2047" s="16" t="n"/>
      <c r="F2047" s="15" t="n"/>
    </row>
    <row r="2048">
      <c r="E2048" s="16" t="n"/>
      <c r="F2048" s="15" t="n"/>
    </row>
    <row r="2049">
      <c r="E2049" s="16" t="n"/>
      <c r="F2049" s="15" t="n"/>
    </row>
    <row r="2050">
      <c r="E2050" s="16" t="n"/>
      <c r="F2050" s="15" t="n"/>
    </row>
    <row r="2051">
      <c r="E2051" s="16" t="n"/>
      <c r="F2051" s="15" t="n"/>
    </row>
    <row r="2052">
      <c r="E2052" s="16" t="n"/>
      <c r="F2052" s="15" t="n"/>
    </row>
    <row r="2053">
      <c r="E2053" s="16" t="n"/>
      <c r="F2053" s="15" t="n"/>
    </row>
    <row r="2054">
      <c r="E2054" s="16" t="n"/>
      <c r="F2054" s="15" t="n"/>
    </row>
    <row r="2055">
      <c r="E2055" s="16" t="n"/>
      <c r="F2055" s="15" t="n"/>
    </row>
    <row r="2056">
      <c r="E2056" s="16" t="n"/>
      <c r="F2056" s="15" t="n"/>
    </row>
    <row r="2057">
      <c r="E2057" s="16" t="n"/>
      <c r="F2057" s="15" t="n"/>
    </row>
    <row r="2058">
      <c r="E2058" s="16" t="n"/>
      <c r="F2058" s="15" t="n"/>
    </row>
    <row r="2059">
      <c r="E2059" s="16" t="n"/>
      <c r="F2059" s="15" t="n"/>
    </row>
    <row r="2060">
      <c r="E2060" s="16" t="n"/>
      <c r="F2060" s="15" t="n"/>
    </row>
    <row r="2061">
      <c r="E2061" s="16" t="n"/>
      <c r="F2061" s="15" t="n"/>
    </row>
    <row r="2062">
      <c r="E2062" s="16" t="n"/>
      <c r="F2062" s="15" t="n"/>
    </row>
    <row r="2063">
      <c r="E2063" s="16" t="n"/>
      <c r="F2063" s="15" t="n"/>
    </row>
    <row r="2064">
      <c r="E2064" s="16" t="n"/>
      <c r="F2064" s="15" t="n"/>
    </row>
    <row r="2065">
      <c r="E2065" s="16" t="n"/>
      <c r="F2065" s="15" t="n"/>
    </row>
    <row r="2066">
      <c r="E2066" s="16" t="n"/>
      <c r="F2066" s="15" t="n"/>
    </row>
    <row r="2067">
      <c r="E2067" s="16" t="n"/>
      <c r="F2067" s="15" t="n"/>
    </row>
    <row r="2068">
      <c r="E2068" s="16" t="n"/>
      <c r="F2068" s="15" t="n"/>
    </row>
    <row r="2069">
      <c r="E2069" s="16" t="n"/>
      <c r="F2069" s="15" t="n"/>
    </row>
    <row r="2070">
      <c r="E2070" s="16" t="n"/>
      <c r="F2070" s="15" t="n"/>
    </row>
    <row r="2071">
      <c r="E2071" s="16" t="n"/>
      <c r="F2071" s="15" t="n"/>
    </row>
    <row r="2072">
      <c r="E2072" s="16" t="n"/>
      <c r="F2072" s="15" t="n"/>
    </row>
    <row r="2073">
      <c r="E2073" s="16" t="n"/>
      <c r="F2073" s="15" t="n"/>
    </row>
    <row r="2074">
      <c r="E2074" s="16" t="n"/>
      <c r="F2074" s="15" t="n"/>
    </row>
    <row r="2075">
      <c r="E2075" s="16" t="n"/>
      <c r="F2075" s="15" t="n"/>
    </row>
    <row r="2076">
      <c r="E2076" s="16" t="n"/>
      <c r="F2076" s="15" t="n"/>
    </row>
    <row r="2077">
      <c r="E2077" s="16" t="n"/>
      <c r="F2077" s="15" t="n"/>
    </row>
    <row r="2078">
      <c r="E2078" s="16" t="n"/>
      <c r="F2078" s="15" t="n"/>
    </row>
    <row r="2079">
      <c r="E2079" s="16" t="n"/>
      <c r="F2079" s="15" t="n"/>
    </row>
    <row r="2080">
      <c r="E2080" s="16" t="n"/>
      <c r="F2080" s="15" t="n"/>
    </row>
    <row r="2081">
      <c r="E2081" s="16" t="n"/>
      <c r="F2081" s="15" t="n"/>
    </row>
    <row r="2082">
      <c r="E2082" s="16" t="n"/>
      <c r="F2082" s="15" t="n"/>
    </row>
    <row r="2083">
      <c r="E2083" s="16" t="n"/>
      <c r="F2083" s="15" t="n"/>
    </row>
    <row r="2084">
      <c r="E2084" s="16" t="n"/>
      <c r="F2084" s="15" t="n"/>
    </row>
    <row r="2085">
      <c r="E2085" s="16" t="n"/>
      <c r="F2085" s="15" t="n"/>
    </row>
    <row r="2086">
      <c r="E2086" s="16" t="n"/>
      <c r="F2086" s="15" t="n"/>
    </row>
    <row r="2087">
      <c r="E2087" s="16" t="n"/>
      <c r="F2087" s="15" t="n"/>
    </row>
    <row r="2088">
      <c r="E2088" s="16" t="n"/>
      <c r="F2088" s="15" t="n"/>
    </row>
    <row r="2089">
      <c r="E2089" s="16" t="n"/>
      <c r="F2089" s="15" t="n"/>
    </row>
    <row r="2090">
      <c r="E2090" s="16" t="n"/>
      <c r="F2090" s="15" t="n"/>
    </row>
    <row r="2091">
      <c r="E2091" s="16" t="n"/>
      <c r="F2091" s="15" t="n"/>
    </row>
    <row r="2092">
      <c r="E2092" s="16" t="n"/>
      <c r="F2092" s="15" t="n"/>
    </row>
    <row r="2093">
      <c r="E2093" s="16" t="n"/>
      <c r="F2093" s="15" t="n"/>
    </row>
    <row r="2094">
      <c r="E2094" s="16" t="n"/>
      <c r="F2094" s="15" t="n"/>
    </row>
    <row r="2095">
      <c r="E2095" s="16" t="n"/>
      <c r="F2095" s="15" t="n"/>
    </row>
    <row r="2096">
      <c r="E2096" s="16" t="n"/>
      <c r="F2096" s="15" t="n"/>
    </row>
    <row r="2097">
      <c r="E2097" s="16" t="n"/>
      <c r="F2097" s="15" t="n"/>
    </row>
    <row r="2098">
      <c r="E2098" s="16" t="n"/>
      <c r="F2098" s="15" t="n"/>
    </row>
    <row r="2099">
      <c r="E2099" s="16" t="n"/>
      <c r="F2099" s="15" t="n"/>
    </row>
    <row r="2100">
      <c r="E2100" s="16" t="n"/>
      <c r="F2100" s="15" t="n"/>
    </row>
    <row r="2101">
      <c r="E2101" s="16" t="n"/>
      <c r="F2101" s="15" t="n"/>
    </row>
    <row r="2102">
      <c r="E2102" s="16" t="n"/>
      <c r="F2102" s="15" t="n"/>
    </row>
    <row r="2103">
      <c r="E2103" s="16" t="n"/>
      <c r="F2103" s="15" t="n"/>
    </row>
    <row r="2104">
      <c r="E2104" s="16" t="n"/>
      <c r="F2104" s="15" t="n"/>
    </row>
    <row r="2105">
      <c r="E2105" s="16" t="n"/>
      <c r="F2105" s="15" t="n"/>
    </row>
    <row r="2106">
      <c r="E2106" s="16" t="n"/>
      <c r="F2106" s="15" t="n"/>
    </row>
    <row r="2107">
      <c r="E2107" s="16" t="n"/>
      <c r="F2107" s="15" t="n"/>
    </row>
    <row r="2108">
      <c r="E2108" s="16" t="n"/>
      <c r="F2108" s="15" t="n"/>
    </row>
    <row r="2109">
      <c r="E2109" s="16" t="n"/>
      <c r="F2109" s="15" t="n"/>
    </row>
    <row r="2110">
      <c r="E2110" s="16" t="n"/>
      <c r="F2110" s="15" t="n"/>
    </row>
    <row r="2111">
      <c r="E2111" s="16" t="n"/>
      <c r="F2111" s="15" t="n"/>
    </row>
    <row r="2112">
      <c r="E2112" s="16" t="n"/>
      <c r="F2112" s="15" t="n"/>
    </row>
    <row r="2113">
      <c r="E2113" s="16" t="n"/>
      <c r="F2113" s="15" t="n"/>
    </row>
    <row r="2114">
      <c r="E2114" s="16" t="n"/>
      <c r="F2114" s="15" t="n"/>
    </row>
    <row r="2115">
      <c r="E2115" s="16" t="n"/>
      <c r="F2115" s="15" t="n"/>
    </row>
    <row r="2116">
      <c r="E2116" s="16" t="n"/>
      <c r="F2116" s="15" t="n"/>
    </row>
    <row r="2117">
      <c r="E2117" s="16" t="n"/>
      <c r="F2117" s="15" t="n"/>
    </row>
    <row r="2118">
      <c r="E2118" s="16" t="n"/>
      <c r="F2118" s="15" t="n"/>
    </row>
    <row r="2119">
      <c r="E2119" s="16" t="n"/>
      <c r="F2119" s="15" t="n"/>
    </row>
    <row r="2120">
      <c r="E2120" s="16" t="n"/>
      <c r="F2120" s="15" t="n"/>
    </row>
    <row r="2121">
      <c r="E2121" s="16" t="n"/>
      <c r="F2121" s="15" t="n"/>
    </row>
    <row r="2122">
      <c r="E2122" s="16" t="n"/>
      <c r="F2122" s="15" t="n"/>
    </row>
    <row r="2123">
      <c r="E2123" s="16" t="n"/>
      <c r="F2123" s="15" t="n"/>
    </row>
    <row r="2124">
      <c r="E2124" s="16" t="n"/>
      <c r="F2124" s="15" t="n"/>
    </row>
    <row r="2125">
      <c r="E2125" s="16" t="n"/>
      <c r="F2125" s="15" t="n"/>
    </row>
    <row r="2126">
      <c r="E2126" s="16" t="n"/>
      <c r="F2126" s="15" t="n"/>
    </row>
    <row r="2127">
      <c r="E2127" s="16" t="n"/>
      <c r="F2127" s="15" t="n"/>
    </row>
    <row r="2128">
      <c r="E2128" s="16" t="n"/>
      <c r="F2128" s="15" t="n"/>
    </row>
    <row r="2129">
      <c r="E2129" s="16" t="n"/>
      <c r="F2129" s="15" t="n"/>
    </row>
    <row r="2130">
      <c r="E2130" s="16" t="n"/>
      <c r="F2130" s="15" t="n"/>
    </row>
    <row r="2131">
      <c r="E2131" s="16" t="n"/>
      <c r="F2131" s="15" t="n"/>
    </row>
    <row r="2132">
      <c r="E2132" s="16" t="n"/>
      <c r="F2132" s="15" t="n"/>
    </row>
    <row r="2133">
      <c r="E2133" s="16" t="n"/>
      <c r="F2133" s="15" t="n"/>
    </row>
    <row r="2134">
      <c r="E2134" s="16" t="n"/>
      <c r="F2134" s="15" t="n"/>
    </row>
    <row r="2135">
      <c r="E2135" s="16" t="n"/>
      <c r="F2135" s="15" t="n"/>
    </row>
    <row r="2136">
      <c r="E2136" s="16" t="n"/>
      <c r="F2136" s="15" t="n"/>
    </row>
    <row r="2137">
      <c r="E2137" s="16" t="n"/>
      <c r="F2137" s="15" t="n"/>
    </row>
    <row r="2138">
      <c r="E2138" s="16" t="n"/>
      <c r="F2138" s="15" t="n"/>
    </row>
    <row r="2139">
      <c r="E2139" s="16" t="n"/>
      <c r="F2139" s="15" t="n"/>
    </row>
    <row r="2140">
      <c r="E2140" s="16" t="n"/>
      <c r="F2140" s="15" t="n"/>
    </row>
    <row r="2141">
      <c r="E2141" s="16" t="n"/>
      <c r="F2141" s="15" t="n"/>
    </row>
    <row r="2142">
      <c r="E2142" s="16" t="n"/>
      <c r="F2142" s="15" t="n"/>
    </row>
    <row r="2143">
      <c r="E2143" s="16" t="n"/>
      <c r="F2143" s="15" t="n"/>
    </row>
    <row r="2144">
      <c r="E2144" s="16" t="n"/>
      <c r="F2144" s="15" t="n"/>
    </row>
    <row r="2145">
      <c r="E2145" s="16" t="n"/>
      <c r="F2145" s="15" t="n"/>
    </row>
    <row r="2146">
      <c r="E2146" s="16" t="n"/>
      <c r="F2146" s="15" t="n"/>
    </row>
    <row r="2147">
      <c r="E2147" s="16" t="n"/>
      <c r="F2147" s="15" t="n"/>
    </row>
    <row r="2148">
      <c r="E2148" s="16" t="n"/>
      <c r="F2148" s="15" t="n"/>
    </row>
    <row r="2149">
      <c r="E2149" s="16" t="n"/>
      <c r="F2149" s="15" t="n"/>
    </row>
    <row r="2150">
      <c r="E2150" s="16" t="n"/>
      <c r="F2150" s="15" t="n"/>
    </row>
    <row r="2151">
      <c r="E2151" s="16" t="n"/>
      <c r="F2151" s="15" t="n"/>
    </row>
    <row r="2152">
      <c r="E2152" s="16" t="n"/>
      <c r="F2152" s="15" t="n"/>
    </row>
    <row r="2153">
      <c r="E2153" s="16" t="n"/>
      <c r="F2153" s="15" t="n"/>
    </row>
    <row r="2154">
      <c r="E2154" s="16" t="n"/>
      <c r="F2154" s="15" t="n"/>
    </row>
    <row r="2155">
      <c r="E2155" s="16" t="n"/>
      <c r="F2155" s="15" t="n"/>
    </row>
    <row r="2156">
      <c r="E2156" s="16" t="n"/>
      <c r="F2156" s="15" t="n"/>
    </row>
    <row r="2157">
      <c r="E2157" s="16" t="n"/>
      <c r="F2157" s="15" t="n"/>
    </row>
    <row r="2158">
      <c r="E2158" s="16" t="n"/>
      <c r="F2158" s="15" t="n"/>
    </row>
    <row r="2159">
      <c r="E2159" s="16" t="n"/>
      <c r="F2159" s="15" t="n"/>
    </row>
    <row r="2160">
      <c r="E2160" s="16" t="n"/>
      <c r="F2160" s="15" t="n"/>
    </row>
    <row r="2161">
      <c r="E2161" s="16" t="n"/>
      <c r="F2161" s="15" t="n"/>
    </row>
    <row r="2162">
      <c r="E2162" s="16" t="n"/>
      <c r="F2162" s="15" t="n"/>
    </row>
    <row r="2163">
      <c r="E2163" s="16" t="n"/>
      <c r="F2163" s="15" t="n"/>
    </row>
    <row r="2164">
      <c r="E2164" s="16" t="n"/>
      <c r="F2164" s="15" t="n"/>
    </row>
    <row r="2165">
      <c r="E2165" s="16" t="n"/>
      <c r="F2165" s="15" t="n"/>
    </row>
    <row r="2166">
      <c r="E2166" s="16" t="n"/>
      <c r="F2166" s="15" t="n"/>
    </row>
    <row r="2167">
      <c r="E2167" s="16" t="n"/>
      <c r="F2167" s="15" t="n"/>
    </row>
    <row r="2168">
      <c r="E2168" s="16" t="n"/>
      <c r="F2168" s="15" t="n"/>
    </row>
    <row r="2169">
      <c r="E2169" s="16" t="n"/>
      <c r="F2169" s="15" t="n"/>
    </row>
    <row r="2170">
      <c r="E2170" s="16" t="n"/>
      <c r="F2170" s="15" t="n"/>
    </row>
    <row r="2171">
      <c r="E2171" s="16" t="n"/>
      <c r="F2171" s="15" t="n"/>
    </row>
    <row r="2172">
      <c r="E2172" s="16" t="n"/>
      <c r="F2172" s="15" t="n"/>
    </row>
    <row r="2173">
      <c r="E2173" s="16" t="n"/>
      <c r="F2173" s="15" t="n"/>
    </row>
    <row r="2174">
      <c r="E2174" s="16" t="n"/>
      <c r="F2174" s="15" t="n"/>
    </row>
    <row r="2175">
      <c r="E2175" s="16" t="n"/>
      <c r="F2175" s="15" t="n"/>
    </row>
    <row r="2176">
      <c r="E2176" s="16" t="n"/>
      <c r="F2176" s="15" t="n"/>
    </row>
    <row r="2177">
      <c r="E2177" s="16" t="n"/>
      <c r="F2177" s="15" t="n"/>
    </row>
    <row r="2178">
      <c r="E2178" s="16" t="n"/>
      <c r="F2178" s="15" t="n"/>
    </row>
    <row r="2179">
      <c r="E2179" s="16" t="n"/>
      <c r="F2179" s="15" t="n"/>
    </row>
    <row r="2180">
      <c r="E2180" s="16" t="n"/>
      <c r="F2180" s="15" t="n"/>
    </row>
    <row r="2181">
      <c r="E2181" s="16" t="n"/>
      <c r="F2181" s="15" t="n"/>
    </row>
    <row r="2182">
      <c r="E2182" s="16" t="n"/>
      <c r="F2182" s="15" t="n"/>
    </row>
    <row r="2183">
      <c r="E2183" s="16" t="n"/>
      <c r="F2183" s="15" t="n"/>
    </row>
    <row r="2184">
      <c r="E2184" s="16" t="n"/>
      <c r="F2184" s="15" t="n"/>
    </row>
    <row r="2185">
      <c r="E2185" s="16" t="n"/>
      <c r="F2185" s="15" t="n"/>
    </row>
    <row r="2186">
      <c r="E2186" s="16" t="n"/>
      <c r="F2186" s="15" t="n"/>
    </row>
    <row r="2187">
      <c r="E2187" s="16" t="n"/>
      <c r="F2187" s="15" t="n"/>
    </row>
    <row r="2188">
      <c r="E2188" s="16" t="n"/>
      <c r="F2188" s="15" t="n"/>
    </row>
    <row r="2189">
      <c r="E2189" s="16" t="n"/>
      <c r="F2189" s="15" t="n"/>
    </row>
    <row r="2190">
      <c r="E2190" s="16" t="n"/>
      <c r="F2190" s="15" t="n"/>
    </row>
    <row r="2191">
      <c r="E2191" s="16" t="n"/>
      <c r="F2191" s="15" t="n"/>
    </row>
    <row r="2192">
      <c r="E2192" s="16" t="n"/>
      <c r="F2192" s="15" t="n"/>
    </row>
    <row r="2193">
      <c r="E2193" s="16" t="n"/>
      <c r="F2193" s="15" t="n"/>
    </row>
    <row r="2194">
      <c r="E2194" s="16" t="n"/>
      <c r="F2194" s="15" t="n"/>
    </row>
    <row r="2195">
      <c r="E2195" s="16" t="n"/>
      <c r="F2195" s="15" t="n"/>
    </row>
    <row r="2196">
      <c r="E2196" s="16" t="n"/>
      <c r="F2196" s="15" t="n"/>
    </row>
    <row r="2197">
      <c r="E2197" s="16" t="n"/>
      <c r="F2197" s="15" t="n"/>
    </row>
    <row r="2198">
      <c r="E2198" s="16" t="n"/>
      <c r="F2198" s="15" t="n"/>
    </row>
    <row r="2199">
      <c r="E2199" s="16" t="n"/>
      <c r="F2199" s="15" t="n"/>
    </row>
    <row r="2200">
      <c r="E2200" s="16" t="n"/>
      <c r="F2200" s="15" t="n"/>
    </row>
    <row r="2201">
      <c r="E2201" s="16" t="n"/>
      <c r="F2201" s="15" t="n"/>
    </row>
    <row r="2202">
      <c r="E2202" s="16" t="n"/>
      <c r="F2202" s="15" t="n"/>
    </row>
    <row r="2203">
      <c r="E2203" s="16" t="n"/>
      <c r="F2203" s="15" t="n"/>
    </row>
    <row r="2204">
      <c r="E2204" s="16" t="n"/>
      <c r="F2204" s="15" t="n"/>
    </row>
    <row r="2205">
      <c r="E2205" s="16" t="n"/>
      <c r="F2205" s="15" t="n"/>
    </row>
    <row r="2206">
      <c r="E2206" s="16" t="n"/>
      <c r="F2206" s="15" t="n"/>
    </row>
    <row r="2207">
      <c r="E2207" s="16" t="n"/>
      <c r="F2207" s="15" t="n"/>
    </row>
    <row r="2208">
      <c r="E2208" s="16" t="n"/>
      <c r="F2208" s="15" t="n"/>
    </row>
    <row r="2209">
      <c r="E2209" s="16" t="n"/>
      <c r="F2209" s="15" t="n"/>
    </row>
    <row r="2210">
      <c r="E2210" s="16" t="n"/>
      <c r="F2210" s="15" t="n"/>
    </row>
    <row r="2211">
      <c r="E2211" s="16" t="n"/>
      <c r="F2211" s="15" t="n"/>
    </row>
    <row r="2212">
      <c r="E2212" s="16" t="n"/>
      <c r="F2212" s="15" t="n"/>
    </row>
    <row r="2213">
      <c r="E2213" s="16" t="n"/>
      <c r="F2213" s="15" t="n"/>
    </row>
    <row r="2214">
      <c r="E2214" s="16" t="n"/>
      <c r="F2214" s="15" t="n"/>
    </row>
    <row r="2215">
      <c r="E2215" s="16" t="n"/>
      <c r="F2215" s="15" t="n"/>
    </row>
    <row r="2216">
      <c r="E2216" s="16" t="n"/>
      <c r="F2216" s="15" t="n"/>
    </row>
    <row r="2217">
      <c r="E2217" s="16" t="n"/>
      <c r="F2217" s="15" t="n"/>
    </row>
    <row r="2218">
      <c r="E2218" s="16" t="n"/>
      <c r="F2218" s="15" t="n"/>
    </row>
    <row r="2219">
      <c r="E2219" s="16" t="n"/>
      <c r="F2219" s="15" t="n"/>
    </row>
    <row r="2220">
      <c r="E2220" s="16" t="n"/>
      <c r="F2220" s="15" t="n"/>
    </row>
    <row r="2221">
      <c r="E2221" s="16" t="n"/>
      <c r="F2221" s="15" t="n"/>
    </row>
    <row r="2222">
      <c r="E2222" s="16" t="n"/>
      <c r="F2222" s="15" t="n"/>
    </row>
    <row r="2223">
      <c r="E2223" s="16" t="n"/>
      <c r="F2223" s="15" t="n"/>
    </row>
    <row r="2224">
      <c r="E2224" s="16" t="n"/>
      <c r="F2224" s="15" t="n"/>
    </row>
    <row r="2225">
      <c r="E2225" s="16" t="n"/>
      <c r="F2225" s="15" t="n"/>
    </row>
    <row r="2226">
      <c r="E2226" s="16" t="n"/>
      <c r="F2226" s="15" t="n"/>
    </row>
    <row r="2227">
      <c r="E2227" s="16" t="n"/>
      <c r="F2227" s="15" t="n"/>
    </row>
    <row r="2228">
      <c r="E2228" s="16" t="n"/>
      <c r="F2228" s="15" t="n"/>
    </row>
    <row r="2229">
      <c r="E2229" s="16" t="n"/>
      <c r="F2229" s="15" t="n"/>
    </row>
    <row r="2230">
      <c r="E2230" s="16" t="n"/>
      <c r="F2230" s="15" t="n"/>
    </row>
    <row r="2231">
      <c r="E2231" s="16" t="n"/>
      <c r="F2231" s="15" t="n"/>
    </row>
    <row r="2232">
      <c r="E2232" s="16" t="n"/>
      <c r="F2232" s="15" t="n"/>
    </row>
    <row r="2233">
      <c r="E2233" s="16" t="n"/>
      <c r="F2233" s="15" t="n"/>
    </row>
    <row r="2234">
      <c r="E2234" s="16" t="n"/>
      <c r="F2234" s="15" t="n"/>
    </row>
    <row r="2235">
      <c r="E2235" s="16" t="n"/>
      <c r="F2235" s="15" t="n"/>
    </row>
    <row r="2236">
      <c r="E2236" s="16" t="n"/>
      <c r="F2236" s="15" t="n"/>
    </row>
    <row r="2237">
      <c r="E2237" s="16" t="n"/>
      <c r="F2237" s="15" t="n"/>
    </row>
    <row r="2238">
      <c r="E2238" s="16" t="n"/>
      <c r="F2238" s="15" t="n"/>
    </row>
    <row r="2239">
      <c r="E2239" s="16" t="n"/>
      <c r="F2239" s="15" t="n"/>
    </row>
    <row r="2240">
      <c r="E2240" s="16" t="n"/>
      <c r="F2240" s="15" t="n"/>
    </row>
    <row r="2241">
      <c r="E2241" s="16" t="n"/>
      <c r="F2241" s="15" t="n"/>
    </row>
    <row r="2242">
      <c r="E2242" s="16" t="n"/>
      <c r="F2242" s="15" t="n"/>
    </row>
    <row r="2243">
      <c r="E2243" s="16" t="n"/>
      <c r="F2243" s="15" t="n"/>
    </row>
    <row r="2244">
      <c r="E2244" s="16" t="n"/>
      <c r="F2244" s="15" t="n"/>
    </row>
    <row r="2245">
      <c r="E2245" s="16" t="n"/>
      <c r="F2245" s="15" t="n"/>
    </row>
    <row r="2246">
      <c r="E2246" s="16" t="n"/>
      <c r="F2246" s="15" t="n"/>
    </row>
    <row r="2247">
      <c r="E2247" s="16" t="n"/>
      <c r="F2247" s="15" t="n"/>
    </row>
    <row r="2248">
      <c r="E2248" s="16" t="n"/>
      <c r="F2248" s="15" t="n"/>
    </row>
    <row r="2249">
      <c r="E2249" s="16" t="n"/>
      <c r="F2249" s="15" t="n"/>
    </row>
    <row r="2250">
      <c r="E2250" s="16" t="n"/>
      <c r="F2250" s="15" t="n"/>
    </row>
    <row r="2251">
      <c r="E2251" s="16" t="n"/>
      <c r="F2251" s="15" t="n"/>
    </row>
    <row r="2252">
      <c r="E2252" s="16" t="n"/>
      <c r="F2252" s="15" t="n"/>
    </row>
    <row r="2253">
      <c r="E2253" s="16" t="n"/>
      <c r="F2253" s="15" t="n"/>
    </row>
    <row r="2254">
      <c r="E2254" s="16" t="n"/>
      <c r="F2254" s="15" t="n"/>
    </row>
    <row r="2255">
      <c r="E2255" s="16" t="n"/>
      <c r="F2255" s="15" t="n"/>
    </row>
    <row r="2256">
      <c r="E2256" s="16" t="n"/>
      <c r="F2256" s="15" t="n"/>
    </row>
    <row r="2257">
      <c r="E2257" s="16" t="n"/>
      <c r="F2257" s="15" t="n"/>
    </row>
    <row r="2258">
      <c r="E2258" s="16" t="n"/>
      <c r="F2258" s="15" t="n"/>
    </row>
    <row r="2259">
      <c r="E2259" s="16" t="n"/>
      <c r="F2259" s="15" t="n"/>
    </row>
    <row r="2260">
      <c r="E2260" s="16" t="n"/>
      <c r="F2260" s="15" t="n"/>
    </row>
    <row r="2261">
      <c r="E2261" s="16" t="n"/>
      <c r="F2261" s="15" t="n"/>
    </row>
    <row r="2262">
      <c r="E2262" s="16" t="n"/>
      <c r="F2262" s="15" t="n"/>
    </row>
    <row r="2263">
      <c r="E2263" s="16" t="n"/>
      <c r="F2263" s="15" t="n"/>
    </row>
    <row r="2264">
      <c r="E2264" s="16" t="n"/>
      <c r="F2264" s="15" t="n"/>
    </row>
    <row r="2265">
      <c r="E2265" s="16" t="n"/>
      <c r="F2265" s="15" t="n"/>
    </row>
    <row r="2266">
      <c r="E2266" s="16" t="n"/>
      <c r="F2266" s="15" t="n"/>
    </row>
    <row r="2267">
      <c r="E2267" s="16" t="n"/>
      <c r="F2267" s="15" t="n"/>
    </row>
    <row r="2268">
      <c r="E2268" s="16" t="n"/>
      <c r="F2268" s="15" t="n"/>
    </row>
    <row r="2269">
      <c r="E2269" s="16" t="n"/>
      <c r="F2269" s="15" t="n"/>
    </row>
    <row r="2270">
      <c r="E2270" s="16" t="n"/>
      <c r="F2270" s="15" t="n"/>
    </row>
    <row r="2271">
      <c r="E2271" s="16" t="n"/>
      <c r="F2271" s="15" t="n"/>
    </row>
    <row r="2272">
      <c r="E2272" s="16" t="n"/>
      <c r="F2272" s="15" t="n"/>
    </row>
    <row r="2273">
      <c r="E2273" s="16" t="n"/>
      <c r="F2273" s="15" t="n"/>
    </row>
    <row r="2274">
      <c r="E2274" s="16" t="n"/>
      <c r="F2274" s="15" t="n"/>
    </row>
    <row r="2275">
      <c r="E2275" s="16" t="n"/>
      <c r="F2275" s="15" t="n"/>
    </row>
    <row r="2276">
      <c r="E2276" s="16" t="n"/>
      <c r="F2276" s="15" t="n"/>
    </row>
    <row r="2277">
      <c r="E2277" s="16" t="n"/>
      <c r="F2277" s="15" t="n"/>
    </row>
    <row r="2278">
      <c r="E2278" s="16" t="n"/>
      <c r="F2278" s="15" t="n"/>
    </row>
    <row r="2279">
      <c r="E2279" s="16" t="n"/>
      <c r="F2279" s="15" t="n"/>
    </row>
    <row r="2280">
      <c r="E2280" s="16" t="n"/>
      <c r="F2280" s="15" t="n"/>
    </row>
    <row r="2281">
      <c r="E2281" s="16" t="n"/>
      <c r="F2281" s="15" t="n"/>
    </row>
    <row r="2282">
      <c r="E2282" s="16" t="n"/>
      <c r="F2282" s="15" t="n"/>
    </row>
    <row r="2283">
      <c r="E2283" s="16" t="n"/>
      <c r="F2283" s="15" t="n"/>
    </row>
    <row r="2284">
      <c r="E2284" s="16" t="n"/>
      <c r="F2284" s="15" t="n"/>
    </row>
    <row r="2285">
      <c r="E2285" s="16" t="n"/>
      <c r="F2285" s="15" t="n"/>
    </row>
    <row r="2286">
      <c r="E2286" s="16" t="n"/>
      <c r="F2286" s="15" t="n"/>
    </row>
    <row r="2287">
      <c r="E2287" s="16" t="n"/>
      <c r="F2287" s="15" t="n"/>
    </row>
    <row r="2288">
      <c r="E2288" s="16" t="n"/>
      <c r="F2288" s="15" t="n"/>
    </row>
    <row r="2289">
      <c r="E2289" s="16" t="n"/>
      <c r="F2289" s="15" t="n"/>
    </row>
    <row r="2290">
      <c r="E2290" s="16" t="n"/>
      <c r="F2290" s="15" t="n"/>
    </row>
    <row r="2291">
      <c r="E2291" s="16" t="n"/>
      <c r="F2291" s="15" t="n"/>
    </row>
    <row r="2292">
      <c r="E2292" s="16" t="n"/>
      <c r="F2292" s="15" t="n"/>
    </row>
    <row r="2293">
      <c r="E2293" s="16" t="n"/>
      <c r="F2293" s="15" t="n"/>
    </row>
    <row r="2294">
      <c r="E2294" s="16" t="n"/>
      <c r="F2294" s="15" t="n"/>
    </row>
    <row r="2295">
      <c r="E2295" s="16" t="n"/>
      <c r="F2295" s="15" t="n"/>
    </row>
    <row r="2296">
      <c r="E2296" s="16" t="n"/>
      <c r="F2296" s="15" t="n"/>
    </row>
    <row r="2297">
      <c r="E2297" s="16" t="n"/>
      <c r="F2297" s="15" t="n"/>
    </row>
    <row r="2298">
      <c r="E2298" s="16" t="n"/>
      <c r="F2298" s="15" t="n"/>
    </row>
    <row r="2299">
      <c r="E2299" s="16" t="n"/>
      <c r="F2299" s="15" t="n"/>
    </row>
    <row r="2300">
      <c r="E2300" s="16" t="n"/>
      <c r="F2300" s="15" t="n"/>
    </row>
    <row r="2301">
      <c r="E2301" s="16" t="n"/>
      <c r="F2301" s="15" t="n"/>
    </row>
    <row r="2302">
      <c r="E2302" s="16" t="n"/>
      <c r="F2302" s="15" t="n"/>
    </row>
    <row r="2303">
      <c r="E2303" s="16" t="n"/>
      <c r="F2303" s="15" t="n"/>
    </row>
    <row r="2304">
      <c r="E2304" s="16" t="n"/>
      <c r="F2304" s="15" t="n"/>
    </row>
    <row r="2305">
      <c r="E2305" s="16" t="n"/>
      <c r="F2305" s="15" t="n"/>
    </row>
    <row r="2306">
      <c r="E2306" s="16" t="n"/>
      <c r="F2306" s="15" t="n"/>
    </row>
    <row r="2307">
      <c r="E2307" s="16" t="n"/>
      <c r="F2307" s="15" t="n"/>
    </row>
    <row r="2308">
      <c r="E2308" s="16" t="n"/>
      <c r="F2308" s="15" t="n"/>
    </row>
    <row r="2309">
      <c r="E2309" s="16" t="n"/>
      <c r="F2309" s="15" t="n"/>
    </row>
    <row r="2310">
      <c r="E2310" s="16" t="n"/>
      <c r="F2310" s="15" t="n"/>
    </row>
    <row r="2311">
      <c r="E2311" s="16" t="n"/>
      <c r="F2311" s="15" t="n"/>
    </row>
    <row r="2312">
      <c r="E2312" s="16" t="n"/>
      <c r="F2312" s="15" t="n"/>
    </row>
    <row r="2313">
      <c r="E2313" s="16" t="n"/>
      <c r="F2313" s="15" t="n"/>
    </row>
    <row r="2314">
      <c r="E2314" s="16" t="n"/>
      <c r="F2314" s="15" t="n"/>
    </row>
    <row r="2315">
      <c r="E2315" s="16" t="n"/>
      <c r="F2315" s="15" t="n"/>
    </row>
    <row r="2316">
      <c r="E2316" s="16" t="n"/>
      <c r="F2316" s="15" t="n"/>
    </row>
    <row r="2317">
      <c r="E2317" s="16" t="n"/>
      <c r="F2317" s="15" t="n"/>
    </row>
    <row r="2318">
      <c r="E2318" s="16" t="n"/>
      <c r="F2318" s="15" t="n"/>
    </row>
    <row r="2319">
      <c r="E2319" s="16" t="n"/>
      <c r="F2319" s="15" t="n"/>
    </row>
    <row r="2320">
      <c r="E2320" s="16" t="n"/>
      <c r="F2320" s="15" t="n"/>
    </row>
    <row r="2321">
      <c r="E2321" s="16" t="n"/>
      <c r="F2321" s="15" t="n"/>
    </row>
    <row r="2322">
      <c r="E2322" s="16" t="n"/>
      <c r="F2322" s="15" t="n"/>
    </row>
    <row r="2323">
      <c r="E2323" s="16" t="n"/>
      <c r="F2323" s="15" t="n"/>
    </row>
    <row r="2324">
      <c r="E2324" s="16" t="n"/>
      <c r="F2324" s="15" t="n"/>
    </row>
    <row r="2325">
      <c r="E2325" s="16" t="n"/>
      <c r="F2325" s="15" t="n"/>
    </row>
    <row r="2326">
      <c r="E2326" s="16" t="n"/>
      <c r="F2326" s="15" t="n"/>
    </row>
    <row r="2327">
      <c r="E2327" s="16" t="n"/>
      <c r="F2327" s="15" t="n"/>
    </row>
    <row r="2328">
      <c r="E2328" s="16" t="n"/>
      <c r="F2328" s="15" t="n"/>
    </row>
    <row r="2329">
      <c r="E2329" s="16" t="n"/>
      <c r="F2329" s="15" t="n"/>
    </row>
    <row r="2330">
      <c r="E2330" s="16" t="n"/>
      <c r="F2330" s="15" t="n"/>
    </row>
    <row r="2331">
      <c r="E2331" s="16" t="n"/>
      <c r="F2331" s="15" t="n"/>
    </row>
    <row r="2332">
      <c r="E2332" s="16" t="n"/>
      <c r="F2332" s="15" t="n"/>
    </row>
    <row r="2333">
      <c r="E2333" s="16" t="n"/>
      <c r="F2333" s="15" t="n"/>
    </row>
    <row r="2334">
      <c r="E2334" s="16" t="n"/>
      <c r="F2334" s="15" t="n"/>
    </row>
    <row r="2335">
      <c r="E2335" s="16" t="n"/>
      <c r="F2335" s="15" t="n"/>
    </row>
    <row r="2336">
      <c r="E2336" s="16" t="n"/>
      <c r="F2336" s="15" t="n"/>
    </row>
    <row r="2337">
      <c r="E2337" s="16" t="n"/>
      <c r="F2337" s="15" t="n"/>
    </row>
    <row r="2338">
      <c r="E2338" s="16" t="n"/>
      <c r="F2338" s="15" t="n"/>
    </row>
    <row r="2339">
      <c r="E2339" s="16" t="n"/>
      <c r="F2339" s="15" t="n"/>
    </row>
    <row r="2340">
      <c r="E2340" s="16" t="n"/>
      <c r="F2340" s="15" t="n"/>
    </row>
    <row r="2341">
      <c r="E2341" s="16" t="n"/>
      <c r="F2341" s="15" t="n"/>
    </row>
    <row r="2342">
      <c r="E2342" s="16" t="n"/>
      <c r="F2342" s="15" t="n"/>
    </row>
    <row r="2343">
      <c r="E2343" s="16" t="n"/>
      <c r="F2343" s="15" t="n"/>
    </row>
    <row r="2344">
      <c r="E2344" s="16" t="n"/>
      <c r="F2344" s="15" t="n"/>
    </row>
    <row r="2345">
      <c r="E2345" s="16" t="n"/>
      <c r="F2345" s="15" t="n"/>
    </row>
    <row r="2346">
      <c r="E2346" s="16" t="n"/>
      <c r="F2346" s="15" t="n"/>
    </row>
    <row r="2347">
      <c r="E2347" s="16" t="n"/>
      <c r="F2347" s="15" t="n"/>
    </row>
    <row r="2348">
      <c r="E2348" s="16" t="n"/>
      <c r="F2348" s="15" t="n"/>
    </row>
    <row r="2349">
      <c r="E2349" s="16" t="n"/>
      <c r="F2349" s="15" t="n"/>
    </row>
    <row r="2350">
      <c r="E2350" s="16" t="n"/>
      <c r="F2350" s="15" t="n"/>
    </row>
    <row r="2351">
      <c r="E2351" s="16" t="n"/>
      <c r="F2351" s="15" t="n"/>
    </row>
    <row r="2352">
      <c r="E2352" s="16" t="n"/>
      <c r="F2352" s="15" t="n"/>
    </row>
    <row r="2353">
      <c r="E2353" s="16" t="n"/>
      <c r="F2353" s="15" t="n"/>
    </row>
    <row r="2354">
      <c r="E2354" s="16" t="n"/>
      <c r="F2354" s="15" t="n"/>
    </row>
    <row r="2355">
      <c r="E2355" s="16" t="n"/>
      <c r="F2355" s="15" t="n"/>
    </row>
    <row r="2356">
      <c r="E2356" s="16" t="n"/>
      <c r="F2356" s="15" t="n"/>
    </row>
    <row r="2357">
      <c r="E2357" s="16" t="n"/>
      <c r="F2357" s="15" t="n"/>
    </row>
    <row r="2358">
      <c r="E2358" s="16" t="n"/>
      <c r="F2358" s="15" t="n"/>
    </row>
    <row r="2359">
      <c r="E2359" s="16" t="n"/>
      <c r="F2359" s="15" t="n"/>
    </row>
    <row r="2360">
      <c r="E2360" s="16" t="n"/>
      <c r="F2360" s="15" t="n"/>
    </row>
    <row r="2361">
      <c r="E2361" s="16" t="n"/>
      <c r="F2361" s="15" t="n"/>
    </row>
    <row r="2362">
      <c r="E2362" s="16" t="n"/>
      <c r="F2362" s="15" t="n"/>
    </row>
    <row r="2363">
      <c r="E2363" s="16" t="n"/>
      <c r="F2363" s="15" t="n"/>
    </row>
    <row r="2364">
      <c r="E2364" s="16" t="n"/>
      <c r="F2364" s="15" t="n"/>
    </row>
    <row r="2365">
      <c r="E2365" s="16" t="n"/>
      <c r="F2365" s="15" t="n"/>
    </row>
    <row r="2366">
      <c r="E2366" s="16" t="n"/>
      <c r="F2366" s="15" t="n"/>
    </row>
    <row r="2367">
      <c r="E2367" s="16" t="n"/>
      <c r="F2367" s="15" t="n"/>
    </row>
    <row r="2368">
      <c r="E2368" s="16" t="n"/>
      <c r="F2368" s="15" t="n"/>
    </row>
    <row r="2369">
      <c r="E2369" s="16" t="n"/>
      <c r="F2369" s="15" t="n"/>
    </row>
    <row r="2370">
      <c r="E2370" s="16" t="n"/>
      <c r="F2370" s="15" t="n"/>
    </row>
    <row r="2371">
      <c r="E2371" s="16" t="n"/>
      <c r="F2371" s="15" t="n"/>
    </row>
    <row r="2372">
      <c r="E2372" s="16" t="n"/>
      <c r="F2372" s="15" t="n"/>
    </row>
    <row r="2373">
      <c r="E2373" s="16" t="n"/>
      <c r="F2373" s="15" t="n"/>
    </row>
    <row r="2374">
      <c r="E2374" s="16" t="n"/>
      <c r="F2374" s="15" t="n"/>
    </row>
    <row r="2375">
      <c r="E2375" s="16" t="n"/>
      <c r="F2375" s="15" t="n"/>
    </row>
    <row r="2376">
      <c r="E2376" s="16" t="n"/>
      <c r="F2376" s="15" t="n"/>
    </row>
    <row r="2377">
      <c r="E2377" s="16" t="n"/>
      <c r="F2377" s="15" t="n"/>
    </row>
    <row r="2378">
      <c r="E2378" s="16" t="n"/>
      <c r="F2378" s="15" t="n"/>
    </row>
    <row r="2379">
      <c r="E2379" s="16" t="n"/>
      <c r="F2379" s="15" t="n"/>
    </row>
    <row r="2380">
      <c r="E2380" s="16" t="n"/>
      <c r="F2380" s="15" t="n"/>
    </row>
    <row r="2381">
      <c r="E2381" s="16" t="n"/>
      <c r="F2381" s="15" t="n"/>
    </row>
    <row r="2382">
      <c r="E2382" s="16" t="n"/>
      <c r="F2382" s="15" t="n"/>
    </row>
    <row r="2383">
      <c r="E2383" s="16" t="n"/>
      <c r="F2383" s="15" t="n"/>
    </row>
    <row r="2384">
      <c r="E2384" s="16" t="n"/>
      <c r="F2384" s="15" t="n"/>
    </row>
    <row r="2385">
      <c r="E2385" s="16" t="n"/>
      <c r="F2385" s="15" t="n"/>
    </row>
    <row r="2386">
      <c r="E2386" s="16" t="n"/>
      <c r="F2386" s="15" t="n"/>
    </row>
    <row r="2387">
      <c r="E2387" s="16" t="n"/>
      <c r="F2387" s="15" t="n"/>
    </row>
    <row r="2388">
      <c r="E2388" s="16" t="n"/>
      <c r="F2388" s="15" t="n"/>
    </row>
    <row r="2389">
      <c r="E2389" s="16" t="n"/>
      <c r="F2389" s="15" t="n"/>
    </row>
    <row r="2390">
      <c r="E2390" s="16" t="n"/>
      <c r="F2390" s="15" t="n"/>
    </row>
    <row r="2391">
      <c r="E2391" s="16" t="n"/>
      <c r="F2391" s="15" t="n"/>
    </row>
    <row r="2392">
      <c r="E2392" s="16" t="n"/>
      <c r="F2392" s="15" t="n"/>
    </row>
    <row r="2393">
      <c r="E2393" s="16" t="n"/>
      <c r="F2393" s="15" t="n"/>
    </row>
    <row r="2394">
      <c r="E2394" s="16" t="n"/>
      <c r="F2394" s="15" t="n"/>
    </row>
    <row r="2395">
      <c r="E2395" s="16" t="n"/>
      <c r="F2395" s="15" t="n"/>
    </row>
    <row r="2396">
      <c r="E2396" s="16" t="n"/>
      <c r="F2396" s="15" t="n"/>
    </row>
    <row r="2397">
      <c r="E2397" s="16" t="n"/>
      <c r="F2397" s="15" t="n"/>
    </row>
    <row r="2398">
      <c r="E2398" s="16" t="n"/>
      <c r="F2398" s="15" t="n"/>
    </row>
    <row r="2399">
      <c r="E2399" s="16" t="n"/>
      <c r="F2399" s="15" t="n"/>
    </row>
    <row r="2400">
      <c r="E2400" s="16" t="n"/>
      <c r="F2400" s="15" t="n"/>
    </row>
    <row r="2401">
      <c r="E2401" s="16" t="n"/>
      <c r="F2401" s="15" t="n"/>
    </row>
    <row r="2402">
      <c r="E2402" s="16" t="n"/>
      <c r="F2402" s="15" t="n"/>
    </row>
    <row r="2403">
      <c r="E2403" s="16" t="n"/>
      <c r="F2403" s="15" t="n"/>
    </row>
    <row r="2404">
      <c r="E2404" s="16" t="n"/>
      <c r="F2404" s="15" t="n"/>
    </row>
    <row r="2405">
      <c r="E2405" s="16" t="n"/>
      <c r="F2405" s="15" t="n"/>
    </row>
    <row r="2406">
      <c r="E2406" s="16" t="n"/>
      <c r="F2406" s="15" t="n"/>
    </row>
    <row r="2407">
      <c r="E2407" s="16" t="n"/>
      <c r="F2407" s="15" t="n"/>
    </row>
    <row r="2408">
      <c r="E2408" s="16" t="n"/>
      <c r="F2408" s="15" t="n"/>
    </row>
    <row r="2409">
      <c r="E2409" s="16" t="n"/>
      <c r="F2409" s="15" t="n"/>
    </row>
    <row r="2410">
      <c r="E2410" s="16" t="n"/>
      <c r="F2410" s="15" t="n"/>
    </row>
    <row r="2411">
      <c r="E2411" s="16" t="n"/>
      <c r="F2411" s="15" t="n"/>
    </row>
    <row r="2412">
      <c r="E2412" s="16" t="n"/>
      <c r="F2412" s="15" t="n"/>
    </row>
    <row r="2413">
      <c r="E2413" s="16" t="n"/>
      <c r="F2413" s="15" t="n"/>
    </row>
    <row r="2414">
      <c r="E2414" s="16" t="n"/>
      <c r="F2414" s="15" t="n"/>
    </row>
    <row r="2415">
      <c r="E2415" s="16" t="n"/>
      <c r="F2415" s="15" t="n"/>
    </row>
    <row r="2416">
      <c r="E2416" s="16" t="n"/>
      <c r="F2416" s="15" t="n"/>
    </row>
    <row r="2417">
      <c r="E2417" s="16" t="n"/>
      <c r="F2417" s="15" t="n"/>
    </row>
    <row r="2418">
      <c r="E2418" s="16" t="n"/>
      <c r="F2418" s="15" t="n"/>
    </row>
    <row r="2419">
      <c r="E2419" s="16" t="n"/>
      <c r="F2419" s="15" t="n"/>
    </row>
    <row r="2420">
      <c r="E2420" s="16" t="n"/>
      <c r="F2420" s="15" t="n"/>
    </row>
    <row r="2421">
      <c r="E2421" s="16" t="n"/>
      <c r="F2421" s="15" t="n"/>
    </row>
    <row r="2422">
      <c r="E2422" s="16" t="n"/>
      <c r="F2422" s="15" t="n"/>
    </row>
    <row r="2423">
      <c r="E2423" s="16" t="n"/>
      <c r="F2423" s="15" t="n"/>
    </row>
    <row r="2424">
      <c r="E2424" s="16" t="n"/>
      <c r="F2424" s="15" t="n"/>
    </row>
    <row r="2425">
      <c r="E2425" s="16" t="n"/>
      <c r="F2425" s="15" t="n"/>
    </row>
    <row r="2426">
      <c r="E2426" s="16" t="n"/>
      <c r="F2426" s="15" t="n"/>
    </row>
    <row r="2427">
      <c r="E2427" s="16" t="n"/>
      <c r="F2427" s="15" t="n"/>
    </row>
    <row r="2428">
      <c r="E2428" s="16" t="n"/>
      <c r="F2428" s="15" t="n"/>
    </row>
    <row r="2429">
      <c r="E2429" s="16" t="n"/>
      <c r="F2429" s="15" t="n"/>
    </row>
    <row r="2430">
      <c r="E2430" s="16" t="n"/>
      <c r="F2430" s="15" t="n"/>
    </row>
    <row r="2431">
      <c r="E2431" s="16" t="n"/>
      <c r="F2431" s="15" t="n"/>
    </row>
    <row r="2432">
      <c r="E2432" s="16" t="n"/>
      <c r="F2432" s="15" t="n"/>
    </row>
    <row r="2433">
      <c r="E2433" s="16" t="n"/>
      <c r="F2433" s="15" t="n"/>
    </row>
    <row r="2434">
      <c r="E2434" s="16" t="n"/>
      <c r="F2434" s="15" t="n"/>
    </row>
    <row r="2435">
      <c r="E2435" s="16" t="n"/>
      <c r="F2435" s="15" t="n"/>
    </row>
    <row r="2436">
      <c r="E2436" s="16" t="n"/>
      <c r="F2436" s="15" t="n"/>
    </row>
    <row r="2437">
      <c r="E2437" s="16" t="n"/>
      <c r="F2437" s="15" t="n"/>
    </row>
    <row r="2438">
      <c r="E2438" s="16" t="n"/>
      <c r="F2438" s="15" t="n"/>
    </row>
    <row r="2439">
      <c r="E2439" s="16" t="n"/>
      <c r="F2439" s="15" t="n"/>
    </row>
    <row r="2440">
      <c r="E2440" s="16" t="n"/>
      <c r="F2440" s="15" t="n"/>
    </row>
    <row r="2441">
      <c r="E2441" s="16" t="n"/>
      <c r="F2441" s="15" t="n"/>
    </row>
    <row r="2442">
      <c r="E2442" s="16" t="n"/>
      <c r="F2442" s="15" t="n"/>
    </row>
    <row r="2443">
      <c r="E2443" s="16" t="n"/>
      <c r="F2443" s="15" t="n"/>
    </row>
    <row r="2444">
      <c r="E2444" s="16" t="n"/>
      <c r="F2444" s="15" t="n"/>
    </row>
    <row r="2445">
      <c r="E2445" s="16" t="n"/>
      <c r="F2445" s="15" t="n"/>
    </row>
    <row r="2446">
      <c r="E2446" s="16" t="n"/>
      <c r="F2446" s="15" t="n"/>
    </row>
    <row r="2447">
      <c r="E2447" s="16" t="n"/>
      <c r="F2447" s="15" t="n"/>
    </row>
    <row r="2448">
      <c r="E2448" s="16" t="n"/>
      <c r="F2448" s="15" t="n"/>
    </row>
    <row r="2449">
      <c r="E2449" s="16" t="n"/>
      <c r="F2449" s="15" t="n"/>
    </row>
    <row r="2450">
      <c r="E2450" s="16" t="n"/>
      <c r="F2450" s="15" t="n"/>
    </row>
    <row r="2451">
      <c r="E2451" s="16" t="n"/>
      <c r="F2451" s="15" t="n"/>
    </row>
    <row r="2452">
      <c r="E2452" s="16" t="n"/>
      <c r="F2452" s="15" t="n"/>
    </row>
    <row r="2453">
      <c r="E2453" s="16" t="n"/>
      <c r="F2453" s="15" t="n"/>
    </row>
    <row r="2454">
      <c r="E2454" s="16" t="n"/>
      <c r="F2454" s="15" t="n"/>
    </row>
    <row r="2455">
      <c r="E2455" s="16" t="n"/>
      <c r="F2455" s="15" t="n"/>
    </row>
    <row r="2456">
      <c r="E2456" s="16" t="n"/>
      <c r="F2456" s="15" t="n"/>
    </row>
    <row r="2457">
      <c r="E2457" s="16" t="n"/>
      <c r="F2457" s="15" t="n"/>
    </row>
    <row r="2458">
      <c r="E2458" s="16" t="n"/>
      <c r="F2458" s="15" t="n"/>
    </row>
    <row r="2459">
      <c r="E2459" s="16" t="n"/>
      <c r="F2459" s="15" t="n"/>
    </row>
    <row r="2460">
      <c r="E2460" s="16" t="n"/>
      <c r="F2460" s="15" t="n"/>
    </row>
    <row r="2461">
      <c r="E2461" s="16" t="n"/>
      <c r="F2461" s="15" t="n"/>
    </row>
    <row r="2462">
      <c r="E2462" s="16" t="n"/>
      <c r="F2462" s="15" t="n"/>
    </row>
    <row r="2463">
      <c r="E2463" s="16" t="n"/>
      <c r="F2463" s="15" t="n"/>
    </row>
    <row r="2464">
      <c r="E2464" s="16" t="n"/>
      <c r="F2464" s="15" t="n"/>
    </row>
    <row r="2465">
      <c r="E2465" s="16" t="n"/>
      <c r="F2465" s="15" t="n"/>
    </row>
    <row r="2466">
      <c r="E2466" s="16" t="n"/>
      <c r="F2466" s="15" t="n"/>
    </row>
    <row r="2467">
      <c r="E2467" s="16" t="n"/>
      <c r="F2467" s="15" t="n"/>
    </row>
    <row r="2468">
      <c r="E2468" s="16" t="n"/>
      <c r="F2468" s="15" t="n"/>
    </row>
    <row r="2469">
      <c r="E2469" s="16" t="n"/>
      <c r="F2469" s="15" t="n"/>
    </row>
    <row r="2470">
      <c r="E2470" s="16" t="n"/>
      <c r="F2470" s="15" t="n"/>
    </row>
    <row r="2471">
      <c r="E2471" s="16" t="n"/>
      <c r="F2471" s="15" t="n"/>
    </row>
    <row r="2472">
      <c r="E2472" s="16" t="n"/>
      <c r="F2472" s="15" t="n"/>
    </row>
    <row r="2473">
      <c r="E2473" s="16" t="n"/>
      <c r="F2473" s="15" t="n"/>
    </row>
    <row r="2474">
      <c r="E2474" s="16" t="n"/>
      <c r="F2474" s="15" t="n"/>
    </row>
    <row r="2475">
      <c r="E2475" s="16" t="n"/>
      <c r="F2475" s="15" t="n"/>
    </row>
    <row r="2476">
      <c r="E2476" s="16" t="n"/>
      <c r="F2476" s="15" t="n"/>
    </row>
    <row r="2477">
      <c r="E2477" s="16" t="n"/>
      <c r="F2477" s="15" t="n"/>
    </row>
    <row r="2478">
      <c r="E2478" s="16" t="n"/>
      <c r="F2478" s="15" t="n"/>
    </row>
    <row r="2479">
      <c r="E2479" s="16" t="n"/>
      <c r="F2479" s="15" t="n"/>
    </row>
    <row r="2480">
      <c r="E2480" s="16" t="n"/>
      <c r="F2480" s="15" t="n"/>
    </row>
    <row r="2481">
      <c r="E2481" s="16" t="n"/>
      <c r="F2481" s="15" t="n"/>
    </row>
    <row r="2482">
      <c r="E2482" s="16" t="n"/>
      <c r="F2482" s="15" t="n"/>
    </row>
    <row r="2483">
      <c r="E2483" s="16" t="n"/>
      <c r="F2483" s="15" t="n"/>
    </row>
    <row r="2484">
      <c r="E2484" s="16" t="n"/>
      <c r="F2484" s="15" t="n"/>
    </row>
    <row r="2485">
      <c r="E2485" s="16" t="n"/>
      <c r="F2485" s="15" t="n"/>
    </row>
    <row r="2486">
      <c r="E2486" s="16" t="n"/>
      <c r="F2486" s="15" t="n"/>
    </row>
    <row r="2487">
      <c r="E2487" s="16" t="n"/>
      <c r="F2487" s="15" t="n"/>
    </row>
    <row r="2488">
      <c r="E2488" s="16" t="n"/>
      <c r="F2488" s="15" t="n"/>
    </row>
    <row r="2489">
      <c r="E2489" s="16" t="n"/>
      <c r="F2489" s="15" t="n"/>
    </row>
    <row r="2490">
      <c r="E2490" s="16" t="n"/>
      <c r="F2490" s="15" t="n"/>
    </row>
    <row r="2491">
      <c r="E2491" s="16" t="n"/>
      <c r="F2491" s="15" t="n"/>
    </row>
    <row r="2492">
      <c r="E2492" s="16" t="n"/>
      <c r="F2492" s="15" t="n"/>
    </row>
    <row r="2493">
      <c r="E2493" s="16" t="n"/>
      <c r="F2493" s="15" t="n"/>
    </row>
    <row r="2494">
      <c r="E2494" s="16" t="n"/>
      <c r="F2494" s="15" t="n"/>
    </row>
    <row r="2495">
      <c r="E2495" s="16" t="n"/>
      <c r="F2495" s="15" t="n"/>
    </row>
    <row r="2496">
      <c r="E2496" s="16" t="n"/>
      <c r="F2496" s="15" t="n"/>
    </row>
    <row r="2497">
      <c r="E2497" s="16" t="n"/>
      <c r="F2497" s="15" t="n"/>
    </row>
    <row r="2498">
      <c r="E2498" s="16" t="n"/>
      <c r="F2498" s="15" t="n"/>
    </row>
    <row r="2499">
      <c r="E2499" s="16" t="n"/>
      <c r="F2499" s="15" t="n"/>
    </row>
    <row r="2500">
      <c r="E2500" s="16" t="n"/>
      <c r="F2500" s="15" t="n"/>
    </row>
    <row r="2501">
      <c r="E2501" s="16" t="n"/>
      <c r="F2501" s="15" t="n"/>
    </row>
    <row r="2502">
      <c r="E2502" s="16" t="n"/>
      <c r="F2502" s="15" t="n"/>
    </row>
    <row r="2503">
      <c r="E2503" s="16" t="n"/>
      <c r="F2503" s="15" t="n"/>
    </row>
    <row r="2504">
      <c r="E2504" s="16" t="n"/>
      <c r="F2504" s="15" t="n"/>
    </row>
    <row r="2505">
      <c r="E2505" s="16" t="n"/>
      <c r="F2505" s="15" t="n"/>
    </row>
    <row r="2506">
      <c r="E2506" s="16" t="n"/>
      <c r="F2506" s="15" t="n"/>
    </row>
    <row r="2507">
      <c r="E2507" s="16" t="n"/>
      <c r="F2507" s="15" t="n"/>
    </row>
    <row r="2508">
      <c r="E2508" s="16" t="n"/>
      <c r="F2508" s="15" t="n"/>
    </row>
    <row r="2509">
      <c r="E2509" s="16" t="n"/>
      <c r="F2509" s="15" t="n"/>
    </row>
    <row r="2510">
      <c r="E2510" s="16" t="n"/>
      <c r="F2510" s="15" t="n"/>
    </row>
    <row r="2511">
      <c r="E2511" s="16" t="n"/>
      <c r="F2511" s="15" t="n"/>
    </row>
    <row r="2512">
      <c r="E2512" s="16" t="n"/>
      <c r="F2512" s="15" t="n"/>
    </row>
    <row r="2513">
      <c r="E2513" s="16" t="n"/>
      <c r="F2513" s="15" t="n"/>
    </row>
    <row r="2514">
      <c r="E2514" s="16" t="n"/>
      <c r="F2514" s="15" t="n"/>
    </row>
    <row r="2515">
      <c r="E2515" s="16" t="n"/>
      <c r="F2515" s="15" t="n"/>
    </row>
    <row r="2516">
      <c r="E2516" s="16" t="n"/>
      <c r="F2516" s="15" t="n"/>
    </row>
    <row r="2517">
      <c r="E2517" s="16" t="n"/>
      <c r="F2517" s="15" t="n"/>
    </row>
    <row r="2518">
      <c r="E2518" s="16" t="n"/>
      <c r="F2518" s="15" t="n"/>
    </row>
    <row r="2519">
      <c r="E2519" s="16" t="n"/>
      <c r="F2519" s="15" t="n"/>
    </row>
    <row r="2520">
      <c r="E2520" s="16" t="n"/>
      <c r="F2520" s="15" t="n"/>
    </row>
    <row r="2521">
      <c r="E2521" s="16" t="n"/>
      <c r="F2521" s="15" t="n"/>
    </row>
    <row r="2522">
      <c r="E2522" s="16" t="n"/>
      <c r="F2522" s="15" t="n"/>
    </row>
    <row r="2523">
      <c r="E2523" s="16" t="n"/>
      <c r="F2523" s="15" t="n"/>
    </row>
    <row r="2524">
      <c r="E2524" s="16" t="n"/>
      <c r="F2524" s="15" t="n"/>
    </row>
    <row r="2525">
      <c r="E2525" s="16" t="n"/>
      <c r="F2525" s="15" t="n"/>
    </row>
    <row r="2526">
      <c r="E2526" s="16" t="n"/>
      <c r="F2526" s="15" t="n"/>
    </row>
    <row r="2527">
      <c r="E2527" s="16" t="n"/>
      <c r="F2527" s="15" t="n"/>
    </row>
    <row r="2528">
      <c r="E2528" s="16" t="n"/>
      <c r="F2528" s="15" t="n"/>
    </row>
    <row r="2529">
      <c r="E2529" s="16" t="n"/>
      <c r="F2529" s="15" t="n"/>
    </row>
    <row r="2530">
      <c r="E2530" s="16" t="n"/>
      <c r="F2530" s="15" t="n"/>
    </row>
    <row r="2531">
      <c r="E2531" s="16" t="n"/>
      <c r="F2531" s="15" t="n"/>
    </row>
    <row r="2532">
      <c r="E2532" s="16" t="n"/>
      <c r="F2532" s="15" t="n"/>
    </row>
    <row r="2533">
      <c r="E2533" s="16" t="n"/>
      <c r="F2533" s="15" t="n"/>
    </row>
    <row r="2534">
      <c r="E2534" s="16" t="n"/>
      <c r="F2534" s="15" t="n"/>
    </row>
    <row r="2535">
      <c r="E2535" s="16" t="n"/>
      <c r="F2535" s="15" t="n"/>
    </row>
    <row r="2536">
      <c r="E2536" s="16" t="n"/>
      <c r="F2536" s="15" t="n"/>
    </row>
    <row r="2537">
      <c r="E2537" s="16" t="n"/>
      <c r="F2537" s="15" t="n"/>
    </row>
    <row r="2538">
      <c r="E2538" s="16" t="n"/>
      <c r="F2538" s="15" t="n"/>
    </row>
    <row r="2539">
      <c r="E2539" s="16" t="n"/>
      <c r="F2539" s="15" t="n"/>
    </row>
    <row r="2540">
      <c r="E2540" s="16" t="n"/>
      <c r="F2540" s="15" t="n"/>
    </row>
    <row r="2541">
      <c r="E2541" s="16" t="n"/>
      <c r="F2541" s="15" t="n"/>
    </row>
    <row r="2542">
      <c r="E2542" s="16" t="n"/>
      <c r="F2542" s="15" t="n"/>
    </row>
    <row r="2543">
      <c r="E2543" s="16" t="n"/>
      <c r="F2543" s="15" t="n"/>
    </row>
    <row r="2544">
      <c r="E2544" s="16" t="n"/>
      <c r="F2544" s="15" t="n"/>
    </row>
    <row r="2545">
      <c r="E2545" s="16" t="n"/>
      <c r="F2545" s="15" t="n"/>
    </row>
    <row r="2546">
      <c r="E2546" s="16" t="n"/>
      <c r="F2546" s="15" t="n"/>
    </row>
    <row r="2547">
      <c r="E2547" s="16" t="n"/>
      <c r="F2547" s="15" t="n"/>
    </row>
    <row r="2548">
      <c r="E2548" s="16" t="n"/>
      <c r="F2548" s="15" t="n"/>
    </row>
    <row r="2549">
      <c r="E2549" s="16" t="n"/>
      <c r="F2549" s="15" t="n"/>
    </row>
    <row r="2550">
      <c r="E2550" s="16" t="n"/>
      <c r="F2550" s="15" t="n"/>
    </row>
    <row r="2551">
      <c r="E2551" s="16" t="n"/>
      <c r="F2551" s="15" t="n"/>
    </row>
    <row r="2552">
      <c r="E2552" s="16" t="n"/>
      <c r="F2552" s="15" t="n"/>
    </row>
    <row r="2553">
      <c r="E2553" s="16" t="n"/>
      <c r="F2553" s="15" t="n"/>
    </row>
    <row r="2554">
      <c r="E2554" s="16" t="n"/>
      <c r="F2554" s="15" t="n"/>
    </row>
    <row r="2555">
      <c r="E2555" s="16" t="n"/>
      <c r="F2555" s="15" t="n"/>
    </row>
    <row r="2556">
      <c r="E2556" s="16" t="n"/>
      <c r="F2556" s="15" t="n"/>
    </row>
    <row r="2557">
      <c r="E2557" s="16" t="n"/>
      <c r="F2557" s="15" t="n"/>
    </row>
    <row r="2558">
      <c r="E2558" s="16" t="n"/>
      <c r="F2558" s="15" t="n"/>
    </row>
    <row r="2559">
      <c r="E2559" s="16" t="n"/>
      <c r="F2559" s="15" t="n"/>
    </row>
    <row r="2560">
      <c r="E2560" s="16" t="n"/>
      <c r="F2560" s="15" t="n"/>
    </row>
    <row r="2561">
      <c r="E2561" s="16" t="n"/>
      <c r="F2561" s="15" t="n"/>
    </row>
    <row r="2562">
      <c r="E2562" s="16" t="n"/>
      <c r="F2562" s="15" t="n"/>
    </row>
    <row r="2563">
      <c r="E2563" s="16" t="n"/>
      <c r="F2563" s="15" t="n"/>
    </row>
    <row r="2564">
      <c r="E2564" s="16" t="n"/>
      <c r="F2564" s="15" t="n"/>
    </row>
    <row r="2565">
      <c r="E2565" s="16" t="n"/>
      <c r="F2565" s="15" t="n"/>
    </row>
    <row r="2566">
      <c r="E2566" s="16" t="n"/>
      <c r="F2566" s="15" t="n"/>
    </row>
    <row r="2567">
      <c r="E2567" s="16" t="n"/>
      <c r="F2567" s="15" t="n"/>
    </row>
    <row r="2568">
      <c r="E2568" s="16" t="n"/>
      <c r="F2568" s="15" t="n"/>
    </row>
    <row r="2569">
      <c r="E2569" s="16" t="n"/>
      <c r="F2569" s="15" t="n"/>
    </row>
    <row r="2570">
      <c r="E2570" s="16" t="n"/>
      <c r="F2570" s="15" t="n"/>
    </row>
    <row r="2571">
      <c r="E2571" s="16" t="n"/>
      <c r="F2571" s="15" t="n"/>
    </row>
    <row r="2572">
      <c r="E2572" s="16" t="n"/>
      <c r="F2572" s="15" t="n"/>
    </row>
    <row r="2573">
      <c r="E2573" s="16" t="n"/>
      <c r="F2573" s="15" t="n"/>
    </row>
    <row r="2574">
      <c r="E2574" s="16" t="n"/>
      <c r="F2574" s="15" t="n"/>
    </row>
    <row r="2575">
      <c r="E2575" s="16" t="n"/>
      <c r="F2575" s="15" t="n"/>
    </row>
    <row r="2576">
      <c r="E2576" s="16" t="n"/>
      <c r="F2576" s="15" t="n"/>
    </row>
    <row r="2577">
      <c r="E2577" s="16" t="n"/>
      <c r="F2577" s="15" t="n"/>
    </row>
    <row r="2578">
      <c r="E2578" s="16" t="n"/>
      <c r="F2578" s="15" t="n"/>
    </row>
    <row r="2579">
      <c r="E2579" s="16" t="n"/>
      <c r="F2579" s="15" t="n"/>
    </row>
    <row r="2580">
      <c r="E2580" s="16" t="n"/>
      <c r="F2580" s="15" t="n"/>
    </row>
    <row r="2581">
      <c r="E2581" s="16" t="n"/>
      <c r="F2581" s="15" t="n"/>
    </row>
    <row r="2582">
      <c r="E2582" s="16" t="n"/>
      <c r="F2582" s="15" t="n"/>
    </row>
    <row r="2583">
      <c r="E2583" s="16" t="n"/>
      <c r="F2583" s="15" t="n"/>
    </row>
    <row r="2584">
      <c r="E2584" s="16" t="n"/>
      <c r="F2584" s="15" t="n"/>
    </row>
    <row r="2585">
      <c r="E2585" s="16" t="n"/>
      <c r="F2585" s="15" t="n"/>
    </row>
    <row r="2586">
      <c r="E2586" s="16" t="n"/>
      <c r="F2586" s="15" t="n"/>
    </row>
    <row r="2587">
      <c r="E2587" s="16" t="n"/>
      <c r="F2587" s="15" t="n"/>
    </row>
    <row r="2588">
      <c r="E2588" s="16" t="n"/>
      <c r="F2588" s="15" t="n"/>
    </row>
    <row r="2589">
      <c r="E2589" s="16" t="n"/>
      <c r="F2589" s="15" t="n"/>
    </row>
    <row r="2590">
      <c r="E2590" s="16" t="n"/>
      <c r="F2590" s="15" t="n"/>
    </row>
    <row r="2591">
      <c r="E2591" s="16" t="n"/>
      <c r="F2591" s="15" t="n"/>
    </row>
    <row r="2592">
      <c r="E2592" s="16" t="n"/>
      <c r="F2592" s="15" t="n"/>
    </row>
    <row r="2593">
      <c r="E2593" s="16" t="n"/>
      <c r="F2593" s="15" t="n"/>
    </row>
    <row r="2594">
      <c r="E2594" s="16" t="n"/>
      <c r="F2594" s="15" t="n"/>
    </row>
    <row r="2595">
      <c r="E2595" s="16" t="n"/>
      <c r="F2595" s="15" t="n"/>
    </row>
    <row r="2596">
      <c r="E2596" s="16" t="n"/>
      <c r="F2596" s="15" t="n"/>
    </row>
    <row r="2597">
      <c r="E2597" s="16" t="n"/>
      <c r="F2597" s="15" t="n"/>
    </row>
    <row r="2598">
      <c r="E2598" s="16" t="n"/>
      <c r="F2598" s="15" t="n"/>
    </row>
    <row r="2599">
      <c r="E2599" s="16" t="n"/>
      <c r="F2599" s="15" t="n"/>
    </row>
    <row r="2600">
      <c r="E2600" s="16" t="n"/>
      <c r="F2600" s="15" t="n"/>
    </row>
    <row r="2601">
      <c r="E2601" s="16" t="n"/>
      <c r="F2601" s="15" t="n"/>
    </row>
    <row r="2602">
      <c r="E2602" s="16" t="n"/>
      <c r="F2602" s="15" t="n"/>
    </row>
    <row r="2603">
      <c r="E2603" s="16" t="n"/>
      <c r="F2603" s="15" t="n"/>
    </row>
    <row r="2604">
      <c r="E2604" s="16" t="n"/>
      <c r="F2604" s="15" t="n"/>
    </row>
    <row r="2605">
      <c r="E2605" s="16" t="n"/>
      <c r="F2605" s="15" t="n"/>
    </row>
    <row r="2606">
      <c r="E2606" s="16" t="n"/>
      <c r="F2606" s="15" t="n"/>
    </row>
    <row r="2607">
      <c r="E2607" s="16" t="n"/>
      <c r="F2607" s="15" t="n"/>
    </row>
    <row r="2608">
      <c r="E2608" s="16" t="n"/>
      <c r="F2608" s="15" t="n"/>
    </row>
    <row r="2609">
      <c r="E2609" s="16" t="n"/>
      <c r="F2609" s="15" t="n"/>
    </row>
    <row r="2610">
      <c r="E2610" s="16" t="n"/>
      <c r="F2610" s="15" t="n"/>
    </row>
    <row r="2611">
      <c r="E2611" s="16" t="n"/>
      <c r="F2611" s="15" t="n"/>
    </row>
    <row r="2612">
      <c r="E2612" s="16" t="n"/>
      <c r="F2612" s="15" t="n"/>
    </row>
    <row r="2613">
      <c r="E2613" s="16" t="n"/>
      <c r="F2613" s="15" t="n"/>
    </row>
    <row r="2614">
      <c r="E2614" s="16" t="n"/>
      <c r="F2614" s="15" t="n"/>
    </row>
    <row r="2615">
      <c r="E2615" s="16" t="n"/>
      <c r="F2615" s="15" t="n"/>
    </row>
    <row r="2616">
      <c r="E2616" s="16" t="n"/>
      <c r="F2616" s="15" t="n"/>
    </row>
    <row r="2617">
      <c r="E2617" s="16" t="n"/>
      <c r="F2617" s="15" t="n"/>
    </row>
    <row r="2618">
      <c r="E2618" s="16" t="n"/>
      <c r="F2618" s="15" t="n"/>
    </row>
    <row r="2619">
      <c r="E2619" s="16" t="n"/>
      <c r="F2619" s="15" t="n"/>
    </row>
    <row r="2620">
      <c r="E2620" s="16" t="n"/>
      <c r="F2620" s="15" t="n"/>
    </row>
    <row r="2621">
      <c r="E2621" s="16" t="n"/>
      <c r="F2621" s="15" t="n"/>
    </row>
    <row r="2622">
      <c r="E2622" s="16" t="n"/>
      <c r="F2622" s="15" t="n"/>
    </row>
    <row r="2623">
      <c r="E2623" s="16" t="n"/>
      <c r="F2623" s="15" t="n"/>
    </row>
    <row r="2624">
      <c r="E2624" s="16" t="n"/>
      <c r="F2624" s="15" t="n"/>
    </row>
    <row r="2625">
      <c r="E2625" s="16" t="n"/>
      <c r="F2625" s="15" t="n"/>
    </row>
    <row r="2626">
      <c r="E2626" s="16" t="n"/>
      <c r="F2626" s="15" t="n"/>
    </row>
    <row r="2627">
      <c r="E2627" s="16" t="n"/>
      <c r="F2627" s="15" t="n"/>
    </row>
    <row r="2628">
      <c r="E2628" s="16" t="n"/>
      <c r="F2628" s="15" t="n"/>
    </row>
    <row r="2629">
      <c r="E2629" s="16" t="n"/>
      <c r="F2629" s="15" t="n"/>
    </row>
    <row r="2630">
      <c r="E2630" s="16" t="n"/>
      <c r="F2630" s="15" t="n"/>
    </row>
    <row r="2631">
      <c r="E2631" s="16" t="n"/>
      <c r="F2631" s="15" t="n"/>
    </row>
    <row r="2632">
      <c r="E2632" s="16" t="n"/>
      <c r="F2632" s="15" t="n"/>
    </row>
    <row r="2633">
      <c r="E2633" s="16" t="n"/>
      <c r="F2633" s="15" t="n"/>
    </row>
    <row r="2634">
      <c r="E2634" s="16" t="n"/>
      <c r="F2634" s="15" t="n"/>
    </row>
    <row r="2635">
      <c r="E2635" s="16" t="n"/>
      <c r="F2635" s="15" t="n"/>
    </row>
    <row r="2636">
      <c r="E2636" s="16" t="n"/>
      <c r="F2636" s="15" t="n"/>
    </row>
    <row r="2637">
      <c r="E2637" s="16" t="n"/>
      <c r="F2637" s="15" t="n"/>
    </row>
    <row r="2638">
      <c r="E2638" s="16" t="n"/>
      <c r="F2638" s="15" t="n"/>
    </row>
    <row r="2639">
      <c r="E2639" s="16" t="n"/>
      <c r="F2639" s="15" t="n"/>
    </row>
    <row r="2640">
      <c r="E2640" s="16" t="n"/>
      <c r="F2640" s="15" t="n"/>
    </row>
    <row r="2641">
      <c r="E2641" s="16" t="n"/>
      <c r="F2641" s="15" t="n"/>
    </row>
    <row r="2642">
      <c r="E2642" s="16" t="n"/>
      <c r="F2642" s="15" t="n"/>
    </row>
    <row r="2643">
      <c r="E2643" s="16" t="n"/>
      <c r="F2643" s="15" t="n"/>
    </row>
    <row r="2644">
      <c r="E2644" s="16" t="n"/>
      <c r="F2644" s="15" t="n"/>
    </row>
    <row r="2645">
      <c r="E2645" s="16" t="n"/>
      <c r="F2645" s="15" t="n"/>
    </row>
    <row r="2646">
      <c r="E2646" s="16" t="n"/>
      <c r="F2646" s="15" t="n"/>
    </row>
    <row r="2647">
      <c r="E2647" s="16" t="n"/>
      <c r="F2647" s="15" t="n"/>
    </row>
    <row r="2648">
      <c r="E2648" s="16" t="n"/>
      <c r="F2648" s="15" t="n"/>
    </row>
    <row r="2649">
      <c r="E2649" s="16" t="n"/>
      <c r="F2649" s="15" t="n"/>
    </row>
    <row r="2650">
      <c r="E2650" s="16" t="n"/>
      <c r="F2650" s="15" t="n"/>
    </row>
    <row r="2651">
      <c r="E2651" s="16" t="n"/>
      <c r="F2651" s="15" t="n"/>
    </row>
    <row r="2652">
      <c r="E2652" s="16" t="n"/>
      <c r="F2652" s="15" t="n"/>
    </row>
    <row r="2653">
      <c r="E2653" s="16" t="n"/>
      <c r="F2653" s="15" t="n"/>
    </row>
    <row r="2654">
      <c r="E2654" s="16" t="n"/>
      <c r="F2654" s="15" t="n"/>
    </row>
    <row r="2655">
      <c r="E2655" s="16" t="n"/>
      <c r="F2655" s="15" t="n"/>
    </row>
    <row r="2656">
      <c r="E2656" s="16" t="n"/>
      <c r="F2656" s="15" t="n"/>
    </row>
    <row r="2657">
      <c r="E2657" s="16" t="n"/>
      <c r="F2657" s="15" t="n"/>
    </row>
    <row r="2658">
      <c r="E2658" s="16" t="n"/>
      <c r="F2658" s="15" t="n"/>
    </row>
    <row r="2659">
      <c r="E2659" s="16" t="n"/>
      <c r="F2659" s="15" t="n"/>
    </row>
    <row r="2660">
      <c r="E2660" s="16" t="n"/>
      <c r="F2660" s="15" t="n"/>
    </row>
    <row r="2661">
      <c r="E2661" s="16" t="n"/>
      <c r="F2661" s="15" t="n"/>
    </row>
    <row r="2662">
      <c r="E2662" s="16" t="n"/>
      <c r="F2662" s="15" t="n"/>
    </row>
    <row r="2663">
      <c r="E2663" s="16" t="n"/>
      <c r="F2663" s="15" t="n"/>
    </row>
    <row r="2664">
      <c r="E2664" s="16" t="n"/>
      <c r="F2664" s="15" t="n"/>
    </row>
    <row r="2665">
      <c r="E2665" s="16" t="n"/>
      <c r="F2665" s="15" t="n"/>
    </row>
    <row r="2666">
      <c r="E2666" s="16" t="n"/>
      <c r="F2666" s="15" t="n"/>
    </row>
    <row r="2667">
      <c r="E2667" s="16" t="n"/>
      <c r="F2667" s="15" t="n"/>
    </row>
    <row r="2668">
      <c r="E2668" s="16" t="n"/>
      <c r="F2668" s="15" t="n"/>
    </row>
    <row r="2669">
      <c r="E2669" s="16" t="n"/>
      <c r="F2669" s="15" t="n"/>
    </row>
    <row r="2670">
      <c r="E2670" s="16" t="n"/>
      <c r="F2670" s="15" t="n"/>
    </row>
    <row r="2671">
      <c r="E2671" s="16" t="n"/>
      <c r="F2671" s="15" t="n"/>
    </row>
    <row r="2672">
      <c r="E2672" s="16" t="n"/>
      <c r="F2672" s="15" t="n"/>
    </row>
    <row r="2673">
      <c r="E2673" s="16" t="n"/>
      <c r="F2673" s="15" t="n"/>
    </row>
    <row r="2674">
      <c r="E2674" s="16" t="n"/>
      <c r="F2674" s="15" t="n"/>
    </row>
    <row r="2675">
      <c r="E2675" s="16" t="n"/>
      <c r="F2675" s="15" t="n"/>
    </row>
    <row r="2676">
      <c r="E2676" s="16" t="n"/>
      <c r="F2676" s="15" t="n"/>
    </row>
    <row r="2677">
      <c r="E2677" s="16" t="n"/>
      <c r="F2677" s="15" t="n"/>
    </row>
    <row r="2678">
      <c r="E2678" s="16" t="n"/>
      <c r="F2678" s="15" t="n"/>
    </row>
    <row r="2679">
      <c r="E2679" s="16" t="n"/>
      <c r="F2679" s="15" t="n"/>
    </row>
    <row r="2680">
      <c r="E2680" s="16" t="n"/>
      <c r="F2680" s="15" t="n"/>
    </row>
    <row r="2681">
      <c r="E2681" s="16" t="n"/>
      <c r="F2681" s="15" t="n"/>
    </row>
    <row r="2682">
      <c r="E2682" s="16" t="n"/>
      <c r="F2682" s="15" t="n"/>
    </row>
    <row r="2683">
      <c r="E2683" s="16" t="n"/>
      <c r="F2683" s="15" t="n"/>
    </row>
    <row r="2684">
      <c r="E2684" s="16" t="n"/>
      <c r="F2684" s="15" t="n"/>
    </row>
    <row r="2685">
      <c r="E2685" s="16" t="n"/>
      <c r="F2685" s="15" t="n"/>
    </row>
    <row r="2686">
      <c r="E2686" s="16" t="n"/>
      <c r="F2686" s="15" t="n"/>
    </row>
    <row r="2687">
      <c r="E2687" s="16" t="n"/>
      <c r="F2687" s="15" t="n"/>
    </row>
    <row r="2688">
      <c r="E2688" s="16" t="n"/>
      <c r="F2688" s="15" t="n"/>
    </row>
    <row r="2689">
      <c r="E2689" s="16" t="n"/>
      <c r="F2689" s="15" t="n"/>
    </row>
    <row r="2690">
      <c r="E2690" s="16" t="n"/>
      <c r="F2690" s="15" t="n"/>
    </row>
    <row r="2691">
      <c r="E2691" s="16" t="n"/>
      <c r="F2691" s="15" t="n"/>
    </row>
    <row r="2692">
      <c r="E2692" s="16" t="n"/>
      <c r="F2692" s="15" t="n"/>
    </row>
    <row r="2693">
      <c r="E2693" s="16" t="n"/>
      <c r="F2693" s="15" t="n"/>
    </row>
    <row r="2694">
      <c r="E2694" s="16" t="n"/>
      <c r="F2694" s="15" t="n"/>
    </row>
    <row r="2695">
      <c r="E2695" s="16" t="n"/>
      <c r="F2695" s="15" t="n"/>
    </row>
    <row r="2696">
      <c r="E2696" s="16" t="n"/>
      <c r="F2696" s="15" t="n"/>
    </row>
    <row r="2697">
      <c r="E2697" s="16" t="n"/>
      <c r="F2697" s="15" t="n"/>
    </row>
    <row r="2698">
      <c r="E2698" s="16" t="n"/>
      <c r="F2698" s="15" t="n"/>
    </row>
    <row r="2699">
      <c r="E2699" s="16" t="n"/>
      <c r="F2699" s="15" t="n"/>
    </row>
    <row r="2700">
      <c r="E2700" s="16" t="n"/>
      <c r="F2700" s="15" t="n"/>
    </row>
    <row r="2701">
      <c r="E2701" s="16" t="n"/>
      <c r="F2701" s="15" t="n"/>
    </row>
    <row r="2702">
      <c r="E2702" s="16" t="n"/>
      <c r="F2702" s="15" t="n"/>
    </row>
    <row r="2703">
      <c r="E2703" s="16" t="n"/>
      <c r="F2703" s="15" t="n"/>
    </row>
    <row r="2704">
      <c r="E2704" s="16" t="n"/>
      <c r="F2704" s="15" t="n"/>
    </row>
    <row r="2705">
      <c r="E2705" s="16" t="n"/>
      <c r="F2705" s="15" t="n"/>
    </row>
    <row r="2706">
      <c r="E2706" s="16" t="n"/>
      <c r="F2706" s="15" t="n"/>
    </row>
    <row r="2707">
      <c r="E2707" s="16" t="n"/>
      <c r="F2707" s="15" t="n"/>
    </row>
    <row r="2708">
      <c r="E2708" s="16" t="n"/>
      <c r="F2708" s="15" t="n"/>
    </row>
    <row r="2709">
      <c r="E2709" s="16" t="n"/>
      <c r="F2709" s="15" t="n"/>
    </row>
    <row r="2710">
      <c r="E2710" s="16" t="n"/>
      <c r="F2710" s="15" t="n"/>
    </row>
    <row r="2711">
      <c r="E2711" s="16" t="n"/>
      <c r="F2711" s="15" t="n"/>
    </row>
    <row r="2712">
      <c r="E2712" s="16" t="n"/>
      <c r="F2712" s="15" t="n"/>
    </row>
    <row r="2713">
      <c r="E2713" s="16" t="n"/>
      <c r="F2713" s="15" t="n"/>
    </row>
    <row r="2714">
      <c r="E2714" s="16" t="n"/>
      <c r="F2714" s="15" t="n"/>
    </row>
    <row r="2715">
      <c r="E2715" s="16" t="n"/>
      <c r="F2715" s="15" t="n"/>
    </row>
    <row r="2716">
      <c r="E2716" s="16" t="n"/>
      <c r="F2716" s="15" t="n"/>
    </row>
    <row r="2717">
      <c r="E2717" s="16" t="n"/>
      <c r="F2717" s="15" t="n"/>
    </row>
    <row r="2718">
      <c r="E2718" s="16" t="n"/>
      <c r="F2718" s="15" t="n"/>
    </row>
    <row r="2719">
      <c r="E2719" s="16" t="n"/>
      <c r="F2719" s="15" t="n"/>
    </row>
    <row r="2720">
      <c r="E2720" s="16" t="n"/>
      <c r="F2720" s="15" t="n"/>
    </row>
    <row r="2721">
      <c r="E2721" s="16" t="n"/>
      <c r="F2721" s="15" t="n"/>
    </row>
    <row r="2722">
      <c r="E2722" s="16" t="n"/>
      <c r="F2722" s="15" t="n"/>
    </row>
    <row r="2723">
      <c r="E2723" s="16" t="n"/>
      <c r="F2723" s="15" t="n"/>
    </row>
    <row r="2724">
      <c r="E2724" s="16" t="n"/>
      <c r="F2724" s="15" t="n"/>
    </row>
    <row r="2725">
      <c r="E2725" s="16" t="n"/>
      <c r="F2725" s="15" t="n"/>
    </row>
    <row r="2726">
      <c r="E2726" s="16" t="n"/>
      <c r="F2726" s="15" t="n"/>
    </row>
    <row r="2727">
      <c r="E2727" s="16" t="n"/>
      <c r="F2727" s="15" t="n"/>
    </row>
    <row r="2728">
      <c r="E2728" s="16" t="n"/>
      <c r="F2728" s="15" t="n"/>
    </row>
    <row r="2729">
      <c r="E2729" s="16" t="n"/>
      <c r="F2729" s="15" t="n"/>
    </row>
    <row r="2730">
      <c r="E2730" s="16" t="n"/>
      <c r="F2730" s="15" t="n"/>
    </row>
    <row r="2731">
      <c r="E2731" s="16" t="n"/>
      <c r="F2731" s="15" t="n"/>
    </row>
    <row r="2732">
      <c r="E2732" s="16" t="n"/>
      <c r="F2732" s="15" t="n"/>
    </row>
    <row r="2733">
      <c r="E2733" s="16" t="n"/>
      <c r="F2733" s="15" t="n"/>
    </row>
    <row r="2734">
      <c r="E2734" s="16" t="n"/>
      <c r="F2734" s="15" t="n"/>
    </row>
    <row r="2735">
      <c r="E2735" s="16" t="n"/>
      <c r="F2735" s="15" t="n"/>
    </row>
    <row r="2736">
      <c r="E2736" s="16" t="n"/>
      <c r="F2736" s="15" t="n"/>
    </row>
    <row r="2737">
      <c r="E2737" s="16" t="n"/>
      <c r="F2737" s="15" t="n"/>
    </row>
    <row r="2738">
      <c r="E2738" s="16" t="n"/>
      <c r="F2738" s="15" t="n"/>
    </row>
    <row r="2739">
      <c r="E2739" s="16" t="n"/>
      <c r="F2739" s="15" t="n"/>
    </row>
    <row r="2740">
      <c r="E2740" s="16" t="n"/>
      <c r="F2740" s="15" t="n"/>
    </row>
    <row r="2741">
      <c r="E2741" s="16" t="n"/>
      <c r="F2741" s="15" t="n"/>
    </row>
    <row r="2742">
      <c r="E2742" s="16" t="n"/>
      <c r="F2742" s="15" t="n"/>
    </row>
    <row r="2743">
      <c r="E2743" s="16" t="n"/>
      <c r="F2743" s="15" t="n"/>
    </row>
    <row r="2744">
      <c r="E2744" s="16" t="n"/>
      <c r="F2744" s="15" t="n"/>
    </row>
    <row r="2745">
      <c r="E2745" s="16" t="n"/>
      <c r="F2745" s="15" t="n"/>
    </row>
    <row r="2746">
      <c r="E2746" s="16" t="n"/>
      <c r="F2746" s="15" t="n"/>
    </row>
    <row r="2747">
      <c r="E2747" s="16" t="n"/>
      <c r="F2747" s="15" t="n"/>
    </row>
    <row r="2748">
      <c r="E2748" s="16" t="n"/>
      <c r="F2748" s="15" t="n"/>
    </row>
    <row r="2749">
      <c r="E2749" s="16" t="n"/>
      <c r="F2749" s="15" t="n"/>
    </row>
    <row r="2750">
      <c r="E2750" s="16" t="n"/>
      <c r="F2750" s="15" t="n"/>
    </row>
    <row r="2751">
      <c r="E2751" s="16" t="n"/>
      <c r="F2751" s="15" t="n"/>
    </row>
    <row r="2752">
      <c r="E2752" s="16" t="n"/>
      <c r="F2752" s="15" t="n"/>
    </row>
    <row r="2753">
      <c r="E2753" s="16" t="n"/>
      <c r="F2753" s="15" t="n"/>
    </row>
    <row r="2754">
      <c r="E2754" s="16" t="n"/>
      <c r="F2754" s="15" t="n"/>
    </row>
    <row r="2755">
      <c r="E2755" s="16" t="n"/>
      <c r="F2755" s="15" t="n"/>
    </row>
    <row r="2756">
      <c r="E2756" s="16" t="n"/>
      <c r="F2756" s="15" t="n"/>
    </row>
    <row r="2757">
      <c r="E2757" s="16" t="n"/>
      <c r="F2757" s="15" t="n"/>
    </row>
    <row r="2758">
      <c r="E2758" s="16" t="n"/>
      <c r="F2758" s="15" t="n"/>
    </row>
    <row r="2759">
      <c r="E2759" s="16" t="n"/>
      <c r="F2759" s="15" t="n"/>
    </row>
    <row r="2760">
      <c r="E2760" s="16" t="n"/>
      <c r="F2760" s="15" t="n"/>
    </row>
    <row r="2761">
      <c r="E2761" s="16" t="n"/>
      <c r="F2761" s="15" t="n"/>
    </row>
    <row r="2762">
      <c r="E2762" s="16" t="n"/>
      <c r="F2762" s="15" t="n"/>
    </row>
    <row r="2763">
      <c r="E2763" s="16" t="n"/>
      <c r="F2763" s="15" t="n"/>
    </row>
    <row r="2764">
      <c r="E2764" s="16" t="n"/>
      <c r="F2764" s="15" t="n"/>
    </row>
    <row r="2765">
      <c r="E2765" s="16" t="n"/>
      <c r="F2765" s="15" t="n"/>
    </row>
    <row r="2766">
      <c r="E2766" s="16" t="n"/>
      <c r="F2766" s="15" t="n"/>
    </row>
    <row r="2767">
      <c r="E2767" s="16" t="n"/>
      <c r="F2767" s="15" t="n"/>
    </row>
    <row r="2768">
      <c r="E2768" s="16" t="n"/>
      <c r="F2768" s="15" t="n"/>
    </row>
    <row r="2769">
      <c r="E2769" s="16" t="n"/>
      <c r="F2769" s="15" t="n"/>
    </row>
    <row r="2770">
      <c r="E2770" s="16" t="n"/>
      <c r="F2770" s="15" t="n"/>
    </row>
    <row r="2771">
      <c r="E2771" s="16" t="n"/>
      <c r="F2771" s="15" t="n"/>
    </row>
    <row r="2772">
      <c r="E2772" s="16" t="n"/>
      <c r="F2772" s="15" t="n"/>
    </row>
    <row r="2773">
      <c r="E2773" s="16" t="n"/>
      <c r="F2773" s="15" t="n"/>
    </row>
    <row r="2774">
      <c r="E2774" s="16" t="n"/>
      <c r="F2774" s="15" t="n"/>
    </row>
    <row r="2775">
      <c r="E2775" s="16" t="n"/>
      <c r="F2775" s="15" t="n"/>
    </row>
    <row r="2776">
      <c r="E2776" s="16" t="n"/>
      <c r="F2776" s="15" t="n"/>
    </row>
    <row r="2777">
      <c r="E2777" s="16" t="n"/>
      <c r="F2777" s="15" t="n"/>
    </row>
    <row r="2778">
      <c r="E2778" s="16" t="n"/>
      <c r="F2778" s="15" t="n"/>
    </row>
    <row r="2779">
      <c r="E2779" s="16" t="n"/>
      <c r="F2779" s="15" t="n"/>
    </row>
    <row r="2780">
      <c r="E2780" s="16" t="n"/>
      <c r="F2780" s="15" t="n"/>
    </row>
    <row r="2781">
      <c r="E2781" s="16" t="n"/>
      <c r="F2781" s="15" t="n"/>
    </row>
    <row r="2782">
      <c r="E2782" s="16" t="n"/>
      <c r="F2782" s="15" t="n"/>
    </row>
    <row r="2783">
      <c r="E2783" s="16" t="n"/>
      <c r="F2783" s="15" t="n"/>
    </row>
    <row r="2784">
      <c r="E2784" s="16" t="n"/>
      <c r="F2784" s="15" t="n"/>
    </row>
    <row r="2785">
      <c r="E2785" s="16" t="n"/>
      <c r="F2785" s="15" t="n"/>
    </row>
    <row r="2786">
      <c r="E2786" s="16" t="n"/>
      <c r="F2786" s="15" t="n"/>
    </row>
    <row r="2787">
      <c r="E2787" s="16" t="n"/>
      <c r="F2787" s="15" t="n"/>
    </row>
    <row r="2788">
      <c r="E2788" s="16" t="n"/>
      <c r="F2788" s="15" t="n"/>
    </row>
    <row r="2789">
      <c r="E2789" s="16" t="n"/>
      <c r="F2789" s="15" t="n"/>
    </row>
    <row r="2790">
      <c r="E2790" s="16" t="n"/>
      <c r="F2790" s="15" t="n"/>
    </row>
    <row r="2791">
      <c r="E2791" s="16" t="n"/>
      <c r="F2791" s="15" t="n"/>
    </row>
    <row r="2792">
      <c r="E2792" s="16" t="n"/>
      <c r="F2792" s="15" t="n"/>
    </row>
    <row r="2793">
      <c r="E2793" s="16" t="n"/>
      <c r="F2793" s="15" t="n"/>
    </row>
    <row r="2794">
      <c r="E2794" s="16" t="n"/>
      <c r="F2794" s="15" t="n"/>
    </row>
    <row r="2795">
      <c r="E2795" s="16" t="n"/>
      <c r="F2795" s="15" t="n"/>
    </row>
    <row r="2796">
      <c r="E2796" s="16" t="n"/>
      <c r="F2796" s="15" t="n"/>
    </row>
    <row r="2797">
      <c r="E2797" s="16" t="n"/>
      <c r="F2797" s="15" t="n"/>
    </row>
    <row r="2798">
      <c r="E2798" s="16" t="n"/>
      <c r="F2798" s="15" t="n"/>
    </row>
    <row r="2799">
      <c r="E2799" s="16" t="n"/>
      <c r="F2799" s="15" t="n"/>
    </row>
    <row r="2800">
      <c r="E2800" s="16" t="n"/>
      <c r="F2800" s="15" t="n"/>
    </row>
    <row r="2801">
      <c r="E2801" s="16" t="n"/>
      <c r="F2801" s="15" t="n"/>
    </row>
    <row r="2802">
      <c r="E2802" s="16" t="n"/>
      <c r="F2802" s="15" t="n"/>
    </row>
    <row r="2803">
      <c r="E2803" s="16" t="n"/>
      <c r="F2803" s="15" t="n"/>
    </row>
    <row r="2804">
      <c r="E2804" s="16" t="n"/>
      <c r="F2804" s="15" t="n"/>
    </row>
    <row r="2805">
      <c r="E2805" s="16" t="n"/>
      <c r="F2805" s="15" t="n"/>
    </row>
    <row r="2806">
      <c r="E2806" s="16" t="n"/>
      <c r="F2806" s="15" t="n"/>
    </row>
    <row r="2807">
      <c r="E2807" s="16" t="n"/>
      <c r="F2807" s="15" t="n"/>
    </row>
    <row r="2808">
      <c r="E2808" s="16" t="n"/>
      <c r="F2808" s="15" t="n"/>
    </row>
    <row r="2809">
      <c r="E2809" s="16" t="n"/>
      <c r="F2809" s="15" t="n"/>
    </row>
    <row r="2810">
      <c r="E2810" s="16" t="n"/>
      <c r="F2810" s="15" t="n"/>
    </row>
    <row r="2811">
      <c r="E2811" s="16" t="n"/>
      <c r="F2811" s="15" t="n"/>
    </row>
    <row r="2812">
      <c r="E2812" s="16" t="n"/>
      <c r="F2812" s="15" t="n"/>
    </row>
    <row r="2813">
      <c r="E2813" s="16" t="n"/>
      <c r="F2813" s="15" t="n"/>
    </row>
    <row r="2814">
      <c r="E2814" s="16" t="n"/>
      <c r="F2814" s="15" t="n"/>
    </row>
    <row r="2815">
      <c r="E2815" s="16" t="n"/>
      <c r="F2815" s="15" t="n"/>
    </row>
    <row r="2816">
      <c r="E2816" s="16" t="n"/>
      <c r="F2816" s="15" t="n"/>
    </row>
    <row r="2817">
      <c r="E2817" s="16" t="n"/>
      <c r="F2817" s="15" t="n"/>
    </row>
    <row r="2818">
      <c r="E2818" s="16" t="n"/>
      <c r="F2818" s="15" t="n"/>
    </row>
    <row r="2819">
      <c r="E2819" s="16" t="n"/>
      <c r="F2819" s="15" t="n"/>
    </row>
    <row r="2820">
      <c r="E2820" s="16" t="n"/>
      <c r="F2820" s="15" t="n"/>
    </row>
    <row r="2821">
      <c r="E2821" s="16" t="n"/>
      <c r="F2821" s="15" t="n"/>
    </row>
    <row r="2822">
      <c r="E2822" s="16" t="n"/>
      <c r="F2822" s="15" t="n"/>
    </row>
    <row r="2823">
      <c r="E2823" s="16" t="n"/>
      <c r="F2823" s="15" t="n"/>
    </row>
    <row r="2824">
      <c r="E2824" s="16" t="n"/>
      <c r="F2824" s="15" t="n"/>
    </row>
    <row r="2825">
      <c r="E2825" s="16" t="n"/>
      <c r="F2825" s="15" t="n"/>
    </row>
    <row r="2826">
      <c r="E2826" s="16" t="n"/>
      <c r="F2826" s="15" t="n"/>
    </row>
    <row r="2827">
      <c r="E2827" s="16" t="n"/>
      <c r="F2827" s="15" t="n"/>
    </row>
    <row r="2828">
      <c r="E2828" s="16" t="n"/>
      <c r="F2828" s="15" t="n"/>
    </row>
    <row r="2829">
      <c r="E2829" s="16" t="n"/>
      <c r="F2829" s="15" t="n"/>
    </row>
    <row r="2830">
      <c r="E2830" s="16" t="n"/>
      <c r="F2830" s="15" t="n"/>
    </row>
    <row r="2831">
      <c r="E2831" s="16" t="n"/>
      <c r="F2831" s="15" t="n"/>
    </row>
    <row r="2832">
      <c r="E2832" s="16" t="n"/>
      <c r="F2832" s="15" t="n"/>
    </row>
    <row r="2833">
      <c r="E2833" s="16" t="n"/>
      <c r="F2833" s="15" t="n"/>
    </row>
    <row r="2834">
      <c r="E2834" s="16" t="n"/>
      <c r="F2834" s="15" t="n"/>
    </row>
    <row r="2835">
      <c r="E2835" s="16" t="n"/>
      <c r="F2835" s="15" t="n"/>
    </row>
    <row r="2836">
      <c r="E2836" s="16" t="n"/>
      <c r="F2836" s="15" t="n"/>
    </row>
    <row r="2837">
      <c r="E2837" s="16" t="n"/>
      <c r="F2837" s="15" t="n"/>
    </row>
    <row r="2838">
      <c r="E2838" s="16" t="n"/>
      <c r="F2838" s="15" t="n"/>
    </row>
    <row r="2839">
      <c r="E2839" s="16" t="n"/>
      <c r="F2839" s="15" t="n"/>
    </row>
    <row r="2840">
      <c r="E2840" s="16" t="n"/>
      <c r="F2840" s="15" t="n"/>
    </row>
    <row r="2841">
      <c r="E2841" s="16" t="n"/>
      <c r="F2841" s="15" t="n"/>
    </row>
    <row r="2842">
      <c r="E2842" s="16" t="n"/>
      <c r="F2842" s="15" t="n"/>
    </row>
    <row r="2843">
      <c r="E2843" s="16" t="n"/>
      <c r="F2843" s="15" t="n"/>
    </row>
    <row r="2844">
      <c r="E2844" s="16" t="n"/>
      <c r="F2844" s="15" t="n"/>
    </row>
    <row r="2845">
      <c r="E2845" s="16" t="n"/>
      <c r="F2845" s="15" t="n"/>
    </row>
    <row r="2846">
      <c r="E2846" s="16" t="n"/>
      <c r="F2846" s="15" t="n"/>
    </row>
    <row r="2847">
      <c r="E2847" s="16" t="n"/>
      <c r="F2847" s="15" t="n"/>
    </row>
    <row r="2848">
      <c r="E2848" s="16" t="n"/>
      <c r="F2848" s="15" t="n"/>
    </row>
    <row r="2849">
      <c r="E2849" s="16" t="n"/>
      <c r="F2849" s="15" t="n"/>
    </row>
    <row r="2850">
      <c r="E2850" s="16" t="n"/>
      <c r="F2850" s="15" t="n"/>
    </row>
    <row r="2851">
      <c r="E2851" s="16" t="n"/>
      <c r="F2851" s="15" t="n"/>
    </row>
    <row r="2852">
      <c r="E2852" s="16" t="n"/>
      <c r="F2852" s="15" t="n"/>
    </row>
    <row r="2853">
      <c r="E2853" s="16" t="n"/>
      <c r="F2853" s="15" t="n"/>
    </row>
    <row r="2854">
      <c r="E2854" s="16" t="n"/>
      <c r="F2854" s="15" t="n"/>
    </row>
    <row r="2855">
      <c r="E2855" s="16" t="n"/>
      <c r="F2855" s="15" t="n"/>
    </row>
    <row r="2856">
      <c r="E2856" s="16" t="n"/>
      <c r="F2856" s="15" t="n"/>
    </row>
    <row r="2857">
      <c r="E2857" s="16" t="n"/>
      <c r="F2857" s="15" t="n"/>
    </row>
    <row r="2858">
      <c r="E2858" s="16" t="n"/>
      <c r="F2858" s="15" t="n"/>
    </row>
    <row r="2859">
      <c r="E2859" s="16" t="n"/>
      <c r="F2859" s="15" t="n"/>
    </row>
    <row r="2860">
      <c r="E2860" s="16" t="n"/>
      <c r="F2860" s="15" t="n"/>
    </row>
    <row r="2861">
      <c r="E2861" s="16" t="n"/>
      <c r="F2861" s="15" t="n"/>
    </row>
    <row r="2862">
      <c r="E2862" s="16" t="n"/>
      <c r="F2862" s="15" t="n"/>
    </row>
    <row r="2863">
      <c r="E2863" s="16" t="n"/>
      <c r="F2863" s="15" t="n"/>
    </row>
    <row r="2864">
      <c r="E2864" s="16" t="n"/>
      <c r="F2864" s="15" t="n"/>
    </row>
    <row r="2865">
      <c r="E2865" s="16" t="n"/>
      <c r="F2865" s="15" t="n"/>
    </row>
    <row r="2866">
      <c r="E2866" s="16" t="n"/>
      <c r="F2866" s="15" t="n"/>
    </row>
    <row r="2867">
      <c r="E2867" s="16" t="n"/>
      <c r="F2867" s="15" t="n"/>
    </row>
    <row r="2868">
      <c r="E2868" s="16" t="n"/>
      <c r="F2868" s="15" t="n"/>
    </row>
    <row r="2869">
      <c r="E2869" s="16" t="n"/>
      <c r="F2869" s="15" t="n"/>
    </row>
    <row r="2870">
      <c r="E2870" s="16" t="n"/>
      <c r="F2870" s="15" t="n"/>
    </row>
    <row r="2871">
      <c r="E2871" s="16" t="n"/>
      <c r="F2871" s="15" t="n"/>
    </row>
    <row r="2872">
      <c r="E2872" s="16" t="n"/>
      <c r="F2872" s="15" t="n"/>
    </row>
    <row r="2873">
      <c r="E2873" s="16" t="n"/>
      <c r="F2873" s="15" t="n"/>
    </row>
    <row r="2874">
      <c r="E2874" s="16" t="n"/>
      <c r="F2874" s="15" t="n"/>
    </row>
    <row r="2875">
      <c r="E2875" s="16" t="n"/>
      <c r="F2875" s="15" t="n"/>
    </row>
    <row r="2876">
      <c r="E2876" s="16" t="n"/>
      <c r="F2876" s="15" t="n"/>
    </row>
    <row r="2877">
      <c r="E2877" s="16" t="n"/>
      <c r="F2877" s="15" t="n"/>
    </row>
    <row r="2878">
      <c r="E2878" s="16" t="n"/>
      <c r="F2878" s="15" t="n"/>
    </row>
    <row r="2879">
      <c r="E2879" s="16" t="n"/>
      <c r="F2879" s="15" t="n"/>
    </row>
    <row r="2880">
      <c r="E2880" s="16" t="n"/>
      <c r="F2880" s="15" t="n"/>
    </row>
    <row r="2881">
      <c r="E2881" s="16" t="n"/>
      <c r="F2881" s="15" t="n"/>
    </row>
    <row r="2882">
      <c r="E2882" s="16" t="n"/>
      <c r="F2882" s="15" t="n"/>
    </row>
    <row r="2883">
      <c r="E2883" s="16" t="n"/>
      <c r="F2883" s="15" t="n"/>
    </row>
    <row r="2884">
      <c r="E2884" s="16" t="n"/>
      <c r="F2884" s="15" t="n"/>
    </row>
    <row r="2885">
      <c r="E2885" s="16" t="n"/>
      <c r="F2885" s="15" t="n"/>
    </row>
    <row r="2886">
      <c r="E2886" s="16" t="n"/>
      <c r="F2886" s="15" t="n"/>
    </row>
    <row r="2887">
      <c r="E2887" s="16" t="n"/>
      <c r="F2887" s="15" t="n"/>
    </row>
    <row r="2888">
      <c r="E2888" s="16" t="n"/>
      <c r="F2888" s="15" t="n"/>
    </row>
    <row r="2889">
      <c r="E2889" s="16" t="n"/>
      <c r="F2889" s="15" t="n"/>
    </row>
    <row r="2890">
      <c r="E2890" s="16" t="n"/>
      <c r="F2890" s="15" t="n"/>
    </row>
    <row r="2891">
      <c r="E2891" s="16" t="n"/>
      <c r="F2891" s="15" t="n"/>
    </row>
    <row r="2892">
      <c r="E2892" s="16" t="n"/>
      <c r="F2892" s="15" t="n"/>
    </row>
    <row r="2893">
      <c r="E2893" s="16" t="n"/>
      <c r="F2893" s="15" t="n"/>
    </row>
    <row r="2894">
      <c r="E2894" s="16" t="n"/>
      <c r="F2894" s="15" t="n"/>
    </row>
    <row r="2895">
      <c r="E2895" s="16" t="n"/>
      <c r="F2895" s="15" t="n"/>
    </row>
    <row r="2896">
      <c r="E2896" s="16" t="n"/>
      <c r="F2896" s="15" t="n"/>
    </row>
    <row r="2897">
      <c r="E2897" s="16" t="n"/>
      <c r="F2897" s="15" t="n"/>
    </row>
    <row r="2898">
      <c r="E2898" s="16" t="n"/>
      <c r="F2898" s="15" t="n"/>
    </row>
    <row r="2899">
      <c r="E2899" s="16" t="n"/>
      <c r="F2899" s="15" t="n"/>
    </row>
    <row r="2900">
      <c r="E2900" s="16" t="n"/>
      <c r="F2900" s="15" t="n"/>
    </row>
    <row r="2901">
      <c r="E2901" s="16" t="n"/>
      <c r="F2901" s="15" t="n"/>
    </row>
    <row r="2902">
      <c r="E2902" s="16" t="n"/>
      <c r="F2902" s="15" t="n"/>
    </row>
    <row r="2903">
      <c r="E2903" s="16" t="n"/>
      <c r="F2903" s="15" t="n"/>
    </row>
    <row r="2904">
      <c r="E2904" s="16" t="n"/>
      <c r="F2904" s="15" t="n"/>
    </row>
    <row r="2905">
      <c r="E2905" s="16" t="n"/>
      <c r="F2905" s="15" t="n"/>
    </row>
    <row r="2906">
      <c r="E2906" s="16" t="n"/>
      <c r="F2906" s="15" t="n"/>
    </row>
    <row r="2907">
      <c r="E2907" s="16" t="n"/>
      <c r="F2907" s="15" t="n"/>
    </row>
    <row r="2908">
      <c r="E2908" s="16" t="n"/>
      <c r="F2908" s="15" t="n"/>
    </row>
    <row r="2909">
      <c r="E2909" s="16" t="n"/>
      <c r="F2909" s="15" t="n"/>
    </row>
    <row r="2910">
      <c r="E2910" s="16" t="n"/>
      <c r="F2910" s="15" t="n"/>
    </row>
    <row r="2911">
      <c r="E2911" s="16" t="n"/>
      <c r="F2911" s="15" t="n"/>
    </row>
    <row r="2912">
      <c r="E2912" s="16" t="n"/>
      <c r="F2912" s="15" t="n"/>
    </row>
    <row r="2913">
      <c r="E2913" s="16" t="n"/>
      <c r="F2913" s="15" t="n"/>
    </row>
    <row r="2914">
      <c r="E2914" s="16" t="n"/>
      <c r="F2914" s="15" t="n"/>
    </row>
    <row r="2915">
      <c r="E2915" s="16" t="n"/>
      <c r="F2915" s="15" t="n"/>
    </row>
    <row r="2916">
      <c r="E2916" s="16" t="n"/>
      <c r="F2916" s="15" t="n"/>
    </row>
    <row r="2917">
      <c r="E2917" s="16" t="n"/>
      <c r="F2917" s="15" t="n"/>
    </row>
    <row r="2918">
      <c r="E2918" s="16" t="n"/>
      <c r="F2918" s="15" t="n"/>
    </row>
    <row r="2919">
      <c r="E2919" s="16" t="n"/>
      <c r="F2919" s="15" t="n"/>
    </row>
    <row r="2920">
      <c r="E2920" s="16" t="n"/>
      <c r="F2920" s="15" t="n"/>
    </row>
    <row r="2921">
      <c r="E2921" s="16" t="n"/>
      <c r="F2921" s="15" t="n"/>
    </row>
    <row r="2922">
      <c r="E2922" s="16" t="n"/>
      <c r="F2922" s="15" t="n"/>
    </row>
    <row r="2923">
      <c r="E2923" s="16" t="n"/>
      <c r="F2923" s="15" t="n"/>
    </row>
    <row r="2924">
      <c r="E2924" s="16" t="n"/>
      <c r="F2924" s="15" t="n"/>
    </row>
    <row r="2925">
      <c r="E2925" s="16" t="n"/>
      <c r="F2925" s="15" t="n"/>
    </row>
    <row r="2926">
      <c r="E2926" s="16" t="n"/>
      <c r="F2926" s="15" t="n"/>
    </row>
    <row r="2927">
      <c r="E2927" s="16" t="n"/>
      <c r="F2927" s="15" t="n"/>
    </row>
    <row r="2928">
      <c r="E2928" s="16" t="n"/>
      <c r="F2928" s="15" t="n"/>
    </row>
    <row r="2929">
      <c r="E2929" s="16" t="n"/>
      <c r="F2929" s="15" t="n"/>
    </row>
    <row r="2930">
      <c r="E2930" s="16" t="n"/>
      <c r="F2930" s="15" t="n"/>
    </row>
    <row r="2931">
      <c r="E2931" s="16" t="n"/>
      <c r="F2931" s="15" t="n"/>
    </row>
    <row r="2932">
      <c r="E2932" s="16" t="n"/>
      <c r="F2932" s="15" t="n"/>
    </row>
    <row r="2933">
      <c r="E2933" s="16" t="n"/>
      <c r="F2933" s="15" t="n"/>
    </row>
    <row r="2934">
      <c r="E2934" s="16" t="n"/>
      <c r="F2934" s="15" t="n"/>
    </row>
    <row r="2935">
      <c r="E2935" s="16" t="n"/>
      <c r="F2935" s="15" t="n"/>
    </row>
    <row r="2936">
      <c r="E2936" s="16" t="n"/>
      <c r="F2936" s="15" t="n"/>
    </row>
    <row r="2937">
      <c r="E2937" s="16" t="n"/>
      <c r="F2937" s="15" t="n"/>
    </row>
    <row r="2938">
      <c r="E2938" s="16" t="n"/>
      <c r="F2938" s="15" t="n"/>
    </row>
    <row r="2939">
      <c r="E2939" s="16" t="n"/>
      <c r="F2939" s="15" t="n"/>
    </row>
    <row r="2940">
      <c r="E2940" s="16" t="n"/>
      <c r="F2940" s="15" t="n"/>
    </row>
    <row r="2941">
      <c r="E2941" s="16" t="n"/>
      <c r="F2941" s="15" t="n"/>
    </row>
    <row r="2942">
      <c r="E2942" s="16" t="n"/>
      <c r="F2942" s="15" t="n"/>
    </row>
    <row r="2943">
      <c r="E2943" s="16" t="n"/>
      <c r="F2943" s="15" t="n"/>
    </row>
    <row r="2944">
      <c r="E2944" s="16" t="n"/>
      <c r="F2944" s="15" t="n"/>
    </row>
    <row r="2945">
      <c r="E2945" s="16" t="n"/>
      <c r="F2945" s="15" t="n"/>
    </row>
    <row r="2946">
      <c r="E2946" s="16" t="n"/>
      <c r="F2946" s="15" t="n"/>
    </row>
    <row r="2947">
      <c r="E2947" s="16" t="n"/>
      <c r="F2947" s="15" t="n"/>
    </row>
    <row r="2948">
      <c r="E2948" s="16" t="n"/>
      <c r="F2948" s="15" t="n"/>
    </row>
    <row r="2949">
      <c r="E2949" s="16" t="n"/>
      <c r="F2949" s="15" t="n"/>
    </row>
    <row r="2950">
      <c r="E2950" s="16" t="n"/>
      <c r="F2950" s="15" t="n"/>
    </row>
    <row r="2951">
      <c r="E2951" s="16" t="n"/>
      <c r="F2951" s="15" t="n"/>
    </row>
    <row r="2952">
      <c r="E2952" s="16" t="n"/>
      <c r="F2952" s="15" t="n"/>
    </row>
    <row r="2953">
      <c r="E2953" s="16" t="n"/>
      <c r="F2953" s="15" t="n"/>
    </row>
    <row r="2954">
      <c r="E2954" s="16" t="n"/>
      <c r="F2954" s="15" t="n"/>
    </row>
    <row r="2955">
      <c r="E2955" s="16" t="n"/>
      <c r="F2955" s="15" t="n"/>
    </row>
    <row r="2956">
      <c r="E2956" s="16" t="n"/>
      <c r="F2956" s="15" t="n"/>
    </row>
    <row r="2957">
      <c r="E2957" s="16" t="n"/>
      <c r="F2957" s="15" t="n"/>
    </row>
    <row r="2958">
      <c r="E2958" s="16" t="n"/>
      <c r="F2958" s="15" t="n"/>
    </row>
    <row r="2959">
      <c r="E2959" s="16" t="n"/>
      <c r="F2959" s="15" t="n"/>
    </row>
    <row r="2960">
      <c r="E2960" s="16" t="n"/>
      <c r="F2960" s="15" t="n"/>
    </row>
    <row r="2961">
      <c r="E2961" s="16" t="n"/>
      <c r="F2961" s="15" t="n"/>
    </row>
    <row r="2962">
      <c r="E2962" s="16" t="n"/>
      <c r="F2962" s="15" t="n"/>
    </row>
    <row r="2963">
      <c r="E2963" s="16" t="n"/>
      <c r="F2963" s="15" t="n"/>
    </row>
    <row r="2964">
      <c r="E2964" s="16" t="n"/>
      <c r="F2964" s="15" t="n"/>
    </row>
    <row r="2965">
      <c r="E2965" s="16" t="n"/>
      <c r="F2965" s="15" t="n"/>
    </row>
    <row r="2966">
      <c r="E2966" s="16" t="n"/>
      <c r="F2966" s="15" t="n"/>
    </row>
    <row r="2967">
      <c r="E2967" s="16" t="n"/>
      <c r="F2967" s="15" t="n"/>
    </row>
    <row r="2968">
      <c r="E2968" s="16" t="n"/>
      <c r="F2968" s="15" t="n"/>
    </row>
    <row r="2969">
      <c r="E2969" s="16" t="n"/>
      <c r="F2969" s="15" t="n"/>
    </row>
    <row r="2970">
      <c r="E2970" s="16" t="n"/>
      <c r="F2970" s="15" t="n"/>
    </row>
    <row r="2971">
      <c r="E2971" s="16" t="n"/>
      <c r="F2971" s="15" t="n"/>
    </row>
    <row r="2972">
      <c r="E2972" s="16" t="n"/>
      <c r="F2972" s="15" t="n"/>
    </row>
    <row r="2973">
      <c r="E2973" s="16" t="n"/>
      <c r="F2973" s="15" t="n"/>
    </row>
    <row r="2974">
      <c r="E2974" s="16" t="n"/>
      <c r="F2974" s="15" t="n"/>
    </row>
    <row r="2975">
      <c r="E2975" s="16" t="n"/>
      <c r="F2975" s="15" t="n"/>
    </row>
    <row r="2976">
      <c r="E2976" s="16" t="n"/>
      <c r="F2976" s="15" t="n"/>
    </row>
    <row r="2977">
      <c r="E2977" s="16" t="n"/>
      <c r="F2977" s="15" t="n"/>
    </row>
    <row r="2978">
      <c r="E2978" s="16" t="n"/>
      <c r="F2978" s="15" t="n"/>
    </row>
    <row r="2979">
      <c r="E2979" s="16" t="n"/>
      <c r="F2979" s="15" t="n"/>
    </row>
    <row r="2980">
      <c r="E2980" s="16" t="n"/>
      <c r="F2980" s="15" t="n"/>
    </row>
    <row r="2981">
      <c r="E2981" s="16" t="n"/>
      <c r="F2981" s="15" t="n"/>
    </row>
    <row r="2982">
      <c r="E2982" s="16" t="n"/>
      <c r="F2982" s="15" t="n"/>
    </row>
    <row r="2983">
      <c r="E2983" s="16" t="n"/>
      <c r="F2983" s="15" t="n"/>
    </row>
    <row r="2984">
      <c r="E2984" s="16" t="n"/>
      <c r="F2984" s="15" t="n"/>
    </row>
    <row r="2985">
      <c r="E2985" s="16" t="n"/>
      <c r="F2985" s="15" t="n"/>
    </row>
    <row r="2986">
      <c r="E2986" s="16" t="n"/>
      <c r="F2986" s="15" t="n"/>
    </row>
    <row r="2987">
      <c r="E2987" s="16" t="n"/>
      <c r="F2987" s="15" t="n"/>
    </row>
    <row r="2988">
      <c r="E2988" s="16" t="n"/>
      <c r="F2988" s="15" t="n"/>
    </row>
    <row r="2989">
      <c r="E2989" s="16" t="n"/>
      <c r="F2989" s="15" t="n"/>
    </row>
    <row r="2990">
      <c r="E2990" s="16" t="n"/>
      <c r="F2990" s="15" t="n"/>
    </row>
    <row r="2991">
      <c r="E2991" s="16" t="n"/>
      <c r="F2991" s="15" t="n"/>
    </row>
    <row r="2992">
      <c r="E2992" s="16" t="n"/>
      <c r="F2992" s="15" t="n"/>
    </row>
    <row r="2993">
      <c r="E2993" s="16" t="n"/>
      <c r="F2993" s="15" t="n"/>
    </row>
    <row r="2994">
      <c r="E2994" s="16" t="n"/>
      <c r="F2994" s="15" t="n"/>
    </row>
    <row r="2995">
      <c r="E2995" s="16" t="n"/>
      <c r="F2995" s="15" t="n"/>
    </row>
    <row r="2996">
      <c r="E2996" s="16" t="n"/>
      <c r="F2996" s="15" t="n"/>
    </row>
    <row r="2997">
      <c r="E2997" s="16" t="n"/>
      <c r="F2997" s="15" t="n"/>
    </row>
    <row r="2998">
      <c r="E2998" s="16" t="n"/>
      <c r="F2998" s="15" t="n"/>
    </row>
    <row r="2999">
      <c r="E2999" s="16" t="n"/>
      <c r="F2999" s="15" t="n"/>
    </row>
    <row r="3000">
      <c r="E3000" s="16" t="n"/>
      <c r="F3000" s="15" t="n"/>
    </row>
    <row r="3001">
      <c r="E3001" s="16" t="n"/>
      <c r="F3001" s="15" t="n"/>
    </row>
    <row r="3002">
      <c r="E3002" s="16" t="n"/>
      <c r="F3002" s="15" t="n"/>
    </row>
    <row r="3003">
      <c r="E3003" s="16" t="n"/>
      <c r="F3003" s="15" t="n"/>
    </row>
    <row r="3004">
      <c r="E3004" s="16" t="n"/>
      <c r="F3004" s="15" t="n"/>
    </row>
    <row r="3005">
      <c r="E3005" s="16" t="n"/>
      <c r="F3005" s="15" t="n"/>
    </row>
    <row r="3006">
      <c r="E3006" s="16" t="n"/>
      <c r="F3006" s="15" t="n"/>
    </row>
    <row r="3007">
      <c r="E3007" s="16" t="n"/>
      <c r="F3007" s="15" t="n"/>
    </row>
    <row r="3008">
      <c r="E3008" s="16" t="n"/>
      <c r="F3008" s="15" t="n"/>
    </row>
    <row r="3009">
      <c r="E3009" s="16" t="n"/>
      <c r="F3009" s="15" t="n"/>
    </row>
    <row r="3010">
      <c r="E3010" s="16" t="n"/>
      <c r="F3010" s="15" t="n"/>
    </row>
    <row r="3011">
      <c r="E3011" s="16" t="n"/>
      <c r="F3011" s="15" t="n"/>
    </row>
    <row r="3012">
      <c r="E3012" s="16" t="n"/>
      <c r="F3012" s="15" t="n"/>
    </row>
    <row r="3013">
      <c r="E3013" s="16" t="n"/>
      <c r="F3013" s="15" t="n"/>
    </row>
    <row r="3014">
      <c r="E3014" s="16" t="n"/>
      <c r="F3014" s="15" t="n"/>
    </row>
    <row r="3015">
      <c r="E3015" s="16" t="n"/>
      <c r="F3015" s="15" t="n"/>
    </row>
    <row r="3016">
      <c r="E3016" s="16" t="n"/>
      <c r="F3016" s="15" t="n"/>
    </row>
    <row r="3017">
      <c r="E3017" s="16" t="n"/>
      <c r="F3017" s="15" t="n"/>
    </row>
    <row r="3018">
      <c r="E3018" s="16" t="n"/>
      <c r="F3018" s="15" t="n"/>
    </row>
    <row r="3019">
      <c r="E3019" s="16" t="n"/>
      <c r="F3019" s="15" t="n"/>
    </row>
    <row r="3020">
      <c r="E3020" s="16" t="n"/>
      <c r="F3020" s="15" t="n"/>
    </row>
    <row r="3021">
      <c r="E3021" s="16" t="n"/>
      <c r="F3021" s="15" t="n"/>
    </row>
    <row r="3022">
      <c r="E3022" s="16" t="n"/>
      <c r="F3022" s="15" t="n"/>
    </row>
    <row r="3023">
      <c r="E3023" s="16" t="n"/>
      <c r="F3023" s="15" t="n"/>
    </row>
    <row r="3024">
      <c r="E3024" s="16" t="n"/>
      <c r="F3024" s="15" t="n"/>
    </row>
    <row r="3025">
      <c r="E3025" s="16" t="n"/>
      <c r="F3025" s="15" t="n"/>
    </row>
    <row r="3026">
      <c r="E3026" s="16" t="n"/>
      <c r="F3026" s="15" t="n"/>
    </row>
    <row r="3027">
      <c r="E3027" s="16" t="n"/>
      <c r="F3027" s="15" t="n"/>
    </row>
    <row r="3028">
      <c r="E3028" s="16" t="n"/>
      <c r="F3028" s="15" t="n"/>
    </row>
    <row r="3029">
      <c r="E3029" s="16" t="n"/>
      <c r="F3029" s="15" t="n"/>
    </row>
    <row r="3030">
      <c r="E3030" s="16" t="n"/>
      <c r="F3030" s="15" t="n"/>
    </row>
    <row r="3031">
      <c r="E3031" s="16" t="n"/>
      <c r="F3031" s="15" t="n"/>
    </row>
    <row r="3032">
      <c r="E3032" s="16" t="n"/>
      <c r="F3032" s="15" t="n"/>
    </row>
    <row r="3033">
      <c r="E3033" s="16" t="n"/>
      <c r="F3033" s="15" t="n"/>
    </row>
    <row r="3034">
      <c r="E3034" s="16" t="n"/>
      <c r="F3034" s="15" t="n"/>
    </row>
    <row r="3035">
      <c r="E3035" s="16" t="n"/>
      <c r="F3035" s="15" t="n"/>
    </row>
    <row r="3036">
      <c r="E3036" s="16" t="n"/>
      <c r="F3036" s="15" t="n"/>
    </row>
    <row r="3037">
      <c r="E3037" s="16" t="n"/>
      <c r="F3037" s="15" t="n"/>
    </row>
    <row r="3038">
      <c r="E3038" s="16" t="n"/>
      <c r="F3038" s="15" t="n"/>
    </row>
    <row r="3039">
      <c r="E3039" s="16" t="n"/>
      <c r="F3039" s="15" t="n"/>
    </row>
    <row r="3040">
      <c r="E3040" s="16" t="n"/>
      <c r="F3040" s="15" t="n"/>
    </row>
    <row r="3041">
      <c r="E3041" s="16" t="n"/>
      <c r="F3041" s="15" t="n"/>
    </row>
    <row r="3042">
      <c r="E3042" s="16" t="n"/>
      <c r="F3042" s="15" t="n"/>
    </row>
    <row r="3043">
      <c r="E3043" s="16" t="n"/>
      <c r="F3043" s="15" t="n"/>
    </row>
    <row r="3044">
      <c r="E3044" s="16" t="n"/>
      <c r="F3044" s="15" t="n"/>
    </row>
    <row r="3045">
      <c r="E3045" s="16" t="n"/>
      <c r="F3045" s="15" t="n"/>
    </row>
    <row r="3046">
      <c r="E3046" s="16" t="n"/>
      <c r="F3046" s="15" t="n"/>
    </row>
    <row r="3047">
      <c r="E3047" s="16" t="n"/>
      <c r="F3047" s="15" t="n"/>
    </row>
    <row r="3048">
      <c r="E3048" s="16" t="n"/>
      <c r="F3048" s="15" t="n"/>
    </row>
    <row r="3049">
      <c r="E3049" s="16" t="n"/>
      <c r="F3049" s="15" t="n"/>
    </row>
    <row r="3050">
      <c r="E3050" s="16" t="n"/>
      <c r="F3050" s="15" t="n"/>
    </row>
    <row r="3051">
      <c r="E3051" s="16" t="n"/>
      <c r="F3051" s="15" t="n"/>
    </row>
    <row r="3052">
      <c r="E3052" s="16" t="n"/>
      <c r="F3052" s="15" t="n"/>
    </row>
    <row r="3053">
      <c r="E3053" s="16" t="n"/>
      <c r="F3053" s="15" t="n"/>
    </row>
    <row r="3054">
      <c r="E3054" s="16" t="n"/>
      <c r="F3054" s="15" t="n"/>
    </row>
    <row r="3055">
      <c r="E3055" s="16" t="n"/>
      <c r="F3055" s="15" t="n"/>
    </row>
    <row r="3056">
      <c r="E3056" s="16" t="n"/>
      <c r="F3056" s="15" t="n"/>
    </row>
    <row r="3057">
      <c r="E3057" s="16" t="n"/>
      <c r="F3057" s="15" t="n"/>
    </row>
    <row r="3058">
      <c r="E3058" s="16" t="n"/>
      <c r="F3058" s="15" t="n"/>
    </row>
    <row r="3059">
      <c r="E3059" s="16" t="n"/>
      <c r="F3059" s="15" t="n"/>
    </row>
    <row r="3060">
      <c r="E3060" s="16" t="n"/>
      <c r="F3060" s="15" t="n"/>
    </row>
    <row r="3061">
      <c r="E3061" s="16" t="n"/>
      <c r="F3061" s="15" t="n"/>
    </row>
    <row r="3062">
      <c r="E3062" s="16" t="n"/>
      <c r="F3062" s="15" t="n"/>
    </row>
    <row r="3063">
      <c r="E3063" s="16" t="n"/>
      <c r="F3063" s="15" t="n"/>
    </row>
    <row r="3064">
      <c r="E3064" s="16" t="n"/>
      <c r="F3064" s="15" t="n"/>
    </row>
    <row r="3065">
      <c r="E3065" s="16" t="n"/>
      <c r="F3065" s="15" t="n"/>
    </row>
    <row r="3066">
      <c r="E3066" s="16" t="n"/>
      <c r="F3066" s="15" t="n"/>
    </row>
    <row r="3067">
      <c r="E3067" s="16" t="n"/>
      <c r="F3067" s="15" t="n"/>
    </row>
    <row r="3068">
      <c r="E3068" s="16" t="n"/>
      <c r="F3068" s="15" t="n"/>
    </row>
    <row r="3069">
      <c r="E3069" s="16" t="n"/>
      <c r="F3069" s="15" t="n"/>
    </row>
    <row r="3070">
      <c r="E3070" s="16" t="n"/>
      <c r="F3070" s="15" t="n"/>
    </row>
    <row r="3071">
      <c r="E3071" s="16" t="n"/>
      <c r="F3071" s="15" t="n"/>
    </row>
    <row r="3072">
      <c r="E3072" s="16" t="n"/>
      <c r="F3072" s="15" t="n"/>
    </row>
    <row r="3073">
      <c r="E3073" s="16" t="n"/>
      <c r="F3073" s="15" t="n"/>
    </row>
    <row r="3074">
      <c r="E3074" s="16" t="n"/>
      <c r="F3074" s="15" t="n"/>
    </row>
    <row r="3075">
      <c r="E3075" s="16" t="n"/>
      <c r="F3075" s="15" t="n"/>
    </row>
    <row r="3076">
      <c r="E3076" s="16" t="n"/>
      <c r="F3076" s="15" t="n"/>
    </row>
    <row r="3077">
      <c r="E3077" s="16" t="n"/>
      <c r="F3077" s="15" t="n"/>
    </row>
    <row r="3078">
      <c r="E3078" s="16" t="n"/>
      <c r="F3078" s="15" t="n"/>
    </row>
    <row r="3079">
      <c r="E3079" s="16" t="n"/>
      <c r="F3079" s="15" t="n"/>
    </row>
    <row r="3080">
      <c r="E3080" s="16" t="n"/>
      <c r="F3080" s="15" t="n"/>
    </row>
    <row r="3081">
      <c r="E3081" s="16" t="n"/>
      <c r="F3081" s="15" t="n"/>
    </row>
    <row r="3082">
      <c r="E3082" s="16" t="n"/>
      <c r="F3082" s="15" t="n"/>
    </row>
    <row r="3083">
      <c r="E3083" s="16" t="n"/>
      <c r="F3083" s="15" t="n"/>
    </row>
    <row r="3084">
      <c r="E3084" s="16" t="n"/>
      <c r="F3084" s="15" t="n"/>
    </row>
    <row r="3085">
      <c r="E3085" s="16" t="n"/>
      <c r="F3085" s="15" t="n"/>
    </row>
    <row r="3086">
      <c r="E3086" s="16" t="n"/>
      <c r="F3086" s="15" t="n"/>
    </row>
    <row r="3087">
      <c r="E3087" s="16" t="n"/>
      <c r="F3087" s="15" t="n"/>
    </row>
    <row r="3088">
      <c r="E3088" s="16" t="n"/>
      <c r="F3088" s="15" t="n"/>
    </row>
    <row r="3089">
      <c r="E3089" s="16" t="n"/>
      <c r="F3089" s="15" t="n"/>
    </row>
    <row r="3090">
      <c r="E3090" s="16" t="n"/>
      <c r="F3090" s="15" t="n"/>
    </row>
    <row r="3091">
      <c r="E3091" s="16" t="n"/>
      <c r="F3091" s="15" t="n"/>
    </row>
    <row r="3092">
      <c r="E3092" s="16" t="n"/>
      <c r="F3092" s="15" t="n"/>
    </row>
    <row r="3093">
      <c r="E3093" s="16" t="n"/>
      <c r="F3093" s="15" t="n"/>
    </row>
    <row r="3094">
      <c r="E3094" s="16" t="n"/>
      <c r="F3094" s="15" t="n"/>
    </row>
    <row r="3095">
      <c r="E3095" s="16" t="n"/>
      <c r="F3095" s="15" t="n"/>
    </row>
    <row r="3096">
      <c r="E3096" s="16" t="n"/>
      <c r="F3096" s="15" t="n"/>
    </row>
    <row r="3097">
      <c r="E3097" s="16" t="n"/>
      <c r="F3097" s="15" t="n"/>
    </row>
    <row r="3098">
      <c r="E3098" s="16" t="n"/>
      <c r="F3098" s="15" t="n"/>
    </row>
    <row r="3099">
      <c r="E3099" s="16" t="n"/>
      <c r="F3099" s="15" t="n"/>
    </row>
    <row r="3100">
      <c r="E3100" s="16" t="n"/>
      <c r="F3100" s="15" t="n"/>
    </row>
    <row r="3101">
      <c r="E3101" s="16" t="n"/>
      <c r="F3101" s="15" t="n"/>
    </row>
    <row r="3102">
      <c r="E3102" s="16" t="n"/>
      <c r="F3102" s="15" t="n"/>
    </row>
    <row r="3103">
      <c r="E3103" s="16" t="n"/>
      <c r="F3103" s="15" t="n"/>
    </row>
    <row r="3104">
      <c r="E3104" s="16" t="n"/>
      <c r="F3104" s="15" t="n"/>
    </row>
    <row r="3105">
      <c r="E3105" s="16" t="n"/>
      <c r="F3105" s="15" t="n"/>
    </row>
    <row r="3106">
      <c r="E3106" s="16" t="n"/>
      <c r="F3106" s="15" t="n"/>
    </row>
    <row r="3107">
      <c r="E3107" s="16" t="n"/>
      <c r="F3107" s="15" t="n"/>
    </row>
    <row r="3108">
      <c r="E3108" s="16" t="n"/>
      <c r="F3108" s="15" t="n"/>
    </row>
    <row r="3109">
      <c r="E3109" s="16" t="n"/>
      <c r="F3109" s="15" t="n"/>
    </row>
    <row r="3110">
      <c r="E3110" s="16" t="n"/>
      <c r="F3110" s="15" t="n"/>
    </row>
    <row r="3111">
      <c r="E3111" s="16" t="n"/>
      <c r="F3111" s="15" t="n"/>
    </row>
    <row r="3112">
      <c r="E3112" s="16" t="n"/>
      <c r="F3112" s="15" t="n"/>
    </row>
    <row r="3113">
      <c r="E3113" s="16" t="n"/>
      <c r="F3113" s="15" t="n"/>
    </row>
    <row r="3114">
      <c r="E3114" s="16" t="n"/>
      <c r="F3114" s="15" t="n"/>
    </row>
    <row r="3115">
      <c r="E3115" s="16" t="n"/>
      <c r="F3115" s="15" t="n"/>
    </row>
    <row r="3116">
      <c r="E3116" s="16" t="n"/>
      <c r="F3116" s="15" t="n"/>
    </row>
    <row r="3117">
      <c r="E3117" s="16" t="n"/>
      <c r="F3117" s="15" t="n"/>
    </row>
    <row r="3118">
      <c r="E3118" s="16" t="n"/>
      <c r="F3118" s="15" t="n"/>
    </row>
    <row r="3119">
      <c r="E3119" s="16" t="n"/>
      <c r="F3119" s="15" t="n"/>
    </row>
    <row r="3120">
      <c r="E3120" s="16" t="n"/>
      <c r="F3120" s="15" t="n"/>
    </row>
    <row r="3121">
      <c r="E3121" s="16" t="n"/>
      <c r="F3121" s="15" t="n"/>
    </row>
    <row r="3122">
      <c r="E3122" s="16" t="n"/>
      <c r="F3122" s="15" t="n"/>
    </row>
    <row r="3123">
      <c r="E3123" s="16" t="n"/>
      <c r="F3123" s="15" t="n"/>
    </row>
    <row r="3124">
      <c r="E3124" s="16" t="n"/>
      <c r="F3124" s="15" t="n"/>
    </row>
    <row r="3125">
      <c r="E3125" s="16" t="n"/>
      <c r="F3125" s="15" t="n"/>
    </row>
    <row r="3126">
      <c r="E3126" s="16" t="n"/>
      <c r="F3126" s="15" t="n"/>
    </row>
    <row r="3127">
      <c r="E3127" s="16" t="n"/>
      <c r="F3127" s="15" t="n"/>
    </row>
    <row r="3128">
      <c r="E3128" s="16" t="n"/>
      <c r="F3128" s="15" t="n"/>
    </row>
    <row r="3129">
      <c r="E3129" s="16" t="n"/>
      <c r="F3129" s="15" t="n"/>
    </row>
    <row r="3130">
      <c r="E3130" s="16" t="n"/>
      <c r="F3130" s="15" t="n"/>
    </row>
    <row r="3131">
      <c r="E3131" s="16" t="n"/>
      <c r="F3131" s="15" t="n"/>
    </row>
    <row r="3132">
      <c r="E3132" s="16" t="n"/>
      <c r="F3132" s="15" t="n"/>
    </row>
    <row r="3133">
      <c r="E3133" s="16" t="n"/>
      <c r="F3133" s="15" t="n"/>
    </row>
    <row r="3134">
      <c r="E3134" s="16" t="n"/>
      <c r="F3134" s="15" t="n"/>
    </row>
    <row r="3135">
      <c r="E3135" s="16" t="n"/>
      <c r="F3135" s="15" t="n"/>
    </row>
    <row r="3136">
      <c r="E3136" s="16" t="n"/>
      <c r="F3136" s="15" t="n"/>
    </row>
    <row r="3137">
      <c r="E3137" s="16" t="n"/>
      <c r="F3137" s="15" t="n"/>
    </row>
    <row r="3138">
      <c r="E3138" s="16" t="n"/>
      <c r="F3138" s="15" t="n"/>
    </row>
    <row r="3139">
      <c r="E3139" s="16" t="n"/>
      <c r="F3139" s="15" t="n"/>
    </row>
    <row r="3140">
      <c r="E3140" s="16" t="n"/>
      <c r="F3140" s="15" t="n"/>
    </row>
    <row r="3141">
      <c r="E3141" s="16" t="n"/>
      <c r="F3141" s="15" t="n"/>
    </row>
    <row r="3142">
      <c r="E3142" s="16" t="n"/>
      <c r="F3142" s="15" t="n"/>
    </row>
    <row r="3143">
      <c r="E3143" s="16" t="n"/>
      <c r="F3143" s="15" t="n"/>
    </row>
    <row r="3144">
      <c r="E3144" s="16" t="n"/>
      <c r="F3144" s="15" t="n"/>
    </row>
    <row r="3145">
      <c r="E3145" s="16" t="n"/>
      <c r="F3145" s="15" t="n"/>
    </row>
    <row r="3146">
      <c r="E3146" s="16" t="n"/>
      <c r="F3146" s="15" t="n"/>
    </row>
    <row r="3147">
      <c r="E3147" s="16" t="n"/>
      <c r="F3147" s="15" t="n"/>
    </row>
    <row r="3148">
      <c r="E3148" s="16" t="n"/>
      <c r="F3148" s="15" t="n"/>
    </row>
    <row r="3149">
      <c r="E3149" s="16" t="n"/>
      <c r="F3149" s="15" t="n"/>
    </row>
    <row r="3150">
      <c r="E3150" s="16" t="n"/>
      <c r="F3150" s="15" t="n"/>
    </row>
    <row r="3151">
      <c r="E3151" s="16" t="n"/>
      <c r="F3151" s="15" t="n"/>
    </row>
    <row r="3152">
      <c r="E3152" s="16" t="n"/>
      <c r="F3152" s="15" t="n"/>
    </row>
    <row r="3153">
      <c r="E3153" s="16" t="n"/>
      <c r="F3153" s="15" t="n"/>
    </row>
    <row r="3154">
      <c r="E3154" s="16" t="n"/>
      <c r="F3154" s="15" t="n"/>
    </row>
    <row r="3155">
      <c r="E3155" s="16" t="n"/>
      <c r="F3155" s="15" t="n"/>
    </row>
    <row r="3156">
      <c r="E3156" s="16" t="n"/>
      <c r="F3156" s="15" t="n"/>
    </row>
    <row r="3157">
      <c r="E3157" s="16" t="n"/>
      <c r="F3157" s="15" t="n"/>
    </row>
    <row r="3158">
      <c r="E3158" s="16" t="n"/>
      <c r="F3158" s="15" t="n"/>
    </row>
    <row r="3159">
      <c r="E3159" s="16" t="n"/>
      <c r="F3159" s="15" t="n"/>
    </row>
    <row r="3160">
      <c r="E3160" s="16" t="n"/>
      <c r="F3160" s="15" t="n"/>
    </row>
    <row r="3161">
      <c r="E3161" s="16" t="n"/>
      <c r="F3161" s="15" t="n"/>
    </row>
    <row r="3162">
      <c r="E3162" s="16" t="n"/>
      <c r="F3162" s="15" t="n"/>
    </row>
    <row r="3163">
      <c r="E3163" s="16" t="n"/>
      <c r="F3163" s="15" t="n"/>
    </row>
    <row r="3164">
      <c r="E3164" s="16" t="n"/>
      <c r="F3164" s="15" t="n"/>
    </row>
    <row r="3165">
      <c r="E3165" s="16" t="n"/>
      <c r="F3165" s="15" t="n"/>
    </row>
    <row r="3166">
      <c r="E3166" s="16" t="n"/>
      <c r="F3166" s="15" t="n"/>
    </row>
    <row r="3167">
      <c r="E3167" s="16" t="n"/>
      <c r="F3167" s="15" t="n"/>
    </row>
    <row r="3168">
      <c r="E3168" s="16" t="n"/>
      <c r="F3168" s="15" t="n"/>
    </row>
    <row r="3169">
      <c r="E3169" s="16" t="n"/>
      <c r="F3169" s="15" t="n"/>
    </row>
    <row r="3170">
      <c r="E3170" s="16" t="n"/>
      <c r="F3170" s="15" t="n"/>
    </row>
    <row r="3171">
      <c r="E3171" s="16" t="n"/>
      <c r="F3171" s="15" t="n"/>
    </row>
    <row r="3172">
      <c r="E3172" s="16" t="n"/>
      <c r="F3172" s="15" t="n"/>
    </row>
    <row r="3173">
      <c r="E3173" s="16" t="n"/>
      <c r="F3173" s="15" t="n"/>
    </row>
    <row r="3174">
      <c r="E3174" s="16" t="n"/>
      <c r="F3174" s="15" t="n"/>
    </row>
    <row r="3175">
      <c r="E3175" s="16" t="n"/>
      <c r="F3175" s="15" t="n"/>
    </row>
    <row r="3176">
      <c r="E3176" s="16" t="n"/>
      <c r="F3176" s="15" t="n"/>
    </row>
    <row r="3177">
      <c r="E3177" s="16" t="n"/>
      <c r="F3177" s="15" t="n"/>
    </row>
    <row r="3178">
      <c r="E3178" s="16" t="n"/>
      <c r="F3178" s="15" t="n"/>
    </row>
    <row r="3179">
      <c r="E3179" s="16" t="n"/>
      <c r="F3179" s="15" t="n"/>
    </row>
    <row r="3180">
      <c r="E3180" s="16" t="n"/>
      <c r="F3180" s="15" t="n"/>
    </row>
    <row r="3181">
      <c r="E3181" s="16" t="n"/>
      <c r="F3181" s="15" t="n"/>
    </row>
    <row r="3182">
      <c r="E3182" s="16" t="n"/>
      <c r="F3182" s="15" t="n"/>
    </row>
    <row r="3183">
      <c r="E3183" s="16" t="n"/>
      <c r="F3183" s="15" t="n"/>
    </row>
    <row r="3184">
      <c r="E3184" s="16" t="n"/>
      <c r="F3184" s="15" t="n"/>
    </row>
    <row r="3185">
      <c r="E3185" s="16" t="n"/>
      <c r="F3185" s="15" t="n"/>
    </row>
    <row r="3186">
      <c r="E3186" s="16" t="n"/>
      <c r="F3186" s="15" t="n"/>
    </row>
    <row r="3187">
      <c r="E3187" s="16" t="n"/>
      <c r="F3187" s="15" t="n"/>
    </row>
    <row r="3188">
      <c r="E3188" s="16" t="n"/>
      <c r="F3188" s="15" t="n"/>
    </row>
    <row r="3189">
      <c r="E3189" s="16" t="n"/>
      <c r="F3189" s="15" t="n"/>
    </row>
    <row r="3190">
      <c r="E3190" s="16" t="n"/>
      <c r="F3190" s="15" t="n"/>
    </row>
    <row r="3191">
      <c r="E3191" s="16" t="n"/>
      <c r="F3191" s="15" t="n"/>
    </row>
    <row r="3192">
      <c r="E3192" s="16" t="n"/>
      <c r="F3192" s="15" t="n"/>
    </row>
    <row r="3193">
      <c r="E3193" s="16" t="n"/>
      <c r="F3193" s="15" t="n"/>
    </row>
    <row r="3194">
      <c r="E3194" s="16" t="n"/>
      <c r="F3194" s="15" t="n"/>
    </row>
    <row r="3195">
      <c r="E3195" s="16" t="n"/>
      <c r="F3195" s="15" t="n"/>
    </row>
    <row r="3196">
      <c r="E3196" s="16" t="n"/>
      <c r="F3196" s="15" t="n"/>
    </row>
    <row r="3197">
      <c r="E3197" s="16" t="n"/>
      <c r="F3197" s="15" t="n"/>
    </row>
    <row r="3198">
      <c r="E3198" s="16" t="n"/>
      <c r="F3198" s="15" t="n"/>
    </row>
    <row r="3199">
      <c r="E3199" s="16" t="n"/>
      <c r="F3199" s="15" t="n"/>
    </row>
    <row r="3200">
      <c r="E3200" s="16" t="n"/>
      <c r="F3200" s="15" t="n"/>
    </row>
    <row r="3201">
      <c r="E3201" s="16" t="n"/>
      <c r="F3201" s="15" t="n"/>
    </row>
    <row r="3202">
      <c r="E3202" s="16" t="n"/>
      <c r="F3202" s="15" t="n"/>
    </row>
    <row r="3203">
      <c r="E3203" s="16" t="n"/>
      <c r="F3203" s="15" t="n"/>
    </row>
    <row r="3204">
      <c r="E3204" s="16" t="n"/>
      <c r="F3204" s="15" t="n"/>
    </row>
    <row r="3205">
      <c r="E3205" s="16" t="n"/>
      <c r="F3205" s="15" t="n"/>
    </row>
    <row r="3206">
      <c r="E3206" s="16" t="n"/>
      <c r="F3206" s="15" t="n"/>
    </row>
    <row r="3207">
      <c r="E3207" s="16" t="n"/>
      <c r="F3207" s="15" t="n"/>
    </row>
    <row r="3208">
      <c r="E3208" s="16" t="n"/>
      <c r="F3208" s="15" t="n"/>
    </row>
    <row r="3209">
      <c r="E3209" s="16" t="n"/>
      <c r="F3209" s="15" t="n"/>
    </row>
    <row r="3210">
      <c r="E3210" s="16" t="n"/>
      <c r="F3210" s="15" t="n"/>
    </row>
    <row r="3211">
      <c r="E3211" s="16" t="n"/>
      <c r="F3211" s="15" t="n"/>
    </row>
    <row r="3212">
      <c r="E3212" s="16" t="n"/>
      <c r="F3212" s="15" t="n"/>
    </row>
    <row r="3213">
      <c r="E3213" s="16" t="n"/>
      <c r="F3213" s="15" t="n"/>
    </row>
    <row r="3214">
      <c r="E3214" s="16" t="n"/>
      <c r="F3214" s="15" t="n"/>
    </row>
    <row r="3215">
      <c r="E3215" s="16" t="n"/>
      <c r="F3215" s="15" t="n"/>
    </row>
    <row r="3216">
      <c r="E3216" s="16" t="n"/>
      <c r="F3216" s="15" t="n"/>
    </row>
    <row r="3217">
      <c r="E3217" s="16" t="n"/>
      <c r="F3217" s="15" t="n"/>
    </row>
    <row r="3218">
      <c r="E3218" s="16" t="n"/>
      <c r="F3218" s="15" t="n"/>
    </row>
    <row r="3219">
      <c r="E3219" s="16" t="n"/>
      <c r="F3219" s="15" t="n"/>
    </row>
    <row r="3220">
      <c r="E3220" s="16" t="n"/>
      <c r="F3220" s="15" t="n"/>
    </row>
    <row r="3221">
      <c r="E3221" s="16" t="n"/>
      <c r="F3221" s="15" t="n"/>
    </row>
    <row r="3222">
      <c r="E3222" s="16" t="n"/>
      <c r="F3222" s="15" t="n"/>
    </row>
    <row r="3223">
      <c r="E3223" s="16" t="n"/>
      <c r="F3223" s="15" t="n"/>
    </row>
    <row r="3224">
      <c r="E3224" s="16" t="n"/>
      <c r="F3224" s="15" t="n"/>
    </row>
    <row r="3225">
      <c r="E3225" s="16" t="n"/>
      <c r="F3225" s="15" t="n"/>
    </row>
    <row r="3226">
      <c r="E3226" s="16" t="n"/>
      <c r="F3226" s="15" t="n"/>
    </row>
    <row r="3227">
      <c r="E3227" s="16" t="n"/>
      <c r="F3227" s="15" t="n"/>
    </row>
    <row r="3228">
      <c r="E3228" s="16" t="n"/>
      <c r="F3228" s="15" t="n"/>
    </row>
    <row r="3229">
      <c r="E3229" s="16" t="n"/>
      <c r="F3229" s="15" t="n"/>
    </row>
    <row r="3230">
      <c r="E3230" s="16" t="n"/>
      <c r="F3230" s="15" t="n"/>
    </row>
    <row r="3231">
      <c r="E3231" s="16" t="n"/>
      <c r="F3231" s="15" t="n"/>
    </row>
    <row r="3232">
      <c r="E3232" s="16" t="n"/>
      <c r="F3232" s="15" t="n"/>
    </row>
    <row r="3233">
      <c r="E3233" s="16" t="n"/>
      <c r="F3233" s="15" t="n"/>
    </row>
    <row r="3234">
      <c r="E3234" s="16" t="n"/>
      <c r="F3234" s="15" t="n"/>
    </row>
    <row r="3235">
      <c r="E3235" s="16" t="n"/>
      <c r="F3235" s="15" t="n"/>
    </row>
    <row r="3236">
      <c r="E3236" s="16" t="n"/>
      <c r="F3236" s="15" t="n"/>
    </row>
    <row r="3237">
      <c r="E3237" s="16" t="n"/>
      <c r="F3237" s="15" t="n"/>
    </row>
    <row r="3238">
      <c r="E3238" s="16" t="n"/>
      <c r="F3238" s="15" t="n"/>
    </row>
    <row r="3239">
      <c r="E3239" s="16" t="n"/>
      <c r="F3239" s="15" t="n"/>
    </row>
    <row r="3240">
      <c r="E3240" s="16" t="n"/>
      <c r="F3240" s="15" t="n"/>
    </row>
    <row r="3241">
      <c r="E3241" s="16" t="n"/>
      <c r="F3241" s="15" t="n"/>
    </row>
    <row r="3242">
      <c r="E3242" s="16" t="n"/>
      <c r="F3242" s="15" t="n"/>
    </row>
    <row r="3243">
      <c r="E3243" s="16" t="n"/>
      <c r="F3243" s="15" t="n"/>
    </row>
    <row r="3244">
      <c r="E3244" s="16" t="n"/>
      <c r="F3244" s="15" t="n"/>
    </row>
    <row r="3245">
      <c r="E3245" s="16" t="n"/>
      <c r="F3245" s="15" t="n"/>
    </row>
    <row r="3246">
      <c r="E3246" s="16" t="n"/>
      <c r="F3246" s="15" t="n"/>
    </row>
    <row r="3247">
      <c r="E3247" s="16" t="n"/>
      <c r="F3247" s="15" t="n"/>
    </row>
    <row r="3248">
      <c r="E3248" s="16" t="n"/>
      <c r="F3248" s="15" t="n"/>
    </row>
    <row r="3249">
      <c r="E3249" s="16" t="n"/>
      <c r="F3249" s="15" t="n"/>
    </row>
    <row r="3250">
      <c r="E3250" s="16" t="n"/>
      <c r="F3250" s="15" t="n"/>
    </row>
    <row r="3251">
      <c r="E3251" s="16" t="n"/>
      <c r="F3251" s="15" t="n"/>
    </row>
    <row r="3252">
      <c r="E3252" s="16" t="n"/>
      <c r="F3252" s="15" t="n"/>
    </row>
    <row r="3253">
      <c r="E3253" s="16" t="n"/>
      <c r="F3253" s="15" t="n"/>
    </row>
    <row r="3254">
      <c r="E3254" s="16" t="n"/>
      <c r="F3254" s="15" t="n"/>
    </row>
    <row r="3255">
      <c r="E3255" s="16" t="n"/>
      <c r="F3255" s="15" t="n"/>
    </row>
    <row r="3256">
      <c r="E3256" s="16" t="n"/>
      <c r="F3256" s="15" t="n"/>
    </row>
    <row r="3257">
      <c r="E3257" s="16" t="n"/>
      <c r="F3257" s="15" t="n"/>
    </row>
    <row r="3258">
      <c r="E3258" s="16" t="n"/>
      <c r="F3258" s="15" t="n"/>
    </row>
    <row r="3259">
      <c r="E3259" s="16" t="n"/>
      <c r="F3259" s="15" t="n"/>
    </row>
    <row r="3260">
      <c r="E3260" s="16" t="n"/>
      <c r="F3260" s="15" t="n"/>
    </row>
    <row r="3261">
      <c r="E3261" s="16" t="n"/>
      <c r="F3261" s="15" t="n"/>
    </row>
    <row r="3262">
      <c r="E3262" s="16" t="n"/>
      <c r="F3262" s="15" t="n"/>
    </row>
    <row r="3263">
      <c r="E3263" s="16" t="n"/>
      <c r="F3263" s="15" t="n"/>
    </row>
    <row r="3264">
      <c r="E3264" s="16" t="n"/>
      <c r="F3264" s="15" t="n"/>
    </row>
    <row r="3265">
      <c r="E3265" s="16" t="n"/>
      <c r="F3265" s="15" t="n"/>
    </row>
    <row r="3266">
      <c r="E3266" s="16" t="n"/>
      <c r="F3266" s="15" t="n"/>
    </row>
    <row r="3267">
      <c r="E3267" s="16" t="n"/>
      <c r="F3267" s="15" t="n"/>
    </row>
    <row r="3268">
      <c r="E3268" s="16" t="n"/>
      <c r="F3268" s="15" t="n"/>
    </row>
    <row r="3269">
      <c r="E3269" s="16" t="n"/>
      <c r="F3269" s="15" t="n"/>
    </row>
    <row r="3270">
      <c r="E3270" s="16" t="n"/>
      <c r="F3270" s="15" t="n"/>
    </row>
    <row r="3271">
      <c r="E3271" s="16" t="n"/>
      <c r="F3271" s="15" t="n"/>
    </row>
    <row r="3272">
      <c r="E3272" s="16" t="n"/>
      <c r="F3272" s="15" t="n"/>
    </row>
    <row r="3273">
      <c r="E3273" s="16" t="n"/>
      <c r="F3273" s="15" t="n"/>
    </row>
    <row r="3274">
      <c r="E3274" s="16" t="n"/>
      <c r="F3274" s="15" t="n"/>
    </row>
    <row r="3275">
      <c r="E3275" s="16" t="n"/>
      <c r="F3275" s="15" t="n"/>
    </row>
    <row r="3276">
      <c r="E3276" s="16" t="n"/>
      <c r="F3276" s="15" t="n"/>
    </row>
    <row r="3277">
      <c r="E3277" s="16" t="n"/>
      <c r="F3277" s="15" t="n"/>
    </row>
    <row r="3278">
      <c r="E3278" s="16" t="n"/>
      <c r="F3278" s="15" t="n"/>
    </row>
    <row r="3279">
      <c r="E3279" s="16" t="n"/>
      <c r="F3279" s="15" t="n"/>
    </row>
    <row r="3280">
      <c r="E3280" s="16" t="n"/>
      <c r="F3280" s="15" t="n"/>
    </row>
    <row r="3281">
      <c r="E3281" s="16" t="n"/>
      <c r="F3281" s="15" t="n"/>
    </row>
    <row r="3282">
      <c r="E3282" s="16" t="n"/>
      <c r="F3282" s="15" t="n"/>
    </row>
    <row r="3283">
      <c r="E3283" s="16" t="n"/>
      <c r="F3283" s="15" t="n"/>
    </row>
    <row r="3284">
      <c r="E3284" s="16" t="n"/>
      <c r="F3284" s="15" t="n"/>
    </row>
    <row r="3285">
      <c r="E3285" s="16" t="n"/>
      <c r="F3285" s="15" t="n"/>
    </row>
    <row r="3286">
      <c r="E3286" s="16" t="n"/>
      <c r="F3286" s="15" t="n"/>
    </row>
    <row r="3287">
      <c r="E3287" s="16" t="n"/>
      <c r="F3287" s="15" t="n"/>
    </row>
    <row r="3288">
      <c r="E3288" s="16" t="n"/>
      <c r="F3288" s="15" t="n"/>
    </row>
    <row r="3289">
      <c r="E3289" s="16" t="n"/>
      <c r="F3289" s="15" t="n"/>
    </row>
    <row r="3290">
      <c r="E3290" s="16" t="n"/>
      <c r="F3290" s="15" t="n"/>
    </row>
    <row r="3291">
      <c r="E3291" s="16" t="n"/>
      <c r="F3291" s="15" t="n"/>
    </row>
    <row r="3292">
      <c r="E3292" s="16" t="n"/>
      <c r="F3292" s="15" t="n"/>
    </row>
    <row r="3293">
      <c r="E3293" s="16" t="n"/>
      <c r="F3293" s="15" t="n"/>
    </row>
    <row r="3294">
      <c r="E3294" s="16" t="n"/>
      <c r="F3294" s="15" t="n"/>
    </row>
    <row r="3295">
      <c r="E3295" s="16" t="n"/>
      <c r="F3295" s="15" t="n"/>
    </row>
    <row r="3296">
      <c r="E3296" s="16" t="n"/>
      <c r="F3296" s="15" t="n"/>
    </row>
    <row r="3297">
      <c r="E3297" s="16" t="n"/>
      <c r="F3297" s="15" t="n"/>
    </row>
    <row r="3298">
      <c r="E3298" s="16" t="n"/>
      <c r="F3298" s="15" t="n"/>
    </row>
    <row r="3299">
      <c r="E3299" s="16" t="n"/>
      <c r="F3299" s="15" t="n"/>
    </row>
    <row r="3300">
      <c r="E3300" s="16" t="n"/>
      <c r="F3300" s="15" t="n"/>
    </row>
    <row r="3301">
      <c r="E3301" s="16" t="n"/>
      <c r="F3301" s="15" t="n"/>
    </row>
    <row r="3302">
      <c r="E3302" s="16" t="n"/>
      <c r="F3302" s="15" t="n"/>
    </row>
    <row r="3303">
      <c r="E3303" s="16" t="n"/>
      <c r="F3303" s="15" t="n"/>
    </row>
    <row r="3304">
      <c r="E3304" s="16" t="n"/>
      <c r="F3304" s="15" t="n"/>
    </row>
    <row r="3305">
      <c r="E3305" s="16" t="n"/>
      <c r="F3305" s="15" t="n"/>
    </row>
    <row r="3306">
      <c r="E3306" s="16" t="n"/>
      <c r="F3306" s="15" t="n"/>
    </row>
    <row r="3307">
      <c r="E3307" s="16" t="n"/>
      <c r="F3307" s="15" t="n"/>
    </row>
    <row r="3308">
      <c r="E3308" s="16" t="n"/>
      <c r="F3308" s="15" t="n"/>
    </row>
    <row r="3309">
      <c r="E3309" s="16" t="n"/>
      <c r="F3309" s="15" t="n"/>
    </row>
    <row r="3310">
      <c r="E3310" s="16" t="n"/>
      <c r="F3310" s="15" t="n"/>
    </row>
    <row r="3311">
      <c r="E3311" s="16" t="n"/>
      <c r="F3311" s="15" t="n"/>
    </row>
    <row r="3312">
      <c r="E3312" s="16" t="n"/>
      <c r="F3312" s="15" t="n"/>
    </row>
    <row r="3313">
      <c r="E3313" s="16" t="n"/>
      <c r="F3313" s="15" t="n"/>
    </row>
    <row r="3314">
      <c r="E3314" s="16" t="n"/>
      <c r="F3314" s="15" t="n"/>
    </row>
    <row r="3315">
      <c r="E3315" s="16" t="n"/>
      <c r="F3315" s="15" t="n"/>
    </row>
    <row r="3316">
      <c r="E3316" s="16" t="n"/>
      <c r="F3316" s="15" t="n"/>
    </row>
    <row r="3317">
      <c r="E3317" s="16" t="n"/>
      <c r="F3317" s="15" t="n"/>
    </row>
    <row r="3318">
      <c r="E3318" s="16" t="n"/>
      <c r="F3318" s="15" t="n"/>
    </row>
    <row r="3319">
      <c r="E3319" s="16" t="n"/>
      <c r="F3319" s="15" t="n"/>
    </row>
    <row r="3320">
      <c r="E3320" s="16" t="n"/>
      <c r="F3320" s="15" t="n"/>
    </row>
    <row r="3321">
      <c r="E3321" s="16" t="n"/>
      <c r="F3321" s="15" t="n"/>
    </row>
    <row r="3322">
      <c r="E3322" s="16" t="n"/>
      <c r="F3322" s="15" t="n"/>
    </row>
    <row r="3323">
      <c r="E3323" s="16" t="n"/>
      <c r="F3323" s="15" t="n"/>
    </row>
    <row r="3324">
      <c r="E3324" s="16" t="n"/>
      <c r="F3324" s="15" t="n"/>
    </row>
    <row r="3325">
      <c r="E3325" s="16" t="n"/>
      <c r="F3325" s="15" t="n"/>
    </row>
    <row r="3326">
      <c r="E3326" s="16" t="n"/>
      <c r="F3326" s="15" t="n"/>
    </row>
    <row r="3327">
      <c r="E3327" s="16" t="n"/>
      <c r="F3327" s="15" t="n"/>
    </row>
    <row r="3328">
      <c r="E3328" s="16" t="n"/>
      <c r="F3328" s="15" t="n"/>
    </row>
    <row r="3329">
      <c r="E3329" s="16" t="n"/>
      <c r="F3329" s="15" t="n"/>
    </row>
    <row r="3330">
      <c r="E3330" s="16" t="n"/>
      <c r="F3330" s="15" t="n"/>
    </row>
    <row r="3331">
      <c r="E3331" s="16" t="n"/>
      <c r="F3331" s="15" t="n"/>
    </row>
    <row r="3332">
      <c r="E3332" s="16" t="n"/>
      <c r="F3332" s="15" t="n"/>
    </row>
    <row r="3333">
      <c r="E3333" s="16" t="n"/>
      <c r="F3333" s="15" t="n"/>
    </row>
    <row r="3334">
      <c r="E3334" s="16" t="n"/>
      <c r="F3334" s="15" t="n"/>
    </row>
    <row r="3335">
      <c r="E3335" s="16" t="n"/>
      <c r="F3335" s="15" t="n"/>
    </row>
    <row r="3336">
      <c r="E3336" s="16" t="n"/>
      <c r="F3336" s="15" t="n"/>
    </row>
    <row r="3337">
      <c r="E3337" s="16" t="n"/>
      <c r="F3337" s="15" t="n"/>
    </row>
    <row r="3338">
      <c r="E3338" s="16" t="n"/>
      <c r="F3338" s="15" t="n"/>
    </row>
    <row r="3339">
      <c r="E3339" s="16" t="n"/>
      <c r="F3339" s="15" t="n"/>
    </row>
    <row r="3340">
      <c r="E3340" s="16" t="n"/>
      <c r="F3340" s="15" t="n"/>
    </row>
    <row r="3341">
      <c r="E3341" s="16" t="n"/>
      <c r="F3341" s="15" t="n"/>
    </row>
    <row r="3342">
      <c r="E3342" s="16" t="n"/>
      <c r="F3342" s="15" t="n"/>
    </row>
    <row r="3343">
      <c r="E3343" s="16" t="n"/>
      <c r="F3343" s="15" t="n"/>
    </row>
    <row r="3344">
      <c r="E3344" s="16" t="n"/>
      <c r="F3344" s="15" t="n"/>
    </row>
    <row r="3345">
      <c r="E3345" s="16" t="n"/>
      <c r="F3345" s="15" t="n"/>
    </row>
    <row r="3346">
      <c r="E3346" s="16" t="n"/>
      <c r="F3346" s="15" t="n"/>
    </row>
    <row r="3347">
      <c r="E3347" s="16" t="n"/>
      <c r="F3347" s="15" t="n"/>
    </row>
    <row r="3348">
      <c r="E3348" s="16" t="n"/>
      <c r="F3348" s="15" t="n"/>
    </row>
    <row r="3349">
      <c r="E3349" s="16" t="n"/>
      <c r="F3349" s="15" t="n"/>
    </row>
    <row r="3350">
      <c r="E3350" s="16" t="n"/>
      <c r="F3350" s="15" t="n"/>
    </row>
    <row r="3351">
      <c r="E3351" s="16" t="n"/>
      <c r="F3351" s="15" t="n"/>
    </row>
    <row r="3352">
      <c r="E3352" s="16" t="n"/>
      <c r="F3352" s="15" t="n"/>
    </row>
    <row r="3353">
      <c r="E3353" s="16" t="n"/>
      <c r="F3353" s="15" t="n"/>
    </row>
    <row r="3354">
      <c r="E3354" s="16" t="n"/>
      <c r="F3354" s="15" t="n"/>
    </row>
    <row r="3355">
      <c r="E3355" s="16" t="n"/>
      <c r="F3355" s="15" t="n"/>
    </row>
    <row r="3356">
      <c r="E3356" s="16" t="n"/>
      <c r="F3356" s="15" t="n"/>
    </row>
    <row r="3357">
      <c r="E3357" s="16" t="n"/>
      <c r="F3357" s="15" t="n"/>
    </row>
    <row r="3358">
      <c r="E3358" s="16" t="n"/>
      <c r="F3358" s="15" t="n"/>
    </row>
    <row r="3359">
      <c r="E3359" s="16" t="n"/>
      <c r="F3359" s="15" t="n"/>
    </row>
    <row r="3360">
      <c r="E3360" s="16" t="n"/>
      <c r="F3360" s="15" t="n"/>
    </row>
    <row r="3361">
      <c r="E3361" s="16" t="n"/>
      <c r="F3361" s="15" t="n"/>
    </row>
    <row r="3362">
      <c r="E3362" s="16" t="n"/>
      <c r="F3362" s="15" t="n"/>
    </row>
    <row r="3363">
      <c r="E3363" s="16" t="n"/>
      <c r="F3363" s="15" t="n"/>
    </row>
    <row r="3364">
      <c r="E3364" s="16" t="n"/>
      <c r="F3364" s="15" t="n"/>
    </row>
    <row r="3365">
      <c r="E3365" s="16" t="n"/>
      <c r="F3365" s="15" t="n"/>
    </row>
    <row r="3366">
      <c r="E3366" s="16" t="n"/>
      <c r="F3366" s="15" t="n"/>
    </row>
    <row r="3367">
      <c r="E3367" s="16" t="n"/>
      <c r="F3367" s="15" t="n"/>
    </row>
    <row r="3368">
      <c r="E3368" s="16" t="n"/>
      <c r="F3368" s="15" t="n"/>
    </row>
    <row r="3369">
      <c r="E3369" s="16" t="n"/>
      <c r="F3369" s="15" t="n"/>
    </row>
    <row r="3370">
      <c r="E3370" s="16" t="n"/>
      <c r="F3370" s="15" t="n"/>
    </row>
    <row r="3371">
      <c r="E3371" s="16" t="n"/>
      <c r="F3371" s="15" t="n"/>
    </row>
    <row r="3372">
      <c r="E3372" s="16" t="n"/>
      <c r="F3372" s="15" t="n"/>
    </row>
    <row r="3373">
      <c r="E3373" s="16" t="n"/>
      <c r="F3373" s="15" t="n"/>
    </row>
    <row r="3374">
      <c r="E3374" s="16" t="n"/>
      <c r="F3374" s="15" t="n"/>
    </row>
    <row r="3375">
      <c r="E3375" s="16" t="n"/>
      <c r="F3375" s="15" t="n"/>
    </row>
    <row r="3376">
      <c r="E3376" s="16" t="n"/>
      <c r="F3376" s="15" t="n"/>
    </row>
    <row r="3377">
      <c r="E3377" s="16" t="n"/>
      <c r="F3377" s="15" t="n"/>
    </row>
    <row r="3378">
      <c r="E3378" s="16" t="n"/>
      <c r="F3378" s="15" t="n"/>
    </row>
    <row r="3379">
      <c r="E3379" s="16" t="n"/>
      <c r="F3379" s="15" t="n"/>
    </row>
    <row r="3380">
      <c r="E3380" s="16" t="n"/>
      <c r="F3380" s="15" t="n"/>
    </row>
    <row r="3381">
      <c r="E3381" s="16" t="n"/>
      <c r="F3381" s="15" t="n"/>
    </row>
    <row r="3382">
      <c r="E3382" s="16" t="n"/>
      <c r="F3382" s="15" t="n"/>
    </row>
    <row r="3383">
      <c r="E3383" s="16" t="n"/>
      <c r="F3383" s="15" t="n"/>
    </row>
    <row r="3384">
      <c r="E3384" s="16" t="n"/>
      <c r="F3384" s="15" t="n"/>
    </row>
    <row r="3385">
      <c r="E3385" s="16" t="n"/>
      <c r="F3385" s="15" t="n"/>
    </row>
    <row r="3386">
      <c r="E3386" s="16" t="n"/>
      <c r="F3386" s="15" t="n"/>
    </row>
    <row r="3387">
      <c r="E3387" s="16" t="n"/>
      <c r="F3387" s="15" t="n"/>
    </row>
    <row r="3388">
      <c r="E3388" s="16" t="n"/>
      <c r="F3388" s="15" t="n"/>
    </row>
    <row r="3389">
      <c r="E3389" s="16" t="n"/>
      <c r="F3389" s="15" t="n"/>
    </row>
    <row r="3390">
      <c r="E3390" s="16" t="n"/>
      <c r="F3390" s="15" t="n"/>
    </row>
    <row r="3391">
      <c r="E3391" s="16" t="n"/>
      <c r="F3391" s="15" t="n"/>
    </row>
    <row r="3392">
      <c r="E3392" s="16" t="n"/>
      <c r="F3392" s="15" t="n"/>
    </row>
    <row r="3393">
      <c r="E3393" s="16" t="n"/>
      <c r="F3393" s="15" t="n"/>
    </row>
    <row r="3394">
      <c r="E3394" s="16" t="n"/>
      <c r="F3394" s="15" t="n"/>
    </row>
    <row r="3395">
      <c r="E3395" s="16" t="n"/>
      <c r="F3395" s="15" t="n"/>
    </row>
    <row r="3396">
      <c r="E3396" s="16" t="n"/>
      <c r="F3396" s="15" t="n"/>
    </row>
    <row r="3397">
      <c r="E3397" s="16" t="n"/>
      <c r="F3397" s="15" t="n"/>
    </row>
    <row r="3398">
      <c r="E3398" s="16" t="n"/>
      <c r="F3398" s="15" t="n"/>
    </row>
    <row r="3399">
      <c r="E3399" s="16" t="n"/>
      <c r="F3399" s="15" t="n"/>
    </row>
    <row r="3400">
      <c r="E3400" s="16" t="n"/>
      <c r="F3400" s="15" t="n"/>
    </row>
    <row r="3401">
      <c r="E3401" s="16" t="n"/>
      <c r="F3401" s="15" t="n"/>
    </row>
    <row r="3402">
      <c r="E3402" s="16" t="n"/>
      <c r="F3402" s="15" t="n"/>
    </row>
    <row r="3403">
      <c r="E3403" s="16" t="n"/>
      <c r="F3403" s="15" t="n"/>
    </row>
    <row r="3404">
      <c r="E3404" s="16" t="n"/>
      <c r="F3404" s="15" t="n"/>
    </row>
    <row r="3405">
      <c r="E3405" s="16" t="n"/>
      <c r="F3405" s="15" t="n"/>
    </row>
    <row r="3406">
      <c r="E3406" s="16" t="n"/>
      <c r="F3406" s="15" t="n"/>
    </row>
    <row r="3407">
      <c r="E3407" s="16" t="n"/>
      <c r="F3407" s="15" t="n"/>
    </row>
    <row r="3408">
      <c r="E3408" s="16" t="n"/>
      <c r="F3408" s="15" t="n"/>
    </row>
    <row r="3409">
      <c r="E3409" s="16" t="n"/>
      <c r="F3409" s="15" t="n"/>
    </row>
    <row r="3410">
      <c r="E3410" s="16" t="n"/>
      <c r="F3410" s="15" t="n"/>
    </row>
    <row r="3411">
      <c r="E3411" s="16" t="n"/>
      <c r="F3411" s="15" t="n"/>
    </row>
    <row r="3412">
      <c r="E3412" s="16" t="n"/>
      <c r="F3412" s="15" t="n"/>
    </row>
    <row r="3413">
      <c r="E3413" s="16" t="n"/>
      <c r="F3413" s="15" t="n"/>
    </row>
    <row r="3414">
      <c r="E3414" s="16" t="n"/>
      <c r="F3414" s="15" t="n"/>
    </row>
    <row r="3415">
      <c r="E3415" s="16" t="n"/>
      <c r="F3415" s="15" t="n"/>
    </row>
    <row r="3416">
      <c r="E3416" s="16" t="n"/>
      <c r="F3416" s="15" t="n"/>
    </row>
    <row r="3417">
      <c r="E3417" s="16" t="n"/>
      <c r="F3417" s="15" t="n"/>
    </row>
    <row r="3418">
      <c r="E3418" s="16" t="n"/>
      <c r="F3418" s="15" t="n"/>
    </row>
    <row r="3419">
      <c r="E3419" s="16" t="n"/>
      <c r="F3419" s="15" t="n"/>
    </row>
    <row r="3420">
      <c r="E3420" s="16" t="n"/>
      <c r="F3420" s="15" t="n"/>
    </row>
    <row r="3421">
      <c r="E3421" s="16" t="n"/>
      <c r="F3421" s="15" t="n"/>
    </row>
    <row r="3422">
      <c r="E3422" s="16" t="n"/>
      <c r="F3422" s="15" t="n"/>
    </row>
    <row r="3423">
      <c r="E3423" s="16" t="n"/>
      <c r="F3423" s="15" t="n"/>
    </row>
    <row r="3424">
      <c r="E3424" s="16" t="n"/>
      <c r="F3424" s="15" t="n"/>
    </row>
    <row r="3425">
      <c r="E3425" s="16" t="n"/>
      <c r="F3425" s="15" t="n"/>
    </row>
    <row r="3426">
      <c r="E3426" s="16" t="n"/>
      <c r="F3426" s="15" t="n"/>
    </row>
    <row r="3427">
      <c r="E3427" s="16" t="n"/>
      <c r="F3427" s="15" t="n"/>
    </row>
    <row r="3428">
      <c r="E3428" s="16" t="n"/>
      <c r="F3428" s="15" t="n"/>
    </row>
    <row r="3429">
      <c r="E3429" s="16" t="n"/>
      <c r="F3429" s="15" t="n"/>
    </row>
    <row r="3430">
      <c r="E3430" s="16" t="n"/>
      <c r="F3430" s="15" t="n"/>
    </row>
    <row r="3431">
      <c r="E3431" s="16" t="n"/>
      <c r="F3431" s="15" t="n"/>
    </row>
    <row r="3432">
      <c r="E3432" s="16" t="n"/>
      <c r="F3432" s="15" t="n"/>
    </row>
    <row r="3433">
      <c r="E3433" s="16" t="n"/>
      <c r="F3433" s="15" t="n"/>
    </row>
    <row r="3434">
      <c r="E3434" s="16" t="n"/>
      <c r="F3434" s="15" t="n"/>
    </row>
    <row r="3435">
      <c r="E3435" s="16" t="n"/>
      <c r="F3435" s="15" t="n"/>
    </row>
    <row r="3436">
      <c r="E3436" s="16" t="n"/>
      <c r="F3436" s="15" t="n"/>
    </row>
    <row r="3437">
      <c r="E3437" s="16" t="n"/>
      <c r="F3437" s="15" t="n"/>
    </row>
    <row r="3438">
      <c r="E3438" s="16" t="n"/>
      <c r="F3438" s="15" t="n"/>
    </row>
    <row r="3439">
      <c r="E3439" s="16" t="n"/>
      <c r="F3439" s="15" t="n"/>
    </row>
    <row r="3440">
      <c r="E3440" s="16" t="n"/>
      <c r="F3440" s="15" t="n"/>
    </row>
    <row r="3441">
      <c r="E3441" s="16" t="n"/>
      <c r="F3441" s="15" t="n"/>
    </row>
    <row r="3442">
      <c r="E3442" s="16" t="n"/>
      <c r="F3442" s="15" t="n"/>
    </row>
    <row r="3443">
      <c r="E3443" s="16" t="n"/>
      <c r="F3443" s="15" t="n"/>
    </row>
    <row r="3444">
      <c r="E3444" s="16" t="n"/>
      <c r="F3444" s="15" t="n"/>
    </row>
    <row r="3445">
      <c r="E3445" s="16" t="n"/>
      <c r="F3445" s="15" t="n"/>
    </row>
    <row r="3446">
      <c r="E3446" s="16" t="n"/>
      <c r="F3446" s="15" t="n"/>
    </row>
    <row r="3447">
      <c r="E3447" s="16" t="n"/>
      <c r="F3447" s="15" t="n"/>
    </row>
    <row r="3448">
      <c r="E3448" s="16" t="n"/>
      <c r="F3448" s="15" t="n"/>
    </row>
    <row r="3449">
      <c r="E3449" s="16" t="n"/>
      <c r="F3449" s="15" t="n"/>
    </row>
    <row r="3450">
      <c r="E3450" s="16" t="n"/>
      <c r="F3450" s="15" t="n"/>
    </row>
    <row r="3451">
      <c r="E3451" s="16" t="n"/>
      <c r="F3451" s="15" t="n"/>
    </row>
    <row r="3452">
      <c r="E3452" s="16" t="n"/>
      <c r="F3452" s="15" t="n"/>
    </row>
    <row r="3453">
      <c r="E3453" s="16" t="n"/>
      <c r="F3453" s="15" t="n"/>
    </row>
    <row r="3454">
      <c r="E3454" s="16" t="n"/>
      <c r="F3454" s="15" t="n"/>
    </row>
    <row r="3455">
      <c r="E3455" s="16" t="n"/>
      <c r="F3455" s="15" t="n"/>
    </row>
    <row r="3456">
      <c r="E3456" s="16" t="n"/>
      <c r="F3456" s="15" t="n"/>
    </row>
    <row r="3457">
      <c r="E3457" s="16" t="n"/>
      <c r="F3457" s="15" t="n"/>
    </row>
    <row r="3458">
      <c r="E3458" s="16" t="n"/>
      <c r="F3458" s="15" t="n"/>
    </row>
    <row r="3459">
      <c r="E3459" s="16" t="n"/>
      <c r="F3459" s="15" t="n"/>
    </row>
    <row r="3460">
      <c r="E3460" s="16" t="n"/>
      <c r="F3460" s="15" t="n"/>
    </row>
    <row r="3461">
      <c r="E3461" s="16" t="n"/>
      <c r="F3461" s="15" t="n"/>
    </row>
    <row r="3462">
      <c r="E3462" s="16" t="n"/>
      <c r="F3462" s="15" t="n"/>
    </row>
    <row r="3463">
      <c r="E3463" s="16" t="n"/>
      <c r="F3463" s="15" t="n"/>
    </row>
    <row r="3464">
      <c r="E3464" s="16" t="n"/>
      <c r="F3464" s="15" t="n"/>
    </row>
    <row r="3465">
      <c r="E3465" s="16" t="n"/>
      <c r="F3465" s="15" t="n"/>
    </row>
    <row r="3466">
      <c r="E3466" s="16" t="n"/>
      <c r="F3466" s="15" t="n"/>
    </row>
    <row r="3467">
      <c r="E3467" s="16" t="n"/>
      <c r="F3467" s="15" t="n"/>
    </row>
    <row r="3468">
      <c r="E3468" s="16" t="n"/>
      <c r="F3468" s="15" t="n"/>
    </row>
    <row r="3469">
      <c r="E3469" s="16" t="n"/>
      <c r="F3469" s="15" t="n"/>
    </row>
    <row r="3470">
      <c r="E3470" s="16" t="n"/>
      <c r="F3470" s="15" t="n"/>
    </row>
    <row r="3471">
      <c r="E3471" s="16" t="n"/>
      <c r="F3471" s="15" t="n"/>
    </row>
    <row r="3472">
      <c r="E3472" s="16" t="n"/>
      <c r="F3472" s="15" t="n"/>
    </row>
    <row r="3473">
      <c r="E3473" s="16" t="n"/>
      <c r="F3473" s="15" t="n"/>
    </row>
    <row r="3474">
      <c r="E3474" s="16" t="n"/>
      <c r="F3474" s="15" t="n"/>
    </row>
    <row r="3475">
      <c r="E3475" s="16" t="n"/>
      <c r="F3475" s="15" t="n"/>
    </row>
    <row r="3476">
      <c r="E3476" s="16" t="n"/>
      <c r="F3476" s="15" t="n"/>
    </row>
    <row r="3477">
      <c r="E3477" s="16" t="n"/>
      <c r="F3477" s="15" t="n"/>
    </row>
    <row r="3478">
      <c r="E3478" s="16" t="n"/>
      <c r="F3478" s="15" t="n"/>
    </row>
    <row r="3479">
      <c r="E3479" s="16" t="n"/>
      <c r="F3479" s="15" t="n"/>
    </row>
    <row r="3480">
      <c r="E3480" s="16" t="n"/>
      <c r="F3480" s="15" t="n"/>
    </row>
    <row r="3481">
      <c r="E3481" s="16" t="n"/>
      <c r="F3481" s="15" t="n"/>
    </row>
    <row r="3482">
      <c r="E3482" s="16" t="n"/>
      <c r="F3482" s="15" t="n"/>
    </row>
    <row r="3483">
      <c r="E3483" s="16" t="n"/>
      <c r="F3483" s="15" t="n"/>
    </row>
    <row r="3484">
      <c r="E3484" s="16" t="n"/>
      <c r="F3484" s="15" t="n"/>
    </row>
    <row r="3485">
      <c r="E3485" s="16" t="n"/>
      <c r="F3485" s="15" t="n"/>
    </row>
    <row r="3486">
      <c r="E3486" s="16" t="n"/>
      <c r="F3486" s="15" t="n"/>
    </row>
    <row r="3487">
      <c r="E3487" s="16" t="n"/>
      <c r="F3487" s="15" t="n"/>
    </row>
    <row r="3488">
      <c r="E3488" s="16" t="n"/>
      <c r="F3488" s="15" t="n"/>
    </row>
    <row r="3489">
      <c r="E3489" s="16" t="n"/>
      <c r="F3489" s="15" t="n"/>
    </row>
    <row r="3490">
      <c r="E3490" s="16" t="n"/>
      <c r="F3490" s="15" t="n"/>
    </row>
    <row r="3491">
      <c r="E3491" s="16" t="n"/>
      <c r="F3491" s="15" t="n"/>
    </row>
    <row r="3492">
      <c r="E3492" s="16" t="n"/>
      <c r="F3492" s="15" t="n"/>
    </row>
    <row r="3493">
      <c r="E3493" s="16" t="n"/>
      <c r="F3493" s="15" t="n"/>
    </row>
    <row r="3494">
      <c r="E3494" s="16" t="n"/>
      <c r="F3494" s="15" t="n"/>
    </row>
    <row r="3495">
      <c r="E3495" s="16" t="n"/>
      <c r="F3495" s="15" t="n"/>
    </row>
    <row r="3496">
      <c r="E3496" s="16" t="n"/>
      <c r="F3496" s="15" t="n"/>
    </row>
    <row r="3497">
      <c r="E3497" s="16" t="n"/>
      <c r="F3497" s="15" t="n"/>
    </row>
    <row r="3498">
      <c r="E3498" s="16" t="n"/>
      <c r="F3498" s="15" t="n"/>
    </row>
    <row r="3499">
      <c r="E3499" s="16" t="n"/>
      <c r="F3499" s="15" t="n"/>
    </row>
    <row r="3500">
      <c r="E3500" s="16" t="n"/>
      <c r="F3500" s="15" t="n"/>
    </row>
    <row r="3501">
      <c r="E3501" s="16" t="n"/>
      <c r="F3501" s="15" t="n"/>
    </row>
    <row r="3502">
      <c r="E3502" s="16" t="n"/>
      <c r="F3502" s="15" t="n"/>
    </row>
    <row r="3503">
      <c r="E3503" s="16" t="n"/>
      <c r="F3503" s="15" t="n"/>
    </row>
    <row r="3504">
      <c r="E3504" s="16" t="n"/>
      <c r="F3504" s="15" t="n"/>
    </row>
    <row r="3505">
      <c r="E3505" s="16" t="n"/>
      <c r="F3505" s="15" t="n"/>
    </row>
    <row r="3506">
      <c r="E3506" s="16" t="n"/>
      <c r="F3506" s="15" t="n"/>
    </row>
    <row r="3507">
      <c r="E3507" s="16" t="n"/>
      <c r="F3507" s="15" t="n"/>
    </row>
    <row r="3508">
      <c r="E3508" s="16" t="n"/>
      <c r="F3508" s="15" t="n"/>
    </row>
    <row r="3509">
      <c r="E3509" s="16" t="n"/>
      <c r="F3509" s="15" t="n"/>
    </row>
    <row r="3510">
      <c r="E3510" s="16" t="n"/>
      <c r="F3510" s="15" t="n"/>
    </row>
    <row r="3511">
      <c r="E3511" s="16" t="n"/>
      <c r="F3511" s="15" t="n"/>
    </row>
    <row r="3512">
      <c r="E3512" s="16" t="n"/>
      <c r="F3512" s="15" t="n"/>
    </row>
    <row r="3513">
      <c r="E3513" s="16" t="n"/>
      <c r="F3513" s="15" t="n"/>
    </row>
    <row r="3514">
      <c r="E3514" s="16" t="n"/>
      <c r="F3514" s="15" t="n"/>
    </row>
    <row r="3515">
      <c r="E3515" s="16" t="n"/>
      <c r="F3515" s="15" t="n"/>
    </row>
    <row r="3516">
      <c r="E3516" s="16" t="n"/>
      <c r="F3516" s="15" t="n"/>
    </row>
    <row r="3517">
      <c r="E3517" s="16" t="n"/>
      <c r="F3517" s="15" t="n"/>
    </row>
    <row r="3518">
      <c r="E3518" s="16" t="n"/>
      <c r="F3518" s="15" t="n"/>
    </row>
    <row r="3519">
      <c r="E3519" s="16" t="n"/>
      <c r="F3519" s="15" t="n"/>
    </row>
    <row r="3520">
      <c r="E3520" s="16" t="n"/>
      <c r="F3520" s="15" t="n"/>
    </row>
    <row r="3521">
      <c r="E3521" s="16" t="n"/>
      <c r="F3521" s="15" t="n"/>
    </row>
    <row r="3522">
      <c r="E3522" s="16" t="n"/>
      <c r="F3522" s="15" t="n"/>
    </row>
    <row r="3523">
      <c r="E3523" s="16" t="n"/>
      <c r="F3523" s="15" t="n"/>
    </row>
    <row r="3524">
      <c r="E3524" s="16" t="n"/>
      <c r="F3524" s="15" t="n"/>
    </row>
    <row r="3525">
      <c r="E3525" s="16" t="n"/>
      <c r="F3525" s="15" t="n"/>
    </row>
    <row r="3526">
      <c r="E3526" s="16" t="n"/>
      <c r="F3526" s="15" t="n"/>
    </row>
    <row r="3527">
      <c r="E3527" s="16" t="n"/>
      <c r="F3527" s="15" t="n"/>
    </row>
    <row r="3528">
      <c r="E3528" s="16" t="n"/>
      <c r="F3528" s="15" t="n"/>
    </row>
    <row r="3529">
      <c r="E3529" s="16" t="n"/>
      <c r="F3529" s="15" t="n"/>
    </row>
    <row r="3530">
      <c r="E3530" s="16" t="n"/>
      <c r="F3530" s="15" t="n"/>
    </row>
    <row r="3531">
      <c r="E3531" s="16" t="n"/>
      <c r="F3531" s="15" t="n"/>
    </row>
    <row r="3532">
      <c r="E3532" s="16" t="n"/>
      <c r="F3532" s="15" t="n"/>
    </row>
    <row r="3533">
      <c r="E3533" s="16" t="n"/>
      <c r="F3533" s="15" t="n"/>
    </row>
    <row r="3534">
      <c r="E3534" s="16" t="n"/>
      <c r="F3534" s="15" t="n"/>
    </row>
    <row r="3535">
      <c r="E3535" s="16" t="n"/>
      <c r="F3535" s="15" t="n"/>
    </row>
    <row r="3536">
      <c r="E3536" s="16" t="n"/>
      <c r="F3536" s="15" t="n"/>
    </row>
    <row r="3537">
      <c r="E3537" s="16" t="n"/>
      <c r="F3537" s="15" t="n"/>
    </row>
    <row r="3538">
      <c r="E3538" s="16" t="n"/>
      <c r="F3538" s="15" t="n"/>
    </row>
    <row r="3539">
      <c r="E3539" s="16" t="n"/>
      <c r="F3539" s="15" t="n"/>
    </row>
    <row r="3540">
      <c r="E3540" s="16" t="n"/>
      <c r="F3540" s="15" t="n"/>
    </row>
    <row r="3541">
      <c r="E3541" s="16" t="n"/>
      <c r="F3541" s="15" t="n"/>
    </row>
    <row r="3542">
      <c r="E3542" s="16" t="n"/>
      <c r="F3542" s="15" t="n"/>
    </row>
    <row r="3543">
      <c r="E3543" s="16" t="n"/>
      <c r="F3543" s="15" t="n"/>
    </row>
    <row r="3544">
      <c r="E3544" s="16" t="n"/>
      <c r="F3544" s="15" t="n"/>
    </row>
    <row r="3545">
      <c r="E3545" s="16" t="n"/>
      <c r="F3545" s="15" t="n"/>
    </row>
    <row r="3546">
      <c r="E3546" s="16" t="n"/>
      <c r="F3546" s="15" t="n"/>
    </row>
    <row r="3547">
      <c r="E3547" s="16" t="n"/>
      <c r="F3547" s="15" t="n"/>
    </row>
    <row r="3548">
      <c r="E3548" s="16" t="n"/>
      <c r="F3548" s="15" t="n"/>
    </row>
    <row r="3549">
      <c r="E3549" s="16" t="n"/>
      <c r="F3549" s="15" t="n"/>
    </row>
    <row r="3550">
      <c r="E3550" s="16" t="n"/>
      <c r="F3550" s="15" t="n"/>
    </row>
    <row r="3551">
      <c r="E3551" s="16" t="n"/>
      <c r="F3551" s="15" t="n"/>
    </row>
    <row r="3552">
      <c r="E3552" s="16" t="n"/>
      <c r="F3552" s="15" t="n"/>
    </row>
    <row r="3553">
      <c r="E3553" s="16" t="n"/>
      <c r="F3553" s="15" t="n"/>
    </row>
    <row r="3554">
      <c r="E3554" s="16" t="n"/>
      <c r="F3554" s="15" t="n"/>
    </row>
    <row r="3555">
      <c r="E3555" s="16" t="n"/>
      <c r="F3555" s="15" t="n"/>
    </row>
    <row r="3556">
      <c r="E3556" s="16" t="n"/>
      <c r="F3556" s="15" t="n"/>
    </row>
    <row r="3557">
      <c r="E3557" s="16" t="n"/>
      <c r="F3557" s="15" t="n"/>
    </row>
    <row r="3558">
      <c r="E3558" s="16" t="n"/>
      <c r="F3558" s="15" t="n"/>
    </row>
    <row r="3559">
      <c r="E3559" s="16" t="n"/>
      <c r="F3559" s="15" t="n"/>
    </row>
    <row r="3560">
      <c r="E3560" s="16" t="n"/>
      <c r="F3560" s="15" t="n"/>
    </row>
    <row r="3561">
      <c r="E3561" s="16" t="n"/>
      <c r="F3561" s="15" t="n"/>
    </row>
    <row r="3562">
      <c r="E3562" s="16" t="n"/>
      <c r="F3562" s="15" t="n"/>
    </row>
    <row r="3563">
      <c r="E3563" s="16" t="n"/>
      <c r="F3563" s="15" t="n"/>
    </row>
    <row r="3564">
      <c r="E3564" s="16" t="n"/>
      <c r="F3564" s="15" t="n"/>
    </row>
    <row r="3565">
      <c r="E3565" s="16" t="n"/>
      <c r="F3565" s="15" t="n"/>
    </row>
    <row r="3566">
      <c r="E3566" s="16" t="n"/>
      <c r="F3566" s="15" t="n"/>
    </row>
    <row r="3567">
      <c r="E3567" s="16" t="n"/>
      <c r="F3567" s="15" t="n"/>
    </row>
    <row r="3568">
      <c r="E3568" s="16" t="n"/>
      <c r="F3568" s="15" t="n"/>
    </row>
    <row r="3569">
      <c r="E3569" s="16" t="n"/>
      <c r="F3569" s="15" t="n"/>
    </row>
    <row r="3570">
      <c r="E3570" s="16" t="n"/>
      <c r="F3570" s="15" t="n"/>
    </row>
    <row r="3571">
      <c r="E3571" s="16" t="n"/>
      <c r="F3571" s="15" t="n"/>
    </row>
    <row r="3572">
      <c r="E3572" s="16" t="n"/>
      <c r="F3572" s="15" t="n"/>
    </row>
    <row r="3573">
      <c r="E3573" s="16" t="n"/>
      <c r="F3573" s="15" t="n"/>
    </row>
    <row r="3574">
      <c r="E3574" s="16" t="n"/>
      <c r="F3574" s="15" t="n"/>
    </row>
    <row r="3575">
      <c r="E3575" s="16" t="n"/>
      <c r="F3575" s="15" t="n"/>
    </row>
    <row r="3576">
      <c r="E3576" s="16" t="n"/>
      <c r="F3576" s="15" t="n"/>
    </row>
    <row r="3577">
      <c r="E3577" s="16" t="n"/>
      <c r="F3577" s="15" t="n"/>
    </row>
    <row r="3578">
      <c r="E3578" s="16" t="n"/>
      <c r="F3578" s="15" t="n"/>
    </row>
    <row r="3579">
      <c r="E3579" s="16" t="n"/>
      <c r="F3579" s="15" t="n"/>
    </row>
    <row r="3580">
      <c r="E3580" s="16" t="n"/>
      <c r="F3580" s="15" t="n"/>
    </row>
    <row r="3581">
      <c r="E3581" s="16" t="n"/>
      <c r="F3581" s="15" t="n"/>
    </row>
    <row r="3582">
      <c r="E3582" s="16" t="n"/>
      <c r="F3582" s="15" t="n"/>
    </row>
    <row r="3583">
      <c r="E3583" s="16" t="n"/>
      <c r="F3583" s="15" t="n"/>
    </row>
    <row r="3584">
      <c r="E3584" s="16" t="n"/>
      <c r="F3584" s="15" t="n"/>
    </row>
    <row r="3585">
      <c r="E3585" s="16" t="n"/>
      <c r="F3585" s="15" t="n"/>
    </row>
    <row r="3586">
      <c r="E3586" s="16" t="n"/>
      <c r="F3586" s="15" t="n"/>
    </row>
    <row r="3587">
      <c r="E3587" s="16" t="n"/>
      <c r="F3587" s="15" t="n"/>
    </row>
    <row r="3588">
      <c r="E3588" s="16" t="n"/>
      <c r="F3588" s="15" t="n"/>
    </row>
    <row r="3589">
      <c r="E3589" s="16" t="n"/>
      <c r="F3589" s="15" t="n"/>
    </row>
    <row r="3590">
      <c r="E3590" s="16" t="n"/>
      <c r="F3590" s="15" t="n"/>
    </row>
    <row r="3591">
      <c r="E3591" s="16" t="n"/>
      <c r="F3591" s="15" t="n"/>
    </row>
    <row r="3592">
      <c r="E3592" s="16" t="n"/>
      <c r="F3592" s="15" t="n"/>
    </row>
    <row r="3593">
      <c r="E3593" s="16" t="n"/>
      <c r="F3593" s="15" t="n"/>
    </row>
    <row r="3594">
      <c r="E3594" s="16" t="n"/>
      <c r="F3594" s="15" t="n"/>
    </row>
    <row r="3595">
      <c r="E3595" s="16" t="n"/>
      <c r="F3595" s="15" t="n"/>
    </row>
    <row r="3596">
      <c r="E3596" s="16" t="n"/>
      <c r="F3596" s="15" t="n"/>
    </row>
    <row r="3597">
      <c r="E3597" s="16" t="n"/>
      <c r="F3597" s="15" t="n"/>
    </row>
    <row r="3598">
      <c r="E3598" s="16" t="n"/>
      <c r="F3598" s="15" t="n"/>
    </row>
    <row r="3599">
      <c r="E3599" s="16" t="n"/>
      <c r="F3599" s="15" t="n"/>
    </row>
    <row r="3600">
      <c r="E3600" s="16" t="n"/>
      <c r="F3600" s="15" t="n"/>
    </row>
    <row r="3601">
      <c r="E3601" s="16" t="n"/>
      <c r="F3601" s="15" t="n"/>
    </row>
    <row r="3602">
      <c r="E3602" s="16" t="n"/>
      <c r="F3602" s="15" t="n"/>
    </row>
    <row r="3603">
      <c r="E3603" s="16" t="n"/>
      <c r="F3603" s="15" t="n"/>
    </row>
    <row r="3604">
      <c r="E3604" s="16" t="n"/>
      <c r="F3604" s="15" t="n"/>
    </row>
    <row r="3605">
      <c r="E3605" s="16" t="n"/>
      <c r="F3605" s="15" t="n"/>
    </row>
    <row r="3606">
      <c r="E3606" s="16" t="n"/>
      <c r="F3606" s="15" t="n"/>
    </row>
    <row r="3607">
      <c r="E3607" s="16" t="n"/>
      <c r="F3607" s="15" t="n"/>
    </row>
    <row r="3608">
      <c r="E3608" s="16" t="n"/>
      <c r="F3608" s="15" t="n"/>
    </row>
    <row r="3609">
      <c r="E3609" s="16" t="n"/>
      <c r="F3609" s="15" t="n"/>
    </row>
    <row r="3610">
      <c r="E3610" s="16" t="n"/>
      <c r="F3610" s="15" t="n"/>
    </row>
    <row r="3611">
      <c r="E3611" s="16" t="n"/>
      <c r="F3611" s="15" t="n"/>
    </row>
    <row r="3612">
      <c r="E3612" s="16" t="n"/>
      <c r="F3612" s="15" t="n"/>
    </row>
    <row r="3613">
      <c r="E3613" s="16" t="n"/>
      <c r="F3613" s="15" t="n"/>
    </row>
    <row r="3614">
      <c r="E3614" s="16" t="n"/>
      <c r="F3614" s="15" t="n"/>
    </row>
    <row r="3615">
      <c r="E3615" s="16" t="n"/>
      <c r="F3615" s="15" t="n"/>
    </row>
    <row r="3616">
      <c r="E3616" s="16" t="n"/>
      <c r="F3616" s="15" t="n"/>
    </row>
    <row r="3617">
      <c r="E3617" s="16" t="n"/>
      <c r="F3617" s="15" t="n"/>
    </row>
    <row r="3618">
      <c r="E3618" s="16" t="n"/>
      <c r="F3618" s="15" t="n"/>
    </row>
    <row r="3619">
      <c r="E3619" s="16" t="n"/>
      <c r="F3619" s="15" t="n"/>
    </row>
    <row r="3620">
      <c r="E3620" s="16" t="n"/>
      <c r="F3620" s="15" t="n"/>
    </row>
    <row r="3621">
      <c r="E3621" s="16" t="n"/>
      <c r="F3621" s="15" t="n"/>
    </row>
    <row r="3622">
      <c r="E3622" s="16" t="n"/>
      <c r="F3622" s="15" t="n"/>
    </row>
    <row r="3623">
      <c r="E3623" s="16" t="n"/>
      <c r="F3623" s="15" t="n"/>
    </row>
    <row r="3624">
      <c r="E3624" s="16" t="n"/>
      <c r="F3624" s="15" t="n"/>
    </row>
    <row r="3625">
      <c r="E3625" s="16" t="n"/>
      <c r="F3625" s="15" t="n"/>
    </row>
    <row r="3626">
      <c r="E3626" s="16" t="n"/>
      <c r="F3626" s="15" t="n"/>
    </row>
    <row r="3627">
      <c r="E3627" s="16" t="n"/>
      <c r="F3627" s="15" t="n"/>
    </row>
    <row r="3628">
      <c r="E3628" s="16" t="n"/>
      <c r="F3628" s="15" t="n"/>
    </row>
    <row r="3629">
      <c r="E3629" s="16" t="n"/>
      <c r="F3629" s="15" t="n"/>
    </row>
    <row r="3630">
      <c r="E3630" s="16" t="n"/>
      <c r="F3630" s="15" t="n"/>
    </row>
    <row r="3631">
      <c r="E3631" s="16" t="n"/>
      <c r="F3631" s="15" t="n"/>
    </row>
    <row r="3632">
      <c r="E3632" s="16" t="n"/>
      <c r="F3632" s="15" t="n"/>
    </row>
    <row r="3633">
      <c r="E3633" s="16" t="n"/>
      <c r="F3633" s="15" t="n"/>
    </row>
    <row r="3634">
      <c r="E3634" s="16" t="n"/>
      <c r="F3634" s="15" t="n"/>
    </row>
    <row r="3635">
      <c r="E3635" s="16" t="n"/>
      <c r="F3635" s="15" t="n"/>
    </row>
    <row r="3636">
      <c r="E3636" s="16" t="n"/>
      <c r="F3636" s="15" t="n"/>
    </row>
    <row r="3637">
      <c r="E3637" s="16" t="n"/>
      <c r="F3637" s="15" t="n"/>
    </row>
    <row r="3638">
      <c r="E3638" s="16" t="n"/>
      <c r="F3638" s="15" t="n"/>
    </row>
    <row r="3639">
      <c r="E3639" s="16" t="n"/>
      <c r="F3639" s="15" t="n"/>
    </row>
    <row r="3640">
      <c r="E3640" s="16" t="n"/>
      <c r="F3640" s="15" t="n"/>
    </row>
    <row r="3641">
      <c r="E3641" s="16" t="n"/>
      <c r="F3641" s="15" t="n"/>
    </row>
    <row r="3642">
      <c r="E3642" s="16" t="n"/>
      <c r="F3642" s="15" t="n"/>
    </row>
    <row r="3643">
      <c r="E3643" s="16" t="n"/>
      <c r="F3643" s="15" t="n"/>
    </row>
    <row r="3644">
      <c r="E3644" s="16" t="n"/>
      <c r="F3644" s="15" t="n"/>
    </row>
    <row r="3645">
      <c r="E3645" s="16" t="n"/>
      <c r="F3645" s="15" t="n"/>
    </row>
    <row r="3646">
      <c r="E3646" s="16" t="n"/>
      <c r="F3646" s="15" t="n"/>
    </row>
    <row r="3647">
      <c r="E3647" s="16" t="n"/>
      <c r="F3647" s="15" t="n"/>
    </row>
    <row r="3648">
      <c r="E3648" s="16" t="n"/>
      <c r="F3648" s="15" t="n"/>
    </row>
    <row r="3649">
      <c r="E3649" s="16" t="n"/>
      <c r="F3649" s="15" t="n"/>
    </row>
    <row r="3650">
      <c r="E3650" s="16" t="n"/>
      <c r="F3650" s="15" t="n"/>
    </row>
    <row r="3651">
      <c r="E3651" s="16" t="n"/>
      <c r="F3651" s="15" t="n"/>
    </row>
    <row r="3652">
      <c r="E3652" s="16" t="n"/>
      <c r="F3652" s="15" t="n"/>
    </row>
    <row r="3653">
      <c r="E3653" s="16" t="n"/>
      <c r="F3653" s="15" t="n"/>
    </row>
    <row r="3654">
      <c r="E3654" s="16" t="n"/>
      <c r="F3654" s="15" t="n"/>
    </row>
    <row r="3655">
      <c r="E3655" s="16" t="n"/>
      <c r="F3655" s="15" t="n"/>
    </row>
    <row r="3656">
      <c r="E3656" s="16" t="n"/>
      <c r="F3656" s="15" t="n"/>
    </row>
    <row r="3657">
      <c r="E3657" s="16" t="n"/>
      <c r="F3657" s="15" t="n"/>
    </row>
    <row r="3658">
      <c r="E3658" s="16" t="n"/>
      <c r="F3658" s="15" t="n"/>
    </row>
    <row r="3659">
      <c r="E3659" s="16" t="n"/>
      <c r="F3659" s="15" t="n"/>
    </row>
    <row r="3660">
      <c r="E3660" s="16" t="n"/>
      <c r="F3660" s="15" t="n"/>
    </row>
    <row r="3661">
      <c r="E3661" s="16" t="n"/>
      <c r="F3661" s="15" t="n"/>
    </row>
    <row r="3662">
      <c r="E3662" s="16" t="n"/>
      <c r="F3662" s="15" t="n"/>
    </row>
    <row r="3663">
      <c r="E3663" s="16" t="n"/>
      <c r="F3663" s="15" t="n"/>
    </row>
    <row r="3664">
      <c r="E3664" s="16" t="n"/>
      <c r="F3664" s="15" t="n"/>
    </row>
    <row r="3665">
      <c r="E3665" s="16" t="n"/>
      <c r="F3665" s="15" t="n"/>
    </row>
    <row r="3666">
      <c r="E3666" s="16" t="n"/>
      <c r="F3666" s="15" t="n"/>
    </row>
    <row r="3667">
      <c r="E3667" s="16" t="n"/>
      <c r="F3667" s="15" t="n"/>
    </row>
    <row r="3668">
      <c r="E3668" s="16" t="n"/>
      <c r="F3668" s="15" t="n"/>
    </row>
    <row r="3669">
      <c r="E3669" s="16" t="n"/>
      <c r="F3669" s="15" t="n"/>
    </row>
    <row r="3670">
      <c r="E3670" s="16" t="n"/>
      <c r="F3670" s="15" t="n"/>
    </row>
    <row r="3671">
      <c r="E3671" s="16" t="n"/>
      <c r="F3671" s="15" t="n"/>
    </row>
    <row r="3672">
      <c r="E3672" s="16" t="n"/>
      <c r="F3672" s="15" t="n"/>
    </row>
    <row r="3673">
      <c r="E3673" s="16" t="n"/>
      <c r="F3673" s="15" t="n"/>
    </row>
    <row r="3674">
      <c r="E3674" s="16" t="n"/>
      <c r="F3674" s="15" t="n"/>
    </row>
    <row r="3675">
      <c r="E3675" s="16" t="n"/>
      <c r="F3675" s="15" t="n"/>
    </row>
    <row r="3676">
      <c r="E3676" s="16" t="n"/>
      <c r="F3676" s="15" t="n"/>
    </row>
    <row r="3677">
      <c r="E3677" s="16" t="n"/>
      <c r="F3677" s="15" t="n"/>
    </row>
    <row r="3678">
      <c r="E3678" s="16" t="n"/>
      <c r="F3678" s="15" t="n"/>
    </row>
    <row r="3679">
      <c r="E3679" s="16" t="n"/>
      <c r="F3679" s="15" t="n"/>
    </row>
    <row r="3680">
      <c r="E3680" s="16" t="n"/>
      <c r="F3680" s="15" t="n"/>
    </row>
    <row r="3681">
      <c r="E3681" s="16" t="n"/>
      <c r="F3681" s="15" t="n"/>
    </row>
    <row r="3682">
      <c r="E3682" s="16" t="n"/>
      <c r="F3682" s="15" t="n"/>
    </row>
    <row r="3683">
      <c r="E3683" s="16" t="n"/>
      <c r="F3683" s="15" t="n"/>
    </row>
    <row r="3684">
      <c r="E3684" s="16" t="n"/>
      <c r="F3684" s="15" t="n"/>
    </row>
    <row r="3685">
      <c r="E3685" s="16" t="n"/>
      <c r="F3685" s="15" t="n"/>
    </row>
    <row r="3686">
      <c r="E3686" s="16" t="n"/>
      <c r="F3686" s="15" t="n"/>
    </row>
    <row r="3687">
      <c r="E3687" s="16" t="n"/>
      <c r="F3687" s="15" t="n"/>
    </row>
    <row r="3688">
      <c r="E3688" s="16" t="n"/>
      <c r="F3688" s="15" t="n"/>
    </row>
    <row r="3689">
      <c r="E3689" s="16" t="n"/>
      <c r="F3689" s="15" t="n"/>
    </row>
    <row r="3690">
      <c r="E3690" s="16" t="n"/>
      <c r="F3690" s="15" t="n"/>
    </row>
    <row r="3691">
      <c r="E3691" s="16" t="n"/>
      <c r="F3691" s="15" t="n"/>
    </row>
    <row r="3692">
      <c r="E3692" s="16" t="n"/>
      <c r="F3692" s="15" t="n"/>
    </row>
    <row r="3693">
      <c r="E3693" s="16" t="n"/>
      <c r="F3693" s="15" t="n"/>
    </row>
    <row r="3694">
      <c r="E3694" s="16" t="n"/>
      <c r="F3694" s="15" t="n"/>
    </row>
    <row r="3695">
      <c r="E3695" s="16" t="n"/>
      <c r="F3695" s="15" t="n"/>
    </row>
    <row r="3696">
      <c r="E3696" s="16" t="n"/>
      <c r="F3696" s="15" t="n"/>
    </row>
    <row r="3697">
      <c r="E3697" s="16" t="n"/>
      <c r="F3697" s="15" t="n"/>
    </row>
    <row r="3698">
      <c r="E3698" s="16" t="n"/>
      <c r="F3698" s="15" t="n"/>
    </row>
    <row r="3699">
      <c r="E3699" s="16" t="n"/>
      <c r="F3699" s="15" t="n"/>
    </row>
    <row r="3700">
      <c r="E3700" s="16" t="n"/>
      <c r="F3700" s="15" t="n"/>
    </row>
    <row r="3701">
      <c r="E3701" s="16" t="n"/>
      <c r="F3701" s="15" t="n"/>
    </row>
    <row r="3702">
      <c r="E3702" s="16" t="n"/>
      <c r="F3702" s="15" t="n"/>
    </row>
    <row r="3703">
      <c r="E3703" s="16" t="n"/>
      <c r="F3703" s="15" t="n"/>
    </row>
    <row r="3704">
      <c r="E3704" s="16" t="n"/>
      <c r="F3704" s="15" t="n"/>
    </row>
    <row r="3705">
      <c r="E3705" s="16" t="n"/>
      <c r="F3705" s="15" t="n"/>
    </row>
    <row r="3706">
      <c r="E3706" s="16" t="n"/>
      <c r="F3706" s="15" t="n"/>
    </row>
    <row r="3707">
      <c r="E3707" s="16" t="n"/>
      <c r="F3707" s="15" t="n"/>
    </row>
    <row r="3708">
      <c r="E3708" s="16" t="n"/>
      <c r="F3708" s="15" t="n"/>
    </row>
    <row r="3709">
      <c r="E3709" s="16" t="n"/>
      <c r="F3709" s="15" t="n"/>
    </row>
    <row r="3710">
      <c r="E3710" s="16" t="n"/>
      <c r="F3710" s="15" t="n"/>
    </row>
    <row r="3711">
      <c r="E3711" s="16" t="n"/>
      <c r="F3711" s="15" t="n"/>
    </row>
    <row r="3712">
      <c r="E3712" s="16" t="n"/>
      <c r="F3712" s="15" t="n"/>
    </row>
    <row r="3713">
      <c r="E3713" s="16" t="n"/>
      <c r="F3713" s="15" t="n"/>
    </row>
    <row r="3714">
      <c r="E3714" s="16" t="n"/>
      <c r="F3714" s="15" t="n"/>
    </row>
    <row r="3715">
      <c r="E3715" s="16" t="n"/>
      <c r="F3715" s="15" t="n"/>
    </row>
    <row r="3716">
      <c r="E3716" s="16" t="n"/>
      <c r="F3716" s="15" t="n"/>
    </row>
    <row r="3717">
      <c r="E3717" s="16" t="n"/>
      <c r="F3717" s="15" t="n"/>
    </row>
    <row r="3718">
      <c r="E3718" s="16" t="n"/>
      <c r="F3718" s="15" t="n"/>
    </row>
    <row r="3719">
      <c r="E3719" s="16" t="n"/>
      <c r="F3719" s="15" t="n"/>
    </row>
    <row r="3720">
      <c r="E3720" s="16" t="n"/>
      <c r="F3720" s="15" t="n"/>
    </row>
    <row r="3721">
      <c r="E3721" s="16" t="n"/>
      <c r="F3721" s="15" t="n"/>
    </row>
    <row r="3722">
      <c r="E3722" s="16" t="n"/>
      <c r="F3722" s="15" t="n"/>
    </row>
    <row r="3723">
      <c r="E3723" s="16" t="n"/>
      <c r="F3723" s="15" t="n"/>
    </row>
    <row r="3724">
      <c r="E3724" s="16" t="n"/>
      <c r="F3724" s="15" t="n"/>
    </row>
    <row r="3725">
      <c r="E3725" s="16" t="n"/>
      <c r="F3725" s="15" t="n"/>
    </row>
    <row r="3726">
      <c r="E3726" s="16" t="n"/>
      <c r="F3726" s="15" t="n"/>
    </row>
    <row r="3727">
      <c r="E3727" s="16" t="n"/>
      <c r="F3727" s="15" t="n"/>
    </row>
    <row r="3728">
      <c r="E3728" s="16" t="n"/>
      <c r="F3728" s="15" t="n"/>
    </row>
    <row r="3729">
      <c r="E3729" s="16" t="n"/>
      <c r="F3729" s="15" t="n"/>
    </row>
    <row r="3730">
      <c r="E3730" s="16" t="n"/>
      <c r="F3730" s="15" t="n"/>
    </row>
    <row r="3731">
      <c r="E3731" s="16" t="n"/>
      <c r="F3731" s="15" t="n"/>
    </row>
    <row r="3732">
      <c r="E3732" s="16" t="n"/>
      <c r="F3732" s="15" t="n"/>
    </row>
    <row r="3733">
      <c r="E3733" s="16" t="n"/>
      <c r="F3733" s="15" t="n"/>
    </row>
    <row r="3734">
      <c r="E3734" s="16" t="n"/>
      <c r="F3734" s="15" t="n"/>
    </row>
    <row r="3735">
      <c r="E3735" s="16" t="n"/>
      <c r="F3735" s="15" t="n"/>
    </row>
    <row r="3736">
      <c r="E3736" s="16" t="n"/>
      <c r="F3736" s="15" t="n"/>
    </row>
    <row r="3737">
      <c r="E3737" s="16" t="n"/>
      <c r="F3737" s="15" t="n"/>
    </row>
    <row r="3738">
      <c r="E3738" s="16" t="n"/>
      <c r="F3738" s="15" t="n"/>
    </row>
    <row r="3739">
      <c r="E3739" s="16" t="n"/>
      <c r="F3739" s="15" t="n"/>
    </row>
    <row r="3740">
      <c r="E3740" s="16" t="n"/>
      <c r="F3740" s="15" t="n"/>
    </row>
    <row r="3741">
      <c r="E3741" s="16" t="n"/>
      <c r="F3741" s="15" t="n"/>
    </row>
    <row r="3742">
      <c r="E3742" s="16" t="n"/>
      <c r="F3742" s="15" t="n"/>
    </row>
    <row r="3743">
      <c r="E3743" s="16" t="n"/>
      <c r="F3743" s="15" t="n"/>
    </row>
    <row r="3744">
      <c r="E3744" s="16" t="n"/>
      <c r="F3744" s="15" t="n"/>
    </row>
    <row r="3745">
      <c r="E3745" s="16" t="n"/>
      <c r="F3745" s="15" t="n"/>
    </row>
    <row r="3746">
      <c r="E3746" s="16" t="n"/>
      <c r="F3746" s="15" t="n"/>
    </row>
    <row r="3747">
      <c r="E3747" s="16" t="n"/>
      <c r="F3747" s="15" t="n"/>
    </row>
    <row r="3748">
      <c r="E3748" s="16" t="n"/>
      <c r="F3748" s="15" t="n"/>
    </row>
    <row r="3749">
      <c r="E3749" s="16" t="n"/>
      <c r="F3749" s="15" t="n"/>
    </row>
    <row r="3750">
      <c r="E3750" s="16" t="n"/>
      <c r="F3750" s="15" t="n"/>
    </row>
    <row r="3751">
      <c r="E3751" s="16" t="n"/>
      <c r="F3751" s="15" t="n"/>
    </row>
    <row r="3752">
      <c r="E3752" s="16" t="n"/>
      <c r="F3752" s="15" t="n"/>
    </row>
    <row r="3753">
      <c r="E3753" s="16" t="n"/>
      <c r="F3753" s="15" t="n"/>
    </row>
    <row r="3754">
      <c r="E3754" s="16" t="n"/>
      <c r="F3754" s="15" t="n"/>
    </row>
    <row r="3755">
      <c r="E3755" s="16" t="n"/>
      <c r="F3755" s="15" t="n"/>
    </row>
    <row r="3756">
      <c r="E3756" s="16" t="n"/>
      <c r="F3756" s="15" t="n"/>
    </row>
    <row r="3757">
      <c r="E3757" s="16" t="n"/>
      <c r="F3757" s="15" t="n"/>
    </row>
    <row r="3758">
      <c r="E3758" s="16" t="n"/>
      <c r="F3758" s="15" t="n"/>
    </row>
    <row r="3759">
      <c r="E3759" s="16" t="n"/>
      <c r="F3759" s="15" t="n"/>
    </row>
    <row r="3760">
      <c r="E3760" s="16" t="n"/>
      <c r="F3760" s="15" t="n"/>
    </row>
    <row r="3761">
      <c r="E3761" s="16" t="n"/>
      <c r="F3761" s="15" t="n"/>
    </row>
    <row r="3762">
      <c r="E3762" s="16" t="n"/>
      <c r="F3762" s="15" t="n"/>
    </row>
    <row r="3763">
      <c r="E3763" s="16" t="n"/>
      <c r="F3763" s="15" t="n"/>
    </row>
    <row r="3764">
      <c r="E3764" s="16" t="n"/>
      <c r="F3764" s="15" t="n"/>
    </row>
    <row r="3765">
      <c r="E3765" s="16" t="n"/>
      <c r="F3765" s="15" t="n"/>
    </row>
    <row r="3766">
      <c r="E3766" s="16" t="n"/>
      <c r="F3766" s="15" t="n"/>
    </row>
    <row r="3767">
      <c r="E3767" s="16" t="n"/>
      <c r="F3767" s="15" t="n"/>
    </row>
    <row r="3768">
      <c r="E3768" s="16" t="n"/>
      <c r="F3768" s="15" t="n"/>
    </row>
    <row r="3769">
      <c r="E3769" s="16" t="n"/>
      <c r="F3769" s="15" t="n"/>
    </row>
    <row r="3770">
      <c r="E3770" s="16" t="n"/>
      <c r="F3770" s="15" t="n"/>
    </row>
    <row r="3771">
      <c r="E3771" s="16" t="n"/>
      <c r="F3771" s="15" t="n"/>
    </row>
    <row r="3772">
      <c r="E3772" s="16" t="n"/>
      <c r="F3772" s="15" t="n"/>
    </row>
    <row r="3773">
      <c r="E3773" s="16" t="n"/>
      <c r="F3773" s="15" t="n"/>
    </row>
    <row r="3774">
      <c r="E3774" s="16" t="n"/>
      <c r="F3774" s="15" t="n"/>
    </row>
    <row r="3775">
      <c r="E3775" s="16" t="n"/>
      <c r="F3775" s="15" t="n"/>
    </row>
    <row r="3776">
      <c r="E3776" s="16" t="n"/>
      <c r="F3776" s="15" t="n"/>
    </row>
    <row r="3777">
      <c r="E3777" s="16" t="n"/>
      <c r="F3777" s="15" t="n"/>
    </row>
    <row r="3778">
      <c r="E3778" s="16" t="n"/>
      <c r="F3778" s="15" t="n"/>
    </row>
    <row r="3779">
      <c r="E3779" s="16" t="n"/>
      <c r="F3779" s="15" t="n"/>
    </row>
    <row r="3780">
      <c r="E3780" s="16" t="n"/>
      <c r="F3780" s="15" t="n"/>
    </row>
    <row r="3781">
      <c r="E3781" s="16" t="n"/>
      <c r="F3781" s="15" t="n"/>
    </row>
    <row r="3782">
      <c r="E3782" s="16" t="n"/>
      <c r="F3782" s="15" t="n"/>
    </row>
    <row r="3783">
      <c r="E3783" s="16" t="n"/>
      <c r="F3783" s="15" t="n"/>
    </row>
    <row r="3784">
      <c r="E3784" s="16" t="n"/>
      <c r="F3784" s="15" t="n"/>
    </row>
    <row r="3785">
      <c r="E3785" s="16" t="n"/>
      <c r="F3785" s="15" t="n"/>
    </row>
    <row r="3786">
      <c r="E3786" s="16" t="n"/>
      <c r="F3786" s="15" t="n"/>
    </row>
    <row r="3787">
      <c r="E3787" s="16" t="n"/>
      <c r="F3787" s="15" t="n"/>
    </row>
    <row r="3788">
      <c r="E3788" s="16" t="n"/>
      <c r="F3788" s="15" t="n"/>
    </row>
    <row r="3789">
      <c r="E3789" s="16" t="n"/>
      <c r="F3789" s="15" t="n"/>
    </row>
    <row r="3790">
      <c r="E3790" s="16" t="n"/>
      <c r="F3790" s="15" t="n"/>
    </row>
    <row r="3791">
      <c r="E3791" s="16" t="n"/>
      <c r="F3791" s="15" t="n"/>
    </row>
    <row r="3792">
      <c r="E3792" s="16" t="n"/>
      <c r="F3792" s="15" t="n"/>
    </row>
    <row r="3793">
      <c r="E3793" s="16" t="n"/>
      <c r="F3793" s="15" t="n"/>
    </row>
    <row r="3794">
      <c r="E3794" s="16" t="n"/>
      <c r="F3794" s="15" t="n"/>
    </row>
    <row r="3795">
      <c r="E3795" s="16" t="n"/>
      <c r="F3795" s="15" t="n"/>
    </row>
    <row r="3796">
      <c r="E3796" s="16" t="n"/>
      <c r="F3796" s="15" t="n"/>
    </row>
    <row r="3797">
      <c r="E3797" s="16" t="n"/>
      <c r="F3797" s="15" t="n"/>
    </row>
    <row r="3798">
      <c r="E3798" s="16" t="n"/>
      <c r="F3798" s="15" t="n"/>
    </row>
    <row r="3799">
      <c r="E3799" s="16" t="n"/>
      <c r="F3799" s="15" t="n"/>
    </row>
    <row r="3800">
      <c r="E3800" s="16" t="n"/>
      <c r="F3800" s="15" t="n"/>
    </row>
    <row r="3801">
      <c r="E3801" s="16" t="n"/>
      <c r="F3801" s="15" t="n"/>
    </row>
    <row r="3802">
      <c r="E3802" s="16" t="n"/>
      <c r="F3802" s="15" t="n"/>
    </row>
    <row r="3803">
      <c r="E3803" s="16" t="n"/>
      <c r="F3803" s="15" t="n"/>
    </row>
    <row r="3804">
      <c r="E3804" s="16" t="n"/>
      <c r="F3804" s="15" t="n"/>
    </row>
    <row r="3805">
      <c r="E3805" s="16" t="n"/>
      <c r="F3805" s="15" t="n"/>
    </row>
    <row r="3806">
      <c r="E3806" s="16" t="n"/>
      <c r="F3806" s="15" t="n"/>
    </row>
    <row r="3807">
      <c r="E3807" s="16" t="n"/>
      <c r="F3807" s="15" t="n"/>
    </row>
    <row r="3808">
      <c r="E3808" s="16" t="n"/>
      <c r="F3808" s="15" t="n"/>
    </row>
    <row r="3809">
      <c r="E3809" s="16" t="n"/>
      <c r="F3809" s="15" t="n"/>
    </row>
    <row r="3810">
      <c r="E3810" s="16" t="n"/>
      <c r="F3810" s="15" t="n"/>
    </row>
    <row r="3811">
      <c r="E3811" s="16" t="n"/>
      <c r="F3811" s="15" t="n"/>
    </row>
    <row r="3812">
      <c r="E3812" s="16" t="n"/>
      <c r="F3812" s="15" t="n"/>
    </row>
    <row r="3813">
      <c r="E3813" s="16" t="n"/>
      <c r="F3813" s="15" t="n"/>
    </row>
    <row r="3814">
      <c r="E3814" s="16" t="n"/>
      <c r="F3814" s="15" t="n"/>
    </row>
    <row r="3815">
      <c r="E3815" s="16" t="n"/>
      <c r="F3815" s="15" t="n"/>
    </row>
    <row r="3816">
      <c r="E3816" s="16" t="n"/>
      <c r="F3816" s="15" t="n"/>
    </row>
    <row r="3817">
      <c r="E3817" s="16" t="n"/>
      <c r="F3817" s="15" t="n"/>
    </row>
    <row r="3818">
      <c r="E3818" s="16" t="n"/>
      <c r="F3818" s="15" t="n"/>
    </row>
    <row r="3819">
      <c r="E3819" s="16" t="n"/>
      <c r="F3819" s="15" t="n"/>
    </row>
    <row r="3820">
      <c r="E3820" s="16" t="n"/>
      <c r="F3820" s="15" t="n"/>
    </row>
    <row r="3821">
      <c r="E3821" s="16" t="n"/>
      <c r="F3821" s="15" t="n"/>
    </row>
    <row r="3822">
      <c r="E3822" s="16" t="n"/>
      <c r="F3822" s="15" t="n"/>
    </row>
    <row r="3823">
      <c r="E3823" s="16" t="n"/>
      <c r="F3823" s="15" t="n"/>
    </row>
    <row r="3824">
      <c r="E3824" s="16" t="n"/>
      <c r="F3824" s="15" t="n"/>
    </row>
    <row r="3825">
      <c r="E3825" s="16" t="n"/>
      <c r="F3825" s="15" t="n"/>
    </row>
    <row r="3826">
      <c r="E3826" s="16" t="n"/>
      <c r="F3826" s="15" t="n"/>
    </row>
    <row r="3827">
      <c r="E3827" s="16" t="n"/>
      <c r="F3827" s="15" t="n"/>
    </row>
    <row r="3828">
      <c r="E3828" s="16" t="n"/>
      <c r="F3828" s="15" t="n"/>
    </row>
    <row r="3829">
      <c r="E3829" s="16" t="n"/>
      <c r="F3829" s="15" t="n"/>
    </row>
    <row r="3830">
      <c r="E3830" s="16" t="n"/>
      <c r="F3830" s="15" t="n"/>
    </row>
    <row r="3831">
      <c r="E3831" s="16" t="n"/>
      <c r="F3831" s="15" t="n"/>
    </row>
    <row r="3832">
      <c r="E3832" s="16" t="n"/>
      <c r="F3832" s="15" t="n"/>
    </row>
    <row r="3833">
      <c r="E3833" s="16" t="n"/>
      <c r="F3833" s="15" t="n"/>
    </row>
    <row r="3834">
      <c r="E3834" s="16" t="n"/>
      <c r="F3834" s="15" t="n"/>
    </row>
    <row r="3835">
      <c r="E3835" s="16" t="n"/>
      <c r="F3835" s="15" t="n"/>
    </row>
    <row r="3836">
      <c r="E3836" s="16" t="n"/>
      <c r="F3836" s="15" t="n"/>
    </row>
    <row r="3837">
      <c r="E3837" s="16" t="n"/>
      <c r="F3837" s="15" t="n"/>
    </row>
    <row r="3838">
      <c r="E3838" s="16" t="n"/>
      <c r="F3838" s="15" t="n"/>
    </row>
    <row r="3839">
      <c r="E3839" s="16" t="n"/>
      <c r="F3839" s="15" t="n"/>
    </row>
    <row r="3840">
      <c r="E3840" s="16" t="n"/>
      <c r="F3840" s="15" t="n"/>
    </row>
    <row r="3841">
      <c r="E3841" s="16" t="n"/>
      <c r="F3841" s="15" t="n"/>
    </row>
    <row r="3842">
      <c r="E3842" s="16" t="n"/>
      <c r="F3842" s="15" t="n"/>
    </row>
    <row r="3843">
      <c r="E3843" s="16" t="n"/>
      <c r="F3843" s="15" t="n"/>
    </row>
    <row r="3844">
      <c r="E3844" s="16" t="n"/>
      <c r="F3844" s="15" t="n"/>
    </row>
    <row r="3845">
      <c r="E3845" s="16" t="n"/>
      <c r="F3845" s="15" t="n"/>
    </row>
    <row r="3846">
      <c r="E3846" s="16" t="n"/>
      <c r="F3846" s="15" t="n"/>
    </row>
    <row r="3847">
      <c r="E3847" s="16" t="n"/>
      <c r="F3847" s="15" t="n"/>
    </row>
    <row r="3848">
      <c r="E3848" s="16" t="n"/>
      <c r="F3848" s="15" t="n"/>
    </row>
    <row r="3849">
      <c r="E3849" s="16" t="n"/>
      <c r="F3849" s="15" t="n"/>
    </row>
    <row r="3850">
      <c r="E3850" s="16" t="n"/>
      <c r="F3850" s="15" t="n"/>
    </row>
    <row r="3851">
      <c r="E3851" s="16" t="n"/>
      <c r="F3851" s="15" t="n"/>
    </row>
    <row r="3852">
      <c r="E3852" s="16" t="n"/>
      <c r="F3852" s="15" t="n"/>
    </row>
    <row r="3853">
      <c r="E3853" s="16" t="n"/>
      <c r="F3853" s="15" t="n"/>
    </row>
    <row r="3854">
      <c r="E3854" s="16" t="n"/>
      <c r="F3854" s="15" t="n"/>
    </row>
    <row r="3855">
      <c r="E3855" s="16" t="n"/>
      <c r="F3855" s="15" t="n"/>
    </row>
    <row r="3856">
      <c r="E3856" s="16" t="n"/>
      <c r="F3856" s="15" t="n"/>
    </row>
    <row r="3857">
      <c r="E3857" s="16" t="n"/>
      <c r="F3857" s="15" t="n"/>
    </row>
    <row r="3858">
      <c r="E3858" s="16" t="n"/>
      <c r="F3858" s="15" t="n"/>
    </row>
    <row r="3859">
      <c r="E3859" s="16" t="n"/>
      <c r="F3859" s="15" t="n"/>
    </row>
    <row r="3860">
      <c r="E3860" s="16" t="n"/>
      <c r="F3860" s="15" t="n"/>
    </row>
    <row r="3861">
      <c r="E3861" s="16" t="n"/>
      <c r="F3861" s="15" t="n"/>
    </row>
    <row r="3862">
      <c r="E3862" s="16" t="n"/>
      <c r="F3862" s="15" t="n"/>
    </row>
    <row r="3863">
      <c r="E3863" s="16" t="n"/>
      <c r="F3863" s="15" t="n"/>
    </row>
    <row r="3864">
      <c r="E3864" s="16" t="n"/>
      <c r="F3864" s="15" t="n"/>
    </row>
    <row r="3865">
      <c r="E3865" s="16" t="n"/>
      <c r="F3865" s="15" t="n"/>
    </row>
    <row r="3866">
      <c r="E3866" s="16" t="n"/>
      <c r="F3866" s="15" t="n"/>
    </row>
    <row r="3867">
      <c r="E3867" s="16" t="n"/>
      <c r="F3867" s="15" t="n"/>
    </row>
    <row r="3868">
      <c r="E3868" s="16" t="n"/>
      <c r="F3868" s="15" t="n"/>
    </row>
    <row r="3869">
      <c r="E3869" s="16" t="n"/>
      <c r="F3869" s="15" t="n"/>
    </row>
    <row r="3870">
      <c r="E3870" s="16" t="n"/>
      <c r="F3870" s="15" t="n"/>
    </row>
    <row r="3871">
      <c r="E3871" s="16" t="n"/>
      <c r="F3871" s="15" t="n"/>
    </row>
    <row r="3872">
      <c r="E3872" s="16" t="n"/>
      <c r="F3872" s="15" t="n"/>
    </row>
    <row r="3873">
      <c r="E3873" s="16" t="n"/>
      <c r="F3873" s="15" t="n"/>
    </row>
    <row r="3874">
      <c r="E3874" s="16" t="n"/>
      <c r="F3874" s="15" t="n"/>
    </row>
    <row r="3875">
      <c r="E3875" s="16" t="n"/>
      <c r="F3875" s="15" t="n"/>
    </row>
    <row r="3876">
      <c r="E3876" s="16" t="n"/>
      <c r="F3876" s="15" t="n"/>
    </row>
    <row r="3877">
      <c r="E3877" s="16" t="n"/>
      <c r="F3877" s="15" t="n"/>
    </row>
    <row r="3878">
      <c r="E3878" s="16" t="n"/>
      <c r="F3878" s="15" t="n"/>
    </row>
    <row r="3879">
      <c r="E3879" s="16" t="n"/>
      <c r="F3879" s="15" t="n"/>
    </row>
    <row r="3880">
      <c r="E3880" s="16" t="n"/>
      <c r="F3880" s="15" t="n"/>
    </row>
    <row r="3881">
      <c r="E3881" s="16" t="n"/>
      <c r="F3881" s="15" t="n"/>
    </row>
    <row r="3882">
      <c r="E3882" s="16" t="n"/>
      <c r="F3882" s="15" t="n"/>
    </row>
    <row r="3883">
      <c r="E3883" s="16" t="n"/>
      <c r="F3883" s="15" t="n"/>
    </row>
    <row r="3884">
      <c r="E3884" s="16" t="n"/>
      <c r="F3884" s="15" t="n"/>
    </row>
    <row r="3885">
      <c r="E3885" s="16" t="n"/>
      <c r="F3885" s="15" t="n"/>
    </row>
    <row r="3886">
      <c r="E3886" s="16" t="n"/>
      <c r="F3886" s="15" t="n"/>
    </row>
    <row r="3887">
      <c r="E3887" s="16" t="n"/>
      <c r="F3887" s="15" t="n"/>
    </row>
    <row r="3888">
      <c r="E3888" s="16" t="n"/>
      <c r="F3888" s="15" t="n"/>
    </row>
    <row r="3889">
      <c r="E3889" s="16" t="n"/>
      <c r="F3889" s="15" t="n"/>
    </row>
    <row r="3890">
      <c r="E3890" s="16" t="n"/>
      <c r="F3890" s="15" t="n"/>
    </row>
    <row r="3891">
      <c r="E3891" s="16" t="n"/>
      <c r="F3891" s="15" t="n"/>
    </row>
    <row r="3892">
      <c r="E3892" s="16" t="n"/>
      <c r="F3892" s="15" t="n"/>
    </row>
    <row r="3893">
      <c r="E3893" s="16" t="n"/>
      <c r="F3893" s="15" t="n"/>
    </row>
    <row r="3894">
      <c r="E3894" s="16" t="n"/>
      <c r="F3894" s="15" t="n"/>
    </row>
    <row r="3895">
      <c r="E3895" s="16" t="n"/>
      <c r="F3895" s="15" t="n"/>
    </row>
    <row r="3896">
      <c r="E3896" s="16" t="n"/>
      <c r="F3896" s="15" t="n"/>
    </row>
    <row r="3897">
      <c r="E3897" s="16" t="n"/>
      <c r="F3897" s="15" t="n"/>
    </row>
    <row r="3898">
      <c r="E3898" s="16" t="n"/>
      <c r="F3898" s="15" t="n"/>
    </row>
    <row r="3899">
      <c r="E3899" s="16" t="n"/>
      <c r="F3899" s="15" t="n"/>
    </row>
    <row r="3900">
      <c r="E3900" s="16" t="n"/>
      <c r="F3900" s="15" t="n"/>
    </row>
    <row r="3901">
      <c r="E3901" s="16" t="n"/>
      <c r="F3901" s="15" t="n"/>
    </row>
    <row r="3902">
      <c r="E3902" s="16" t="n"/>
      <c r="F3902" s="15" t="n"/>
    </row>
    <row r="3903">
      <c r="E3903" s="16" t="n"/>
      <c r="F3903" s="15" t="n"/>
    </row>
    <row r="3904">
      <c r="E3904" s="16" t="n"/>
      <c r="F3904" s="15" t="n"/>
    </row>
    <row r="3905">
      <c r="E3905" s="16" t="n"/>
      <c r="F3905" s="15" t="n"/>
    </row>
    <row r="3906">
      <c r="E3906" s="16" t="n"/>
      <c r="F3906" s="15" t="n"/>
    </row>
    <row r="3907">
      <c r="E3907" s="16" t="n"/>
      <c r="F3907" s="15" t="n"/>
    </row>
    <row r="3908">
      <c r="E3908" s="16" t="n"/>
      <c r="F3908" s="15" t="n"/>
    </row>
    <row r="3909">
      <c r="E3909" s="16" t="n"/>
      <c r="F3909" s="15" t="n"/>
    </row>
    <row r="3910">
      <c r="E3910" s="16" t="n"/>
      <c r="F3910" s="15" t="n"/>
    </row>
    <row r="3911">
      <c r="E3911" s="16" t="n"/>
      <c r="F3911" s="15" t="n"/>
    </row>
    <row r="3912">
      <c r="E3912" s="16" t="n"/>
      <c r="F3912" s="15" t="n"/>
    </row>
    <row r="3913">
      <c r="E3913" s="16" t="n"/>
      <c r="F3913" s="15" t="n"/>
    </row>
    <row r="3914">
      <c r="E3914" s="16" t="n"/>
      <c r="F3914" s="15" t="n"/>
    </row>
    <row r="3915">
      <c r="E3915" s="16" t="n"/>
      <c r="F3915" s="15" t="n"/>
    </row>
    <row r="3916">
      <c r="E3916" s="16" t="n"/>
      <c r="F3916" s="15" t="n"/>
    </row>
    <row r="3917">
      <c r="E3917" s="16" t="n"/>
      <c r="F3917" s="15" t="n"/>
    </row>
    <row r="3918">
      <c r="E3918" s="16" t="n"/>
      <c r="F3918" s="15" t="n"/>
    </row>
    <row r="3919">
      <c r="E3919" s="16" t="n"/>
      <c r="F3919" s="15" t="n"/>
    </row>
    <row r="3920">
      <c r="E3920" s="16" t="n"/>
      <c r="F3920" s="15" t="n"/>
    </row>
    <row r="3921">
      <c r="E3921" s="16" t="n"/>
      <c r="F3921" s="15" t="n"/>
    </row>
    <row r="3922">
      <c r="E3922" s="16" t="n"/>
      <c r="F3922" s="15" t="n"/>
    </row>
    <row r="3923">
      <c r="E3923" s="16" t="n"/>
      <c r="F3923" s="15" t="n"/>
    </row>
    <row r="3924">
      <c r="E3924" s="16" t="n"/>
      <c r="F3924" s="15" t="n"/>
    </row>
    <row r="3925">
      <c r="E3925" s="16" t="n"/>
      <c r="F3925" s="15" t="n"/>
    </row>
    <row r="3926">
      <c r="E3926" s="16" t="n"/>
      <c r="F3926" s="15" t="n"/>
    </row>
    <row r="3927">
      <c r="E3927" s="16" t="n"/>
      <c r="F3927" s="15" t="n"/>
    </row>
    <row r="3928">
      <c r="E3928" s="16" t="n"/>
      <c r="F3928" s="15" t="n"/>
    </row>
    <row r="3929">
      <c r="E3929" s="16" t="n"/>
      <c r="F3929" s="15" t="n"/>
    </row>
    <row r="3930">
      <c r="E3930" s="16" t="n"/>
      <c r="F3930" s="15" t="n"/>
    </row>
    <row r="3931">
      <c r="E3931" s="16" t="n"/>
      <c r="F3931" s="15" t="n"/>
    </row>
    <row r="3932">
      <c r="E3932" s="16" t="n"/>
      <c r="F3932" s="15" t="n"/>
    </row>
    <row r="3933">
      <c r="E3933" s="16" t="n"/>
      <c r="F3933" s="15" t="n"/>
    </row>
    <row r="3934">
      <c r="E3934" s="16" t="n"/>
      <c r="F3934" s="15" t="n"/>
    </row>
    <row r="3935">
      <c r="E3935" s="16" t="n"/>
      <c r="F3935" s="15" t="n"/>
    </row>
    <row r="3936">
      <c r="E3936" s="16" t="n"/>
      <c r="F3936" s="15" t="n"/>
    </row>
    <row r="3937">
      <c r="E3937" s="16" t="n"/>
      <c r="F3937" s="15" t="n"/>
    </row>
    <row r="3938">
      <c r="E3938" s="16" t="n"/>
      <c r="F3938" s="15" t="n"/>
    </row>
    <row r="3939">
      <c r="E3939" s="16" t="n"/>
      <c r="F3939" s="15" t="n"/>
    </row>
    <row r="3940">
      <c r="E3940" s="16" t="n"/>
      <c r="F3940" s="15" t="n"/>
    </row>
    <row r="3941">
      <c r="E3941" s="16" t="n"/>
      <c r="F3941" s="15" t="n"/>
    </row>
    <row r="3942">
      <c r="E3942" s="16" t="n"/>
      <c r="F3942" s="15" t="n"/>
    </row>
    <row r="3943">
      <c r="E3943" s="16" t="n"/>
      <c r="F3943" s="15" t="n"/>
    </row>
    <row r="3944">
      <c r="E3944" s="16" t="n"/>
      <c r="F3944" s="15" t="n"/>
    </row>
    <row r="3945">
      <c r="E3945" s="16" t="n"/>
      <c r="F3945" s="15" t="n"/>
    </row>
    <row r="3946">
      <c r="E3946" s="16" t="n"/>
      <c r="F3946" s="15" t="n"/>
    </row>
    <row r="3947">
      <c r="E3947" s="16" t="n"/>
      <c r="F3947" s="15" t="n"/>
    </row>
    <row r="3948">
      <c r="E3948" s="16" t="n"/>
      <c r="F3948" s="15" t="n"/>
    </row>
    <row r="3949">
      <c r="E3949" s="16" t="n"/>
      <c r="F3949" s="15" t="n"/>
    </row>
    <row r="3950">
      <c r="E3950" s="16" t="n"/>
      <c r="F3950" s="15" t="n"/>
    </row>
    <row r="3951">
      <c r="E3951" s="16" t="n"/>
      <c r="F3951" s="15" t="n"/>
    </row>
    <row r="3952">
      <c r="E3952" s="16" t="n"/>
      <c r="F3952" s="15" t="n"/>
    </row>
    <row r="3953">
      <c r="E3953" s="16" t="n"/>
      <c r="F3953" s="15" t="n"/>
    </row>
    <row r="3954">
      <c r="E3954" s="16" t="n"/>
      <c r="F3954" s="15" t="n"/>
    </row>
    <row r="3955">
      <c r="E3955" s="16" t="n"/>
      <c r="F3955" s="15" t="n"/>
    </row>
    <row r="3956">
      <c r="E3956" s="16" t="n"/>
      <c r="F3956" s="15" t="n"/>
    </row>
    <row r="3957">
      <c r="E3957" s="16" t="n"/>
      <c r="F3957" s="15" t="n"/>
    </row>
    <row r="3958">
      <c r="E3958" s="16" t="n"/>
      <c r="F3958" s="15" t="n"/>
    </row>
    <row r="3959">
      <c r="E3959" s="16" t="n"/>
      <c r="F3959" s="15" t="n"/>
    </row>
    <row r="3960">
      <c r="E3960" s="16" t="n"/>
      <c r="F3960" s="15" t="n"/>
    </row>
    <row r="3961">
      <c r="E3961" s="16" t="n"/>
      <c r="F3961" s="15" t="n"/>
    </row>
    <row r="3962">
      <c r="E3962" s="16" t="n"/>
      <c r="F3962" s="15" t="n"/>
    </row>
    <row r="3963">
      <c r="E3963" s="16" t="n"/>
      <c r="F3963" s="15" t="n"/>
    </row>
    <row r="3964">
      <c r="E3964" s="16" t="n"/>
      <c r="F3964" s="15" t="n"/>
    </row>
    <row r="3965">
      <c r="E3965" s="16" t="n"/>
      <c r="F3965" s="15" t="n"/>
    </row>
    <row r="3966">
      <c r="E3966" s="16" t="n"/>
      <c r="F3966" s="15" t="n"/>
    </row>
    <row r="3967">
      <c r="E3967" s="16" t="n"/>
      <c r="F3967" s="15" t="n"/>
    </row>
    <row r="3968">
      <c r="E3968" s="16" t="n"/>
      <c r="F3968" s="15" t="n"/>
    </row>
    <row r="3969">
      <c r="E3969" s="16" t="n"/>
      <c r="F3969" s="15" t="n"/>
    </row>
    <row r="3970">
      <c r="E3970" s="16" t="n"/>
      <c r="F3970" s="15" t="n"/>
    </row>
    <row r="3971">
      <c r="E3971" s="16" t="n"/>
      <c r="F3971" s="15" t="n"/>
    </row>
    <row r="3972">
      <c r="E3972" s="16" t="n"/>
      <c r="F3972" s="15" t="n"/>
    </row>
    <row r="3973">
      <c r="E3973" s="16" t="n"/>
      <c r="F3973" s="15" t="n"/>
    </row>
    <row r="3974">
      <c r="E3974" s="16" t="n"/>
      <c r="F3974" s="15" t="n"/>
    </row>
    <row r="3975">
      <c r="E3975" s="16" t="n"/>
      <c r="F3975" s="15" t="n"/>
    </row>
    <row r="3976">
      <c r="E3976" s="16" t="n"/>
      <c r="F3976" s="15" t="n"/>
    </row>
    <row r="3977">
      <c r="E3977" s="16" t="n"/>
      <c r="F3977" s="15" t="n"/>
    </row>
    <row r="3978">
      <c r="E3978" s="16" t="n"/>
      <c r="F3978" s="15" t="n"/>
    </row>
    <row r="3979">
      <c r="E3979" s="16" t="n"/>
      <c r="F3979" s="15" t="n"/>
    </row>
    <row r="3980">
      <c r="E3980" s="16" t="n"/>
      <c r="F3980" s="15" t="n"/>
    </row>
    <row r="3981">
      <c r="E3981" s="16" t="n"/>
      <c r="F3981" s="15" t="n"/>
    </row>
    <row r="3982">
      <c r="E3982" s="16" t="n"/>
      <c r="F3982" s="15" t="n"/>
    </row>
    <row r="3983">
      <c r="E3983" s="16" t="n"/>
      <c r="F3983" s="15" t="n"/>
    </row>
    <row r="3984">
      <c r="E3984" s="16" t="n"/>
      <c r="F3984" s="15" t="n"/>
    </row>
    <row r="3985">
      <c r="E3985" s="16" t="n"/>
      <c r="F3985" s="15" t="n"/>
    </row>
    <row r="3986">
      <c r="E3986" s="16" t="n"/>
      <c r="F3986" s="15" t="n"/>
    </row>
    <row r="3987">
      <c r="E3987" s="16" t="n"/>
      <c r="F3987" s="15" t="n"/>
    </row>
    <row r="3988">
      <c r="E3988" s="16" t="n"/>
      <c r="F3988" s="15" t="n"/>
    </row>
    <row r="3989">
      <c r="E3989" s="16" t="n"/>
      <c r="F3989" s="15" t="n"/>
    </row>
    <row r="3990">
      <c r="E3990" s="16" t="n"/>
      <c r="F3990" s="15" t="n"/>
    </row>
    <row r="3991">
      <c r="E3991" s="16" t="n"/>
      <c r="F3991" s="15" t="n"/>
    </row>
    <row r="3992">
      <c r="E3992" s="16" t="n"/>
      <c r="F3992" s="15" t="n"/>
    </row>
    <row r="3993">
      <c r="E3993" s="16" t="n"/>
      <c r="F3993" s="15" t="n"/>
    </row>
    <row r="3994">
      <c r="E3994" s="16" t="n"/>
      <c r="F3994" s="15" t="n"/>
    </row>
    <row r="3995">
      <c r="E3995" s="16" t="n"/>
      <c r="F3995" s="15" t="n"/>
    </row>
    <row r="3996">
      <c r="E3996" s="16" t="n"/>
      <c r="F3996" s="15" t="n"/>
    </row>
    <row r="3997">
      <c r="E3997" s="16" t="n"/>
      <c r="F3997" s="15" t="n"/>
    </row>
    <row r="3998">
      <c r="E3998" s="16" t="n"/>
      <c r="F3998" s="15" t="n"/>
    </row>
    <row r="3999">
      <c r="E3999" s="16" t="n"/>
      <c r="F3999" s="15" t="n"/>
    </row>
    <row r="4000">
      <c r="E4000" s="16" t="n"/>
      <c r="F4000" s="15" t="n"/>
    </row>
    <row r="4001">
      <c r="E4001" s="16" t="n"/>
      <c r="F4001" s="15" t="n"/>
    </row>
    <row r="4002">
      <c r="E4002" s="16" t="n"/>
      <c r="F4002" s="15" t="n"/>
    </row>
    <row r="4003">
      <c r="E4003" s="16" t="n"/>
      <c r="F4003" s="15" t="n"/>
    </row>
    <row r="4004">
      <c r="E4004" s="16" t="n"/>
      <c r="F4004" s="15" t="n"/>
    </row>
    <row r="4005">
      <c r="E4005" s="16" t="n"/>
      <c r="F4005" s="15" t="n"/>
    </row>
    <row r="4006">
      <c r="E4006" s="16" t="n"/>
      <c r="F4006" s="15" t="n"/>
    </row>
    <row r="4007">
      <c r="E4007" s="16" t="n"/>
      <c r="F4007" s="15" t="n"/>
    </row>
    <row r="4008">
      <c r="E4008" s="16" t="n"/>
      <c r="F4008" s="15" t="n"/>
    </row>
    <row r="4009">
      <c r="E4009" s="16" t="n"/>
      <c r="F4009" s="15" t="n"/>
    </row>
    <row r="4010">
      <c r="E4010" s="16" t="n"/>
      <c r="F4010" s="15" t="n"/>
    </row>
    <row r="4011">
      <c r="E4011" s="16" t="n"/>
      <c r="F4011" s="15" t="n"/>
    </row>
    <row r="4012">
      <c r="E4012" s="16" t="n"/>
      <c r="F4012" s="15" t="n"/>
    </row>
    <row r="4013">
      <c r="E4013" s="16" t="n"/>
      <c r="F4013" s="15" t="n"/>
    </row>
    <row r="4014">
      <c r="E4014" s="16" t="n"/>
      <c r="F4014" s="15" t="n"/>
    </row>
    <row r="4015">
      <c r="E4015" s="16" t="n"/>
      <c r="F4015" s="15" t="n"/>
    </row>
    <row r="4016">
      <c r="E4016" s="16" t="n"/>
      <c r="F4016" s="15" t="n"/>
    </row>
    <row r="4017">
      <c r="E4017" s="16" t="n"/>
      <c r="F4017" s="15" t="n"/>
    </row>
    <row r="4018">
      <c r="E4018" s="16" t="n"/>
      <c r="F4018" s="15" t="n"/>
    </row>
    <row r="4019">
      <c r="E4019" s="16" t="n"/>
      <c r="F4019" s="15" t="n"/>
    </row>
    <row r="4020">
      <c r="E4020" s="16" t="n"/>
      <c r="F4020" s="15" t="n"/>
    </row>
    <row r="4021">
      <c r="E4021" s="16" t="n"/>
      <c r="F4021" s="15" t="n"/>
    </row>
    <row r="4022">
      <c r="E4022" s="16" t="n"/>
      <c r="F4022" s="15" t="n"/>
    </row>
    <row r="4023">
      <c r="E4023" s="16" t="n"/>
      <c r="F4023" s="15" t="n"/>
    </row>
    <row r="4024">
      <c r="E4024" s="16" t="n"/>
      <c r="F4024" s="15" t="n"/>
    </row>
    <row r="4025">
      <c r="E4025" s="16" t="n"/>
      <c r="F4025" s="15" t="n"/>
    </row>
    <row r="4026">
      <c r="E4026" s="16" t="n"/>
      <c r="F4026" s="15" t="n"/>
    </row>
    <row r="4027">
      <c r="E4027" s="16" t="n"/>
      <c r="F4027" s="15" t="n"/>
    </row>
    <row r="4028">
      <c r="E4028" s="16" t="n"/>
      <c r="F4028" s="15" t="n"/>
    </row>
    <row r="4029">
      <c r="E4029" s="16" t="n"/>
      <c r="F4029" s="15" t="n"/>
    </row>
    <row r="4030">
      <c r="E4030" s="16" t="n"/>
      <c r="F4030" s="15" t="n"/>
    </row>
    <row r="4031">
      <c r="E4031" s="16" t="n"/>
      <c r="F4031" s="15" t="n"/>
    </row>
    <row r="4032">
      <c r="E4032" s="16" t="n"/>
      <c r="F4032" s="15" t="n"/>
    </row>
    <row r="4033">
      <c r="E4033" s="16" t="n"/>
      <c r="F4033" s="15" t="n"/>
    </row>
    <row r="4034">
      <c r="E4034" s="16" t="n"/>
      <c r="F4034" s="15" t="n"/>
    </row>
    <row r="4035">
      <c r="E4035" s="16" t="n"/>
      <c r="F4035" s="15" t="n"/>
    </row>
    <row r="4036">
      <c r="E4036" s="16" t="n"/>
      <c r="F4036" s="15" t="n"/>
    </row>
    <row r="4037">
      <c r="E4037" s="16" t="n"/>
      <c r="F4037" s="15" t="n"/>
    </row>
    <row r="4038">
      <c r="E4038" s="16" t="n"/>
      <c r="F4038" s="15" t="n"/>
    </row>
    <row r="4039">
      <c r="E4039" s="16" t="n"/>
      <c r="F4039" s="15" t="n"/>
    </row>
    <row r="4040">
      <c r="E4040" s="16" t="n"/>
      <c r="F4040" s="15" t="n"/>
    </row>
    <row r="4041">
      <c r="E4041" s="16" t="n"/>
      <c r="F4041" s="15" t="n"/>
    </row>
    <row r="4042">
      <c r="E4042" s="16" t="n"/>
      <c r="F4042" s="15" t="n"/>
    </row>
    <row r="4043">
      <c r="E4043" s="16" t="n"/>
      <c r="F4043" s="15" t="n"/>
    </row>
    <row r="4044">
      <c r="E4044" s="16" t="n"/>
      <c r="F4044" s="15" t="n"/>
    </row>
    <row r="4045">
      <c r="E4045" s="16" t="n"/>
      <c r="F4045" s="15" t="n"/>
    </row>
    <row r="4046">
      <c r="E4046" s="16" t="n"/>
      <c r="F4046" s="15" t="n"/>
    </row>
    <row r="4047">
      <c r="E4047" s="16" t="n"/>
      <c r="F4047" s="15" t="n"/>
    </row>
    <row r="4048">
      <c r="E4048" s="16" t="n"/>
      <c r="F4048" s="15" t="n"/>
    </row>
    <row r="4049">
      <c r="E4049" s="16" t="n"/>
      <c r="F4049" s="15" t="n"/>
    </row>
    <row r="4050">
      <c r="E4050" s="16" t="n"/>
      <c r="F4050" s="15" t="n"/>
    </row>
    <row r="4051">
      <c r="E4051" s="16" t="n"/>
      <c r="F4051" s="15" t="n"/>
    </row>
    <row r="4052">
      <c r="E4052" s="16" t="n"/>
      <c r="F4052" s="15" t="n"/>
    </row>
    <row r="4053">
      <c r="E4053" s="16" t="n"/>
      <c r="F4053" s="15" t="n"/>
    </row>
    <row r="4054">
      <c r="E4054" s="16" t="n"/>
      <c r="F4054" s="15" t="n"/>
    </row>
    <row r="4055">
      <c r="E4055" s="16" t="n"/>
      <c r="F4055" s="15" t="n"/>
    </row>
    <row r="4056">
      <c r="E4056" s="16" t="n"/>
      <c r="F4056" s="15" t="n"/>
    </row>
    <row r="4057">
      <c r="E4057" s="16" t="n"/>
      <c r="F4057" s="15" t="n"/>
    </row>
    <row r="4058">
      <c r="E4058" s="16" t="n"/>
      <c r="F4058" s="15" t="n"/>
    </row>
    <row r="4059">
      <c r="E4059" s="16" t="n"/>
      <c r="F4059" s="15" t="n"/>
    </row>
    <row r="4060">
      <c r="E4060" s="16" t="n"/>
      <c r="F4060" s="15" t="n"/>
    </row>
    <row r="4061">
      <c r="E4061" s="16" t="n"/>
      <c r="F4061" s="15" t="n"/>
    </row>
    <row r="4062">
      <c r="E4062" s="16" t="n"/>
      <c r="F4062" s="15" t="n"/>
    </row>
    <row r="4063">
      <c r="E4063" s="16" t="n"/>
      <c r="F4063" s="15" t="n"/>
    </row>
    <row r="4064">
      <c r="E4064" s="16" t="n"/>
      <c r="F4064" s="15" t="n"/>
    </row>
    <row r="4065">
      <c r="E4065" s="16" t="n"/>
      <c r="F4065" s="15" t="n"/>
    </row>
    <row r="4066">
      <c r="E4066" s="16" t="n"/>
      <c r="F4066" s="15" t="n"/>
    </row>
    <row r="4067">
      <c r="E4067" s="16" t="n"/>
      <c r="F4067" s="15" t="n"/>
    </row>
    <row r="4068">
      <c r="E4068" s="16" t="n"/>
      <c r="F4068" s="15" t="n"/>
    </row>
    <row r="4069">
      <c r="E4069" s="16" t="n"/>
      <c r="F4069" s="15" t="n"/>
    </row>
    <row r="4070">
      <c r="E4070" s="16" t="n"/>
      <c r="F4070" s="15" t="n"/>
    </row>
    <row r="4071">
      <c r="E4071" s="16" t="n"/>
      <c r="F4071" s="15" t="n"/>
    </row>
    <row r="4072">
      <c r="E4072" s="16" t="n"/>
      <c r="F4072" s="15" t="n"/>
    </row>
    <row r="4073">
      <c r="E4073" s="16" t="n"/>
      <c r="F4073" s="15" t="n"/>
    </row>
    <row r="4074">
      <c r="E4074" s="16" t="n"/>
      <c r="F4074" s="15" t="n"/>
    </row>
    <row r="4075">
      <c r="E4075" s="16" t="n"/>
      <c r="F4075" s="15" t="n"/>
    </row>
    <row r="4076">
      <c r="E4076" s="16" t="n"/>
      <c r="F4076" s="15" t="n"/>
    </row>
    <row r="4077">
      <c r="E4077" s="16" t="n"/>
      <c r="F4077" s="15" t="n"/>
    </row>
    <row r="4078">
      <c r="E4078" s="16" t="n"/>
      <c r="F4078" s="15" t="n"/>
    </row>
    <row r="4079">
      <c r="E4079" s="16" t="n"/>
      <c r="F4079" s="15" t="n"/>
    </row>
    <row r="4080">
      <c r="E4080" s="16" t="n"/>
      <c r="F4080" s="15" t="n"/>
    </row>
    <row r="4081">
      <c r="E4081" s="16" t="n"/>
      <c r="F4081" s="15" t="n"/>
    </row>
    <row r="4082">
      <c r="E4082" s="16" t="n"/>
      <c r="F4082" s="15" t="n"/>
    </row>
    <row r="4083">
      <c r="E4083" s="16" t="n"/>
      <c r="F4083" s="15" t="n"/>
    </row>
    <row r="4084">
      <c r="E4084" s="16" t="n"/>
      <c r="F4084" s="15" t="n"/>
    </row>
    <row r="4085">
      <c r="E4085" s="16" t="n"/>
      <c r="F4085" s="15" t="n"/>
    </row>
    <row r="4086">
      <c r="E4086" s="16" t="n"/>
      <c r="F4086" s="15" t="n"/>
    </row>
    <row r="4087">
      <c r="E4087" s="16" t="n"/>
      <c r="F4087" s="15" t="n"/>
    </row>
    <row r="4088">
      <c r="E4088" s="16" t="n"/>
      <c r="F4088" s="15" t="n"/>
    </row>
    <row r="4089">
      <c r="E4089" s="16" t="n"/>
      <c r="F4089" s="15" t="n"/>
    </row>
    <row r="4090">
      <c r="E4090" s="16" t="n"/>
      <c r="F4090" s="15" t="n"/>
    </row>
    <row r="4091">
      <c r="E4091" s="16" t="n"/>
      <c r="F4091" s="15" t="n"/>
    </row>
    <row r="4092">
      <c r="E4092" s="16" t="n"/>
      <c r="F4092" s="15" t="n"/>
    </row>
    <row r="4093">
      <c r="E4093" s="16" t="n"/>
      <c r="F4093" s="15" t="n"/>
    </row>
    <row r="4094">
      <c r="E4094" s="16" t="n"/>
      <c r="F4094" s="15" t="n"/>
    </row>
    <row r="4095">
      <c r="E4095" s="16" t="n"/>
      <c r="F4095" s="15" t="n"/>
    </row>
    <row r="4096">
      <c r="E4096" s="16" t="n"/>
      <c r="F4096" s="15" t="n"/>
    </row>
    <row r="4097">
      <c r="E4097" s="16" t="n"/>
      <c r="F4097" s="15" t="n"/>
    </row>
    <row r="4098">
      <c r="E4098" s="16" t="n"/>
      <c r="F4098" s="15" t="n"/>
    </row>
    <row r="4099">
      <c r="E4099" s="16" t="n"/>
      <c r="F4099" s="15" t="n"/>
    </row>
    <row r="4100">
      <c r="E4100" s="16" t="n"/>
      <c r="F4100" s="15" t="n"/>
    </row>
    <row r="4101">
      <c r="E4101" s="16" t="n"/>
      <c r="F4101" s="15" t="n"/>
    </row>
    <row r="4102">
      <c r="E4102" s="16" t="n"/>
      <c r="F4102" s="15" t="n"/>
    </row>
    <row r="4103">
      <c r="E4103" s="16" t="n"/>
      <c r="F4103" s="15" t="n"/>
    </row>
    <row r="4104">
      <c r="E4104" s="16" t="n"/>
      <c r="F4104" s="15" t="n"/>
    </row>
    <row r="4105">
      <c r="E4105" s="16" t="n"/>
      <c r="F4105" s="15" t="n"/>
    </row>
    <row r="4106">
      <c r="E4106" s="16" t="n"/>
      <c r="F4106" s="15" t="n"/>
    </row>
    <row r="4107">
      <c r="E4107" s="16" t="n"/>
      <c r="F4107" s="15" t="n"/>
    </row>
    <row r="4108">
      <c r="E4108" s="16" t="n"/>
      <c r="F4108" s="15" t="n"/>
    </row>
    <row r="4109">
      <c r="E4109" s="16" t="n"/>
      <c r="F4109" s="15" t="n"/>
    </row>
    <row r="4110">
      <c r="E4110" s="16" t="n"/>
      <c r="F4110" s="15" t="n"/>
    </row>
    <row r="4111">
      <c r="E4111" s="16" t="n"/>
      <c r="F4111" s="15" t="n"/>
    </row>
    <row r="4112">
      <c r="E4112" s="16" t="n"/>
      <c r="F4112" s="15" t="n"/>
    </row>
    <row r="4113">
      <c r="E4113" s="16" t="n"/>
      <c r="F4113" s="15" t="n"/>
    </row>
    <row r="4114">
      <c r="E4114" s="16" t="n"/>
      <c r="F4114" s="15" t="n"/>
    </row>
    <row r="4115">
      <c r="E4115" s="16" t="n"/>
      <c r="F4115" s="15" t="n"/>
    </row>
    <row r="4116">
      <c r="E4116" s="16" t="n"/>
      <c r="F4116" s="15" t="n"/>
    </row>
    <row r="4117">
      <c r="E4117" s="16" t="n"/>
      <c r="F4117" s="15" t="n"/>
    </row>
    <row r="4118">
      <c r="E4118" s="16" t="n"/>
      <c r="F4118" s="15" t="n"/>
    </row>
    <row r="4119">
      <c r="E4119" s="16" t="n"/>
      <c r="F4119" s="15" t="n"/>
    </row>
    <row r="4120">
      <c r="E4120" s="16" t="n"/>
      <c r="F4120" s="15" t="n"/>
    </row>
    <row r="4121">
      <c r="E4121" s="16" t="n"/>
      <c r="F4121" s="15" t="n"/>
    </row>
    <row r="4122">
      <c r="E4122" s="16" t="n"/>
      <c r="F4122" s="15" t="n"/>
    </row>
    <row r="4123">
      <c r="E4123" s="16" t="n"/>
      <c r="F4123" s="15" t="n"/>
    </row>
    <row r="4124">
      <c r="E4124" s="16" t="n"/>
      <c r="F4124" s="15" t="n"/>
    </row>
    <row r="4125">
      <c r="E4125" s="16" t="n"/>
      <c r="F4125" s="15" t="n"/>
    </row>
    <row r="4126">
      <c r="E4126" s="16" t="n"/>
      <c r="F4126" s="15" t="n"/>
    </row>
    <row r="4127">
      <c r="E4127" s="16" t="n"/>
      <c r="F4127" s="15" t="n"/>
    </row>
    <row r="4128">
      <c r="E4128" s="16" t="n"/>
      <c r="F4128" s="15" t="n"/>
    </row>
    <row r="4129">
      <c r="E4129" s="16" t="n"/>
      <c r="F4129" s="15" t="n"/>
    </row>
    <row r="4130">
      <c r="E4130" s="16" t="n"/>
      <c r="F4130" s="15" t="n"/>
    </row>
    <row r="4131">
      <c r="E4131" s="16" t="n"/>
      <c r="F4131" s="15" t="n"/>
    </row>
    <row r="4132">
      <c r="E4132" s="16" t="n"/>
      <c r="F4132" s="15" t="n"/>
    </row>
    <row r="4133">
      <c r="E4133" s="16" t="n"/>
      <c r="F4133" s="15" t="n"/>
    </row>
    <row r="4134">
      <c r="E4134" s="16" t="n"/>
      <c r="F4134" s="15" t="n"/>
    </row>
    <row r="4135">
      <c r="E4135" s="16" t="n"/>
      <c r="F4135" s="15" t="n"/>
    </row>
    <row r="4136">
      <c r="E4136" s="16" t="n"/>
      <c r="F4136" s="15" t="n"/>
    </row>
    <row r="4137">
      <c r="E4137" s="16" t="n"/>
      <c r="F4137" s="15" t="n"/>
    </row>
    <row r="4138">
      <c r="E4138" s="16" t="n"/>
      <c r="F4138" s="15" t="n"/>
    </row>
    <row r="4139">
      <c r="E4139" s="16" t="n"/>
      <c r="F4139" s="15" t="n"/>
    </row>
    <row r="4140">
      <c r="E4140" s="16" t="n"/>
      <c r="F4140" s="15" t="n"/>
    </row>
    <row r="4141">
      <c r="E4141" s="16" t="n"/>
      <c r="F4141" s="15" t="n"/>
    </row>
    <row r="4142">
      <c r="E4142" s="16" t="n"/>
      <c r="F4142" s="15" t="n"/>
    </row>
    <row r="4143">
      <c r="E4143" s="16" t="n"/>
      <c r="F4143" s="15" t="n"/>
    </row>
    <row r="4144">
      <c r="E4144" s="16" t="n"/>
      <c r="F4144" s="15" t="n"/>
    </row>
    <row r="4145">
      <c r="E4145" s="16" t="n"/>
      <c r="F4145" s="15" t="n"/>
    </row>
    <row r="4146">
      <c r="E4146" s="16" t="n"/>
      <c r="F4146" s="15" t="n"/>
    </row>
    <row r="4147">
      <c r="E4147" s="16" t="n"/>
      <c r="F4147" s="15" t="n"/>
    </row>
    <row r="4148">
      <c r="E4148" s="16" t="n"/>
      <c r="F4148" s="15" t="n"/>
    </row>
    <row r="4149">
      <c r="E4149" s="16" t="n"/>
      <c r="F4149" s="15" t="n"/>
    </row>
    <row r="4150">
      <c r="E4150" s="16" t="n"/>
      <c r="F4150" s="15" t="n"/>
    </row>
    <row r="4151">
      <c r="E4151" s="16" t="n"/>
      <c r="F4151" s="15" t="n"/>
    </row>
    <row r="4152">
      <c r="E4152" s="16" t="n"/>
      <c r="F4152" s="15" t="n"/>
    </row>
    <row r="4153">
      <c r="E4153" s="16" t="n"/>
      <c r="F4153" s="15" t="n"/>
    </row>
    <row r="4154">
      <c r="E4154" s="16" t="n"/>
      <c r="F4154" s="15" t="n"/>
    </row>
    <row r="4155">
      <c r="E4155" s="16" t="n"/>
      <c r="F4155" s="15" t="n"/>
    </row>
    <row r="4156">
      <c r="E4156" s="16" t="n"/>
      <c r="F4156" s="15" t="n"/>
    </row>
    <row r="4157">
      <c r="E4157" s="16" t="n"/>
      <c r="F4157" s="15" t="n"/>
    </row>
    <row r="4158">
      <c r="E4158" s="16" t="n"/>
      <c r="F4158" s="15" t="n"/>
    </row>
    <row r="4159">
      <c r="E4159" s="16" t="n"/>
      <c r="F4159" s="15" t="n"/>
    </row>
    <row r="4160">
      <c r="E4160" s="16" t="n"/>
      <c r="F4160" s="15" t="n"/>
    </row>
    <row r="4161">
      <c r="E4161" s="16" t="n"/>
      <c r="F4161" s="15" t="n"/>
    </row>
    <row r="4162">
      <c r="E4162" s="16" t="n"/>
      <c r="F4162" s="15" t="n"/>
    </row>
    <row r="4163">
      <c r="E4163" s="16" t="n"/>
      <c r="F4163" s="15" t="n"/>
    </row>
    <row r="4164">
      <c r="E4164" s="16" t="n"/>
      <c r="F4164" s="15" t="n"/>
    </row>
    <row r="4165">
      <c r="E4165" s="16" t="n"/>
      <c r="F4165" s="15" t="n"/>
    </row>
    <row r="4166">
      <c r="E4166" s="16" t="n"/>
      <c r="F4166" s="15" t="n"/>
    </row>
    <row r="4167">
      <c r="E4167" s="16" t="n"/>
      <c r="F4167" s="15" t="n"/>
    </row>
    <row r="4168">
      <c r="E4168" s="16" t="n"/>
      <c r="F4168" s="15" t="n"/>
    </row>
    <row r="4169">
      <c r="E4169" s="16" t="n"/>
      <c r="F4169" s="15" t="n"/>
    </row>
    <row r="4170">
      <c r="E4170" s="16" t="n"/>
      <c r="F4170" s="15" t="n"/>
    </row>
    <row r="4171">
      <c r="E4171" s="16" t="n"/>
      <c r="F4171" s="15" t="n"/>
    </row>
    <row r="4172">
      <c r="E4172" s="16" t="n"/>
      <c r="F4172" s="15" t="n"/>
    </row>
    <row r="4173">
      <c r="E4173" s="16" t="n"/>
      <c r="F4173" s="15" t="n"/>
    </row>
    <row r="4174">
      <c r="E4174" s="16" t="n"/>
      <c r="F4174" s="15" t="n"/>
    </row>
    <row r="4175">
      <c r="E4175" s="16" t="n"/>
      <c r="F4175" s="15" t="n"/>
    </row>
    <row r="4176">
      <c r="E4176" s="16" t="n"/>
      <c r="F4176" s="15" t="n"/>
    </row>
    <row r="4177">
      <c r="E4177" s="16" t="n"/>
      <c r="F4177" s="15" t="n"/>
    </row>
    <row r="4178">
      <c r="E4178" s="16" t="n"/>
      <c r="F4178" s="15" t="n"/>
    </row>
    <row r="4179">
      <c r="E4179" s="16" t="n"/>
      <c r="F4179" s="15" t="n"/>
    </row>
    <row r="4180">
      <c r="E4180" s="16" t="n"/>
      <c r="F4180" s="15" t="n"/>
    </row>
    <row r="4181">
      <c r="E4181" s="16" t="n"/>
      <c r="F4181" s="15" t="n"/>
    </row>
    <row r="4182">
      <c r="E4182" s="16" t="n"/>
      <c r="F4182" s="15" t="n"/>
    </row>
    <row r="4183">
      <c r="E4183" s="16" t="n"/>
      <c r="F4183" s="15" t="n"/>
    </row>
    <row r="4184">
      <c r="E4184" s="16" t="n"/>
      <c r="F4184" s="15" t="n"/>
    </row>
    <row r="4185">
      <c r="E4185" s="16" t="n"/>
      <c r="F4185" s="15" t="n"/>
    </row>
    <row r="4186">
      <c r="E4186" s="16" t="n"/>
      <c r="F4186" s="15" t="n"/>
    </row>
    <row r="4187">
      <c r="E4187" s="16" t="n"/>
      <c r="F4187" s="15" t="n"/>
    </row>
    <row r="4188">
      <c r="E4188" s="16" t="n"/>
      <c r="F4188" s="15" t="n"/>
    </row>
    <row r="4189">
      <c r="E4189" s="16" t="n"/>
      <c r="F4189" s="15" t="n"/>
    </row>
    <row r="4190">
      <c r="E4190" s="16" t="n"/>
      <c r="F4190" s="15" t="n"/>
    </row>
    <row r="4191">
      <c r="E4191" s="16" t="n"/>
      <c r="F4191" s="15" t="n"/>
    </row>
    <row r="4192">
      <c r="E4192" s="16" t="n"/>
      <c r="F4192" s="15" t="n"/>
    </row>
    <row r="4193">
      <c r="E4193" s="16" t="n"/>
      <c r="F4193" s="15" t="n"/>
    </row>
    <row r="4194">
      <c r="E4194" s="16" t="n"/>
      <c r="F4194" s="15" t="n"/>
    </row>
    <row r="4195">
      <c r="E4195" s="16" t="n"/>
      <c r="F4195" s="15" t="n"/>
    </row>
    <row r="4196">
      <c r="E4196" s="16" t="n"/>
      <c r="F4196" s="15" t="n"/>
    </row>
    <row r="4197">
      <c r="E4197" s="16" t="n"/>
      <c r="F4197" s="15" t="n"/>
    </row>
    <row r="4198">
      <c r="E4198" s="16" t="n"/>
      <c r="F4198" s="15" t="n"/>
    </row>
    <row r="4199">
      <c r="E4199" s="16" t="n"/>
      <c r="F4199" s="15" t="n"/>
    </row>
    <row r="4200">
      <c r="E4200" s="16" t="n"/>
      <c r="F4200" s="15" t="n"/>
    </row>
    <row r="4201">
      <c r="E4201" s="16" t="n"/>
      <c r="F4201" s="15" t="n"/>
    </row>
    <row r="4202">
      <c r="E4202" s="16" t="n"/>
      <c r="F4202" s="15" t="n"/>
    </row>
    <row r="4203">
      <c r="E4203" s="16" t="n"/>
      <c r="F4203" s="15" t="n"/>
    </row>
    <row r="4204">
      <c r="E4204" s="16" t="n"/>
      <c r="F4204" s="15" t="n"/>
    </row>
    <row r="4205">
      <c r="E4205" s="16" t="n"/>
      <c r="F4205" s="15" t="n"/>
    </row>
    <row r="4206">
      <c r="E4206" s="16" t="n"/>
      <c r="F4206" s="15" t="n"/>
    </row>
    <row r="4207">
      <c r="E4207" s="16" t="n"/>
      <c r="F4207" s="15" t="n"/>
    </row>
    <row r="4208">
      <c r="E4208" s="16" t="n"/>
      <c r="F4208" s="15" t="n"/>
    </row>
    <row r="4209">
      <c r="E4209" s="16" t="n"/>
      <c r="F4209" s="15" t="n"/>
    </row>
    <row r="4210">
      <c r="E4210" s="16" t="n"/>
      <c r="F4210" s="15" t="n"/>
    </row>
    <row r="4211">
      <c r="E4211" s="16" t="n"/>
      <c r="F4211" s="15" t="n"/>
    </row>
    <row r="4212">
      <c r="E4212" s="16" t="n"/>
      <c r="F4212" s="15" t="n"/>
    </row>
    <row r="4213">
      <c r="E4213" s="16" t="n"/>
      <c r="F4213" s="15" t="n"/>
    </row>
    <row r="4214">
      <c r="E4214" s="16" t="n"/>
      <c r="F4214" s="15" t="n"/>
    </row>
    <row r="4215">
      <c r="E4215" s="16" t="n"/>
      <c r="F4215" s="15" t="n"/>
    </row>
    <row r="4216">
      <c r="E4216" s="16" t="n"/>
      <c r="F4216" s="15" t="n"/>
    </row>
    <row r="4217">
      <c r="E4217" s="16" t="n"/>
      <c r="F4217" s="15" t="n"/>
    </row>
    <row r="4218">
      <c r="E4218" s="16" t="n"/>
      <c r="F4218" s="15" t="n"/>
    </row>
    <row r="4219">
      <c r="E4219" s="16" t="n"/>
      <c r="F4219" s="15" t="n"/>
    </row>
    <row r="4220">
      <c r="E4220" s="16" t="n"/>
      <c r="F4220" s="15" t="n"/>
    </row>
    <row r="4221">
      <c r="E4221" s="16" t="n"/>
      <c r="F4221" s="15" t="n"/>
    </row>
    <row r="4222">
      <c r="E4222" s="16" t="n"/>
      <c r="F4222" s="15" t="n"/>
    </row>
    <row r="4223">
      <c r="E4223" s="16" t="n"/>
      <c r="F4223" s="15" t="n"/>
    </row>
    <row r="4224">
      <c r="E4224" s="16" t="n"/>
      <c r="F4224" s="15" t="n"/>
    </row>
    <row r="4225">
      <c r="E4225" s="16" t="n"/>
      <c r="F4225" s="15" t="n"/>
    </row>
    <row r="4226">
      <c r="E4226" s="16" t="n"/>
      <c r="F4226" s="15" t="n"/>
    </row>
    <row r="4227">
      <c r="E4227" s="16" t="n"/>
      <c r="F4227" s="15" t="n"/>
    </row>
    <row r="4228">
      <c r="E4228" s="16" t="n"/>
      <c r="F4228" s="15" t="n"/>
    </row>
    <row r="4229">
      <c r="E4229" s="16" t="n"/>
      <c r="F4229" s="15" t="n"/>
    </row>
    <row r="4230">
      <c r="E4230" s="16" t="n"/>
      <c r="F4230" s="15" t="n"/>
    </row>
    <row r="4231">
      <c r="E4231" s="16" t="n"/>
      <c r="F4231" s="15" t="n"/>
    </row>
    <row r="4232">
      <c r="E4232" s="16" t="n"/>
      <c r="F4232" s="15" t="n"/>
    </row>
    <row r="4233">
      <c r="E4233" s="16" t="n"/>
      <c r="F4233" s="15" t="n"/>
    </row>
    <row r="4234">
      <c r="E4234" s="16" t="n"/>
      <c r="F4234" s="15" t="n"/>
    </row>
    <row r="4235">
      <c r="E4235" s="16" t="n"/>
      <c r="F4235" s="15" t="n"/>
    </row>
    <row r="4236">
      <c r="E4236" s="16" t="n"/>
      <c r="F4236" s="15" t="n"/>
    </row>
    <row r="4237">
      <c r="E4237" s="16" t="n"/>
      <c r="F4237" s="15" t="n"/>
    </row>
    <row r="4238">
      <c r="E4238" s="16" t="n"/>
      <c r="F4238" s="15" t="n"/>
    </row>
    <row r="4239">
      <c r="E4239" s="16" t="n"/>
      <c r="F4239" s="15" t="n"/>
    </row>
    <row r="4240">
      <c r="E4240" s="16" t="n"/>
      <c r="F4240" s="15" t="n"/>
    </row>
    <row r="4241">
      <c r="E4241" s="16" t="n"/>
      <c r="F4241" s="15" t="n"/>
    </row>
    <row r="4242">
      <c r="E4242" s="16" t="n"/>
      <c r="F4242" s="15" t="n"/>
    </row>
    <row r="4243">
      <c r="E4243" s="16" t="n"/>
      <c r="F4243" s="15" t="n"/>
    </row>
    <row r="4244">
      <c r="E4244" s="16" t="n"/>
      <c r="F4244" s="15" t="n"/>
    </row>
    <row r="4245">
      <c r="E4245" s="16" t="n"/>
      <c r="F4245" s="15" t="n"/>
    </row>
    <row r="4246">
      <c r="E4246" s="16" t="n"/>
      <c r="F4246" s="15" t="n"/>
    </row>
    <row r="4247">
      <c r="E4247" s="16" t="n"/>
      <c r="F4247" s="15" t="n"/>
    </row>
    <row r="4248">
      <c r="E4248" s="16" t="n"/>
      <c r="F4248" s="15" t="n"/>
    </row>
    <row r="4249">
      <c r="E4249" s="16" t="n"/>
      <c r="F4249" s="15" t="n"/>
    </row>
    <row r="4250">
      <c r="E4250" s="16" t="n"/>
      <c r="F4250" s="15" t="n"/>
    </row>
    <row r="4251">
      <c r="E4251" s="16" t="n"/>
      <c r="F4251" s="15" t="n"/>
    </row>
    <row r="4252">
      <c r="E4252" s="16" t="n"/>
      <c r="F4252" s="15" t="n"/>
    </row>
    <row r="4253">
      <c r="E4253" s="16" t="n"/>
      <c r="F4253" s="15" t="n"/>
    </row>
    <row r="4254">
      <c r="E4254" s="16" t="n"/>
      <c r="F4254" s="15" t="n"/>
    </row>
    <row r="4255">
      <c r="E4255" s="16" t="n"/>
      <c r="F4255" s="15" t="n"/>
    </row>
    <row r="4256">
      <c r="E4256" s="16" t="n"/>
      <c r="F4256" s="15" t="n"/>
    </row>
    <row r="4257">
      <c r="E4257" s="16" t="n"/>
      <c r="F4257" s="15" t="n"/>
    </row>
    <row r="4258">
      <c r="E4258" s="16" t="n"/>
      <c r="F4258" s="15" t="n"/>
    </row>
    <row r="4259">
      <c r="E4259" s="16" t="n"/>
      <c r="F4259" s="15" t="n"/>
    </row>
    <row r="4260">
      <c r="E4260" s="16" t="n"/>
      <c r="F4260" s="15" t="n"/>
    </row>
    <row r="4261">
      <c r="E4261" s="16" t="n"/>
      <c r="F4261" s="15" t="n"/>
    </row>
    <row r="4262">
      <c r="E4262" s="16" t="n"/>
      <c r="F4262" s="15" t="n"/>
    </row>
    <row r="4263">
      <c r="E4263" s="16" t="n"/>
      <c r="F4263" s="15" t="n"/>
    </row>
    <row r="4264">
      <c r="E4264" s="16" t="n"/>
      <c r="F4264" s="15" t="n"/>
    </row>
    <row r="4265">
      <c r="E4265" s="16" t="n"/>
      <c r="F4265" s="15" t="n"/>
    </row>
    <row r="4266">
      <c r="E4266" s="16" t="n"/>
      <c r="F4266" s="15" t="n"/>
    </row>
    <row r="4267">
      <c r="E4267" s="16" t="n"/>
      <c r="F4267" s="15" t="n"/>
    </row>
    <row r="4268">
      <c r="E4268" s="16" t="n"/>
      <c r="F4268" s="15" t="n"/>
    </row>
    <row r="4269">
      <c r="E4269" s="16" t="n"/>
      <c r="F4269" s="15" t="n"/>
    </row>
    <row r="4270">
      <c r="E4270" s="16" t="n"/>
      <c r="F4270" s="15" t="n"/>
    </row>
    <row r="4271">
      <c r="E4271" s="16" t="n"/>
      <c r="F4271" s="15" t="n"/>
    </row>
    <row r="4272">
      <c r="E4272" s="16" t="n"/>
      <c r="F4272" s="15" t="n"/>
    </row>
    <row r="4273">
      <c r="E4273" s="16" t="n"/>
      <c r="F4273" s="15" t="n"/>
    </row>
    <row r="4274">
      <c r="E4274" s="16" t="n"/>
      <c r="F4274" s="15" t="n"/>
    </row>
    <row r="4275">
      <c r="E4275" s="16" t="n"/>
      <c r="F4275" s="15" t="n"/>
    </row>
    <row r="4276">
      <c r="E4276" s="16" t="n"/>
      <c r="F4276" s="15" t="n"/>
    </row>
    <row r="4277">
      <c r="E4277" s="16" t="n"/>
      <c r="F4277" s="15" t="n"/>
    </row>
    <row r="4278">
      <c r="E4278" s="16" t="n"/>
      <c r="F4278" s="15" t="n"/>
    </row>
    <row r="4279">
      <c r="E4279" s="16" t="n"/>
      <c r="F4279" s="15" t="n"/>
    </row>
    <row r="4280">
      <c r="E4280" s="16" t="n"/>
      <c r="F4280" s="15" t="n"/>
    </row>
    <row r="4281">
      <c r="E4281" s="16" t="n"/>
      <c r="F4281" s="15" t="n"/>
    </row>
    <row r="4282">
      <c r="E4282" s="16" t="n"/>
      <c r="F4282" s="15" t="n"/>
    </row>
    <row r="4283">
      <c r="E4283" s="16" t="n"/>
      <c r="F4283" s="15" t="n"/>
    </row>
    <row r="4284">
      <c r="E4284" s="16" t="n"/>
      <c r="F4284" s="15" t="n"/>
    </row>
    <row r="4285">
      <c r="E4285" s="16" t="n"/>
      <c r="F4285" s="15" t="n"/>
    </row>
    <row r="4286">
      <c r="E4286" s="16" t="n"/>
      <c r="F4286" s="15" t="n"/>
    </row>
    <row r="4287">
      <c r="E4287" s="16" t="n"/>
      <c r="F4287" s="15" t="n"/>
    </row>
    <row r="4288">
      <c r="E4288" s="16" t="n"/>
      <c r="F4288" s="15" t="n"/>
    </row>
    <row r="4289">
      <c r="E4289" s="16" t="n"/>
      <c r="F4289" s="15" t="n"/>
    </row>
    <row r="4290">
      <c r="E4290" s="16" t="n"/>
      <c r="F4290" s="15" t="n"/>
    </row>
    <row r="4291">
      <c r="E4291" s="16" t="n"/>
      <c r="F4291" s="15" t="n"/>
    </row>
    <row r="4292">
      <c r="E4292" s="16" t="n"/>
      <c r="F4292" s="15" t="n"/>
    </row>
    <row r="4293">
      <c r="E4293" s="16" t="n"/>
      <c r="F4293" s="15" t="n"/>
    </row>
    <row r="4294">
      <c r="E4294" s="16" t="n"/>
      <c r="F4294" s="15" t="n"/>
    </row>
    <row r="4295">
      <c r="E4295" s="16" t="n"/>
      <c r="F4295" s="15" t="n"/>
    </row>
    <row r="4296">
      <c r="E4296" s="16" t="n"/>
      <c r="F4296" s="15" t="n"/>
    </row>
    <row r="4297">
      <c r="E4297" s="16" t="n"/>
      <c r="F4297" s="15" t="n"/>
    </row>
    <row r="4298">
      <c r="E4298" s="16" t="n"/>
      <c r="F4298" s="15" t="n"/>
    </row>
    <row r="4299">
      <c r="E4299" s="16" t="n"/>
      <c r="F4299" s="15" t="n"/>
    </row>
    <row r="4300">
      <c r="E4300" s="16" t="n"/>
      <c r="F4300" s="15" t="n"/>
    </row>
    <row r="4301">
      <c r="E4301" s="16" t="n"/>
      <c r="F4301" s="15" t="n"/>
    </row>
    <row r="4302">
      <c r="E4302" s="16" t="n"/>
      <c r="F4302" s="15" t="n"/>
    </row>
    <row r="4303">
      <c r="E4303" s="16" t="n"/>
      <c r="F4303" s="15" t="n"/>
    </row>
    <row r="4304">
      <c r="E4304" s="16" t="n"/>
      <c r="F4304" s="15" t="n"/>
    </row>
    <row r="4305">
      <c r="E4305" s="16" t="n"/>
      <c r="F4305" s="15" t="n"/>
    </row>
    <row r="4306">
      <c r="E4306" s="16" t="n"/>
      <c r="F4306" s="15" t="n"/>
    </row>
    <row r="4307">
      <c r="E4307" s="16" t="n"/>
      <c r="F4307" s="15" t="n"/>
    </row>
    <row r="4308">
      <c r="E4308" s="16" t="n"/>
      <c r="F4308" s="15" t="n"/>
    </row>
    <row r="4309">
      <c r="E4309" s="16" t="n"/>
      <c r="F4309" s="15" t="n"/>
    </row>
    <row r="4310">
      <c r="E4310" s="16" t="n"/>
      <c r="F4310" s="15" t="n"/>
    </row>
    <row r="4311">
      <c r="E4311" s="16" t="n"/>
      <c r="F4311" s="15" t="n"/>
    </row>
    <row r="4312">
      <c r="E4312" s="16" t="n"/>
      <c r="F4312" s="15" t="n"/>
    </row>
    <row r="4313">
      <c r="E4313" s="16" t="n"/>
      <c r="F4313" s="15" t="n"/>
    </row>
    <row r="4314">
      <c r="E4314" s="16" t="n"/>
      <c r="F4314" s="15" t="n"/>
    </row>
    <row r="4315">
      <c r="E4315" s="16" t="n"/>
      <c r="F4315" s="15" t="n"/>
    </row>
    <row r="4316">
      <c r="E4316" s="16" t="n"/>
      <c r="F4316" s="15" t="n"/>
    </row>
    <row r="4317">
      <c r="E4317" s="16" t="n"/>
      <c r="F4317" s="15" t="n"/>
    </row>
    <row r="4318">
      <c r="E4318" s="16" t="n"/>
      <c r="F4318" s="15" t="n"/>
    </row>
    <row r="4319">
      <c r="E4319" s="16" t="n"/>
      <c r="F4319" s="15" t="n"/>
    </row>
    <row r="4320">
      <c r="E4320" s="16" t="n"/>
      <c r="F4320" s="15" t="n"/>
    </row>
    <row r="4321">
      <c r="E4321" s="16" t="n"/>
      <c r="F4321" s="15" t="n"/>
    </row>
    <row r="4322">
      <c r="E4322" s="16" t="n"/>
      <c r="F4322" s="15" t="n"/>
    </row>
    <row r="4323">
      <c r="E4323" s="16" t="n"/>
      <c r="F4323" s="15" t="n"/>
    </row>
    <row r="4324">
      <c r="E4324" s="16" t="n"/>
      <c r="F4324" s="15" t="n"/>
    </row>
    <row r="4325">
      <c r="E4325" s="16" t="n"/>
      <c r="F4325" s="15" t="n"/>
    </row>
    <row r="4326">
      <c r="E4326" s="16" t="n"/>
      <c r="F4326" s="15" t="n"/>
    </row>
    <row r="4327">
      <c r="E4327" s="16" t="n"/>
      <c r="F4327" s="15" t="n"/>
    </row>
    <row r="4328">
      <c r="E4328" s="16" t="n"/>
      <c r="F4328" s="15" t="n"/>
    </row>
    <row r="4329">
      <c r="E4329" s="16" t="n"/>
      <c r="F4329" s="15" t="n"/>
    </row>
    <row r="4330">
      <c r="E4330" s="16" t="n"/>
      <c r="F4330" s="15" t="n"/>
    </row>
    <row r="4331">
      <c r="E4331" s="16" t="n"/>
      <c r="F4331" s="15" t="n"/>
    </row>
    <row r="4332">
      <c r="E4332" s="16" t="n"/>
      <c r="F4332" s="15" t="n"/>
    </row>
    <row r="4333">
      <c r="E4333" s="16" t="n"/>
      <c r="F4333" s="15" t="n"/>
    </row>
    <row r="4334">
      <c r="E4334" s="16" t="n"/>
      <c r="F4334" s="15" t="n"/>
    </row>
    <row r="4335">
      <c r="E4335" s="16" t="n"/>
      <c r="F4335" s="15" t="n"/>
    </row>
    <row r="4336">
      <c r="E4336" s="16" t="n"/>
      <c r="F4336" s="15" t="n"/>
    </row>
    <row r="4337">
      <c r="E4337" s="16" t="n"/>
      <c r="F4337" s="15" t="n"/>
    </row>
    <row r="4338">
      <c r="E4338" s="16" t="n"/>
      <c r="F4338" s="15" t="n"/>
    </row>
    <row r="4339">
      <c r="E4339" s="16" t="n"/>
      <c r="F4339" s="15" t="n"/>
    </row>
    <row r="4340">
      <c r="E4340" s="16" t="n"/>
      <c r="F4340" s="15" t="n"/>
    </row>
    <row r="4341">
      <c r="E4341" s="16" t="n"/>
      <c r="F4341" s="15" t="n"/>
    </row>
    <row r="4342">
      <c r="E4342" s="16" t="n"/>
      <c r="F4342" s="15" t="n"/>
    </row>
    <row r="4343">
      <c r="E4343" s="16" t="n"/>
      <c r="F4343" s="15" t="n"/>
    </row>
    <row r="4344">
      <c r="E4344" s="16" t="n"/>
      <c r="F4344" s="15" t="n"/>
    </row>
    <row r="4345">
      <c r="E4345" s="16" t="n"/>
      <c r="F4345" s="15" t="n"/>
    </row>
    <row r="4346">
      <c r="E4346" s="16" t="n"/>
      <c r="F4346" s="15" t="n"/>
    </row>
    <row r="4347">
      <c r="E4347" s="16" t="n"/>
      <c r="F4347" s="15" t="n"/>
    </row>
    <row r="4348">
      <c r="E4348" s="16" t="n"/>
      <c r="F4348" s="15" t="n"/>
    </row>
    <row r="4349">
      <c r="E4349" s="16" t="n"/>
      <c r="F4349" s="15" t="n"/>
    </row>
    <row r="4350">
      <c r="E4350" s="16" t="n"/>
      <c r="F4350" s="15" t="n"/>
    </row>
    <row r="4351">
      <c r="E4351" s="16" t="n"/>
      <c r="F4351" s="15" t="n"/>
    </row>
    <row r="4352">
      <c r="E4352" s="16" t="n"/>
      <c r="F4352" s="15" t="n"/>
    </row>
    <row r="4353">
      <c r="E4353" s="16" t="n"/>
      <c r="F4353" s="15" t="n"/>
    </row>
    <row r="4354">
      <c r="E4354" s="16" t="n"/>
      <c r="F4354" s="15" t="n"/>
    </row>
    <row r="4355">
      <c r="E4355" s="16" t="n"/>
      <c r="F4355" s="15" t="n"/>
    </row>
    <row r="4356">
      <c r="E4356" s="16" t="n"/>
      <c r="F4356" s="15" t="n"/>
    </row>
    <row r="4357">
      <c r="E4357" s="16" t="n"/>
      <c r="F4357" s="15" t="n"/>
    </row>
    <row r="4358">
      <c r="E4358" s="16" t="n"/>
      <c r="F4358" s="15" t="n"/>
    </row>
    <row r="4359">
      <c r="E4359" s="16" t="n"/>
      <c r="F4359" s="15" t="n"/>
    </row>
    <row r="4360">
      <c r="E4360" s="16" t="n"/>
      <c r="F4360" s="15" t="n"/>
    </row>
    <row r="4361">
      <c r="E4361" s="16" t="n"/>
      <c r="F4361" s="15" t="n"/>
    </row>
    <row r="4362">
      <c r="E4362" s="16" t="n"/>
      <c r="F4362" s="15" t="n"/>
    </row>
    <row r="4363">
      <c r="E4363" s="16" t="n"/>
      <c r="F4363" s="15" t="n"/>
    </row>
    <row r="4364">
      <c r="E4364" s="16" t="n"/>
      <c r="F4364" s="15" t="n"/>
    </row>
    <row r="4365">
      <c r="E4365" s="16" t="n"/>
      <c r="F4365" s="15" t="n"/>
    </row>
    <row r="4366">
      <c r="E4366" s="16" t="n"/>
      <c r="F4366" s="15" t="n"/>
    </row>
    <row r="4367">
      <c r="E4367" s="16" t="n"/>
      <c r="F4367" s="15" t="n"/>
    </row>
    <row r="4368">
      <c r="E4368" s="16" t="n"/>
      <c r="F4368" s="15" t="n"/>
    </row>
    <row r="4369">
      <c r="E4369" s="16" t="n"/>
      <c r="F4369" s="15" t="n"/>
    </row>
    <row r="4370">
      <c r="E4370" s="16" t="n"/>
      <c r="F4370" s="15" t="n"/>
    </row>
    <row r="4371">
      <c r="E4371" s="16" t="n"/>
      <c r="F4371" s="15" t="n"/>
    </row>
    <row r="4372">
      <c r="E4372" s="16" t="n"/>
      <c r="F4372" s="15" t="n"/>
    </row>
    <row r="4373">
      <c r="E4373" s="16" t="n"/>
      <c r="F4373" s="15"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540"/>
  <sheetViews>
    <sheetView workbookViewId="0">
      <selection activeCell="A1" sqref="A1"/>
    </sheetView>
  </sheetViews>
  <sheetFormatPr baseColWidth="8" defaultColWidth="9" defaultRowHeight="15.75"/>
  <cols>
    <col width="14" customWidth="1" style="19" min="1" max="5"/>
    <col width="16" customWidth="1" min="2" max="2"/>
    <col width="18" customWidth="1" min="3" max="3"/>
    <col width="16" customWidth="1" min="4" max="4"/>
    <col width="16" customWidth="1" min="5" max="5"/>
    <col width="16" customWidth="1" min="6" max="9"/>
    <col width="14" customWidth="1" min="7" max="7"/>
    <col width="12" customWidth="1" min="8" max="8"/>
    <col width="20" customWidth="1" min="9" max="9"/>
    <col width="26" customWidth="1" min="10" max="10"/>
    <col width="11" customWidth="1" min="11" max="11"/>
  </cols>
  <sheetData>
    <row r="1">
      <c r="A1" s="57" t="inlineStr">
        <is>
          <t>User</t>
        </is>
      </c>
      <c r="B1" s="57" t="inlineStr">
        <is>
          <t>Reporting Month</t>
        </is>
      </c>
      <c r="C1" s="57" t="inlineStr">
        <is>
          <t>Contracted Hours</t>
        </is>
      </c>
      <c r="D1" s="57" t="inlineStr">
        <is>
          <t>Available Hours</t>
        </is>
      </c>
      <c r="E1" s="57" t="inlineStr">
        <is>
          <t>Occupied Hours</t>
        </is>
      </c>
      <c r="F1" s="58" t="inlineStr">
        <is>
          <t>Availability %</t>
        </is>
      </c>
      <c r="G1" s="58" t="inlineStr">
        <is>
          <t>Service</t>
        </is>
      </c>
      <c r="H1" s="58" t="inlineStr">
        <is>
          <t>Band</t>
        </is>
      </c>
      <c r="I1" s="58" t="inlineStr">
        <is>
          <t>Service A &amp; Band 3</t>
        </is>
      </c>
      <c r="J1" s="59" t="inlineStr">
        <is>
          <t>Q4 Eligible Availability %</t>
        </is>
      </c>
    </row>
    <row r="2">
      <c r="A2" s="19" t="inlineStr">
        <is>
          <t>User1000</t>
        </is>
      </c>
      <c r="B2" s="60" t="n">
        <v>45992</v>
      </c>
      <c r="C2" s="21" t="n">
        <v>155.4</v>
      </c>
      <c r="D2" s="21" t="n">
        <v>0.5</v>
      </c>
      <c r="E2" s="21" t="n">
        <v>0.5</v>
      </c>
      <c r="F2" s="27">
        <f>IFERROR(IF(OR(C2="",D2="",C2=0),"",D2/C2),"")</f>
        <v/>
      </c>
      <c r="G2" s="21">
        <f>IFERROR(INDEX(Users!$A$2:$A$310,MATCH(A2,Users!$B$2:$B$310,0)),"")</f>
        <v/>
      </c>
      <c r="H2" s="21">
        <f>IFERROR(INDEX(Users!$D$2:$D$310,MATCH(A2,Users!$B$2:$B$310,0)),"")</f>
        <v/>
      </c>
      <c r="I2" s="19">
        <f>AND(G2="Service A",H2="Band 3")</f>
        <v/>
      </c>
      <c r="J2" s="33">
        <f>IF(AND(YEAR(B2)=2025,G2="Service B",OR(H2="Band 3",H2="Band 5"),ISNUMBER(F2)),F2,"")</f>
        <v/>
      </c>
    </row>
    <row r="3">
      <c r="A3" s="19" t="inlineStr">
        <is>
          <t>User1000</t>
        </is>
      </c>
      <c r="B3" s="60" t="n">
        <v>46023</v>
      </c>
      <c r="C3" s="21" t="n">
        <v>155.4</v>
      </c>
      <c r="D3" s="21" t="n"/>
      <c r="E3" s="21" t="n"/>
      <c r="F3" s="27">
        <f>IFERROR(IF(OR(C3="",D3="",C3=0),"",D3/C3),"")</f>
        <v/>
      </c>
      <c r="G3" s="21">
        <f>IFERROR(INDEX(Users!$A$2:$A$310,MATCH(A3,Users!$B$2:$B$310,0)),"")</f>
        <v/>
      </c>
      <c r="H3" s="21">
        <f>IFERROR(INDEX(Users!$D$2:$D$310,MATCH(A3,Users!$B$2:$B$310,0)),"")</f>
        <v/>
      </c>
      <c r="I3" s="19">
        <f>AND(G3="Service A",H3="Band 3")</f>
        <v/>
      </c>
      <c r="J3" s="33">
        <f>IF(AND(YEAR(B3)=2025,G3="Service B",OR(H3="Band 3",H3="Band 5"),ISNUMBER(F3)),F3,"")</f>
        <v/>
      </c>
    </row>
    <row r="4">
      <c r="A4" s="19" t="inlineStr">
        <is>
          <t>User1001</t>
        </is>
      </c>
      <c r="B4" s="60" t="n">
        <v>45901</v>
      </c>
      <c r="C4" s="21" t="n">
        <v>51.8</v>
      </c>
      <c r="D4" s="21" t="n">
        <v>14.8</v>
      </c>
      <c r="E4" s="21" t="n"/>
      <c r="F4" s="27">
        <f>IFERROR(IF(OR(C4="",D4="",C4=0),"",D4/C4),"")</f>
        <v/>
      </c>
      <c r="G4" s="21">
        <f>IFERROR(INDEX(Users!$A$2:$A$310,MATCH(A4,Users!$B$2:$B$310,0)),"")</f>
        <v/>
      </c>
      <c r="H4" s="21">
        <f>IFERROR(INDEX(Users!$D$2:$D$310,MATCH(A4,Users!$B$2:$B$310,0)),"")</f>
        <v/>
      </c>
      <c r="I4" s="19">
        <f>AND(G4="Service A",H4="Band 3")</f>
        <v/>
      </c>
      <c r="J4" s="33">
        <f>IF(AND(YEAR(B4)=2025,G4="Service B",OR(H4="Band 3",H4="Band 5"),ISNUMBER(F4)),F4,"")</f>
        <v/>
      </c>
    </row>
    <row r="5">
      <c r="A5" s="19" t="inlineStr">
        <is>
          <t>User1001</t>
        </is>
      </c>
      <c r="B5" s="60" t="n">
        <v>45931</v>
      </c>
      <c r="C5" s="21" t="n">
        <v>170.2</v>
      </c>
      <c r="D5" s="21" t="n">
        <v>170.7</v>
      </c>
      <c r="E5" s="21" t="n">
        <v>41</v>
      </c>
      <c r="F5" s="27">
        <f>IFERROR(IF(OR(C5="",D5="",C5=0),"",D5/C5),"")</f>
        <v/>
      </c>
      <c r="G5" s="21">
        <f>IFERROR(INDEX(Users!$A$2:$A$310,MATCH(A5,Users!$B$2:$B$310,0)),"")</f>
        <v/>
      </c>
      <c r="H5" s="21">
        <f>IFERROR(INDEX(Users!$D$2:$D$310,MATCH(A5,Users!$B$2:$B$310,0)),"")</f>
        <v/>
      </c>
      <c r="I5" s="19">
        <f>AND(G5="Service A",H5="Band 3")</f>
        <v/>
      </c>
      <c r="J5" s="33">
        <f>IF(AND(YEAR(B5)=2025,G5="Service B",OR(H5="Band 3",H5="Band 5"),ISNUMBER(F5)),F5,"")</f>
        <v/>
      </c>
    </row>
    <row r="6">
      <c r="A6" s="19" t="inlineStr">
        <is>
          <t>User1001</t>
        </is>
      </c>
      <c r="B6" s="60" t="n">
        <v>45962</v>
      </c>
      <c r="C6" s="21" t="n">
        <v>148</v>
      </c>
      <c r="D6" s="21" t="n">
        <v>148.2033333333333</v>
      </c>
      <c r="E6" s="21" t="n">
        <v>36.12</v>
      </c>
      <c r="F6" s="27">
        <f>IFERROR(IF(OR(C6="",D6="",C6=0),"",D6/C6),"")</f>
        <v/>
      </c>
      <c r="G6" s="21">
        <f>IFERROR(INDEX(Users!$A$2:$A$310,MATCH(A6,Users!$B$2:$B$310,0)),"")</f>
        <v/>
      </c>
      <c r="H6" s="21">
        <f>IFERROR(INDEX(Users!$D$2:$D$310,MATCH(A6,Users!$B$2:$B$310,0)),"")</f>
        <v/>
      </c>
      <c r="I6" s="19">
        <f>AND(G6="Service A",H6="Band 3")</f>
        <v/>
      </c>
      <c r="J6" s="33">
        <f>IF(AND(YEAR(B6)=2025,G6="Service B",OR(H6="Band 3",H6="Band 5"),ISNUMBER(F6)),F6,"")</f>
        <v/>
      </c>
    </row>
    <row r="7" ht="15.4" customHeight="1">
      <c r="A7" s="19" t="inlineStr">
        <is>
          <t>User1001</t>
        </is>
      </c>
      <c r="B7" s="60" t="n">
        <v>45992</v>
      </c>
      <c r="C7" s="21" t="n">
        <v>155.4</v>
      </c>
      <c r="D7" s="21" t="n">
        <v>152.5966666666667</v>
      </c>
      <c r="E7" s="21" t="n">
        <v>73.03</v>
      </c>
      <c r="F7" s="27">
        <f>IFERROR(IF(OR(C7="",D7="",C7=0),"",D7/C7),"")</f>
        <v/>
      </c>
      <c r="G7" s="21">
        <f>IFERROR(INDEX(Users!$A$2:$A$310,MATCH(A7,Users!$B$2:$B$310,0)),"")</f>
        <v/>
      </c>
      <c r="H7" s="21">
        <f>IFERROR(INDEX(Users!$D$2:$D$310,MATCH(A7,Users!$B$2:$B$310,0)),"")</f>
        <v/>
      </c>
      <c r="I7" s="19">
        <f>AND(G7="Service A",H7="Band 3")</f>
        <v/>
      </c>
      <c r="J7" s="33">
        <f>IF(AND(YEAR(B7)=2025,G7="Service B",OR(H7="Band 3",H7="Band 5"),ISNUMBER(F7)),F7,"")</f>
        <v/>
      </c>
    </row>
    <row r="8">
      <c r="A8" s="19" t="inlineStr">
        <is>
          <t>User1001</t>
        </is>
      </c>
      <c r="B8" s="60" t="n">
        <v>46023</v>
      </c>
      <c r="C8" s="21" t="n">
        <v>155.4</v>
      </c>
      <c r="D8" s="21" t="n">
        <v>157.2200000000001</v>
      </c>
      <c r="E8" s="21" t="n">
        <v>72.32000000000008</v>
      </c>
      <c r="F8" s="27">
        <f>IFERROR(IF(OR(C8="",D8="",C8=0),"",D8/C8),"")</f>
        <v/>
      </c>
      <c r="G8" s="21">
        <f>IFERROR(INDEX(Users!$A$2:$A$310,MATCH(A8,Users!$B$2:$B$310,0)),"")</f>
        <v/>
      </c>
      <c r="H8" s="21">
        <f>IFERROR(INDEX(Users!$D$2:$D$310,MATCH(A8,Users!$B$2:$B$310,0)),"")</f>
        <v/>
      </c>
      <c r="I8" s="19">
        <f>AND(G8="Service A",H8="Band 3")</f>
        <v/>
      </c>
      <c r="J8" s="33">
        <f>IF(AND(YEAR(B8)=2025,G8="Service B",OR(H8="Band 3",H8="Band 5"),ISNUMBER(F8)),F8,"")</f>
        <v/>
      </c>
    </row>
    <row r="9">
      <c r="A9" s="19" t="inlineStr">
        <is>
          <t>User1002</t>
        </is>
      </c>
      <c r="B9" s="60" t="n">
        <v>45931</v>
      </c>
      <c r="C9" s="21" t="n">
        <v>118.4</v>
      </c>
      <c r="D9" s="21" t="n">
        <v>126.95</v>
      </c>
      <c r="E9" s="21" t="n">
        <v>96.39999999999999</v>
      </c>
      <c r="F9" s="27">
        <f>IFERROR(IF(OR(C9="",D9="",C9=0),"",D9/C9),"")</f>
        <v/>
      </c>
      <c r="G9" s="21">
        <f>IFERROR(INDEX(Users!$A$2:$A$310,MATCH(A9,Users!$B$2:$B$310,0)),"")</f>
        <v/>
      </c>
      <c r="H9" s="21">
        <f>IFERROR(INDEX(Users!$D$2:$D$310,MATCH(A9,Users!$B$2:$B$310,0)),"")</f>
        <v/>
      </c>
      <c r="I9" s="19">
        <f>AND(G9="Service A",H9="Band 3")</f>
        <v/>
      </c>
      <c r="J9" s="33">
        <f>IF(AND(YEAR(B9)=2025,G9="Service B",OR(H9="Band 3",H9="Band 5"),ISNUMBER(F9)),F9,"")</f>
        <v/>
      </c>
    </row>
    <row r="10">
      <c r="A10" s="19" t="inlineStr">
        <is>
          <t>User1002</t>
        </is>
      </c>
      <c r="B10" s="60" t="n">
        <v>45962</v>
      </c>
      <c r="C10" s="21" t="n">
        <v>118.4</v>
      </c>
      <c r="D10" s="21" t="n">
        <v>58.79333333333333</v>
      </c>
      <c r="E10" s="21" t="n">
        <v>46.91</v>
      </c>
      <c r="F10" s="27">
        <f>IFERROR(IF(OR(C10="",D10="",C10=0),"",D10/C10),"")</f>
        <v/>
      </c>
      <c r="G10" s="21">
        <f>IFERROR(INDEX(Users!$A$2:$A$310,MATCH(A10,Users!$B$2:$B$310,0)),"")</f>
        <v/>
      </c>
      <c r="H10" s="21">
        <f>IFERROR(INDEX(Users!$D$2:$D$310,MATCH(A10,Users!$B$2:$B$310,0)),"")</f>
        <v/>
      </c>
      <c r="I10" s="19">
        <f>AND(G10="Service A",H10="Band 3")</f>
        <v/>
      </c>
      <c r="J10" s="33">
        <f>IF(AND(YEAR(B10)=2025,G10="Service B",OR(H10="Band 3",H10="Band 5"),ISNUMBER(F10)),F10,"")</f>
        <v/>
      </c>
    </row>
    <row r="11">
      <c r="A11" s="19" t="inlineStr">
        <is>
          <t>User1002</t>
        </is>
      </c>
      <c r="B11" s="60" t="n">
        <v>45992</v>
      </c>
      <c r="C11" s="21" t="n">
        <v>118.4</v>
      </c>
      <c r="D11" s="21" t="n">
        <v>1.08</v>
      </c>
      <c r="E11" s="21" t="n">
        <v>1.08</v>
      </c>
      <c r="F11" s="27">
        <f>IFERROR(IF(OR(C11="",D11="",C11=0),"",D11/C11),"")</f>
        <v/>
      </c>
      <c r="G11" s="21">
        <f>IFERROR(INDEX(Users!$A$2:$A$310,MATCH(A11,Users!$B$2:$B$310,0)),"")</f>
        <v/>
      </c>
      <c r="H11" s="21">
        <f>IFERROR(INDEX(Users!$D$2:$D$310,MATCH(A11,Users!$B$2:$B$310,0)),"")</f>
        <v/>
      </c>
      <c r="I11" s="19">
        <f>AND(G11="Service A",H11="Band 3")</f>
        <v/>
      </c>
      <c r="J11" s="33">
        <f>IF(AND(YEAR(B11)=2025,G11="Service B",OR(H11="Band 3",H11="Band 5"),ISNUMBER(F11)),F11,"")</f>
        <v/>
      </c>
    </row>
    <row r="12">
      <c r="A12" s="19" t="inlineStr">
        <is>
          <t>User1002</t>
        </is>
      </c>
      <c r="B12" s="60" t="n">
        <v>46023</v>
      </c>
      <c r="C12" s="21" t="n">
        <v>37</v>
      </c>
      <c r="D12" s="21" t="n">
        <v>13.03333333333333</v>
      </c>
      <c r="E12" s="21" t="n">
        <v>4</v>
      </c>
      <c r="F12" s="27">
        <f>IFERROR(IF(OR(C12="",D12="",C12=0),"",D12/C12),"")</f>
        <v/>
      </c>
      <c r="G12" s="21">
        <f>IFERROR(INDEX(Users!$A$2:$A$310,MATCH(A12,Users!$B$2:$B$310,0)),"")</f>
        <v/>
      </c>
      <c r="H12" s="21">
        <f>IFERROR(INDEX(Users!$D$2:$D$310,MATCH(A12,Users!$B$2:$B$310,0)),"")</f>
        <v/>
      </c>
      <c r="I12" s="19">
        <f>AND(G12="Service A",H12="Band 3")</f>
        <v/>
      </c>
      <c r="J12" s="33">
        <f>IF(AND(YEAR(B12)=2025,G12="Service B",OR(H12="Band 3",H12="Band 5"),ISNUMBER(F12)),F12,"")</f>
        <v/>
      </c>
    </row>
    <row r="13">
      <c r="A13" s="19" t="inlineStr">
        <is>
          <t>User1003</t>
        </is>
      </c>
      <c r="B13" s="60" t="n">
        <v>45992</v>
      </c>
      <c r="C13" s="21" t="n">
        <v>155.4</v>
      </c>
      <c r="D13" s="21" t="n">
        <v>75.01666666666667</v>
      </c>
      <c r="E13" s="21" t="n">
        <v>0.25</v>
      </c>
      <c r="F13" s="27">
        <f>IFERROR(IF(OR(C13="",D13="",C13=0),"",D13/C13),"")</f>
        <v/>
      </c>
      <c r="G13" s="21">
        <f>IFERROR(INDEX(Users!$A$2:$A$310,MATCH(A13,Users!$B$2:$B$310,0)),"")</f>
        <v/>
      </c>
      <c r="H13" s="21">
        <f>IFERROR(INDEX(Users!$D$2:$D$310,MATCH(A13,Users!$B$2:$B$310,0)),"")</f>
        <v/>
      </c>
      <c r="I13" s="19">
        <f>AND(G13="Service A",H13="Band 3")</f>
        <v/>
      </c>
      <c r="J13" s="33">
        <f>IF(AND(YEAR(B13)=2025,G13="Service B",OR(H13="Band 3",H13="Band 5"),ISNUMBER(F13)),F13,"")</f>
        <v/>
      </c>
    </row>
    <row r="14">
      <c r="A14" s="19" t="inlineStr">
        <is>
          <t>User1003</t>
        </is>
      </c>
      <c r="B14" s="60" t="n">
        <v>46023</v>
      </c>
      <c r="C14" s="21" t="n">
        <v>155.4</v>
      </c>
      <c r="D14" s="21" t="n">
        <v>152.0533333333334</v>
      </c>
      <c r="E14" s="21" t="n">
        <v>15.32</v>
      </c>
      <c r="F14" s="27">
        <f>IFERROR(IF(OR(C14="",D14="",C14=0),"",D14/C14),"")</f>
        <v/>
      </c>
      <c r="G14" s="21">
        <f>IFERROR(INDEX(Users!$A$2:$A$310,MATCH(A14,Users!$B$2:$B$310,0)),"")</f>
        <v/>
      </c>
      <c r="H14" s="21">
        <f>IFERROR(INDEX(Users!$D$2:$D$310,MATCH(A14,Users!$B$2:$B$310,0)),"")</f>
        <v/>
      </c>
      <c r="I14" s="19">
        <f>AND(G14="Service A",H14="Band 3")</f>
        <v/>
      </c>
      <c r="J14" s="33">
        <f>IF(AND(YEAR(B14)=2025,G14="Service B",OR(H14="Band 3",H14="Band 5"),ISNUMBER(F14)),F14,"")</f>
        <v/>
      </c>
    </row>
    <row r="15">
      <c r="A15" s="19" t="inlineStr">
        <is>
          <t>User1004</t>
        </is>
      </c>
      <c r="B15" s="60" t="n">
        <v>45901</v>
      </c>
      <c r="C15" s="21" t="n">
        <v>92.5</v>
      </c>
      <c r="D15" s="21" t="n">
        <v>75.37999999999998</v>
      </c>
      <c r="E15" s="21" t="n">
        <v>49.37999999999997</v>
      </c>
      <c r="F15" s="27">
        <f>IFERROR(IF(OR(C15="",D15="",C15=0),"",D15/C15),"")</f>
        <v/>
      </c>
      <c r="G15" s="21">
        <f>IFERROR(INDEX(Users!$A$2:$A$310,MATCH(A15,Users!$B$2:$B$310,0)),"")</f>
        <v/>
      </c>
      <c r="H15" s="21">
        <f>IFERROR(INDEX(Users!$D$2:$D$310,MATCH(A15,Users!$B$2:$B$310,0)),"")</f>
        <v/>
      </c>
      <c r="I15" s="19">
        <f>AND(G15="Service A",H15="Band 3")</f>
        <v/>
      </c>
      <c r="J15" s="33">
        <f>IF(AND(YEAR(B15)=2025,G15="Service B",OR(H15="Band 3",H15="Band 5"),ISNUMBER(F15)),F15,"")</f>
        <v/>
      </c>
    </row>
    <row r="16">
      <c r="A16" s="19" t="inlineStr">
        <is>
          <t>User1004</t>
        </is>
      </c>
      <c r="B16" s="60" t="n">
        <v>45931</v>
      </c>
      <c r="C16" s="21" t="n">
        <v>166.5</v>
      </c>
      <c r="D16" s="21" t="n">
        <v>150.02</v>
      </c>
      <c r="E16" s="21" t="n">
        <v>90.27000000000002</v>
      </c>
      <c r="F16" s="27">
        <f>IFERROR(IF(OR(C16="",D16="",C16=0),"",D16/C16),"")</f>
        <v/>
      </c>
      <c r="G16" s="21">
        <f>IFERROR(INDEX(Users!$A$2:$A$310,MATCH(A16,Users!$B$2:$B$310,0)),"")</f>
        <v/>
      </c>
      <c r="H16" s="21">
        <f>IFERROR(INDEX(Users!$D$2:$D$310,MATCH(A16,Users!$B$2:$B$310,0)),"")</f>
        <v/>
      </c>
      <c r="I16" s="19">
        <f>AND(G16="Service A",H16="Band 3")</f>
        <v/>
      </c>
      <c r="J16" s="33">
        <f>IF(AND(YEAR(B16)=2025,G16="Service B",OR(H16="Band 3",H16="Band 5"),ISNUMBER(F16)),F16,"")</f>
        <v/>
      </c>
    </row>
    <row r="17">
      <c r="A17" s="19" t="inlineStr">
        <is>
          <t>User1004</t>
        </is>
      </c>
      <c r="B17" s="60" t="n">
        <v>45962</v>
      </c>
      <c r="C17" s="21" t="n">
        <v>148</v>
      </c>
      <c r="D17" s="21" t="n">
        <v>145.55</v>
      </c>
      <c r="E17" s="21" t="n">
        <v>87.55000000000003</v>
      </c>
      <c r="F17" s="27">
        <f>IFERROR(IF(OR(C17="",D17="",C17=0),"",D17/C17),"")</f>
        <v/>
      </c>
      <c r="G17" s="21">
        <f>IFERROR(INDEX(Users!$A$2:$A$310,MATCH(A17,Users!$B$2:$B$310,0)),"")</f>
        <v/>
      </c>
      <c r="H17" s="21">
        <f>IFERROR(INDEX(Users!$D$2:$D$310,MATCH(A17,Users!$B$2:$B$310,0)),"")</f>
        <v/>
      </c>
      <c r="I17" s="19">
        <f>AND(G17="Service A",H17="Band 3")</f>
        <v/>
      </c>
      <c r="J17" s="33">
        <f>IF(AND(YEAR(B17)=2025,G17="Service B",OR(H17="Band 3",H17="Band 5"),ISNUMBER(F17)),F17,"")</f>
        <v/>
      </c>
    </row>
    <row r="18">
      <c r="A18" s="19" t="inlineStr">
        <is>
          <t>User1004</t>
        </is>
      </c>
      <c r="B18" s="60" t="n">
        <v>45992</v>
      </c>
      <c r="C18" s="21" t="n">
        <v>166.5</v>
      </c>
      <c r="D18" s="21" t="n">
        <v>154.4766666666666</v>
      </c>
      <c r="E18" s="21" t="n">
        <v>92.80999999999995</v>
      </c>
      <c r="F18" s="27">
        <f>IFERROR(IF(OR(C18="",D18="",C18=0),"",D18/C18),"")</f>
        <v/>
      </c>
      <c r="G18" s="21">
        <f>IFERROR(INDEX(Users!$A$2:$A$310,MATCH(A18,Users!$B$2:$B$310,0)),"")</f>
        <v/>
      </c>
      <c r="H18" s="21">
        <f>IFERROR(INDEX(Users!$D$2:$D$310,MATCH(A18,Users!$B$2:$B$310,0)),"")</f>
        <v/>
      </c>
      <c r="I18" s="19">
        <f>AND(G18="Service A",H18="Band 3")</f>
        <v/>
      </c>
      <c r="J18" s="33">
        <f>IF(AND(YEAR(B18)=2025,G18="Service B",OR(H18="Band 3",H18="Band 5"),ISNUMBER(F18)),F18,"")</f>
        <v/>
      </c>
    </row>
    <row r="19">
      <c r="A19" s="19" t="inlineStr">
        <is>
          <t>User1004</t>
        </is>
      </c>
      <c r="B19" s="60" t="n">
        <v>46023</v>
      </c>
      <c r="C19" s="21" t="n">
        <v>148</v>
      </c>
      <c r="D19" s="21" t="n">
        <v>94.04999999999998</v>
      </c>
      <c r="E19" s="21" t="n">
        <v>59.49999999999998</v>
      </c>
      <c r="F19" s="27">
        <f>IFERROR(IF(OR(C19="",D19="",C19=0),"",D19/C19),"")</f>
        <v/>
      </c>
      <c r="G19" s="21">
        <f>IFERROR(INDEX(Users!$A$2:$A$310,MATCH(A19,Users!$B$2:$B$310,0)),"")</f>
        <v/>
      </c>
      <c r="H19" s="21">
        <f>IFERROR(INDEX(Users!$D$2:$D$310,MATCH(A19,Users!$B$2:$B$310,0)),"")</f>
        <v/>
      </c>
      <c r="I19" s="19">
        <f>AND(G19="Service A",H19="Band 3")</f>
        <v/>
      </c>
      <c r="J19" s="33">
        <f>IF(AND(YEAR(B19)=2025,G19="Service B",OR(H19="Band 3",H19="Band 5"),ISNUMBER(F19)),F19,"")</f>
        <v/>
      </c>
    </row>
    <row r="20">
      <c r="A20" s="19" t="inlineStr">
        <is>
          <t>User1005</t>
        </is>
      </c>
      <c r="B20" s="60" t="n">
        <v>45931</v>
      </c>
      <c r="C20" s="21" t="n">
        <v>148.0000000000001</v>
      </c>
      <c r="D20" s="21" t="n">
        <v>117.7666666666667</v>
      </c>
      <c r="E20" s="21" t="n"/>
      <c r="F20" s="27">
        <f>IFERROR(IF(OR(C20="",D20="",C20=0),"",D20/C20),"")</f>
        <v/>
      </c>
      <c r="G20" s="21">
        <f>IFERROR(INDEX(Users!$A$2:$A$310,MATCH(A20,Users!$B$2:$B$310,0)),"")</f>
        <v/>
      </c>
      <c r="H20" s="21">
        <f>IFERROR(INDEX(Users!$D$2:$D$310,MATCH(A20,Users!$B$2:$B$310,0)),"")</f>
        <v/>
      </c>
      <c r="I20" s="19">
        <f>AND(G20="Service A",H20="Band 3")</f>
        <v/>
      </c>
      <c r="J20" s="33">
        <f>IF(AND(YEAR(B20)=2025,G20="Service B",OR(H20="Band 3",H20="Band 5"),ISNUMBER(F20)),F20,"")</f>
        <v/>
      </c>
    </row>
    <row r="21">
      <c r="A21" s="19" t="inlineStr">
        <is>
          <t>User1005</t>
        </is>
      </c>
      <c r="B21" s="60" t="n">
        <v>45962</v>
      </c>
      <c r="C21" s="21" t="n">
        <v>148.0000000000001</v>
      </c>
      <c r="D21" s="21" t="n">
        <v>58.96666666666665</v>
      </c>
      <c r="E21" s="21" t="n">
        <v>2.55</v>
      </c>
      <c r="F21" s="27">
        <f>IFERROR(IF(OR(C21="",D21="",C21=0),"",D21/C21),"")</f>
        <v/>
      </c>
      <c r="G21" s="21">
        <f>IFERROR(INDEX(Users!$A$2:$A$310,MATCH(A21,Users!$B$2:$B$310,0)),"")</f>
        <v/>
      </c>
      <c r="H21" s="21">
        <f>IFERROR(INDEX(Users!$D$2:$D$310,MATCH(A21,Users!$B$2:$B$310,0)),"")</f>
        <v/>
      </c>
      <c r="I21" s="19">
        <f>AND(G21="Service A",H21="Band 3")</f>
        <v/>
      </c>
      <c r="J21" s="33">
        <f>IF(AND(YEAR(B21)=2025,G21="Service B",OR(H21="Band 3",H21="Band 5"),ISNUMBER(F21)),F21,"")</f>
        <v/>
      </c>
    </row>
    <row r="22">
      <c r="A22" s="19" t="inlineStr">
        <is>
          <t>User1005</t>
        </is>
      </c>
      <c r="B22" s="60" t="n">
        <v>45992</v>
      </c>
      <c r="C22" s="21" t="n">
        <v>155.4000000000001</v>
      </c>
      <c r="D22" s="21" t="n">
        <v>14</v>
      </c>
      <c r="E22" s="21" t="n">
        <v>14</v>
      </c>
      <c r="F22" s="27">
        <f>IFERROR(IF(OR(C22="",D22="",C22=0),"",D22/C22),"")</f>
        <v/>
      </c>
      <c r="G22" s="21">
        <f>IFERROR(INDEX(Users!$A$2:$A$310,MATCH(A22,Users!$B$2:$B$310,0)),"")</f>
        <v/>
      </c>
      <c r="H22" s="21">
        <f>IFERROR(INDEX(Users!$D$2:$D$310,MATCH(A22,Users!$B$2:$B$310,0)),"")</f>
        <v/>
      </c>
      <c r="I22" s="19">
        <f>AND(G22="Service A",H22="Band 3")</f>
        <v/>
      </c>
      <c r="J22" s="33">
        <f>IF(AND(YEAR(B22)=2025,G22="Service B",OR(H22="Band 3",H22="Band 5"),ISNUMBER(F22)),F22,"")</f>
        <v/>
      </c>
    </row>
    <row r="23">
      <c r="A23" s="19" t="inlineStr">
        <is>
          <t>User1005</t>
        </is>
      </c>
      <c r="B23" s="60" t="n">
        <v>46023</v>
      </c>
      <c r="C23" s="21" t="n">
        <v>155.4000000000001</v>
      </c>
      <c r="D23" s="21" t="n">
        <v>150.5833333333334</v>
      </c>
      <c r="E23" s="21" t="n">
        <v>34</v>
      </c>
      <c r="F23" s="27">
        <f>IFERROR(IF(OR(C23="",D23="",C23=0),"",D23/C23),"")</f>
        <v/>
      </c>
      <c r="G23" s="21">
        <f>IFERROR(INDEX(Users!$A$2:$A$310,MATCH(A23,Users!$B$2:$B$310,0)),"")</f>
        <v/>
      </c>
      <c r="H23" s="21">
        <f>IFERROR(INDEX(Users!$D$2:$D$310,MATCH(A23,Users!$B$2:$B$310,0)),"")</f>
        <v/>
      </c>
      <c r="I23" s="19">
        <f>AND(G23="Service A",H23="Band 3")</f>
        <v/>
      </c>
      <c r="J23" s="33">
        <f>IF(AND(YEAR(B23)=2025,G23="Service B",OR(H23="Band 3",H23="Band 5"),ISNUMBER(F23)),F23,"")</f>
        <v/>
      </c>
    </row>
    <row r="24">
      <c r="A24" s="19" t="inlineStr">
        <is>
          <t>User1006</t>
        </is>
      </c>
      <c r="B24" s="60" t="n">
        <v>45962</v>
      </c>
      <c r="C24" s="21" t="n">
        <v>148.0000000000001</v>
      </c>
      <c r="D24" s="21" t="n"/>
      <c r="E24" s="21" t="n"/>
      <c r="F24" s="27">
        <f>IFERROR(IF(OR(C24="",D24="",C24=0),"",D24/C24),"")</f>
        <v/>
      </c>
      <c r="G24" s="21">
        <f>IFERROR(INDEX(Users!$A$2:$A$310,MATCH(A24,Users!$B$2:$B$310,0)),"")</f>
        <v/>
      </c>
      <c r="H24" s="21">
        <f>IFERROR(INDEX(Users!$D$2:$D$310,MATCH(A24,Users!$B$2:$B$310,0)),"")</f>
        <v/>
      </c>
      <c r="I24" s="19">
        <f>AND(G24="Service A",H24="Band 3")</f>
        <v/>
      </c>
      <c r="J24" s="33">
        <f>IF(AND(YEAR(B24)=2025,G24="Service B",OR(H24="Band 3",H24="Band 5"),ISNUMBER(F24)),F24,"")</f>
        <v/>
      </c>
    </row>
    <row r="25">
      <c r="A25" s="19" t="inlineStr">
        <is>
          <t>User1006</t>
        </is>
      </c>
      <c r="B25" s="60" t="n">
        <v>45992</v>
      </c>
      <c r="C25" s="21" t="n">
        <v>155.4000000000001</v>
      </c>
      <c r="D25" s="21" t="n"/>
      <c r="E25" s="21" t="n"/>
      <c r="F25" s="27">
        <f>IFERROR(IF(OR(C25="",D25="",C25=0),"",D25/C25),"")</f>
        <v/>
      </c>
      <c r="G25" s="21">
        <f>IFERROR(INDEX(Users!$A$2:$A$310,MATCH(A25,Users!$B$2:$B$310,0)),"")</f>
        <v/>
      </c>
      <c r="H25" s="21">
        <f>IFERROR(INDEX(Users!$D$2:$D$310,MATCH(A25,Users!$B$2:$B$310,0)),"")</f>
        <v/>
      </c>
      <c r="I25" s="19">
        <f>AND(G25="Service A",H25="Band 3")</f>
        <v/>
      </c>
      <c r="J25" s="33">
        <f>IF(AND(YEAR(B25)=2025,G25="Service B",OR(H25="Band 3",H25="Band 5"),ISNUMBER(F25)),F25,"")</f>
        <v/>
      </c>
    </row>
    <row r="26">
      <c r="A26" s="19" t="inlineStr">
        <is>
          <t>User1006</t>
        </is>
      </c>
      <c r="B26" s="60" t="n">
        <v>46023</v>
      </c>
      <c r="C26" s="21" t="n">
        <v>155.4000000000001</v>
      </c>
      <c r="D26" s="21" t="n"/>
      <c r="E26" s="21" t="n"/>
      <c r="F26" s="27">
        <f>IFERROR(IF(OR(C26="",D26="",C26=0),"",D26/C26),"")</f>
        <v/>
      </c>
      <c r="G26" s="21">
        <f>IFERROR(INDEX(Users!$A$2:$A$310,MATCH(A26,Users!$B$2:$B$310,0)),"")</f>
        <v/>
      </c>
      <c r="H26" s="21">
        <f>IFERROR(INDEX(Users!$D$2:$D$310,MATCH(A26,Users!$B$2:$B$310,0)),"")</f>
        <v/>
      </c>
      <c r="I26" s="19">
        <f>AND(G26="Service A",H26="Band 3")</f>
        <v/>
      </c>
      <c r="J26" s="33">
        <f>IF(AND(YEAR(B26)=2025,G26="Service B",OR(H26="Band 3",H26="Band 5"),ISNUMBER(F26)),F26,"")</f>
        <v/>
      </c>
    </row>
    <row r="27">
      <c r="A27" s="19" t="inlineStr">
        <is>
          <t>User1007</t>
        </is>
      </c>
      <c r="B27" s="60" t="n">
        <v>45931</v>
      </c>
      <c r="C27" s="21" t="n">
        <v>148.0000000000001</v>
      </c>
      <c r="D27" s="21" t="n">
        <v>52.03333333333332</v>
      </c>
      <c r="E27" s="21" t="n"/>
      <c r="F27" s="27">
        <f>IFERROR(IF(OR(C27="",D27="",C27=0),"",D27/C27),"")</f>
        <v/>
      </c>
      <c r="G27" s="21">
        <f>IFERROR(INDEX(Users!$A$2:$A$310,MATCH(A27,Users!$B$2:$B$310,0)),"")</f>
        <v/>
      </c>
      <c r="H27" s="21">
        <f>IFERROR(INDEX(Users!$D$2:$D$310,MATCH(A27,Users!$B$2:$B$310,0)),"")</f>
        <v/>
      </c>
      <c r="I27" s="19">
        <f>AND(G27="Service A",H27="Band 3")</f>
        <v/>
      </c>
      <c r="J27" s="33">
        <f>IF(AND(YEAR(B27)=2025,G27="Service B",OR(H27="Band 3",H27="Band 5"),ISNUMBER(F27)),F27,"")</f>
        <v/>
      </c>
    </row>
    <row r="28">
      <c r="A28" s="19" t="inlineStr">
        <is>
          <t>User1007</t>
        </is>
      </c>
      <c r="B28" s="60" t="n">
        <v>45962</v>
      </c>
      <c r="C28" s="21" t="n">
        <v>148.0000000000001</v>
      </c>
      <c r="D28" s="21" t="n">
        <v>7.916666666666667</v>
      </c>
      <c r="E28" s="21" t="n"/>
      <c r="F28" s="27">
        <f>IFERROR(IF(OR(C28="",D28="",C28=0),"",D28/C28),"")</f>
        <v/>
      </c>
      <c r="G28" s="21">
        <f>IFERROR(INDEX(Users!$A$2:$A$310,MATCH(A28,Users!$B$2:$B$310,0)),"")</f>
        <v/>
      </c>
      <c r="H28" s="21">
        <f>IFERROR(INDEX(Users!$D$2:$D$310,MATCH(A28,Users!$B$2:$B$310,0)),"")</f>
        <v/>
      </c>
      <c r="I28" s="19">
        <f>AND(G28="Service A",H28="Band 3")</f>
        <v/>
      </c>
      <c r="J28" s="33">
        <f>IF(AND(YEAR(B28)=2025,G28="Service B",OR(H28="Band 3",H28="Band 5"),ISNUMBER(F28)),F28,"")</f>
        <v/>
      </c>
    </row>
    <row r="29">
      <c r="A29" s="19" t="inlineStr">
        <is>
          <t>User1007</t>
        </is>
      </c>
      <c r="B29" s="60" t="n">
        <v>45992</v>
      </c>
      <c r="C29" s="21" t="n">
        <v>155.4000000000001</v>
      </c>
      <c r="D29" s="21" t="n">
        <v>1.25</v>
      </c>
      <c r="E29" s="21" t="n">
        <v>1.25</v>
      </c>
      <c r="F29" s="27">
        <f>IFERROR(IF(OR(C29="",D29="",C29=0),"",D29/C29),"")</f>
        <v/>
      </c>
      <c r="G29" s="21">
        <f>IFERROR(INDEX(Users!$A$2:$A$310,MATCH(A29,Users!$B$2:$B$310,0)),"")</f>
        <v/>
      </c>
      <c r="H29" s="21">
        <f>IFERROR(INDEX(Users!$D$2:$D$310,MATCH(A29,Users!$B$2:$B$310,0)),"")</f>
        <v/>
      </c>
      <c r="I29" s="19">
        <f>AND(G29="Service A",H29="Band 3")</f>
        <v/>
      </c>
      <c r="J29" s="33">
        <f>IF(AND(YEAR(B29)=2025,G29="Service B",OR(H29="Band 3",H29="Band 5"),ISNUMBER(F29)),F29,"")</f>
        <v/>
      </c>
    </row>
    <row r="30">
      <c r="A30" s="19" t="inlineStr">
        <is>
          <t>User1007</t>
        </is>
      </c>
      <c r="B30" s="60" t="n">
        <v>46023</v>
      </c>
      <c r="C30" s="21" t="n">
        <v>155.4000000000001</v>
      </c>
      <c r="D30" s="21" t="n">
        <v>95.06</v>
      </c>
      <c r="E30" s="21" t="n">
        <v>22.31</v>
      </c>
      <c r="F30" s="27">
        <f>IFERROR(IF(OR(C30="",D30="",C30=0),"",D30/C30),"")</f>
        <v/>
      </c>
      <c r="G30" s="21">
        <f>IFERROR(INDEX(Users!$A$2:$A$310,MATCH(A30,Users!$B$2:$B$310,0)),"")</f>
        <v/>
      </c>
      <c r="H30" s="21">
        <f>IFERROR(INDEX(Users!$D$2:$D$310,MATCH(A30,Users!$B$2:$B$310,0)),"")</f>
        <v/>
      </c>
      <c r="I30" s="19">
        <f>AND(G30="Service A",H30="Band 3")</f>
        <v/>
      </c>
      <c r="J30" s="33">
        <f>IF(AND(YEAR(B30)=2025,G30="Service B",OR(H30="Band 3",H30="Band 5"),ISNUMBER(F30)),F30,"")</f>
        <v/>
      </c>
    </row>
    <row r="31">
      <c r="A31" s="19" t="inlineStr">
        <is>
          <t>User1008</t>
        </is>
      </c>
      <c r="B31" s="60" t="n">
        <v>45992</v>
      </c>
      <c r="C31" s="21" t="n">
        <v>155.4</v>
      </c>
      <c r="D31" s="21" t="n">
        <v>81.40000000000001</v>
      </c>
      <c r="E31" s="21" t="n"/>
      <c r="F31" s="27">
        <f>IFERROR(IF(OR(C31="",D31="",C31=0),"",D31/C31),"")</f>
        <v/>
      </c>
      <c r="G31" s="21">
        <f>IFERROR(INDEX(Users!$A$2:$A$310,MATCH(A31,Users!$B$2:$B$310,0)),"")</f>
        <v/>
      </c>
      <c r="H31" s="21">
        <f>IFERROR(INDEX(Users!$D$2:$D$310,MATCH(A31,Users!$B$2:$B$310,0)),"")</f>
        <v/>
      </c>
      <c r="I31" s="19">
        <f>AND(G31="Service A",H31="Band 3")</f>
        <v/>
      </c>
      <c r="J31" s="33">
        <f>IF(AND(YEAR(B31)=2025,G31="Service B",OR(H31="Band 3",H31="Band 5"),ISNUMBER(F31)),F31,"")</f>
        <v/>
      </c>
    </row>
    <row r="32">
      <c r="A32" s="19" t="inlineStr">
        <is>
          <t>User1008</t>
        </is>
      </c>
      <c r="B32" s="60" t="n">
        <v>46023</v>
      </c>
      <c r="C32" s="21" t="n">
        <v>155.4</v>
      </c>
      <c r="D32" s="21" t="n">
        <v>140.6000000000001</v>
      </c>
      <c r="E32" s="21" t="n"/>
      <c r="F32" s="27">
        <f>IFERROR(IF(OR(C32="",D32="",C32=0),"",D32/C32),"")</f>
        <v/>
      </c>
      <c r="G32" s="21">
        <f>IFERROR(INDEX(Users!$A$2:$A$310,MATCH(A32,Users!$B$2:$B$310,0)),"")</f>
        <v/>
      </c>
      <c r="H32" s="21">
        <f>IFERROR(INDEX(Users!$D$2:$D$310,MATCH(A32,Users!$B$2:$B$310,0)),"")</f>
        <v/>
      </c>
      <c r="I32" s="19">
        <f>AND(G32="Service A",H32="Band 3")</f>
        <v/>
      </c>
      <c r="J32" s="33">
        <f>IF(AND(YEAR(B32)=2025,G32="Service B",OR(H32="Band 3",H32="Band 5"),ISNUMBER(F32)),F32,"")</f>
        <v/>
      </c>
    </row>
    <row r="33">
      <c r="A33" s="19" t="inlineStr">
        <is>
          <t>User1009</t>
        </is>
      </c>
      <c r="B33" s="60" t="n">
        <v>45901</v>
      </c>
      <c r="C33" s="21" t="n"/>
      <c r="D33" s="21" t="n"/>
      <c r="E33" s="21" t="n"/>
      <c r="F33" s="27">
        <f>IFERROR(IF(OR(C33="",D33="",C33=0),"",D33/C33),"")</f>
        <v/>
      </c>
      <c r="G33" s="21">
        <f>IFERROR(INDEX(Users!$A$2:$A$310,MATCH(A33,Users!$B$2:$B$310,0)),"")</f>
        <v/>
      </c>
      <c r="H33" s="21">
        <f>IFERROR(INDEX(Users!$D$2:$D$310,MATCH(A33,Users!$B$2:$B$310,0)),"")</f>
        <v/>
      </c>
      <c r="I33" s="19">
        <f>AND(G33="Service A",H33="Band 3")</f>
        <v/>
      </c>
      <c r="J33" s="33">
        <f>IF(AND(YEAR(B33)=2025,G33="Service B",OR(H33="Band 3",H33="Band 5"),ISNUMBER(F33)),F33,"")</f>
        <v/>
      </c>
    </row>
    <row r="34">
      <c r="A34" s="19" t="inlineStr">
        <is>
          <t>User1009</t>
        </is>
      </c>
      <c r="B34" s="60" t="n">
        <v>45931</v>
      </c>
      <c r="C34" s="21" t="n">
        <v>166.5</v>
      </c>
      <c r="D34" s="21" t="n"/>
      <c r="E34" s="21" t="n"/>
      <c r="F34" s="27">
        <f>IFERROR(IF(OR(C34="",D34="",C34=0),"",D34/C34),"")</f>
        <v/>
      </c>
      <c r="G34" s="21">
        <f>IFERROR(INDEX(Users!$A$2:$A$310,MATCH(A34,Users!$B$2:$B$310,0)),"")</f>
        <v/>
      </c>
      <c r="H34" s="21">
        <f>IFERROR(INDEX(Users!$D$2:$D$310,MATCH(A34,Users!$B$2:$B$310,0)),"")</f>
        <v/>
      </c>
      <c r="I34" s="19">
        <f>AND(G34="Service A",H34="Band 3")</f>
        <v/>
      </c>
      <c r="J34" s="33">
        <f>IF(AND(YEAR(B34)=2025,G34="Service B",OR(H34="Band 3",H34="Band 5"),ISNUMBER(F34)),F34,"")</f>
        <v/>
      </c>
    </row>
    <row r="35">
      <c r="A35" s="19" t="inlineStr">
        <is>
          <t>User1009</t>
        </is>
      </c>
      <c r="B35" s="60" t="n">
        <v>45962</v>
      </c>
      <c r="C35" s="21" t="n">
        <v>148</v>
      </c>
      <c r="D35" s="21" t="n">
        <v>56.78111111111111</v>
      </c>
      <c r="E35" s="21" t="n"/>
      <c r="F35" s="27">
        <f>IFERROR(IF(OR(C35="",D35="",C35=0),"",D35/C35),"")</f>
        <v/>
      </c>
      <c r="G35" s="21">
        <f>IFERROR(INDEX(Users!$A$2:$A$310,MATCH(A35,Users!$B$2:$B$310,0)),"")</f>
        <v/>
      </c>
      <c r="H35" s="21">
        <f>IFERROR(INDEX(Users!$D$2:$D$310,MATCH(A35,Users!$B$2:$B$310,0)),"")</f>
        <v/>
      </c>
      <c r="I35" s="19">
        <f>AND(G35="Service A",H35="Band 3")</f>
        <v/>
      </c>
      <c r="J35" s="33">
        <f>IF(AND(YEAR(B35)=2025,G35="Service B",OR(H35="Band 3",H35="Band 5"),ISNUMBER(F35)),F35,"")</f>
        <v/>
      </c>
    </row>
    <row r="36">
      <c r="A36" s="19" t="inlineStr">
        <is>
          <t>User1009</t>
        </is>
      </c>
      <c r="B36" s="60" t="n">
        <v>45992</v>
      </c>
      <c r="C36" s="21" t="n">
        <v>166.5</v>
      </c>
      <c r="D36" s="21" t="n">
        <v>1.42</v>
      </c>
      <c r="E36" s="21" t="n">
        <v>1.42</v>
      </c>
      <c r="F36" s="27">
        <f>IFERROR(IF(OR(C36="",D36="",C36=0),"",D36/C36),"")</f>
        <v/>
      </c>
      <c r="G36" s="21">
        <f>IFERROR(INDEX(Users!$A$2:$A$310,MATCH(A36,Users!$B$2:$B$310,0)),"")</f>
        <v/>
      </c>
      <c r="H36" s="21">
        <f>IFERROR(INDEX(Users!$D$2:$D$310,MATCH(A36,Users!$B$2:$B$310,0)),"")</f>
        <v/>
      </c>
      <c r="I36" s="19">
        <f>AND(G36="Service A",H36="Band 3")</f>
        <v/>
      </c>
      <c r="J36" s="33">
        <f>IF(AND(YEAR(B36)=2025,G36="Service B",OR(H36="Band 3",H36="Band 5"),ISNUMBER(F36)),F36,"")</f>
        <v/>
      </c>
    </row>
    <row r="37">
      <c r="A37" s="19" t="inlineStr">
        <is>
          <t>User1009</t>
        </is>
      </c>
      <c r="B37" s="60" t="n">
        <v>46023</v>
      </c>
      <c r="C37" s="21" t="n">
        <v>148</v>
      </c>
      <c r="D37" s="21" t="n">
        <v>2.53</v>
      </c>
      <c r="E37" s="21" t="n">
        <v>2.53</v>
      </c>
      <c r="F37" s="27">
        <f>IFERROR(IF(OR(C37="",D37="",C37=0),"",D37/C37),"")</f>
        <v/>
      </c>
      <c r="G37" s="21">
        <f>IFERROR(INDEX(Users!$A$2:$A$310,MATCH(A37,Users!$B$2:$B$310,0)),"")</f>
        <v/>
      </c>
      <c r="H37" s="21">
        <f>IFERROR(INDEX(Users!$D$2:$D$310,MATCH(A37,Users!$B$2:$B$310,0)),"")</f>
        <v/>
      </c>
      <c r="I37" s="19">
        <f>AND(G37="Service A",H37="Band 3")</f>
        <v/>
      </c>
      <c r="J37" s="33">
        <f>IF(AND(YEAR(B37)=2025,G37="Service B",OR(H37="Band 3",H37="Band 5"),ISNUMBER(F37)),F37,"")</f>
        <v/>
      </c>
    </row>
    <row r="38">
      <c r="A38" s="19" t="inlineStr">
        <is>
          <t>User1010</t>
        </is>
      </c>
      <c r="B38" s="60" t="n">
        <v>45992</v>
      </c>
      <c r="C38" s="21" t="n">
        <v>133.2</v>
      </c>
      <c r="D38" s="21" t="n"/>
      <c r="E38" s="21" t="n"/>
      <c r="F38" s="27">
        <f>IFERROR(IF(OR(C38="",D38="",C38=0),"",D38/C38),"")</f>
        <v/>
      </c>
      <c r="G38" s="21">
        <f>IFERROR(INDEX(Users!$A$2:$A$310,MATCH(A38,Users!$B$2:$B$310,0)),"")</f>
        <v/>
      </c>
      <c r="H38" s="21">
        <f>IFERROR(INDEX(Users!$D$2:$D$310,MATCH(A38,Users!$B$2:$B$310,0)),"")</f>
        <v/>
      </c>
      <c r="I38" s="19">
        <f>AND(G38="Service A",H38="Band 3")</f>
        <v/>
      </c>
      <c r="J38" s="33">
        <f>IF(AND(YEAR(B38)=2025,G38="Service B",OR(H38="Band 3",H38="Band 5"),ISNUMBER(F38)),F38,"")</f>
        <v/>
      </c>
    </row>
    <row r="39">
      <c r="A39" s="19" t="inlineStr">
        <is>
          <t>User1010</t>
        </is>
      </c>
      <c r="B39" s="60" t="n">
        <v>46023</v>
      </c>
      <c r="C39" s="21" t="n">
        <v>140.6</v>
      </c>
      <c r="D39" s="21" t="n"/>
      <c r="E39" s="21" t="n"/>
      <c r="F39" s="27">
        <f>IFERROR(IF(OR(C39="",D39="",C39=0),"",D39/C39),"")</f>
        <v/>
      </c>
      <c r="G39" s="21">
        <f>IFERROR(INDEX(Users!$A$2:$A$310,MATCH(A39,Users!$B$2:$B$310,0)),"")</f>
        <v/>
      </c>
      <c r="H39" s="21">
        <f>IFERROR(INDEX(Users!$D$2:$D$310,MATCH(A39,Users!$B$2:$B$310,0)),"")</f>
        <v/>
      </c>
      <c r="I39" s="19">
        <f>AND(G39="Service A",H39="Band 3")</f>
        <v/>
      </c>
      <c r="J39" s="33">
        <f>IF(AND(YEAR(B39)=2025,G39="Service B",OR(H39="Band 3",H39="Band 5"),ISNUMBER(F39)),F39,"")</f>
        <v/>
      </c>
    </row>
    <row r="40">
      <c r="A40" s="19" t="inlineStr">
        <is>
          <t>User1011</t>
        </is>
      </c>
      <c r="B40" s="60" t="n">
        <v>45901</v>
      </c>
      <c r="C40" s="21" t="n">
        <v>76</v>
      </c>
      <c r="D40" s="21" t="n">
        <v>72.90333333333334</v>
      </c>
      <c r="E40" s="21" t="n">
        <v>57.07</v>
      </c>
      <c r="F40" s="27">
        <f>IFERROR(IF(OR(C40="",D40="",C40=0),"",D40/C40),"")</f>
        <v/>
      </c>
      <c r="G40" s="21">
        <f>IFERROR(INDEX(Users!$A$2:$A$310,MATCH(A40,Users!$B$2:$B$310,0)),"")</f>
        <v/>
      </c>
      <c r="H40" s="21">
        <f>IFERROR(INDEX(Users!$D$2:$D$310,MATCH(A40,Users!$B$2:$B$310,0)),"")</f>
        <v/>
      </c>
      <c r="I40" s="19">
        <f>AND(G40="Service A",H40="Band 3")</f>
        <v/>
      </c>
      <c r="J40" s="33">
        <f>IF(AND(YEAR(B40)=2025,G40="Service B",OR(H40="Band 3",H40="Band 5"),ISNUMBER(F40)),F40,"")</f>
        <v/>
      </c>
    </row>
    <row r="41">
      <c r="A41" s="19" t="inlineStr">
        <is>
          <t>User1011</t>
        </is>
      </c>
      <c r="B41" s="60" t="n">
        <v>45931</v>
      </c>
      <c r="C41" s="21" t="n">
        <v>134</v>
      </c>
      <c r="D41" s="21" t="n">
        <v>119.1766666666667</v>
      </c>
      <c r="E41" s="21" t="n">
        <v>87.01000000000001</v>
      </c>
      <c r="F41" s="27">
        <f>IFERROR(IF(OR(C41="",D41="",C41=0),"",D41/C41),"")</f>
        <v/>
      </c>
      <c r="G41" s="21">
        <f>IFERROR(INDEX(Users!$A$2:$A$310,MATCH(A41,Users!$B$2:$B$310,0)),"")</f>
        <v/>
      </c>
      <c r="H41" s="21">
        <f>IFERROR(INDEX(Users!$D$2:$D$310,MATCH(A41,Users!$B$2:$B$310,0)),"")</f>
        <v/>
      </c>
      <c r="I41" s="19">
        <f>AND(G41="Service A",H41="Band 3")</f>
        <v/>
      </c>
      <c r="J41" s="33">
        <f>IF(AND(YEAR(B41)=2025,G41="Service B",OR(H41="Band 3",H41="Band 5"),ISNUMBER(F41)),F41,"")</f>
        <v/>
      </c>
    </row>
    <row r="42">
      <c r="A42" s="19" t="inlineStr">
        <is>
          <t>User1011</t>
        </is>
      </c>
      <c r="B42" s="60" t="n">
        <v>45962</v>
      </c>
      <c r="C42" s="21" t="n">
        <v>120</v>
      </c>
      <c r="D42" s="21" t="n">
        <v>107.5</v>
      </c>
      <c r="E42" s="21" t="n">
        <v>87.5</v>
      </c>
      <c r="F42" s="27">
        <f>IFERROR(IF(OR(C42="",D42="",C42=0),"",D42/C42),"")</f>
        <v/>
      </c>
      <c r="G42" s="21">
        <f>IFERROR(INDEX(Users!$A$2:$A$310,MATCH(A42,Users!$B$2:$B$310,0)),"")</f>
        <v/>
      </c>
      <c r="H42" s="21">
        <f>IFERROR(INDEX(Users!$D$2:$D$310,MATCH(A42,Users!$B$2:$B$310,0)),"")</f>
        <v/>
      </c>
      <c r="I42" s="19">
        <f>AND(G42="Service A",H42="Band 3")</f>
        <v/>
      </c>
      <c r="J42" s="33">
        <f>IF(AND(YEAR(B42)=2025,G42="Service B",OR(H42="Band 3",H42="Band 5"),ISNUMBER(F42)),F42,"")</f>
        <v/>
      </c>
    </row>
    <row r="43">
      <c r="A43" s="19" t="inlineStr">
        <is>
          <t>User1011</t>
        </is>
      </c>
      <c r="B43" s="60" t="n">
        <v>45992</v>
      </c>
      <c r="C43" s="21" t="n">
        <v>138</v>
      </c>
      <c r="D43" s="21" t="n">
        <v>72.25</v>
      </c>
      <c r="E43" s="21" t="n">
        <v>45.25</v>
      </c>
      <c r="F43" s="27">
        <f>IFERROR(IF(OR(C43="",D43="",C43=0),"",D43/C43),"")</f>
        <v/>
      </c>
      <c r="G43" s="21">
        <f>IFERROR(INDEX(Users!$A$2:$A$310,MATCH(A43,Users!$B$2:$B$310,0)),"")</f>
        <v/>
      </c>
      <c r="H43" s="21">
        <f>IFERROR(INDEX(Users!$D$2:$D$310,MATCH(A43,Users!$B$2:$B$310,0)),"")</f>
        <v/>
      </c>
      <c r="I43" s="19">
        <f>AND(G43="Service A",H43="Band 3")</f>
        <v/>
      </c>
      <c r="J43" s="33">
        <f>IF(AND(YEAR(B43)=2025,G43="Service B",OR(H43="Band 3",H43="Band 5"),ISNUMBER(F43)),F43,"")</f>
        <v/>
      </c>
    </row>
    <row r="44">
      <c r="A44" s="19" t="inlineStr">
        <is>
          <t>User1011</t>
        </is>
      </c>
      <c r="B44" s="60" t="n">
        <v>46023</v>
      </c>
      <c r="C44" s="21" t="n">
        <v>120</v>
      </c>
      <c r="D44" s="21" t="n">
        <v>118.0766666666667</v>
      </c>
      <c r="E44" s="21" t="n">
        <v>95.91</v>
      </c>
      <c r="F44" s="27">
        <f>IFERROR(IF(OR(C44="",D44="",C44=0),"",D44/C44),"")</f>
        <v/>
      </c>
      <c r="G44" s="21">
        <f>IFERROR(INDEX(Users!$A$2:$A$310,MATCH(A44,Users!$B$2:$B$310,0)),"")</f>
        <v/>
      </c>
      <c r="H44" s="21">
        <f>IFERROR(INDEX(Users!$D$2:$D$310,MATCH(A44,Users!$B$2:$B$310,0)),"")</f>
        <v/>
      </c>
      <c r="I44" s="19">
        <f>AND(G44="Service A",H44="Band 3")</f>
        <v/>
      </c>
      <c r="J44" s="33">
        <f>IF(AND(YEAR(B44)=2025,G44="Service B",OR(H44="Band 3",H44="Band 5"),ISNUMBER(F44)),F44,"")</f>
        <v/>
      </c>
    </row>
    <row r="45">
      <c r="A45" s="19" t="inlineStr">
        <is>
          <t>User1012</t>
        </is>
      </c>
      <c r="B45" s="60" t="n">
        <v>45992</v>
      </c>
      <c r="C45" s="21" t="n">
        <v>155.4000000000001</v>
      </c>
      <c r="D45" s="21" t="n">
        <v>137.2</v>
      </c>
      <c r="E45" s="21" t="n">
        <v>0.3</v>
      </c>
      <c r="F45" s="27">
        <f>IFERROR(IF(OR(C45="",D45="",C45=0),"",D45/C45),"")</f>
        <v/>
      </c>
      <c r="G45" s="21">
        <f>IFERROR(INDEX(Users!$A$2:$A$310,MATCH(A45,Users!$B$2:$B$310,0)),"")</f>
        <v/>
      </c>
      <c r="H45" s="21">
        <f>IFERROR(INDEX(Users!$D$2:$D$310,MATCH(A45,Users!$B$2:$B$310,0)),"")</f>
        <v/>
      </c>
      <c r="I45" s="19">
        <f>AND(G45="Service A",H45="Band 3")</f>
        <v/>
      </c>
      <c r="J45" s="33">
        <f>IF(AND(YEAR(B45)=2025,G45="Service B",OR(H45="Band 3",H45="Band 5"),ISNUMBER(F45)),F45,"")</f>
        <v/>
      </c>
    </row>
    <row r="46">
      <c r="A46" s="19" t="inlineStr">
        <is>
          <t>User1012</t>
        </is>
      </c>
      <c r="B46" s="60" t="n">
        <v>46023</v>
      </c>
      <c r="C46" s="21" t="n">
        <v>155.4000000000001</v>
      </c>
      <c r="D46" s="21" t="n">
        <v>139.3080555555556</v>
      </c>
      <c r="E46" s="21" t="n">
        <v>12.25</v>
      </c>
      <c r="F46" s="27">
        <f>IFERROR(IF(OR(C46="",D46="",C46=0),"",D46/C46),"")</f>
        <v/>
      </c>
      <c r="G46" s="21">
        <f>IFERROR(INDEX(Users!$A$2:$A$310,MATCH(A46,Users!$B$2:$B$310,0)),"")</f>
        <v/>
      </c>
      <c r="H46" s="21">
        <f>IFERROR(INDEX(Users!$D$2:$D$310,MATCH(A46,Users!$B$2:$B$310,0)),"")</f>
        <v/>
      </c>
      <c r="I46" s="19">
        <f>AND(G46="Service A",H46="Band 3")</f>
        <v/>
      </c>
      <c r="J46" s="33">
        <f>IF(AND(YEAR(B46)=2025,G46="Service B",OR(H46="Band 3",H46="Band 5"),ISNUMBER(F46)),F46,"")</f>
        <v/>
      </c>
    </row>
    <row r="47">
      <c r="A47" s="19" t="inlineStr">
        <is>
          <t>User1013</t>
        </is>
      </c>
      <c r="B47" s="60" t="n">
        <v>45962</v>
      </c>
      <c r="C47" s="21" t="n">
        <v>111</v>
      </c>
      <c r="D47" s="21" t="n"/>
      <c r="E47" s="21" t="n"/>
      <c r="F47" s="27">
        <f>IFERROR(IF(OR(C47="",D47="",C47=0),"",D47/C47),"")</f>
        <v/>
      </c>
      <c r="G47" s="21">
        <f>IFERROR(INDEX(Users!$A$2:$A$310,MATCH(A47,Users!$B$2:$B$310,0)),"")</f>
        <v/>
      </c>
      <c r="H47" s="21">
        <f>IFERROR(INDEX(Users!$D$2:$D$310,MATCH(A47,Users!$B$2:$B$310,0)),"")</f>
        <v/>
      </c>
      <c r="I47" s="19">
        <f>AND(G47="Service A",H47="Band 3")</f>
        <v/>
      </c>
      <c r="J47" s="33">
        <f>IF(AND(YEAR(B47)=2025,G47="Service B",OR(H47="Band 3",H47="Band 5"),ISNUMBER(F47)),F47,"")</f>
        <v/>
      </c>
    </row>
    <row r="48">
      <c r="A48" s="19" t="inlineStr">
        <is>
          <t>User1013</t>
        </is>
      </c>
      <c r="B48" s="60" t="n">
        <v>45992</v>
      </c>
      <c r="C48" s="21" t="n">
        <v>148</v>
      </c>
      <c r="D48" s="21" t="n">
        <v>7.102222222222222</v>
      </c>
      <c r="E48" s="21" t="n">
        <v>7.08</v>
      </c>
      <c r="F48" s="27">
        <f>IFERROR(IF(OR(C48="",D48="",C48=0),"",D48/C48),"")</f>
        <v/>
      </c>
      <c r="G48" s="21">
        <f>IFERROR(INDEX(Users!$A$2:$A$310,MATCH(A48,Users!$B$2:$B$310,0)),"")</f>
        <v/>
      </c>
      <c r="H48" s="21">
        <f>IFERROR(INDEX(Users!$D$2:$D$310,MATCH(A48,Users!$B$2:$B$310,0)),"")</f>
        <v/>
      </c>
      <c r="I48" s="19">
        <f>AND(G48="Service A",H48="Band 3")</f>
        <v/>
      </c>
      <c r="J48" s="33">
        <f>IF(AND(YEAR(B48)=2025,G48="Service B",OR(H48="Band 3",H48="Band 5"),ISNUMBER(F48)),F48,"")</f>
        <v/>
      </c>
    </row>
    <row r="49">
      <c r="A49" s="19" t="inlineStr">
        <is>
          <t>User1013</t>
        </is>
      </c>
      <c r="B49" s="60" t="n">
        <v>46023</v>
      </c>
      <c r="C49" s="21" t="n">
        <v>157.25</v>
      </c>
      <c r="D49" s="21" t="n">
        <v>162.3766666666667</v>
      </c>
      <c r="E49" s="21" t="n">
        <v>78.60999999999999</v>
      </c>
      <c r="F49" s="27">
        <f>IFERROR(IF(OR(C49="",D49="",C49=0),"",D49/C49),"")</f>
        <v/>
      </c>
      <c r="G49" s="21">
        <f>IFERROR(INDEX(Users!$A$2:$A$310,MATCH(A49,Users!$B$2:$B$310,0)),"")</f>
        <v/>
      </c>
      <c r="H49" s="21">
        <f>IFERROR(INDEX(Users!$D$2:$D$310,MATCH(A49,Users!$B$2:$B$310,0)),"")</f>
        <v/>
      </c>
      <c r="I49" s="19">
        <f>AND(G49="Service A",H49="Band 3")</f>
        <v/>
      </c>
      <c r="J49" s="33">
        <f>IF(AND(YEAR(B49)=2025,G49="Service B",OR(H49="Band 3",H49="Band 5"),ISNUMBER(F49)),F49,"")</f>
        <v/>
      </c>
    </row>
    <row r="50">
      <c r="A50" s="19" t="inlineStr">
        <is>
          <t>User1014</t>
        </is>
      </c>
      <c r="B50" s="60" t="n">
        <v>45962</v>
      </c>
      <c r="C50" s="21" t="n">
        <v>148.0000000000001</v>
      </c>
      <c r="D50" s="21" t="n"/>
      <c r="E50" s="21" t="n"/>
      <c r="F50" s="27">
        <f>IFERROR(IF(OR(C50="",D50="",C50=0),"",D50/C50),"")</f>
        <v/>
      </c>
      <c r="G50" s="21">
        <f>IFERROR(INDEX(Users!$A$2:$A$310,MATCH(A50,Users!$B$2:$B$310,0)),"")</f>
        <v/>
      </c>
      <c r="H50" s="21">
        <f>IFERROR(INDEX(Users!$D$2:$D$310,MATCH(A50,Users!$B$2:$B$310,0)),"")</f>
        <v/>
      </c>
      <c r="I50" s="19">
        <f>AND(G50="Service A",H50="Band 3")</f>
        <v/>
      </c>
      <c r="J50" s="33">
        <f>IF(AND(YEAR(B50)=2025,G50="Service B",OR(H50="Band 3",H50="Band 5"),ISNUMBER(F50)),F50,"")</f>
        <v/>
      </c>
    </row>
    <row r="51">
      <c r="A51" s="19" t="inlineStr">
        <is>
          <t>User1014</t>
        </is>
      </c>
      <c r="B51" s="60" t="n">
        <v>45992</v>
      </c>
      <c r="C51" s="21" t="n">
        <v>155.4000000000001</v>
      </c>
      <c r="D51" s="21" t="n">
        <v>19.05333333333333</v>
      </c>
      <c r="E51" s="21" t="n">
        <v>7.32</v>
      </c>
      <c r="F51" s="27">
        <f>IFERROR(IF(OR(C51="",D51="",C51=0),"",D51/C51),"")</f>
        <v/>
      </c>
      <c r="G51" s="21">
        <f>IFERROR(INDEX(Users!$A$2:$A$310,MATCH(A51,Users!$B$2:$B$310,0)),"")</f>
        <v/>
      </c>
      <c r="H51" s="21">
        <f>IFERROR(INDEX(Users!$D$2:$D$310,MATCH(A51,Users!$B$2:$B$310,0)),"")</f>
        <v/>
      </c>
      <c r="I51" s="19">
        <f>AND(G51="Service A",H51="Band 3")</f>
        <v/>
      </c>
      <c r="J51" s="33">
        <f>IF(AND(YEAR(B51)=2025,G51="Service B",OR(H51="Band 3",H51="Band 5"),ISNUMBER(F51)),F51,"")</f>
        <v/>
      </c>
    </row>
    <row r="52">
      <c r="A52" s="19" t="inlineStr">
        <is>
          <t>User1014</t>
        </is>
      </c>
      <c r="B52" s="60" t="n">
        <v>46023</v>
      </c>
      <c r="C52" s="21" t="n">
        <v>155.4000000000001</v>
      </c>
      <c r="D52" s="21" t="n">
        <v>106.95</v>
      </c>
      <c r="E52" s="21" t="n">
        <v>73</v>
      </c>
      <c r="F52" s="27">
        <f>IFERROR(IF(OR(C52="",D52="",C52=0),"",D52/C52),"")</f>
        <v/>
      </c>
      <c r="G52" s="21">
        <f>IFERROR(INDEX(Users!$A$2:$A$310,MATCH(A52,Users!$B$2:$B$310,0)),"")</f>
        <v/>
      </c>
      <c r="H52" s="21">
        <f>IFERROR(INDEX(Users!$D$2:$D$310,MATCH(A52,Users!$B$2:$B$310,0)),"")</f>
        <v/>
      </c>
      <c r="I52" s="19">
        <f>AND(G52="Service A",H52="Band 3")</f>
        <v/>
      </c>
      <c r="J52" s="33">
        <f>IF(AND(YEAR(B52)=2025,G52="Service B",OR(H52="Band 3",H52="Band 5"),ISNUMBER(F52)),F52,"")</f>
        <v/>
      </c>
    </row>
    <row r="53">
      <c r="A53" s="19" t="inlineStr">
        <is>
          <t>User1015</t>
        </is>
      </c>
      <c r="B53" s="60" t="n">
        <v>45992</v>
      </c>
      <c r="C53" s="21" t="n">
        <v>118.4</v>
      </c>
      <c r="D53" s="21" t="n">
        <v>105.4466666666667</v>
      </c>
      <c r="E53" s="21" t="n">
        <v>52.53000000000001</v>
      </c>
      <c r="F53" s="27">
        <f>IFERROR(IF(OR(C53="",D53="",C53=0),"",D53/C53),"")</f>
        <v/>
      </c>
      <c r="G53" s="21">
        <f>IFERROR(INDEX(Users!$A$2:$A$310,MATCH(A53,Users!$B$2:$B$310,0)),"")</f>
        <v/>
      </c>
      <c r="H53" s="21">
        <f>IFERROR(INDEX(Users!$D$2:$D$310,MATCH(A53,Users!$B$2:$B$310,0)),"")</f>
        <v/>
      </c>
      <c r="I53" s="19">
        <f>AND(G53="Service A",H53="Band 3")</f>
        <v/>
      </c>
      <c r="J53" s="33">
        <f>IF(AND(YEAR(B53)=2025,G53="Service B",OR(H53="Band 3",H53="Band 5"),ISNUMBER(F53)),F53,"")</f>
        <v/>
      </c>
    </row>
    <row r="54">
      <c r="A54" s="19" t="inlineStr">
        <is>
          <t>User1015</t>
        </is>
      </c>
      <c r="B54" s="60" t="n">
        <v>46023</v>
      </c>
      <c r="C54" s="21" t="n">
        <v>155.4</v>
      </c>
      <c r="D54" s="21" t="n">
        <v>106.1</v>
      </c>
      <c r="E54" s="21" t="n">
        <v>46.85</v>
      </c>
      <c r="F54" s="27">
        <f>IFERROR(IF(OR(C54="",D54="",C54=0),"",D54/C54),"")</f>
        <v/>
      </c>
      <c r="G54" s="21">
        <f>IFERROR(INDEX(Users!$A$2:$A$310,MATCH(A54,Users!$B$2:$B$310,0)),"")</f>
        <v/>
      </c>
      <c r="H54" s="21">
        <f>IFERROR(INDEX(Users!$D$2:$D$310,MATCH(A54,Users!$B$2:$B$310,0)),"")</f>
        <v/>
      </c>
      <c r="I54" s="19">
        <f>AND(G54="Service A",H54="Band 3")</f>
        <v/>
      </c>
      <c r="J54" s="33">
        <f>IF(AND(YEAR(B54)=2025,G54="Service B",OR(H54="Band 3",H54="Band 5"),ISNUMBER(F54)),F54,"")</f>
        <v/>
      </c>
    </row>
    <row r="55">
      <c r="A55" s="19" t="inlineStr">
        <is>
          <t>User1016</t>
        </is>
      </c>
      <c r="B55" s="60" t="n">
        <v>45901</v>
      </c>
      <c r="C55" s="21" t="n">
        <v>51.8</v>
      </c>
      <c r="D55" s="21" t="n">
        <v>37.68694444444444</v>
      </c>
      <c r="E55" s="21" t="n"/>
      <c r="F55" s="27">
        <f>IFERROR(IF(OR(C55="",D55="",C55=0),"",D55/C55),"")</f>
        <v/>
      </c>
      <c r="G55" s="21">
        <f>IFERROR(INDEX(Users!$A$2:$A$310,MATCH(A55,Users!$B$2:$B$310,0)),"")</f>
        <v/>
      </c>
      <c r="H55" s="21">
        <f>IFERROR(INDEX(Users!$D$2:$D$310,MATCH(A55,Users!$B$2:$B$310,0)),"")</f>
        <v/>
      </c>
      <c r="I55" s="19">
        <f>AND(G55="Service A",H55="Band 3")</f>
        <v/>
      </c>
      <c r="J55" s="33">
        <f>IF(AND(YEAR(B55)=2025,G55="Service B",OR(H55="Band 3",H55="Band 5"),ISNUMBER(F55)),F55,"")</f>
        <v/>
      </c>
    </row>
    <row r="56">
      <c r="A56" s="19" t="inlineStr">
        <is>
          <t>User1016</t>
        </is>
      </c>
      <c r="B56" s="60" t="n">
        <v>45931</v>
      </c>
      <c r="C56" s="21" t="n">
        <v>170.2</v>
      </c>
      <c r="D56" s="21" t="n">
        <v>176.72</v>
      </c>
      <c r="E56" s="21" t="n">
        <v>20.17000000000001</v>
      </c>
      <c r="F56" s="27">
        <f>IFERROR(IF(OR(C56="",D56="",C56=0),"",D56/C56),"")</f>
        <v/>
      </c>
      <c r="G56" s="21">
        <f>IFERROR(INDEX(Users!$A$2:$A$310,MATCH(A56,Users!$B$2:$B$310,0)),"")</f>
        <v/>
      </c>
      <c r="H56" s="21">
        <f>IFERROR(INDEX(Users!$D$2:$D$310,MATCH(A56,Users!$B$2:$B$310,0)),"")</f>
        <v/>
      </c>
      <c r="I56" s="19">
        <f>AND(G56="Service A",H56="Band 3")</f>
        <v/>
      </c>
      <c r="J56" s="33">
        <f>IF(AND(YEAR(B56)=2025,G56="Service B",OR(H56="Band 3",H56="Band 5"),ISNUMBER(F56)),F56,"")</f>
        <v/>
      </c>
    </row>
    <row r="57">
      <c r="A57" s="19" t="inlineStr">
        <is>
          <t>User1016</t>
        </is>
      </c>
      <c r="B57" s="60" t="n">
        <v>45962</v>
      </c>
      <c r="C57" s="21" t="n">
        <v>148</v>
      </c>
      <c r="D57" s="21" t="n">
        <v>130.5666666666667</v>
      </c>
      <c r="E57" s="21" t="n">
        <v>27.4</v>
      </c>
      <c r="F57" s="27">
        <f>IFERROR(IF(OR(C57="",D57="",C57=0),"",D57/C57),"")</f>
        <v/>
      </c>
      <c r="G57" s="21">
        <f>IFERROR(INDEX(Users!$A$2:$A$310,MATCH(A57,Users!$B$2:$B$310,0)),"")</f>
        <v/>
      </c>
      <c r="H57" s="21">
        <f>IFERROR(INDEX(Users!$D$2:$D$310,MATCH(A57,Users!$B$2:$B$310,0)),"")</f>
        <v/>
      </c>
      <c r="I57" s="19">
        <f>AND(G57="Service A",H57="Band 3")</f>
        <v/>
      </c>
      <c r="J57" s="33">
        <f>IF(AND(YEAR(B57)=2025,G57="Service B",OR(H57="Band 3",H57="Band 5"),ISNUMBER(F57)),F57,"")</f>
        <v/>
      </c>
    </row>
    <row r="58">
      <c r="A58" s="19" t="inlineStr">
        <is>
          <t>User1016</t>
        </is>
      </c>
      <c r="B58" s="60" t="n">
        <v>45992</v>
      </c>
      <c r="C58" s="21" t="n">
        <v>155.4</v>
      </c>
      <c r="D58" s="21" t="n">
        <v>132.3125</v>
      </c>
      <c r="E58" s="21" t="n">
        <v>59.02999999999998</v>
      </c>
      <c r="F58" s="27">
        <f>IFERROR(IF(OR(C58="",D58="",C58=0),"",D58/C58),"")</f>
        <v/>
      </c>
      <c r="G58" s="21">
        <f>IFERROR(INDEX(Users!$A$2:$A$310,MATCH(A58,Users!$B$2:$B$310,0)),"")</f>
        <v/>
      </c>
      <c r="H58" s="21">
        <f>IFERROR(INDEX(Users!$D$2:$D$310,MATCH(A58,Users!$B$2:$B$310,0)),"")</f>
        <v/>
      </c>
      <c r="I58" s="19">
        <f>AND(G58="Service A",H58="Band 3")</f>
        <v/>
      </c>
      <c r="J58" s="33">
        <f>IF(AND(YEAR(B58)=2025,G58="Service B",OR(H58="Band 3",H58="Band 5"),ISNUMBER(F58)),F58,"")</f>
        <v/>
      </c>
    </row>
    <row r="59">
      <c r="A59" s="19" t="inlineStr">
        <is>
          <t>User1016</t>
        </is>
      </c>
      <c r="B59" s="60" t="n">
        <v>46023</v>
      </c>
      <c r="C59" s="21" t="n">
        <v>155.4</v>
      </c>
      <c r="D59" s="21" t="n">
        <v>158.9133333333333</v>
      </c>
      <c r="E59" s="21" t="n">
        <v>106.18</v>
      </c>
      <c r="F59" s="27">
        <f>IFERROR(IF(OR(C59="",D59="",C59=0),"",D59/C59),"")</f>
        <v/>
      </c>
      <c r="G59" s="21">
        <f>IFERROR(INDEX(Users!$A$2:$A$310,MATCH(A59,Users!$B$2:$B$310,0)),"")</f>
        <v/>
      </c>
      <c r="H59" s="21">
        <f>IFERROR(INDEX(Users!$D$2:$D$310,MATCH(A59,Users!$B$2:$B$310,0)),"")</f>
        <v/>
      </c>
      <c r="I59" s="19">
        <f>AND(G59="Service A",H59="Band 3")</f>
        <v/>
      </c>
      <c r="J59" s="33">
        <f>IF(AND(YEAR(B59)=2025,G59="Service B",OR(H59="Band 3",H59="Band 5"),ISNUMBER(F59)),F59,"")</f>
        <v/>
      </c>
    </row>
    <row r="60">
      <c r="A60" s="19" t="inlineStr">
        <is>
          <t>User1017</t>
        </is>
      </c>
      <c r="B60" s="60" t="n">
        <v>45992</v>
      </c>
      <c r="C60" s="21" t="n">
        <v>127.5</v>
      </c>
      <c r="D60" s="21" t="n">
        <v>94.57666666666668</v>
      </c>
      <c r="E60" s="21" t="n">
        <v>59.66</v>
      </c>
      <c r="F60" s="27">
        <f>IFERROR(IF(OR(C60="",D60="",C60=0),"",D60/C60),"")</f>
        <v/>
      </c>
      <c r="G60" s="21">
        <f>IFERROR(INDEX(Users!$A$2:$A$310,MATCH(A60,Users!$B$2:$B$310,0)),"")</f>
        <v/>
      </c>
      <c r="H60" s="21">
        <f>IFERROR(INDEX(Users!$D$2:$D$310,MATCH(A60,Users!$B$2:$B$310,0)),"")</f>
        <v/>
      </c>
      <c r="I60" s="19">
        <f>AND(G60="Service A",H60="Band 3")</f>
        <v/>
      </c>
      <c r="J60" s="33">
        <f>IF(AND(YEAR(B60)=2025,G60="Service B",OR(H60="Band 3",H60="Band 5"),ISNUMBER(F60)),F60,"")</f>
        <v/>
      </c>
    </row>
    <row r="61">
      <c r="A61" s="19" t="inlineStr">
        <is>
          <t>User1017</t>
        </is>
      </c>
      <c r="B61" s="60" t="n">
        <v>46023</v>
      </c>
      <c r="C61" s="21" t="n">
        <v>120</v>
      </c>
      <c r="D61" s="21" t="n">
        <v>127.8466666666667</v>
      </c>
      <c r="E61" s="21" t="n">
        <v>88.43000000000001</v>
      </c>
      <c r="F61" s="27">
        <f>IFERROR(IF(OR(C61="",D61="",C61=0),"",D61/C61),"")</f>
        <v/>
      </c>
      <c r="G61" s="21">
        <f>IFERROR(INDEX(Users!$A$2:$A$310,MATCH(A61,Users!$B$2:$B$310,0)),"")</f>
        <v/>
      </c>
      <c r="H61" s="21">
        <f>IFERROR(INDEX(Users!$D$2:$D$310,MATCH(A61,Users!$B$2:$B$310,0)),"")</f>
        <v/>
      </c>
      <c r="I61" s="19">
        <f>AND(G61="Service A",H61="Band 3")</f>
        <v/>
      </c>
      <c r="J61" s="33">
        <f>IF(AND(YEAR(B61)=2025,G61="Service B",OR(H61="Band 3",H61="Band 5"),ISNUMBER(F61)),F61,"")</f>
        <v/>
      </c>
    </row>
    <row r="62">
      <c r="A62" s="19" t="inlineStr">
        <is>
          <t>User1018</t>
        </is>
      </c>
      <c r="B62" s="60" t="n">
        <v>45658</v>
      </c>
      <c r="C62" s="21" t="n">
        <v>162.8</v>
      </c>
      <c r="D62" s="21" t="n"/>
      <c r="E62" s="21" t="n"/>
      <c r="F62" s="27">
        <f>IFERROR(IF(OR(C62="",D62="",C62=0),"",D62/C62),"")</f>
        <v/>
      </c>
      <c r="G62" s="21">
        <f>IFERROR(INDEX(Users!$A$2:$A$310,MATCH(A62,Users!$B$2:$B$310,0)),"")</f>
        <v/>
      </c>
      <c r="H62" s="21">
        <f>IFERROR(INDEX(Users!$D$2:$D$310,MATCH(A62,Users!$B$2:$B$310,0)),"")</f>
        <v/>
      </c>
      <c r="I62" s="19">
        <f>AND(G62="Service A",H62="Band 3")</f>
        <v/>
      </c>
      <c r="J62" s="33">
        <f>IF(AND(YEAR(B62)=2025,G62="Service B",OR(H62="Band 3",H62="Band 5"),ISNUMBER(F62)),F62,"")</f>
        <v/>
      </c>
    </row>
    <row r="63">
      <c r="A63" s="19" t="inlineStr">
        <is>
          <t>User1018</t>
        </is>
      </c>
      <c r="B63" s="60" t="n">
        <v>45689</v>
      </c>
      <c r="C63" s="21" t="n">
        <v>74</v>
      </c>
      <c r="D63" s="21" t="n"/>
      <c r="E63" s="21" t="n"/>
      <c r="F63" s="27">
        <f>IFERROR(IF(OR(C63="",D63="",C63=0),"",D63/C63),"")</f>
        <v/>
      </c>
      <c r="G63" s="21">
        <f>IFERROR(INDEX(Users!$A$2:$A$310,MATCH(A63,Users!$B$2:$B$310,0)),"")</f>
        <v/>
      </c>
      <c r="H63" s="21">
        <f>IFERROR(INDEX(Users!$D$2:$D$310,MATCH(A63,Users!$B$2:$B$310,0)),"")</f>
        <v/>
      </c>
      <c r="I63" s="19">
        <f>AND(G63="Service A",H63="Band 3")</f>
        <v/>
      </c>
      <c r="J63" s="33">
        <f>IF(AND(YEAR(B63)=2025,G63="Service B",OR(H63="Band 3",H63="Band 5"),ISNUMBER(F63)),F63,"")</f>
        <v/>
      </c>
    </row>
    <row r="64">
      <c r="A64" s="19" t="inlineStr">
        <is>
          <t>User1019</t>
        </is>
      </c>
      <c r="B64" s="60" t="n">
        <v>45658</v>
      </c>
      <c r="C64" s="21" t="n">
        <v>162.8</v>
      </c>
      <c r="D64" s="21" t="n">
        <v>88.95333333333332</v>
      </c>
      <c r="E64" s="21" t="n">
        <v>6.42</v>
      </c>
      <c r="F64" s="27">
        <f>IFERROR(IF(OR(C64="",D64="",C64=0),"",D64/C64),"")</f>
        <v/>
      </c>
      <c r="G64" s="21">
        <f>IFERROR(INDEX(Users!$A$2:$A$310,MATCH(A64,Users!$B$2:$B$310,0)),"")</f>
        <v/>
      </c>
      <c r="H64" s="21">
        <f>IFERROR(INDEX(Users!$D$2:$D$310,MATCH(A64,Users!$B$2:$B$310,0)),"")</f>
        <v/>
      </c>
      <c r="I64" s="19">
        <f>AND(G64="Service A",H64="Band 3")</f>
        <v/>
      </c>
      <c r="J64" s="33">
        <f>IF(AND(YEAR(B64)=2025,G64="Service B",OR(H64="Band 3",H64="Band 5"),ISNUMBER(F64)),F64,"")</f>
        <v/>
      </c>
    </row>
    <row r="65">
      <c r="A65" s="19" t="inlineStr">
        <is>
          <t>User1019</t>
        </is>
      </c>
      <c r="B65" s="60" t="n">
        <v>45689</v>
      </c>
      <c r="C65" s="21" t="n">
        <v>148</v>
      </c>
      <c r="D65" s="21" t="n">
        <v>159.9866666666667</v>
      </c>
      <c r="E65" s="21" t="n">
        <v>27.62</v>
      </c>
      <c r="F65" s="27">
        <f>IFERROR(IF(OR(C65="",D65="",C65=0),"",D65/C65),"")</f>
        <v/>
      </c>
      <c r="G65" s="21">
        <f>IFERROR(INDEX(Users!$A$2:$A$310,MATCH(A65,Users!$B$2:$B$310,0)),"")</f>
        <v/>
      </c>
      <c r="H65" s="21">
        <f>IFERROR(INDEX(Users!$D$2:$D$310,MATCH(A65,Users!$B$2:$B$310,0)),"")</f>
        <v/>
      </c>
      <c r="I65" s="19">
        <f>AND(G65="Service A",H65="Band 3")</f>
        <v/>
      </c>
      <c r="J65" s="33">
        <f>IF(AND(YEAR(B65)=2025,G65="Service B",OR(H65="Band 3",H65="Band 5"),ISNUMBER(F65)),F65,"")</f>
        <v/>
      </c>
    </row>
    <row r="66">
      <c r="A66" s="19" t="inlineStr">
        <is>
          <t>User1019</t>
        </is>
      </c>
      <c r="B66" s="60" t="n">
        <v>45717</v>
      </c>
      <c r="C66" s="21" t="n">
        <v>155.4</v>
      </c>
      <c r="D66" s="21" t="n">
        <v>150.65</v>
      </c>
      <c r="E66" s="21" t="n">
        <v>49.20000000000001</v>
      </c>
      <c r="F66" s="27">
        <f>IFERROR(IF(OR(C66="",D66="",C66=0),"",D66/C66),"")</f>
        <v/>
      </c>
      <c r="G66" s="21">
        <f>IFERROR(INDEX(Users!$A$2:$A$310,MATCH(A66,Users!$B$2:$B$310,0)),"")</f>
        <v/>
      </c>
      <c r="H66" s="21">
        <f>IFERROR(INDEX(Users!$D$2:$D$310,MATCH(A66,Users!$B$2:$B$310,0)),"")</f>
        <v/>
      </c>
      <c r="I66" s="19">
        <f>AND(G66="Service A",H66="Band 3")</f>
        <v/>
      </c>
      <c r="J66" s="33">
        <f>IF(AND(YEAR(B66)=2025,G66="Service B",OR(H66="Band 3",H66="Band 5"),ISNUMBER(F66)),F66,"")</f>
        <v/>
      </c>
    </row>
    <row r="67">
      <c r="A67" s="19" t="inlineStr">
        <is>
          <t>User1019</t>
        </is>
      </c>
      <c r="B67" s="60" t="n">
        <v>45748</v>
      </c>
      <c r="C67" s="21" t="n">
        <v>148</v>
      </c>
      <c r="D67" s="21" t="n">
        <v>138.2733333333333</v>
      </c>
      <c r="E67" s="21" t="n">
        <v>55.69</v>
      </c>
      <c r="F67" s="27">
        <f>IFERROR(IF(OR(C67="",D67="",C67=0),"",D67/C67),"")</f>
        <v/>
      </c>
      <c r="G67" s="21">
        <f>IFERROR(INDEX(Users!$A$2:$A$310,MATCH(A67,Users!$B$2:$B$310,0)),"")</f>
        <v/>
      </c>
      <c r="H67" s="21">
        <f>IFERROR(INDEX(Users!$D$2:$D$310,MATCH(A67,Users!$B$2:$B$310,0)),"")</f>
        <v/>
      </c>
      <c r="I67" s="19">
        <f>AND(G67="Service A",H67="Band 3")</f>
        <v/>
      </c>
      <c r="J67" s="33">
        <f>IF(AND(YEAR(B67)=2025,G67="Service B",OR(H67="Band 3",H67="Band 5"),ISNUMBER(F67)),F67,"")</f>
        <v/>
      </c>
    </row>
    <row r="68">
      <c r="A68" s="19" t="inlineStr">
        <is>
          <t>User1019</t>
        </is>
      </c>
      <c r="B68" s="60" t="n">
        <v>45778</v>
      </c>
      <c r="C68" s="21" t="n">
        <v>148</v>
      </c>
      <c r="D68" s="21" t="n">
        <v>135.94</v>
      </c>
      <c r="E68" s="21" t="n">
        <v>63.44</v>
      </c>
      <c r="F68" s="27">
        <f>IFERROR(IF(OR(C68="",D68="",C68=0),"",D68/C68),"")</f>
        <v/>
      </c>
      <c r="G68" s="21">
        <f>IFERROR(INDEX(Users!$A$2:$A$310,MATCH(A68,Users!$B$2:$B$310,0)),"")</f>
        <v/>
      </c>
      <c r="H68" s="21">
        <f>IFERROR(INDEX(Users!$D$2:$D$310,MATCH(A68,Users!$B$2:$B$310,0)),"")</f>
        <v/>
      </c>
      <c r="I68" s="19">
        <f>AND(G68="Service A",H68="Band 3")</f>
        <v/>
      </c>
      <c r="J68" s="33">
        <f>IF(AND(YEAR(B68)=2025,G68="Service B",OR(H68="Band 3",H68="Band 5"),ISNUMBER(F68)),F68,"")</f>
        <v/>
      </c>
    </row>
    <row r="69">
      <c r="A69" s="19" t="inlineStr">
        <is>
          <t>User1019</t>
        </is>
      </c>
      <c r="B69" s="60" t="n">
        <v>45809</v>
      </c>
      <c r="C69" s="21" t="n">
        <v>155.4</v>
      </c>
      <c r="D69" s="21" t="n">
        <v>136.3266666666667</v>
      </c>
      <c r="E69" s="21" t="n">
        <v>87.25999999999999</v>
      </c>
      <c r="F69" s="27">
        <f>IFERROR(IF(OR(C69="",D69="",C69=0),"",D69/C69),"")</f>
        <v/>
      </c>
      <c r="G69" s="21">
        <f>IFERROR(INDEX(Users!$A$2:$A$310,MATCH(A69,Users!$B$2:$B$310,0)),"")</f>
        <v/>
      </c>
      <c r="H69" s="21">
        <f>IFERROR(INDEX(Users!$D$2:$D$310,MATCH(A69,Users!$B$2:$B$310,0)),"")</f>
        <v/>
      </c>
      <c r="I69" s="19">
        <f>AND(G69="Service A",H69="Band 3")</f>
        <v/>
      </c>
      <c r="J69" s="33">
        <f>IF(AND(YEAR(B69)=2025,G69="Service B",OR(H69="Band 3",H69="Band 5"),ISNUMBER(F69)),F69,"")</f>
        <v/>
      </c>
    </row>
    <row r="70">
      <c r="A70" s="19" t="inlineStr">
        <is>
          <t>User1019</t>
        </is>
      </c>
      <c r="B70" s="60" t="n">
        <v>45839</v>
      </c>
      <c r="C70" s="21" t="n">
        <v>170.2</v>
      </c>
      <c r="D70" s="21" t="n">
        <v>116.9733333333333</v>
      </c>
      <c r="E70" s="21" t="n">
        <v>60.59</v>
      </c>
      <c r="F70" s="27">
        <f>IFERROR(IF(OR(C70="",D70="",C70=0),"",D70/C70),"")</f>
        <v/>
      </c>
      <c r="G70" s="21">
        <f>IFERROR(INDEX(Users!$A$2:$A$310,MATCH(A70,Users!$B$2:$B$310,0)),"")</f>
        <v/>
      </c>
      <c r="H70" s="21">
        <f>IFERROR(INDEX(Users!$D$2:$D$310,MATCH(A70,Users!$B$2:$B$310,0)),"")</f>
        <v/>
      </c>
      <c r="I70" s="19">
        <f>AND(G70="Service A",H70="Band 3")</f>
        <v/>
      </c>
      <c r="J70" s="33">
        <f>IF(AND(YEAR(B70)=2025,G70="Service B",OR(H70="Band 3",H70="Band 5"),ISNUMBER(F70)),F70,"")</f>
        <v/>
      </c>
    </row>
    <row r="71">
      <c r="A71" s="19" t="inlineStr">
        <is>
          <t>User1019</t>
        </is>
      </c>
      <c r="B71" s="60" t="n">
        <v>45870</v>
      </c>
      <c r="C71" s="21" t="n">
        <v>148</v>
      </c>
      <c r="D71" s="21" t="n">
        <v>108.1766666666667</v>
      </c>
      <c r="E71" s="21" t="n">
        <v>61.76000000000001</v>
      </c>
      <c r="F71" s="27">
        <f>IFERROR(IF(OR(C71="",D71="",C71=0),"",D71/C71),"")</f>
        <v/>
      </c>
      <c r="G71" s="21">
        <f>IFERROR(INDEX(Users!$A$2:$A$310,MATCH(A71,Users!$B$2:$B$310,0)),"")</f>
        <v/>
      </c>
      <c r="H71" s="21">
        <f>IFERROR(INDEX(Users!$D$2:$D$310,MATCH(A71,Users!$B$2:$B$310,0)),"")</f>
        <v/>
      </c>
      <c r="I71" s="19">
        <f>AND(G71="Service A",H71="Band 3")</f>
        <v/>
      </c>
      <c r="J71" s="33">
        <f>IF(AND(YEAR(B71)=2025,G71="Service B",OR(H71="Band 3",H71="Band 5"),ISNUMBER(F71)),F71,"")</f>
        <v/>
      </c>
    </row>
    <row r="72">
      <c r="A72" s="19" t="inlineStr">
        <is>
          <t>User1019</t>
        </is>
      </c>
      <c r="B72" s="60" t="n">
        <v>45901</v>
      </c>
      <c r="C72" s="21" t="n">
        <v>162.8</v>
      </c>
      <c r="D72" s="21" t="n">
        <v>148.7733333333333</v>
      </c>
      <c r="E72" s="21" t="n">
        <v>92.19</v>
      </c>
      <c r="F72" s="27">
        <f>IFERROR(IF(OR(C72="",D72="",C72=0),"",D72/C72),"")</f>
        <v/>
      </c>
      <c r="G72" s="21">
        <f>IFERROR(INDEX(Users!$A$2:$A$310,MATCH(A72,Users!$B$2:$B$310,0)),"")</f>
        <v/>
      </c>
      <c r="H72" s="21">
        <f>IFERROR(INDEX(Users!$D$2:$D$310,MATCH(A72,Users!$B$2:$B$310,0)),"")</f>
        <v/>
      </c>
      <c r="I72" s="19">
        <f>AND(G72="Service A",H72="Band 3")</f>
        <v/>
      </c>
      <c r="J72" s="33">
        <f>IF(AND(YEAR(B72)=2025,G72="Service B",OR(H72="Band 3",H72="Band 5"),ISNUMBER(F72)),F72,"")</f>
        <v/>
      </c>
    </row>
    <row r="73">
      <c r="A73" s="19" t="inlineStr">
        <is>
          <t>User1019</t>
        </is>
      </c>
      <c r="B73" s="60" t="n">
        <v>45931</v>
      </c>
      <c r="C73" s="21" t="n">
        <v>170.2</v>
      </c>
      <c r="D73" s="21" t="n">
        <v>133.83</v>
      </c>
      <c r="E73" s="21" t="n">
        <v>77.38000000000001</v>
      </c>
      <c r="F73" s="27">
        <f>IFERROR(IF(OR(C73="",D73="",C73=0),"",D73/C73),"")</f>
        <v/>
      </c>
      <c r="G73" s="21">
        <f>IFERROR(INDEX(Users!$A$2:$A$310,MATCH(A73,Users!$B$2:$B$310,0)),"")</f>
        <v/>
      </c>
      <c r="H73" s="21">
        <f>IFERROR(INDEX(Users!$D$2:$D$310,MATCH(A73,Users!$B$2:$B$310,0)),"")</f>
        <v/>
      </c>
      <c r="I73" s="19">
        <f>AND(G73="Service A",H73="Band 3")</f>
        <v/>
      </c>
      <c r="J73" s="33">
        <f>IF(AND(YEAR(B73)=2025,G73="Service B",OR(H73="Band 3",H73="Band 5"),ISNUMBER(F73)),F73,"")</f>
        <v/>
      </c>
    </row>
    <row r="74">
      <c r="A74" s="19" t="inlineStr">
        <is>
          <t>User1019</t>
        </is>
      </c>
      <c r="B74" s="60" t="n">
        <v>45962</v>
      </c>
      <c r="C74" s="21" t="n">
        <v>148</v>
      </c>
      <c r="D74" s="21" t="n">
        <v>99.79333333333334</v>
      </c>
      <c r="E74" s="21" t="n">
        <v>37.46000000000001</v>
      </c>
      <c r="F74" s="27">
        <f>IFERROR(IF(OR(C74="",D74="",C74=0),"",D74/C74),"")</f>
        <v/>
      </c>
      <c r="G74" s="21">
        <f>IFERROR(INDEX(Users!$A$2:$A$310,MATCH(A74,Users!$B$2:$B$310,0)),"")</f>
        <v/>
      </c>
      <c r="H74" s="21">
        <f>IFERROR(INDEX(Users!$D$2:$D$310,MATCH(A74,Users!$B$2:$B$310,0)),"")</f>
        <v/>
      </c>
      <c r="I74" s="19">
        <f>AND(G74="Service A",H74="Band 3")</f>
        <v/>
      </c>
      <c r="J74" s="33">
        <f>IF(AND(YEAR(B74)=2025,G74="Service B",OR(H74="Band 3",H74="Band 5"),ISNUMBER(F74)),F74,"")</f>
        <v/>
      </c>
    </row>
    <row r="75">
      <c r="A75" s="19" t="inlineStr">
        <is>
          <t>User1019</t>
        </is>
      </c>
      <c r="B75" s="60" t="n">
        <v>45992</v>
      </c>
      <c r="C75" s="21" t="n">
        <v>155.4</v>
      </c>
      <c r="D75" s="21" t="n">
        <v>117.2566666666667</v>
      </c>
      <c r="E75" s="21" t="n">
        <v>81.04000000000001</v>
      </c>
      <c r="F75" s="27">
        <f>IFERROR(IF(OR(C75="",D75="",C75=0),"",D75/C75),"")</f>
        <v/>
      </c>
      <c r="G75" s="21">
        <f>IFERROR(INDEX(Users!$A$2:$A$310,MATCH(A75,Users!$B$2:$B$310,0)),"")</f>
        <v/>
      </c>
      <c r="H75" s="21">
        <f>IFERROR(INDEX(Users!$D$2:$D$310,MATCH(A75,Users!$B$2:$B$310,0)),"")</f>
        <v/>
      </c>
      <c r="I75" s="19">
        <f>AND(G75="Service A",H75="Band 3")</f>
        <v/>
      </c>
      <c r="J75" s="33">
        <f>IF(AND(YEAR(B75)=2025,G75="Service B",OR(H75="Band 3",H75="Band 5"),ISNUMBER(F75)),F75,"")</f>
        <v/>
      </c>
    </row>
    <row r="76">
      <c r="A76" s="19" t="inlineStr">
        <is>
          <t>User1019</t>
        </is>
      </c>
      <c r="B76" s="60" t="n">
        <v>46023</v>
      </c>
      <c r="C76" s="21" t="n">
        <v>155.4</v>
      </c>
      <c r="D76" s="21" t="n">
        <v>149.94</v>
      </c>
      <c r="E76" s="21" t="n">
        <v>122.19</v>
      </c>
      <c r="F76" s="27">
        <f>IFERROR(IF(OR(C76="",D76="",C76=0),"",D76/C76),"")</f>
        <v/>
      </c>
      <c r="G76" s="21">
        <f>IFERROR(INDEX(Users!$A$2:$A$310,MATCH(A76,Users!$B$2:$B$310,0)),"")</f>
        <v/>
      </c>
      <c r="H76" s="21">
        <f>IFERROR(INDEX(Users!$D$2:$D$310,MATCH(A76,Users!$B$2:$B$310,0)),"")</f>
        <v/>
      </c>
      <c r="I76" s="19">
        <f>AND(G76="Service A",H76="Band 3")</f>
        <v/>
      </c>
      <c r="J76" s="33">
        <f>IF(AND(YEAR(B76)=2025,G76="Service B",OR(H76="Band 3",H76="Band 5"),ISNUMBER(F76)),F76,"")</f>
        <v/>
      </c>
    </row>
    <row r="77">
      <c r="A77" s="19" t="inlineStr">
        <is>
          <t>User1020</t>
        </is>
      </c>
      <c r="B77" s="60" t="n">
        <v>45901</v>
      </c>
      <c r="C77" s="21" t="n">
        <v>51.8</v>
      </c>
      <c r="D77" s="21" t="n"/>
      <c r="E77" s="21" t="n"/>
      <c r="F77" s="27">
        <f>IFERROR(IF(OR(C77="",D77="",C77=0),"",D77/C77),"")</f>
        <v/>
      </c>
      <c r="G77" s="21">
        <f>IFERROR(INDEX(Users!$A$2:$A$310,MATCH(A77,Users!$B$2:$B$310,0)),"")</f>
        <v/>
      </c>
      <c r="H77" s="21">
        <f>IFERROR(INDEX(Users!$D$2:$D$310,MATCH(A77,Users!$B$2:$B$310,0)),"")</f>
        <v/>
      </c>
      <c r="I77" s="19">
        <f>AND(G77="Service A",H77="Band 3")</f>
        <v/>
      </c>
      <c r="J77" s="33">
        <f>IF(AND(YEAR(B77)=2025,G77="Service B",OR(H77="Band 3",H77="Band 5"),ISNUMBER(F77)),F77,"")</f>
        <v/>
      </c>
    </row>
    <row r="78">
      <c r="A78" s="19" t="inlineStr">
        <is>
          <t>User1020</t>
        </is>
      </c>
      <c r="B78" s="60" t="n">
        <v>45931</v>
      </c>
      <c r="C78" s="21" t="n">
        <v>170.2000000000001</v>
      </c>
      <c r="D78" s="21" t="n">
        <v>194.5233333333334</v>
      </c>
      <c r="E78" s="21" t="n">
        <v>6.44</v>
      </c>
      <c r="F78" s="27">
        <f>IFERROR(IF(OR(C78="",D78="",C78=0),"",D78/C78),"")</f>
        <v/>
      </c>
      <c r="G78" s="21">
        <f>IFERROR(INDEX(Users!$A$2:$A$310,MATCH(A78,Users!$B$2:$B$310,0)),"")</f>
        <v/>
      </c>
      <c r="H78" s="21">
        <f>IFERROR(INDEX(Users!$D$2:$D$310,MATCH(A78,Users!$B$2:$B$310,0)),"")</f>
        <v/>
      </c>
      <c r="I78" s="19">
        <f>AND(G78="Service A",H78="Band 3")</f>
        <v/>
      </c>
      <c r="J78" s="33">
        <f>IF(AND(YEAR(B78)=2025,G78="Service B",OR(H78="Band 3",H78="Band 5"),ISNUMBER(F78)),F78,"")</f>
        <v/>
      </c>
    </row>
    <row r="79">
      <c r="A79" s="19" t="inlineStr">
        <is>
          <t>User1020</t>
        </is>
      </c>
      <c r="B79" s="60" t="n">
        <v>45962</v>
      </c>
      <c r="C79" s="21" t="n">
        <v>148.0000000000001</v>
      </c>
      <c r="D79" s="21" t="n">
        <v>154.73</v>
      </c>
      <c r="E79" s="21" t="n">
        <v>31.42999999999999</v>
      </c>
      <c r="F79" s="27">
        <f>IFERROR(IF(OR(C79="",D79="",C79=0),"",D79/C79),"")</f>
        <v/>
      </c>
      <c r="G79" s="21">
        <f>IFERROR(INDEX(Users!$A$2:$A$310,MATCH(A79,Users!$B$2:$B$310,0)),"")</f>
        <v/>
      </c>
      <c r="H79" s="21">
        <f>IFERROR(INDEX(Users!$D$2:$D$310,MATCH(A79,Users!$B$2:$B$310,0)),"")</f>
        <v/>
      </c>
      <c r="I79" s="19">
        <f>AND(G79="Service A",H79="Band 3")</f>
        <v/>
      </c>
      <c r="J79" s="33">
        <f>IF(AND(YEAR(B79)=2025,G79="Service B",OR(H79="Band 3",H79="Band 5"),ISNUMBER(F79)),F79,"")</f>
        <v/>
      </c>
    </row>
    <row r="80">
      <c r="A80" s="19" t="inlineStr">
        <is>
          <t>User1020</t>
        </is>
      </c>
      <c r="B80" s="60" t="n">
        <v>45992</v>
      </c>
      <c r="C80" s="21" t="n">
        <v>155.4000000000001</v>
      </c>
      <c r="D80" s="21" t="n">
        <v>92.00666666666666</v>
      </c>
      <c r="E80" s="21" t="n">
        <v>28.84</v>
      </c>
      <c r="F80" s="27">
        <f>IFERROR(IF(OR(C80="",D80="",C80=0),"",D80/C80),"")</f>
        <v/>
      </c>
      <c r="G80" s="21">
        <f>IFERROR(INDEX(Users!$A$2:$A$310,MATCH(A80,Users!$B$2:$B$310,0)),"")</f>
        <v/>
      </c>
      <c r="H80" s="21">
        <f>IFERROR(INDEX(Users!$D$2:$D$310,MATCH(A80,Users!$B$2:$B$310,0)),"")</f>
        <v/>
      </c>
      <c r="I80" s="19">
        <f>AND(G80="Service A",H80="Band 3")</f>
        <v/>
      </c>
      <c r="J80" s="33">
        <f>IF(AND(YEAR(B80)=2025,G80="Service B",OR(H80="Band 3",H80="Band 5"),ISNUMBER(F80)),F80,"")</f>
        <v/>
      </c>
    </row>
    <row r="81">
      <c r="A81" s="19" t="inlineStr">
        <is>
          <t>User1020</t>
        </is>
      </c>
      <c r="B81" s="60" t="n">
        <v>46023</v>
      </c>
      <c r="C81" s="21" t="n">
        <v>155.4000000000001</v>
      </c>
      <c r="D81" s="21" t="n">
        <v>118.6133333333333</v>
      </c>
      <c r="E81" s="21" t="n">
        <v>43.32999999999998</v>
      </c>
      <c r="F81" s="27">
        <f>IFERROR(IF(OR(C81="",D81="",C81=0),"",D81/C81),"")</f>
        <v/>
      </c>
      <c r="G81" s="21">
        <f>IFERROR(INDEX(Users!$A$2:$A$310,MATCH(A81,Users!$B$2:$B$310,0)),"")</f>
        <v/>
      </c>
      <c r="H81" s="21">
        <f>IFERROR(INDEX(Users!$D$2:$D$310,MATCH(A81,Users!$B$2:$B$310,0)),"")</f>
        <v/>
      </c>
      <c r="I81" s="19">
        <f>AND(G81="Service A",H81="Band 3")</f>
        <v/>
      </c>
      <c r="J81" s="33">
        <f>IF(AND(YEAR(B81)=2025,G81="Service B",OR(H81="Band 3",H81="Band 5"),ISNUMBER(F81)),F81,"")</f>
        <v/>
      </c>
    </row>
    <row r="82">
      <c r="A82" s="19" t="inlineStr">
        <is>
          <t>User1021</t>
        </is>
      </c>
      <c r="B82" s="60" t="n">
        <v>45658</v>
      </c>
      <c r="C82" s="21" t="n">
        <v>162.8</v>
      </c>
      <c r="D82" s="21" t="n">
        <v>138</v>
      </c>
      <c r="E82" s="21" t="n">
        <v>99.75</v>
      </c>
      <c r="F82" s="27">
        <f>IFERROR(IF(OR(C82="",D82="",C82=0),"",D82/C82),"")</f>
        <v/>
      </c>
      <c r="G82" s="21">
        <f>IFERROR(INDEX(Users!$A$2:$A$310,MATCH(A82,Users!$B$2:$B$310,0)),"")</f>
        <v/>
      </c>
      <c r="H82" s="21">
        <f>IFERROR(INDEX(Users!$D$2:$D$310,MATCH(A82,Users!$B$2:$B$310,0)),"")</f>
        <v/>
      </c>
      <c r="I82" s="19">
        <f>AND(G82="Service A",H82="Band 3")</f>
        <v/>
      </c>
      <c r="J82" s="33">
        <f>IF(AND(YEAR(B82)=2025,G82="Service B",OR(H82="Band 3",H82="Band 5"),ISNUMBER(F82)),F82,"")</f>
        <v/>
      </c>
    </row>
    <row r="83">
      <c r="A83" s="19" t="inlineStr">
        <is>
          <t>User1021</t>
        </is>
      </c>
      <c r="B83" s="60" t="n">
        <v>45689</v>
      </c>
      <c r="C83" s="21" t="n">
        <v>148</v>
      </c>
      <c r="D83" s="21" t="n">
        <v>90.7</v>
      </c>
      <c r="E83" s="21" t="n">
        <v>73.5</v>
      </c>
      <c r="F83" s="27">
        <f>IFERROR(IF(OR(C83="",D83="",C83=0),"",D83/C83),"")</f>
        <v/>
      </c>
      <c r="G83" s="21">
        <f>IFERROR(INDEX(Users!$A$2:$A$310,MATCH(A83,Users!$B$2:$B$310,0)),"")</f>
        <v/>
      </c>
      <c r="H83" s="21">
        <f>IFERROR(INDEX(Users!$D$2:$D$310,MATCH(A83,Users!$B$2:$B$310,0)),"")</f>
        <v/>
      </c>
      <c r="I83" s="19">
        <f>AND(G83="Service A",H83="Band 3")</f>
        <v/>
      </c>
      <c r="J83" s="33">
        <f>IF(AND(YEAR(B83)=2025,G83="Service B",OR(H83="Band 3",H83="Band 5"),ISNUMBER(F83)),F83,"")</f>
        <v/>
      </c>
    </row>
    <row r="84">
      <c r="A84" s="19" t="inlineStr">
        <is>
          <t>User1021</t>
        </is>
      </c>
      <c r="B84" s="60" t="n">
        <v>45717</v>
      </c>
      <c r="C84" s="21" t="n">
        <v>155.4</v>
      </c>
      <c r="D84" s="21" t="n">
        <v>136.95</v>
      </c>
      <c r="E84" s="21" t="n">
        <v>66</v>
      </c>
      <c r="F84" s="27">
        <f>IFERROR(IF(OR(C84="",D84="",C84=0),"",D84/C84),"")</f>
        <v/>
      </c>
      <c r="G84" s="21">
        <f>IFERROR(INDEX(Users!$A$2:$A$310,MATCH(A84,Users!$B$2:$B$310,0)),"")</f>
        <v/>
      </c>
      <c r="H84" s="21">
        <f>IFERROR(INDEX(Users!$D$2:$D$310,MATCH(A84,Users!$B$2:$B$310,0)),"")</f>
        <v/>
      </c>
      <c r="I84" s="19">
        <f>AND(G84="Service A",H84="Band 3")</f>
        <v/>
      </c>
      <c r="J84" s="33">
        <f>IF(AND(YEAR(B84)=2025,G84="Service B",OR(H84="Band 3",H84="Band 5"),ISNUMBER(F84)),F84,"")</f>
        <v/>
      </c>
    </row>
    <row r="85">
      <c r="A85" s="19" t="inlineStr">
        <is>
          <t>User1021</t>
        </is>
      </c>
      <c r="B85" s="60" t="n">
        <v>45748</v>
      </c>
      <c r="C85" s="21" t="n">
        <v>148</v>
      </c>
      <c r="D85" s="21" t="n">
        <v>81.39666666666666</v>
      </c>
      <c r="E85" s="21" t="n">
        <v>40.33</v>
      </c>
      <c r="F85" s="27">
        <f>IFERROR(IF(OR(C85="",D85="",C85=0),"",D85/C85),"")</f>
        <v/>
      </c>
      <c r="G85" s="21">
        <f>IFERROR(INDEX(Users!$A$2:$A$310,MATCH(A85,Users!$B$2:$B$310,0)),"")</f>
        <v/>
      </c>
      <c r="H85" s="21">
        <f>IFERROR(INDEX(Users!$D$2:$D$310,MATCH(A85,Users!$B$2:$B$310,0)),"")</f>
        <v/>
      </c>
      <c r="I85" s="19">
        <f>AND(G85="Service A",H85="Band 3")</f>
        <v/>
      </c>
      <c r="J85" s="33">
        <f>IF(AND(YEAR(B85)=2025,G85="Service B",OR(H85="Band 3",H85="Band 5"),ISNUMBER(F85)),F85,"")</f>
        <v/>
      </c>
    </row>
    <row r="86">
      <c r="A86" s="19" t="inlineStr">
        <is>
          <t>User1021</t>
        </is>
      </c>
      <c r="B86" s="60" t="n">
        <v>45778</v>
      </c>
      <c r="C86" s="21" t="n">
        <v>148</v>
      </c>
      <c r="D86" s="21" t="n">
        <v>113.76</v>
      </c>
      <c r="E86" s="21" t="n">
        <v>80.01000000000001</v>
      </c>
      <c r="F86" s="27">
        <f>IFERROR(IF(OR(C86="",D86="",C86=0),"",D86/C86),"")</f>
        <v/>
      </c>
      <c r="G86" s="21">
        <f>IFERROR(INDEX(Users!$A$2:$A$310,MATCH(A86,Users!$B$2:$B$310,0)),"")</f>
        <v/>
      </c>
      <c r="H86" s="21">
        <f>IFERROR(INDEX(Users!$D$2:$D$310,MATCH(A86,Users!$B$2:$B$310,0)),"")</f>
        <v/>
      </c>
      <c r="I86" s="19">
        <f>AND(G86="Service A",H86="Band 3")</f>
        <v/>
      </c>
      <c r="J86" s="33">
        <f>IF(AND(YEAR(B86)=2025,G86="Service B",OR(H86="Band 3",H86="Band 5"),ISNUMBER(F86)),F86,"")</f>
        <v/>
      </c>
    </row>
    <row r="87">
      <c r="A87" s="19" t="inlineStr">
        <is>
          <t>User1021</t>
        </is>
      </c>
      <c r="B87" s="60" t="n">
        <v>45809</v>
      </c>
      <c r="C87" s="21" t="n">
        <v>155.4</v>
      </c>
      <c r="D87" s="21" t="n">
        <v>155.5533333333333</v>
      </c>
      <c r="E87" s="21" t="n">
        <v>82.42</v>
      </c>
      <c r="F87" s="27">
        <f>IFERROR(IF(OR(C87="",D87="",C87=0),"",D87/C87),"")</f>
        <v/>
      </c>
      <c r="G87" s="21">
        <f>IFERROR(INDEX(Users!$A$2:$A$310,MATCH(A87,Users!$B$2:$B$310,0)),"")</f>
        <v/>
      </c>
      <c r="H87" s="21">
        <f>IFERROR(INDEX(Users!$D$2:$D$310,MATCH(A87,Users!$B$2:$B$310,0)),"")</f>
        <v/>
      </c>
      <c r="I87" s="19">
        <f>AND(G87="Service A",H87="Band 3")</f>
        <v/>
      </c>
      <c r="J87" s="33">
        <f>IF(AND(YEAR(B87)=2025,G87="Service B",OR(H87="Band 3",H87="Band 5"),ISNUMBER(F87)),F87,"")</f>
        <v/>
      </c>
    </row>
    <row r="88">
      <c r="A88" s="19" t="inlineStr">
        <is>
          <t>User1021</t>
        </is>
      </c>
      <c r="B88" s="60" t="n">
        <v>45839</v>
      </c>
      <c r="C88" s="21" t="n">
        <v>170.2</v>
      </c>
      <c r="D88" s="21" t="n">
        <v>156.17</v>
      </c>
      <c r="E88" s="21" t="n">
        <v>113.22</v>
      </c>
      <c r="F88" s="27">
        <f>IFERROR(IF(OR(C88="",D88="",C88=0),"",D88/C88),"")</f>
        <v/>
      </c>
      <c r="G88" s="21">
        <f>IFERROR(INDEX(Users!$A$2:$A$310,MATCH(A88,Users!$B$2:$B$310,0)),"")</f>
        <v/>
      </c>
      <c r="H88" s="21">
        <f>IFERROR(INDEX(Users!$D$2:$D$310,MATCH(A88,Users!$B$2:$B$310,0)),"")</f>
        <v/>
      </c>
      <c r="I88" s="19">
        <f>AND(G88="Service A",H88="Band 3")</f>
        <v/>
      </c>
      <c r="J88" s="33">
        <f>IF(AND(YEAR(B88)=2025,G88="Service B",OR(H88="Band 3",H88="Band 5"),ISNUMBER(F88)),F88,"")</f>
        <v/>
      </c>
    </row>
    <row r="89">
      <c r="A89" s="19" t="inlineStr">
        <is>
          <t>User1021</t>
        </is>
      </c>
      <c r="B89" s="60" t="n">
        <v>45870</v>
      </c>
      <c r="C89" s="21" t="n">
        <v>148</v>
      </c>
      <c r="D89" s="21" t="n">
        <v>112.81</v>
      </c>
      <c r="E89" s="21" t="n">
        <v>65.91000000000003</v>
      </c>
      <c r="F89" s="27">
        <f>IFERROR(IF(OR(C89="",D89="",C89=0),"",D89/C89),"")</f>
        <v/>
      </c>
      <c r="G89" s="21">
        <f>IFERROR(INDEX(Users!$A$2:$A$310,MATCH(A89,Users!$B$2:$B$310,0)),"")</f>
        <v/>
      </c>
      <c r="H89" s="21">
        <f>IFERROR(INDEX(Users!$D$2:$D$310,MATCH(A89,Users!$B$2:$B$310,0)),"")</f>
        <v/>
      </c>
      <c r="I89" s="19">
        <f>AND(G89="Service A",H89="Band 3")</f>
        <v/>
      </c>
      <c r="J89" s="33">
        <f>IF(AND(YEAR(B89)=2025,G89="Service B",OR(H89="Band 3",H89="Band 5"),ISNUMBER(F89)),F89,"")</f>
        <v/>
      </c>
    </row>
    <row r="90">
      <c r="A90" s="19" t="inlineStr">
        <is>
          <t>User1021</t>
        </is>
      </c>
      <c r="B90" s="60" t="n">
        <v>45901</v>
      </c>
      <c r="C90" s="21" t="n">
        <v>162.8</v>
      </c>
      <c r="D90" s="21" t="n">
        <v>166.0566666666667</v>
      </c>
      <c r="E90" s="21" t="n">
        <v>111.79</v>
      </c>
      <c r="F90" s="27">
        <f>IFERROR(IF(OR(C90="",D90="",C90=0),"",D90/C90),"")</f>
        <v/>
      </c>
      <c r="G90" s="21">
        <f>IFERROR(INDEX(Users!$A$2:$A$310,MATCH(A90,Users!$B$2:$B$310,0)),"")</f>
        <v/>
      </c>
      <c r="H90" s="21">
        <f>IFERROR(INDEX(Users!$D$2:$D$310,MATCH(A90,Users!$B$2:$B$310,0)),"")</f>
        <v/>
      </c>
      <c r="I90" s="19">
        <f>AND(G90="Service A",H90="Band 3")</f>
        <v/>
      </c>
      <c r="J90" s="33">
        <f>IF(AND(YEAR(B90)=2025,G90="Service B",OR(H90="Band 3",H90="Band 5"),ISNUMBER(F90)),F90,"")</f>
        <v/>
      </c>
    </row>
    <row r="91">
      <c r="A91" s="19" t="inlineStr">
        <is>
          <t>User1021</t>
        </is>
      </c>
      <c r="B91" s="60" t="n">
        <v>45931</v>
      </c>
      <c r="C91" s="21" t="n">
        <v>170.2</v>
      </c>
      <c r="D91" s="21" t="n">
        <v>153.8033333333333</v>
      </c>
      <c r="E91" s="21" t="n">
        <v>102.42</v>
      </c>
      <c r="F91" s="27">
        <f>IFERROR(IF(OR(C91="",D91="",C91=0),"",D91/C91),"")</f>
        <v/>
      </c>
      <c r="G91" s="21">
        <f>IFERROR(INDEX(Users!$A$2:$A$310,MATCH(A91,Users!$B$2:$B$310,0)),"")</f>
        <v/>
      </c>
      <c r="H91" s="21">
        <f>IFERROR(INDEX(Users!$D$2:$D$310,MATCH(A91,Users!$B$2:$B$310,0)),"")</f>
        <v/>
      </c>
      <c r="I91" s="19">
        <f>AND(G91="Service A",H91="Band 3")</f>
        <v/>
      </c>
      <c r="J91" s="33">
        <f>IF(AND(YEAR(B91)=2025,G91="Service B",OR(H91="Band 3",H91="Band 5"),ISNUMBER(F91)),F91,"")</f>
        <v/>
      </c>
    </row>
    <row r="92">
      <c r="A92" s="19" t="inlineStr">
        <is>
          <t>User1021</t>
        </is>
      </c>
      <c r="B92" s="60" t="n">
        <v>45962</v>
      </c>
      <c r="C92" s="21" t="n">
        <v>148</v>
      </c>
      <c r="D92" s="21" t="n">
        <v>144.3733333333334</v>
      </c>
      <c r="E92" s="21" t="n">
        <v>106.44</v>
      </c>
      <c r="F92" s="27">
        <f>IFERROR(IF(OR(C92="",D92="",C92=0),"",D92/C92),"")</f>
        <v/>
      </c>
      <c r="G92" s="21">
        <f>IFERROR(INDEX(Users!$A$2:$A$310,MATCH(A92,Users!$B$2:$B$310,0)),"")</f>
        <v/>
      </c>
      <c r="H92" s="21">
        <f>IFERROR(INDEX(Users!$D$2:$D$310,MATCH(A92,Users!$B$2:$B$310,0)),"")</f>
        <v/>
      </c>
      <c r="I92" s="19">
        <f>AND(G92="Service A",H92="Band 3")</f>
        <v/>
      </c>
      <c r="J92" s="33">
        <f>IF(AND(YEAR(B92)=2025,G92="Service B",OR(H92="Band 3",H92="Band 5"),ISNUMBER(F92)),F92,"")</f>
        <v/>
      </c>
    </row>
    <row r="93">
      <c r="A93" s="19" t="inlineStr">
        <is>
          <t>User1021</t>
        </is>
      </c>
      <c r="B93" s="60" t="n">
        <v>45992</v>
      </c>
      <c r="C93" s="21" t="n">
        <v>155.4</v>
      </c>
      <c r="D93" s="21" t="n">
        <v>106.7033333333333</v>
      </c>
      <c r="E93" s="21" t="n">
        <v>72.22</v>
      </c>
      <c r="F93" s="27">
        <f>IFERROR(IF(OR(C93="",D93="",C93=0),"",D93/C93),"")</f>
        <v/>
      </c>
      <c r="G93" s="21">
        <f>IFERROR(INDEX(Users!$A$2:$A$310,MATCH(A93,Users!$B$2:$B$310,0)),"")</f>
        <v/>
      </c>
      <c r="H93" s="21">
        <f>IFERROR(INDEX(Users!$D$2:$D$310,MATCH(A93,Users!$B$2:$B$310,0)),"")</f>
        <v/>
      </c>
      <c r="I93" s="19">
        <f>AND(G93="Service A",H93="Band 3")</f>
        <v/>
      </c>
      <c r="J93" s="33">
        <f>IF(AND(YEAR(B93)=2025,G93="Service B",OR(H93="Band 3",H93="Band 5"),ISNUMBER(F93)),F93,"")</f>
        <v/>
      </c>
    </row>
    <row r="94">
      <c r="A94" s="19" t="inlineStr">
        <is>
          <t>User1021</t>
        </is>
      </c>
      <c r="B94" s="60" t="n">
        <v>46023</v>
      </c>
      <c r="C94" s="21" t="n">
        <v>155.4</v>
      </c>
      <c r="D94" s="21" t="n">
        <v>150.5933333333333</v>
      </c>
      <c r="E94" s="21" t="n">
        <v>97.25999999999999</v>
      </c>
      <c r="F94" s="27">
        <f>IFERROR(IF(OR(C94="",D94="",C94=0),"",D94/C94),"")</f>
        <v/>
      </c>
      <c r="G94" s="21">
        <f>IFERROR(INDEX(Users!$A$2:$A$310,MATCH(A94,Users!$B$2:$B$310,0)),"")</f>
        <v/>
      </c>
      <c r="H94" s="21">
        <f>IFERROR(INDEX(Users!$D$2:$D$310,MATCH(A94,Users!$B$2:$B$310,0)),"")</f>
        <v/>
      </c>
      <c r="I94" s="19">
        <f>AND(G94="Service A",H94="Band 3")</f>
        <v/>
      </c>
      <c r="J94" s="33">
        <f>IF(AND(YEAR(B94)=2025,G94="Service B",OR(H94="Band 3",H94="Band 5"),ISNUMBER(F94)),F94,"")</f>
        <v/>
      </c>
    </row>
    <row r="95">
      <c r="A95" s="19" t="inlineStr">
        <is>
          <t>User1022</t>
        </is>
      </c>
      <c r="B95" s="60" t="n">
        <v>45658</v>
      </c>
      <c r="C95" s="21" t="n">
        <v>162.8</v>
      </c>
      <c r="D95" s="21" t="n">
        <v>150.5</v>
      </c>
      <c r="E95" s="21" t="n">
        <v>116</v>
      </c>
      <c r="F95" s="27">
        <f>IFERROR(IF(OR(C95="",D95="",C95=0),"",D95/C95),"")</f>
        <v/>
      </c>
      <c r="G95" s="21">
        <f>IFERROR(INDEX(Users!$A$2:$A$310,MATCH(A95,Users!$B$2:$B$310,0)),"")</f>
        <v/>
      </c>
      <c r="H95" s="21">
        <f>IFERROR(INDEX(Users!$D$2:$D$310,MATCH(A95,Users!$B$2:$B$310,0)),"")</f>
        <v/>
      </c>
      <c r="I95" s="19">
        <f>AND(G95="Service A",H95="Band 3")</f>
        <v/>
      </c>
      <c r="J95" s="33">
        <f>IF(AND(YEAR(B95)=2025,G95="Service B",OR(H95="Band 3",H95="Band 5"),ISNUMBER(F95)),F95,"")</f>
        <v/>
      </c>
    </row>
    <row r="96">
      <c r="A96" s="19" t="inlineStr">
        <is>
          <t>User1022</t>
        </is>
      </c>
      <c r="B96" s="60" t="n">
        <v>45689</v>
      </c>
      <c r="C96" s="21" t="n">
        <v>148</v>
      </c>
      <c r="D96" s="21" t="n">
        <v>145.5</v>
      </c>
      <c r="E96" s="21" t="n">
        <v>119</v>
      </c>
      <c r="F96" s="27">
        <f>IFERROR(IF(OR(C96="",D96="",C96=0),"",D96/C96),"")</f>
        <v/>
      </c>
      <c r="G96" s="21">
        <f>IFERROR(INDEX(Users!$A$2:$A$310,MATCH(A96,Users!$B$2:$B$310,0)),"")</f>
        <v/>
      </c>
      <c r="H96" s="21">
        <f>IFERROR(INDEX(Users!$D$2:$D$310,MATCH(A96,Users!$B$2:$B$310,0)),"")</f>
        <v/>
      </c>
      <c r="I96" s="19">
        <f>AND(G96="Service A",H96="Band 3")</f>
        <v/>
      </c>
      <c r="J96" s="33">
        <f>IF(AND(YEAR(B96)=2025,G96="Service B",OR(H96="Band 3",H96="Band 5"),ISNUMBER(F96)),F96,"")</f>
        <v/>
      </c>
    </row>
    <row r="97">
      <c r="A97" s="19" t="inlineStr">
        <is>
          <t>User1022</t>
        </is>
      </c>
      <c r="B97" s="60" t="n">
        <v>45717</v>
      </c>
      <c r="C97" s="21" t="n">
        <v>155.4</v>
      </c>
      <c r="D97" s="21" t="n">
        <v>145.5</v>
      </c>
      <c r="E97" s="21" t="n">
        <v>118</v>
      </c>
      <c r="F97" s="27">
        <f>IFERROR(IF(OR(C97="",D97="",C97=0),"",D97/C97),"")</f>
        <v/>
      </c>
      <c r="G97" s="21">
        <f>IFERROR(INDEX(Users!$A$2:$A$310,MATCH(A97,Users!$B$2:$B$310,0)),"")</f>
        <v/>
      </c>
      <c r="H97" s="21">
        <f>IFERROR(INDEX(Users!$D$2:$D$310,MATCH(A97,Users!$B$2:$B$310,0)),"")</f>
        <v/>
      </c>
      <c r="I97" s="19">
        <f>AND(G97="Service A",H97="Band 3")</f>
        <v/>
      </c>
      <c r="J97" s="33">
        <f>IF(AND(YEAR(B97)=2025,G97="Service B",OR(H97="Band 3",H97="Band 5"),ISNUMBER(F97)),F97,"")</f>
        <v/>
      </c>
    </row>
    <row r="98">
      <c r="A98" s="19" t="inlineStr">
        <is>
          <t>User1022</t>
        </is>
      </c>
      <c r="B98" s="60" t="n">
        <v>45748</v>
      </c>
      <c r="C98" s="21" t="n">
        <v>148</v>
      </c>
      <c r="D98" s="21" t="n">
        <v>101</v>
      </c>
      <c r="E98" s="21" t="n">
        <v>70</v>
      </c>
      <c r="F98" s="27">
        <f>IFERROR(IF(OR(C98="",D98="",C98=0),"",D98/C98),"")</f>
        <v/>
      </c>
      <c r="G98" s="21">
        <f>IFERROR(INDEX(Users!$A$2:$A$310,MATCH(A98,Users!$B$2:$B$310,0)),"")</f>
        <v/>
      </c>
      <c r="H98" s="21">
        <f>IFERROR(INDEX(Users!$D$2:$D$310,MATCH(A98,Users!$B$2:$B$310,0)),"")</f>
        <v/>
      </c>
      <c r="I98" s="19">
        <f>AND(G98="Service A",H98="Band 3")</f>
        <v/>
      </c>
      <c r="J98" s="33">
        <f>IF(AND(YEAR(B98)=2025,G98="Service B",OR(H98="Band 3",H98="Band 5"),ISNUMBER(F98)),F98,"")</f>
        <v/>
      </c>
    </row>
    <row r="99">
      <c r="A99" s="19" t="inlineStr">
        <is>
          <t>User1022</t>
        </is>
      </c>
      <c r="B99" s="60" t="n">
        <v>45778</v>
      </c>
      <c r="C99" s="21" t="n">
        <v>148</v>
      </c>
      <c r="D99" s="21" t="n">
        <v>147.33</v>
      </c>
      <c r="E99" s="21" t="n">
        <v>116.33</v>
      </c>
      <c r="F99" s="27">
        <f>IFERROR(IF(OR(C99="",D99="",C99=0),"",D99/C99),"")</f>
        <v/>
      </c>
      <c r="G99" s="21">
        <f>IFERROR(INDEX(Users!$A$2:$A$310,MATCH(A99,Users!$B$2:$B$310,0)),"")</f>
        <v/>
      </c>
      <c r="H99" s="21">
        <f>IFERROR(INDEX(Users!$D$2:$D$310,MATCH(A99,Users!$B$2:$B$310,0)),"")</f>
        <v/>
      </c>
      <c r="I99" s="19">
        <f>AND(G99="Service A",H99="Band 3")</f>
        <v/>
      </c>
      <c r="J99" s="33">
        <f>IF(AND(YEAR(B99)=2025,G99="Service B",OR(H99="Band 3",H99="Band 5"),ISNUMBER(F99)),F99,"")</f>
        <v/>
      </c>
    </row>
    <row r="100">
      <c r="A100" s="19" t="inlineStr">
        <is>
          <t>User1022</t>
        </is>
      </c>
      <c r="B100" s="60" t="n">
        <v>45809</v>
      </c>
      <c r="C100" s="21" t="n">
        <v>155.4</v>
      </c>
      <c r="D100" s="21" t="n">
        <v>103.5</v>
      </c>
      <c r="E100" s="21" t="n">
        <v>81</v>
      </c>
      <c r="F100" s="27">
        <f>IFERROR(IF(OR(C100="",D100="",C100=0),"",D100/C100),"")</f>
        <v/>
      </c>
      <c r="G100" s="21">
        <f>IFERROR(INDEX(Users!$A$2:$A$310,MATCH(A100,Users!$B$2:$B$310,0)),"")</f>
        <v/>
      </c>
      <c r="H100" s="21">
        <f>IFERROR(INDEX(Users!$D$2:$D$310,MATCH(A100,Users!$B$2:$B$310,0)),"")</f>
        <v/>
      </c>
      <c r="I100" s="19">
        <f>AND(G100="Service A",H100="Band 3")</f>
        <v/>
      </c>
      <c r="J100" s="33">
        <f>IF(AND(YEAR(B100)=2025,G100="Service B",OR(H100="Band 3",H100="Band 5"),ISNUMBER(F100)),F100,"")</f>
        <v/>
      </c>
    </row>
    <row r="101">
      <c r="A101" s="19" t="inlineStr">
        <is>
          <t>User1022</t>
        </is>
      </c>
      <c r="B101" s="60" t="n">
        <v>45839</v>
      </c>
      <c r="C101" s="21" t="n">
        <v>170.2</v>
      </c>
      <c r="D101" s="21" t="n">
        <v>97.90000000000001</v>
      </c>
      <c r="E101" s="21" t="n">
        <v>72</v>
      </c>
      <c r="F101" s="27">
        <f>IFERROR(IF(OR(C101="",D101="",C101=0),"",D101/C101),"")</f>
        <v/>
      </c>
      <c r="G101" s="21">
        <f>IFERROR(INDEX(Users!$A$2:$A$310,MATCH(A101,Users!$B$2:$B$310,0)),"")</f>
        <v/>
      </c>
      <c r="H101" s="21">
        <f>IFERROR(INDEX(Users!$D$2:$D$310,MATCH(A101,Users!$B$2:$B$310,0)),"")</f>
        <v/>
      </c>
      <c r="I101" s="19">
        <f>AND(G101="Service A",H101="Band 3")</f>
        <v/>
      </c>
      <c r="J101" s="33">
        <f>IF(AND(YEAR(B101)=2025,G101="Service B",OR(H101="Band 3",H101="Band 5"),ISNUMBER(F101)),F101,"")</f>
        <v/>
      </c>
    </row>
    <row r="102">
      <c r="A102" s="19" t="inlineStr">
        <is>
          <t>User1022</t>
        </is>
      </c>
      <c r="B102" s="60" t="n">
        <v>45870</v>
      </c>
      <c r="C102" s="21" t="n">
        <v>148</v>
      </c>
      <c r="D102" s="21" t="n">
        <v>149.5</v>
      </c>
      <c r="E102" s="21" t="n">
        <v>122.5</v>
      </c>
      <c r="F102" s="27">
        <f>IFERROR(IF(OR(C102="",D102="",C102=0),"",D102/C102),"")</f>
        <v/>
      </c>
      <c r="G102" s="21">
        <f>IFERROR(INDEX(Users!$A$2:$A$310,MATCH(A102,Users!$B$2:$B$310,0)),"")</f>
        <v/>
      </c>
      <c r="H102" s="21">
        <f>IFERROR(INDEX(Users!$D$2:$D$310,MATCH(A102,Users!$B$2:$B$310,0)),"")</f>
        <v/>
      </c>
      <c r="I102" s="19">
        <f>AND(G102="Service A",H102="Band 3")</f>
        <v/>
      </c>
      <c r="J102" s="33">
        <f>IF(AND(YEAR(B102)=2025,G102="Service B",OR(H102="Band 3",H102="Band 5"),ISNUMBER(F102)),F102,"")</f>
        <v/>
      </c>
    </row>
    <row r="103">
      <c r="A103" s="19" t="inlineStr">
        <is>
          <t>User1022</t>
        </is>
      </c>
      <c r="B103" s="60" t="n">
        <v>45901</v>
      </c>
      <c r="C103" s="21" t="n">
        <v>162.8</v>
      </c>
      <c r="D103" s="21" t="n">
        <v>159.5</v>
      </c>
      <c r="E103" s="21" t="n">
        <v>125.5</v>
      </c>
      <c r="F103" s="27">
        <f>IFERROR(IF(OR(C103="",D103="",C103=0),"",D103/C103),"")</f>
        <v/>
      </c>
      <c r="G103" s="21">
        <f>IFERROR(INDEX(Users!$A$2:$A$310,MATCH(A103,Users!$B$2:$B$310,0)),"")</f>
        <v/>
      </c>
      <c r="H103" s="21">
        <f>IFERROR(INDEX(Users!$D$2:$D$310,MATCH(A103,Users!$B$2:$B$310,0)),"")</f>
        <v/>
      </c>
      <c r="I103" s="19">
        <f>AND(G103="Service A",H103="Band 3")</f>
        <v/>
      </c>
      <c r="J103" s="33">
        <f>IF(AND(YEAR(B103)=2025,G103="Service B",OR(H103="Band 3",H103="Band 5"),ISNUMBER(F103)),F103,"")</f>
        <v/>
      </c>
    </row>
    <row r="104">
      <c r="A104" s="19" t="inlineStr">
        <is>
          <t>User1022</t>
        </is>
      </c>
      <c r="B104" s="60" t="n">
        <v>45931</v>
      </c>
      <c r="C104" s="21" t="n">
        <v>170.2</v>
      </c>
      <c r="D104" s="21" t="n">
        <v>130</v>
      </c>
      <c r="E104" s="21" t="n">
        <v>98</v>
      </c>
      <c r="F104" s="27">
        <f>IFERROR(IF(OR(C104="",D104="",C104=0),"",D104/C104),"")</f>
        <v/>
      </c>
      <c r="G104" s="21">
        <f>IFERROR(INDEX(Users!$A$2:$A$310,MATCH(A104,Users!$B$2:$B$310,0)),"")</f>
        <v/>
      </c>
      <c r="H104" s="21">
        <f>IFERROR(INDEX(Users!$D$2:$D$310,MATCH(A104,Users!$B$2:$B$310,0)),"")</f>
        <v/>
      </c>
      <c r="I104" s="19">
        <f>AND(G104="Service A",H104="Band 3")</f>
        <v/>
      </c>
      <c r="J104" s="33">
        <f>IF(AND(YEAR(B104)=2025,G104="Service B",OR(H104="Band 3",H104="Band 5"),ISNUMBER(F104)),F104,"")</f>
        <v/>
      </c>
    </row>
    <row r="105">
      <c r="A105" s="19" t="inlineStr">
        <is>
          <t>User1022</t>
        </is>
      </c>
      <c r="B105" s="60" t="n">
        <v>45962</v>
      </c>
      <c r="C105" s="21" t="n">
        <v>148</v>
      </c>
      <c r="D105" s="21" t="n">
        <v>142.5</v>
      </c>
      <c r="E105" s="21" t="n">
        <v>110</v>
      </c>
      <c r="F105" s="27">
        <f>IFERROR(IF(OR(C105="",D105="",C105=0),"",D105/C105),"")</f>
        <v/>
      </c>
      <c r="G105" s="21">
        <f>IFERROR(INDEX(Users!$A$2:$A$310,MATCH(A105,Users!$B$2:$B$310,0)),"")</f>
        <v/>
      </c>
      <c r="H105" s="21">
        <f>IFERROR(INDEX(Users!$D$2:$D$310,MATCH(A105,Users!$B$2:$B$310,0)),"")</f>
        <v/>
      </c>
      <c r="I105" s="19">
        <f>AND(G105="Service A",H105="Band 3")</f>
        <v/>
      </c>
      <c r="J105" s="33">
        <f>IF(AND(YEAR(B105)=2025,G105="Service B",OR(H105="Band 3",H105="Band 5"),ISNUMBER(F105)),F105,"")</f>
        <v/>
      </c>
    </row>
    <row r="106">
      <c r="A106" s="19" t="inlineStr">
        <is>
          <t>User1022</t>
        </is>
      </c>
      <c r="B106" s="60" t="n">
        <v>45992</v>
      </c>
      <c r="C106" s="21" t="n">
        <v>155.4</v>
      </c>
      <c r="D106" s="21" t="n">
        <v>109.5</v>
      </c>
      <c r="E106" s="21" t="n">
        <v>83</v>
      </c>
      <c r="F106" s="27">
        <f>IFERROR(IF(OR(C106="",D106="",C106=0),"",D106/C106),"")</f>
        <v/>
      </c>
      <c r="G106" s="21">
        <f>IFERROR(INDEX(Users!$A$2:$A$310,MATCH(A106,Users!$B$2:$B$310,0)),"")</f>
        <v/>
      </c>
      <c r="H106" s="21">
        <f>IFERROR(INDEX(Users!$D$2:$D$310,MATCH(A106,Users!$B$2:$B$310,0)),"")</f>
        <v/>
      </c>
      <c r="I106" s="19">
        <f>AND(G106="Service A",H106="Band 3")</f>
        <v/>
      </c>
      <c r="J106" s="33">
        <f>IF(AND(YEAR(B106)=2025,G106="Service B",OR(H106="Band 3",H106="Band 5"),ISNUMBER(F106)),F106,"")</f>
        <v/>
      </c>
    </row>
    <row r="107">
      <c r="A107" s="19" t="inlineStr">
        <is>
          <t>User1022</t>
        </is>
      </c>
      <c r="B107" s="60" t="n">
        <v>46023</v>
      </c>
      <c r="C107" s="21" t="n">
        <v>155.4</v>
      </c>
      <c r="D107" s="21" t="n">
        <v>115.5</v>
      </c>
      <c r="E107" s="21" t="n">
        <v>100</v>
      </c>
      <c r="F107" s="27">
        <f>IFERROR(IF(OR(C107="",D107="",C107=0),"",D107/C107),"")</f>
        <v/>
      </c>
      <c r="G107" s="21">
        <f>IFERROR(INDEX(Users!$A$2:$A$310,MATCH(A107,Users!$B$2:$B$310,0)),"")</f>
        <v/>
      </c>
      <c r="H107" s="21">
        <f>IFERROR(INDEX(Users!$D$2:$D$310,MATCH(A107,Users!$B$2:$B$310,0)),"")</f>
        <v/>
      </c>
      <c r="I107" s="19">
        <f>AND(G107="Service A",H107="Band 3")</f>
        <v/>
      </c>
      <c r="J107" s="33">
        <f>IF(AND(YEAR(B107)=2025,G107="Service B",OR(H107="Band 3",H107="Band 5"),ISNUMBER(F107)),F107,"")</f>
        <v/>
      </c>
    </row>
    <row r="108">
      <c r="A108" s="19" t="inlineStr">
        <is>
          <t>User1023</t>
        </is>
      </c>
      <c r="B108" s="60" t="n">
        <v>45658</v>
      </c>
      <c r="C108" s="21" t="n">
        <v>162.8</v>
      </c>
      <c r="D108" s="21" t="n">
        <v>132.5</v>
      </c>
      <c r="E108" s="21" t="n">
        <v>83</v>
      </c>
      <c r="F108" s="27">
        <f>IFERROR(IF(OR(C108="",D108="",C108=0),"",D108/C108),"")</f>
        <v/>
      </c>
      <c r="G108" s="21">
        <f>IFERROR(INDEX(Users!$A$2:$A$310,MATCH(A108,Users!$B$2:$B$310,0)),"")</f>
        <v/>
      </c>
      <c r="H108" s="21">
        <f>IFERROR(INDEX(Users!$D$2:$D$310,MATCH(A108,Users!$B$2:$B$310,0)),"")</f>
        <v/>
      </c>
      <c r="I108" s="19">
        <f>AND(G108="Service A",H108="Band 3")</f>
        <v/>
      </c>
      <c r="J108" s="33">
        <f>IF(AND(YEAR(B108)=2025,G108="Service B",OR(H108="Band 3",H108="Band 5"),ISNUMBER(F108)),F108,"")</f>
        <v/>
      </c>
    </row>
    <row r="109">
      <c r="A109" s="19" t="inlineStr">
        <is>
          <t>User1023</t>
        </is>
      </c>
      <c r="B109" s="60" t="n">
        <v>45689</v>
      </c>
      <c r="C109" s="21" t="n">
        <v>148</v>
      </c>
      <c r="D109" s="21" t="n">
        <v>142.5</v>
      </c>
      <c r="E109" s="21" t="n">
        <v>98.5</v>
      </c>
      <c r="F109" s="27">
        <f>IFERROR(IF(OR(C109="",D109="",C109=0),"",D109/C109),"")</f>
        <v/>
      </c>
      <c r="G109" s="21">
        <f>IFERROR(INDEX(Users!$A$2:$A$310,MATCH(A109,Users!$B$2:$B$310,0)),"")</f>
        <v/>
      </c>
      <c r="H109" s="21">
        <f>IFERROR(INDEX(Users!$D$2:$D$310,MATCH(A109,Users!$B$2:$B$310,0)),"")</f>
        <v/>
      </c>
      <c r="I109" s="19">
        <f>AND(G109="Service A",H109="Band 3")</f>
        <v/>
      </c>
      <c r="J109" s="33">
        <f>IF(AND(YEAR(B109)=2025,G109="Service B",OR(H109="Band 3",H109="Band 5"),ISNUMBER(F109)),F109,"")</f>
        <v/>
      </c>
    </row>
    <row r="110">
      <c r="A110" s="19" t="inlineStr">
        <is>
          <t>User1023</t>
        </is>
      </c>
      <c r="B110" s="60" t="n">
        <v>45717</v>
      </c>
      <c r="C110" s="21" t="n">
        <v>155.4</v>
      </c>
      <c r="D110" s="21" t="n">
        <v>117.5</v>
      </c>
      <c r="E110" s="21" t="n">
        <v>79.5</v>
      </c>
      <c r="F110" s="27">
        <f>IFERROR(IF(OR(C110="",D110="",C110=0),"",D110/C110),"")</f>
        <v/>
      </c>
      <c r="G110" s="21">
        <f>IFERROR(INDEX(Users!$A$2:$A$310,MATCH(A110,Users!$B$2:$B$310,0)),"")</f>
        <v/>
      </c>
      <c r="H110" s="21">
        <f>IFERROR(INDEX(Users!$D$2:$D$310,MATCH(A110,Users!$B$2:$B$310,0)),"")</f>
        <v/>
      </c>
      <c r="I110" s="19">
        <f>AND(G110="Service A",H110="Band 3")</f>
        <v/>
      </c>
      <c r="J110" s="33">
        <f>IF(AND(YEAR(B110)=2025,G110="Service B",OR(H110="Band 3",H110="Band 5"),ISNUMBER(F110)),F110,"")</f>
        <v/>
      </c>
    </row>
    <row r="111">
      <c r="A111" s="19" t="inlineStr">
        <is>
          <t>User1023</t>
        </is>
      </c>
      <c r="B111" s="60" t="n">
        <v>45748</v>
      </c>
      <c r="C111" s="21" t="n">
        <v>148</v>
      </c>
      <c r="D111" s="21" t="n">
        <v>94.5</v>
      </c>
      <c r="E111" s="21" t="n">
        <v>63.5</v>
      </c>
      <c r="F111" s="27">
        <f>IFERROR(IF(OR(C111="",D111="",C111=0),"",D111/C111),"")</f>
        <v/>
      </c>
      <c r="G111" s="21">
        <f>IFERROR(INDEX(Users!$A$2:$A$310,MATCH(A111,Users!$B$2:$B$310,0)),"")</f>
        <v/>
      </c>
      <c r="H111" s="21">
        <f>IFERROR(INDEX(Users!$D$2:$D$310,MATCH(A111,Users!$B$2:$B$310,0)),"")</f>
        <v/>
      </c>
      <c r="I111" s="19">
        <f>AND(G111="Service A",H111="Band 3")</f>
        <v/>
      </c>
      <c r="J111" s="33">
        <f>IF(AND(YEAR(B111)=2025,G111="Service B",OR(H111="Band 3",H111="Band 5"),ISNUMBER(F111)),F111,"")</f>
        <v/>
      </c>
    </row>
    <row r="112">
      <c r="A112" s="19" t="inlineStr">
        <is>
          <t>User1023</t>
        </is>
      </c>
      <c r="B112" s="60" t="n">
        <v>45778</v>
      </c>
      <c r="C112" s="21" t="n">
        <v>148</v>
      </c>
      <c r="D112" s="21" t="n">
        <v>99.5</v>
      </c>
      <c r="E112" s="21" t="n">
        <v>66</v>
      </c>
      <c r="F112" s="27">
        <f>IFERROR(IF(OR(C112="",D112="",C112=0),"",D112/C112),"")</f>
        <v/>
      </c>
      <c r="G112" s="21">
        <f>IFERROR(INDEX(Users!$A$2:$A$310,MATCH(A112,Users!$B$2:$B$310,0)),"")</f>
        <v/>
      </c>
      <c r="H112" s="21">
        <f>IFERROR(INDEX(Users!$D$2:$D$310,MATCH(A112,Users!$B$2:$B$310,0)),"")</f>
        <v/>
      </c>
      <c r="I112" s="19">
        <f>AND(G112="Service A",H112="Band 3")</f>
        <v/>
      </c>
      <c r="J112" s="33">
        <f>IF(AND(YEAR(B112)=2025,G112="Service B",OR(H112="Band 3",H112="Band 5"),ISNUMBER(F112)),F112,"")</f>
        <v/>
      </c>
    </row>
    <row r="113">
      <c r="A113" s="19" t="inlineStr">
        <is>
          <t>User1023</t>
        </is>
      </c>
      <c r="B113" s="60" t="n">
        <v>45809</v>
      </c>
      <c r="C113" s="21" t="n">
        <v>155.4</v>
      </c>
      <c r="D113" s="21" t="n">
        <v>63</v>
      </c>
      <c r="E113" s="21" t="n">
        <v>29.5</v>
      </c>
      <c r="F113" s="27">
        <f>IFERROR(IF(OR(C113="",D113="",C113=0),"",D113/C113),"")</f>
        <v/>
      </c>
      <c r="G113" s="21">
        <f>IFERROR(INDEX(Users!$A$2:$A$310,MATCH(A113,Users!$B$2:$B$310,0)),"")</f>
        <v/>
      </c>
      <c r="H113" s="21">
        <f>IFERROR(INDEX(Users!$D$2:$D$310,MATCH(A113,Users!$B$2:$B$310,0)),"")</f>
        <v/>
      </c>
      <c r="I113" s="19">
        <f>AND(G113="Service A",H113="Band 3")</f>
        <v/>
      </c>
      <c r="J113" s="33">
        <f>IF(AND(YEAR(B113)=2025,G113="Service B",OR(H113="Band 3",H113="Band 5"),ISNUMBER(F113)),F113,"")</f>
        <v/>
      </c>
    </row>
    <row r="114">
      <c r="A114" s="19" t="inlineStr">
        <is>
          <t>User1023</t>
        </is>
      </c>
      <c r="B114" s="60" t="n">
        <v>45839</v>
      </c>
      <c r="C114" s="21" t="n">
        <v>170.2</v>
      </c>
      <c r="D114" s="21" t="n">
        <v>129</v>
      </c>
      <c r="E114" s="21" t="n">
        <v>64</v>
      </c>
      <c r="F114" s="27">
        <f>IFERROR(IF(OR(C114="",D114="",C114=0),"",D114/C114),"")</f>
        <v/>
      </c>
      <c r="G114" s="21">
        <f>IFERROR(INDEX(Users!$A$2:$A$310,MATCH(A114,Users!$B$2:$B$310,0)),"")</f>
        <v/>
      </c>
      <c r="H114" s="21">
        <f>IFERROR(INDEX(Users!$D$2:$D$310,MATCH(A114,Users!$B$2:$B$310,0)),"")</f>
        <v/>
      </c>
      <c r="I114" s="19">
        <f>AND(G114="Service A",H114="Band 3")</f>
        <v/>
      </c>
      <c r="J114" s="33">
        <f>IF(AND(YEAR(B114)=2025,G114="Service B",OR(H114="Band 3",H114="Band 5"),ISNUMBER(F114)),F114,"")</f>
        <v/>
      </c>
    </row>
    <row r="115">
      <c r="A115" s="19" t="inlineStr">
        <is>
          <t>User1023</t>
        </is>
      </c>
      <c r="B115" s="60" t="n">
        <v>45870</v>
      </c>
      <c r="C115" s="21" t="n">
        <v>148</v>
      </c>
      <c r="D115" s="21" t="n">
        <v>68.5</v>
      </c>
      <c r="E115" s="21" t="n">
        <v>33</v>
      </c>
      <c r="F115" s="27">
        <f>IFERROR(IF(OR(C115="",D115="",C115=0),"",D115/C115),"")</f>
        <v/>
      </c>
      <c r="G115" s="21">
        <f>IFERROR(INDEX(Users!$A$2:$A$310,MATCH(A115,Users!$B$2:$B$310,0)),"")</f>
        <v/>
      </c>
      <c r="H115" s="21">
        <f>IFERROR(INDEX(Users!$D$2:$D$310,MATCH(A115,Users!$B$2:$B$310,0)),"")</f>
        <v/>
      </c>
      <c r="I115" s="19">
        <f>AND(G115="Service A",H115="Band 3")</f>
        <v/>
      </c>
      <c r="J115" s="33">
        <f>IF(AND(YEAR(B115)=2025,G115="Service B",OR(H115="Band 3",H115="Band 5"),ISNUMBER(F115)),F115,"")</f>
        <v/>
      </c>
    </row>
    <row r="116">
      <c r="A116" s="19" t="inlineStr">
        <is>
          <t>User1023</t>
        </is>
      </c>
      <c r="B116" s="60" t="n">
        <v>45901</v>
      </c>
      <c r="C116" s="21" t="n">
        <v>162.8</v>
      </c>
      <c r="D116" s="21" t="n">
        <v>130</v>
      </c>
      <c r="E116" s="21" t="n">
        <v>64.5</v>
      </c>
      <c r="F116" s="27">
        <f>IFERROR(IF(OR(C116="",D116="",C116=0),"",D116/C116),"")</f>
        <v/>
      </c>
      <c r="G116" s="21">
        <f>IFERROR(INDEX(Users!$A$2:$A$310,MATCH(A116,Users!$B$2:$B$310,0)),"")</f>
        <v/>
      </c>
      <c r="H116" s="21">
        <f>IFERROR(INDEX(Users!$D$2:$D$310,MATCH(A116,Users!$B$2:$B$310,0)),"")</f>
        <v/>
      </c>
      <c r="I116" s="19">
        <f>AND(G116="Service A",H116="Band 3")</f>
        <v/>
      </c>
      <c r="J116" s="33">
        <f>IF(AND(YEAR(B116)=2025,G116="Service B",OR(H116="Band 3",H116="Band 5"),ISNUMBER(F116)),F116,"")</f>
        <v/>
      </c>
    </row>
    <row r="117">
      <c r="A117" s="19" t="inlineStr">
        <is>
          <t>User1023</t>
        </is>
      </c>
      <c r="B117" s="60" t="n">
        <v>45931</v>
      </c>
      <c r="C117" s="21" t="n">
        <v>170.2</v>
      </c>
      <c r="D117" s="21" t="n">
        <v>69.5</v>
      </c>
      <c r="E117" s="21" t="n">
        <v>33.5</v>
      </c>
      <c r="F117" s="27">
        <f>IFERROR(IF(OR(C117="",D117="",C117=0),"",D117/C117),"")</f>
        <v/>
      </c>
      <c r="G117" s="21">
        <f>IFERROR(INDEX(Users!$A$2:$A$310,MATCH(A117,Users!$B$2:$B$310,0)),"")</f>
        <v/>
      </c>
      <c r="H117" s="21">
        <f>IFERROR(INDEX(Users!$D$2:$D$310,MATCH(A117,Users!$B$2:$B$310,0)),"")</f>
        <v/>
      </c>
      <c r="I117" s="19">
        <f>AND(G117="Service A",H117="Band 3")</f>
        <v/>
      </c>
      <c r="J117" s="33">
        <f>IF(AND(YEAR(B117)=2025,G117="Service B",OR(H117="Band 3",H117="Band 5"),ISNUMBER(F117)),F117,"")</f>
        <v/>
      </c>
    </row>
    <row r="118">
      <c r="A118" s="19" t="inlineStr">
        <is>
          <t>User1023</t>
        </is>
      </c>
      <c r="B118" s="60" t="n">
        <v>45962</v>
      </c>
      <c r="C118" s="21" t="n">
        <v>148</v>
      </c>
      <c r="D118" s="21" t="n">
        <v>112.25</v>
      </c>
      <c r="E118" s="21" t="n">
        <v>68.5</v>
      </c>
      <c r="F118" s="27">
        <f>IFERROR(IF(OR(C118="",D118="",C118=0),"",D118/C118),"")</f>
        <v/>
      </c>
      <c r="G118" s="21">
        <f>IFERROR(INDEX(Users!$A$2:$A$310,MATCH(A118,Users!$B$2:$B$310,0)),"")</f>
        <v/>
      </c>
      <c r="H118" s="21">
        <f>IFERROR(INDEX(Users!$D$2:$D$310,MATCH(A118,Users!$B$2:$B$310,0)),"")</f>
        <v/>
      </c>
      <c r="I118" s="19">
        <f>AND(G118="Service A",H118="Band 3")</f>
        <v/>
      </c>
      <c r="J118" s="33">
        <f>IF(AND(YEAR(B118)=2025,G118="Service B",OR(H118="Band 3",H118="Band 5"),ISNUMBER(F118)),F118,"")</f>
        <v/>
      </c>
    </row>
    <row r="119">
      <c r="A119" s="19" t="inlineStr">
        <is>
          <t>User1023</t>
        </is>
      </c>
      <c r="B119" s="60" t="n">
        <v>45992</v>
      </c>
      <c r="C119" s="21" t="n">
        <v>155.4</v>
      </c>
      <c r="D119" s="21" t="n">
        <v>89</v>
      </c>
      <c r="E119" s="21" t="n">
        <v>48</v>
      </c>
      <c r="F119" s="27">
        <f>IFERROR(IF(OR(C119="",D119="",C119=0),"",D119/C119),"")</f>
        <v/>
      </c>
      <c r="G119" s="21">
        <f>IFERROR(INDEX(Users!$A$2:$A$310,MATCH(A119,Users!$B$2:$B$310,0)),"")</f>
        <v/>
      </c>
      <c r="H119" s="21">
        <f>IFERROR(INDEX(Users!$D$2:$D$310,MATCH(A119,Users!$B$2:$B$310,0)),"")</f>
        <v/>
      </c>
      <c r="I119" s="19">
        <f>AND(G119="Service A",H119="Band 3")</f>
        <v/>
      </c>
      <c r="J119" s="33">
        <f>IF(AND(YEAR(B119)=2025,G119="Service B",OR(H119="Band 3",H119="Band 5"),ISNUMBER(F119)),F119,"")</f>
        <v/>
      </c>
    </row>
    <row r="120">
      <c r="A120" s="19" t="inlineStr">
        <is>
          <t>User1023</t>
        </is>
      </c>
      <c r="B120" s="60" t="n">
        <v>46023</v>
      </c>
      <c r="C120" s="21" t="n">
        <v>155.4</v>
      </c>
      <c r="D120" s="21" t="n">
        <v>121</v>
      </c>
      <c r="E120" s="21" t="n">
        <v>68</v>
      </c>
      <c r="F120" s="27">
        <f>IFERROR(IF(OR(C120="",D120="",C120=0),"",D120/C120),"")</f>
        <v/>
      </c>
      <c r="G120" s="21">
        <f>IFERROR(INDEX(Users!$A$2:$A$310,MATCH(A120,Users!$B$2:$B$310,0)),"")</f>
        <v/>
      </c>
      <c r="H120" s="21">
        <f>IFERROR(INDEX(Users!$D$2:$D$310,MATCH(A120,Users!$B$2:$B$310,0)),"")</f>
        <v/>
      </c>
      <c r="I120" s="19">
        <f>AND(G120="Service A",H120="Band 3")</f>
        <v/>
      </c>
      <c r="J120" s="33">
        <f>IF(AND(YEAR(B120)=2025,G120="Service B",OR(H120="Band 3",H120="Band 5"),ISNUMBER(F120)),F120,"")</f>
        <v/>
      </c>
    </row>
    <row r="121">
      <c r="A121" s="19" t="inlineStr">
        <is>
          <t>User1024</t>
        </is>
      </c>
      <c r="B121" s="60" t="n">
        <v>45658</v>
      </c>
      <c r="C121" s="21" t="n">
        <v>157.25</v>
      </c>
      <c r="D121" s="21" t="n">
        <v>29.66666666666667</v>
      </c>
      <c r="E121" s="21" t="n"/>
      <c r="F121" s="27">
        <f>IFERROR(IF(OR(C121="",D121="",C121=0),"",D121/C121),"")</f>
        <v/>
      </c>
      <c r="G121" s="21">
        <f>IFERROR(INDEX(Users!$A$2:$A$310,MATCH(A121,Users!$B$2:$B$310,0)),"")</f>
        <v/>
      </c>
      <c r="H121" s="21">
        <f>IFERROR(INDEX(Users!$D$2:$D$310,MATCH(A121,Users!$B$2:$B$310,0)),"")</f>
        <v/>
      </c>
      <c r="I121" s="19">
        <f>AND(G121="Service A",H121="Band 3")</f>
        <v/>
      </c>
      <c r="J121" s="33">
        <f>IF(AND(YEAR(B121)=2025,G121="Service B",OR(H121="Band 3",H121="Band 5"),ISNUMBER(F121)),F121,"")</f>
        <v/>
      </c>
    </row>
    <row r="122">
      <c r="A122" s="19" t="inlineStr">
        <is>
          <t>User1024</t>
        </is>
      </c>
      <c r="B122" s="60" t="n">
        <v>45689</v>
      </c>
      <c r="C122" s="21" t="n">
        <v>148</v>
      </c>
      <c r="D122" s="21" t="n"/>
      <c r="E122" s="21" t="n"/>
      <c r="F122" s="27">
        <f>IFERROR(IF(OR(C122="",D122="",C122=0),"",D122/C122),"")</f>
        <v/>
      </c>
      <c r="G122" s="21">
        <f>IFERROR(INDEX(Users!$A$2:$A$310,MATCH(A122,Users!$B$2:$B$310,0)),"")</f>
        <v/>
      </c>
      <c r="H122" s="21">
        <f>IFERROR(INDEX(Users!$D$2:$D$310,MATCH(A122,Users!$B$2:$B$310,0)),"")</f>
        <v/>
      </c>
      <c r="I122" s="19">
        <f>AND(G122="Service A",H122="Band 3")</f>
        <v/>
      </c>
      <c r="J122" s="33">
        <f>IF(AND(YEAR(B122)=2025,G122="Service B",OR(H122="Band 3",H122="Band 5"),ISNUMBER(F122)),F122,"")</f>
        <v/>
      </c>
    </row>
    <row r="123">
      <c r="A123" s="19" t="inlineStr">
        <is>
          <t>User1024</t>
        </is>
      </c>
      <c r="B123" s="60" t="n">
        <v>45717</v>
      </c>
      <c r="C123" s="21" t="n">
        <v>157.25</v>
      </c>
      <c r="D123" s="21" t="n"/>
      <c r="E123" s="21" t="n"/>
      <c r="F123" s="27">
        <f>IFERROR(IF(OR(C123="",D123="",C123=0),"",D123/C123),"")</f>
        <v/>
      </c>
      <c r="G123" s="21">
        <f>IFERROR(INDEX(Users!$A$2:$A$310,MATCH(A123,Users!$B$2:$B$310,0)),"")</f>
        <v/>
      </c>
      <c r="H123" s="21">
        <f>IFERROR(INDEX(Users!$D$2:$D$310,MATCH(A123,Users!$B$2:$B$310,0)),"")</f>
        <v/>
      </c>
      <c r="I123" s="19">
        <f>AND(G123="Service A",H123="Band 3")</f>
        <v/>
      </c>
      <c r="J123" s="33">
        <f>IF(AND(YEAR(B123)=2025,G123="Service B",OR(H123="Band 3",H123="Band 5"),ISNUMBER(F123)),F123,"")</f>
        <v/>
      </c>
    </row>
    <row r="124">
      <c r="A124" s="19" t="inlineStr">
        <is>
          <t>User1024</t>
        </is>
      </c>
      <c r="B124" s="60" t="n">
        <v>45748</v>
      </c>
      <c r="C124" s="21" t="n">
        <v>157.25</v>
      </c>
      <c r="D124" s="21" t="n"/>
      <c r="E124" s="21" t="n"/>
      <c r="F124" s="27">
        <f>IFERROR(IF(OR(C124="",D124="",C124=0),"",D124/C124),"")</f>
        <v/>
      </c>
      <c r="G124" s="21">
        <f>IFERROR(INDEX(Users!$A$2:$A$310,MATCH(A124,Users!$B$2:$B$310,0)),"")</f>
        <v/>
      </c>
      <c r="H124" s="21">
        <f>IFERROR(INDEX(Users!$D$2:$D$310,MATCH(A124,Users!$B$2:$B$310,0)),"")</f>
        <v/>
      </c>
      <c r="I124" s="19">
        <f>AND(G124="Service A",H124="Band 3")</f>
        <v/>
      </c>
      <c r="J124" s="33">
        <f>IF(AND(YEAR(B124)=2025,G124="Service B",OR(H124="Band 3",H124="Band 5"),ISNUMBER(F124)),F124,"")</f>
        <v/>
      </c>
    </row>
    <row r="125">
      <c r="A125" s="19" t="inlineStr">
        <is>
          <t>User1025</t>
        </is>
      </c>
      <c r="B125" s="60" t="n">
        <v>45658</v>
      </c>
      <c r="C125" s="21" t="n">
        <v>162.8</v>
      </c>
      <c r="D125" s="21" t="n">
        <v>156.9666666666667</v>
      </c>
      <c r="E125" s="21" t="n">
        <v>110.9</v>
      </c>
      <c r="F125" s="27">
        <f>IFERROR(IF(OR(C125="",D125="",C125=0),"",D125/C125),"")</f>
        <v/>
      </c>
      <c r="G125" s="21">
        <f>IFERROR(INDEX(Users!$A$2:$A$310,MATCH(A125,Users!$B$2:$B$310,0)),"")</f>
        <v/>
      </c>
      <c r="H125" s="21">
        <f>IFERROR(INDEX(Users!$D$2:$D$310,MATCH(A125,Users!$B$2:$B$310,0)),"")</f>
        <v/>
      </c>
      <c r="I125" s="19">
        <f>AND(G125="Service A",H125="Band 3")</f>
        <v/>
      </c>
      <c r="J125" s="33">
        <f>IF(AND(YEAR(B125)=2025,G125="Service B",OR(H125="Band 3",H125="Band 5"),ISNUMBER(F125)),F125,"")</f>
        <v/>
      </c>
    </row>
    <row r="126">
      <c r="A126" s="19" t="inlineStr">
        <is>
          <t>User1025</t>
        </is>
      </c>
      <c r="B126" s="60" t="n">
        <v>45689</v>
      </c>
      <c r="C126" s="21" t="n">
        <v>148</v>
      </c>
      <c r="D126" s="21" t="n">
        <v>131.19</v>
      </c>
      <c r="E126" s="21" t="n">
        <v>102.69</v>
      </c>
      <c r="F126" s="27">
        <f>IFERROR(IF(OR(C126="",D126="",C126=0),"",D126/C126),"")</f>
        <v/>
      </c>
      <c r="G126" s="21">
        <f>IFERROR(INDEX(Users!$A$2:$A$310,MATCH(A126,Users!$B$2:$B$310,0)),"")</f>
        <v/>
      </c>
      <c r="H126" s="21">
        <f>IFERROR(INDEX(Users!$D$2:$D$310,MATCH(A126,Users!$B$2:$B$310,0)),"")</f>
        <v/>
      </c>
      <c r="I126" s="19">
        <f>AND(G126="Service A",H126="Band 3")</f>
        <v/>
      </c>
      <c r="J126" s="33">
        <f>IF(AND(YEAR(B126)=2025,G126="Service B",OR(H126="Band 3",H126="Band 5"),ISNUMBER(F126)),F126,"")</f>
        <v/>
      </c>
    </row>
    <row r="127">
      <c r="A127" s="19" t="inlineStr">
        <is>
          <t>User1025</t>
        </is>
      </c>
      <c r="B127" s="60" t="n">
        <v>45717</v>
      </c>
      <c r="C127" s="21" t="n">
        <v>155.4</v>
      </c>
      <c r="D127" s="21" t="n">
        <v>123.58</v>
      </c>
      <c r="E127" s="21" t="n">
        <v>70.72999999999999</v>
      </c>
      <c r="F127" s="27">
        <f>IFERROR(IF(OR(C127="",D127="",C127=0),"",D127/C127),"")</f>
        <v/>
      </c>
      <c r="G127" s="21">
        <f>IFERROR(INDEX(Users!$A$2:$A$310,MATCH(A127,Users!$B$2:$B$310,0)),"")</f>
        <v/>
      </c>
      <c r="H127" s="21">
        <f>IFERROR(INDEX(Users!$D$2:$D$310,MATCH(A127,Users!$B$2:$B$310,0)),"")</f>
        <v/>
      </c>
      <c r="I127" s="19">
        <f>AND(G127="Service A",H127="Band 3")</f>
        <v/>
      </c>
      <c r="J127" s="33">
        <f>IF(AND(YEAR(B127)=2025,G127="Service B",OR(H127="Band 3",H127="Band 5"),ISNUMBER(F127)),F127,"")</f>
        <v/>
      </c>
    </row>
    <row r="128">
      <c r="A128" s="19" t="inlineStr">
        <is>
          <t>User1025</t>
        </is>
      </c>
      <c r="B128" s="60" t="n">
        <v>45748</v>
      </c>
      <c r="C128" s="21" t="n">
        <v>148</v>
      </c>
      <c r="D128" s="21" t="n">
        <v>116.4066666666667</v>
      </c>
      <c r="E128" s="21" t="n">
        <v>73.23999999999999</v>
      </c>
      <c r="F128" s="27">
        <f>IFERROR(IF(OR(C128="",D128="",C128=0),"",D128/C128),"")</f>
        <v/>
      </c>
      <c r="G128" s="21">
        <f>IFERROR(INDEX(Users!$A$2:$A$310,MATCH(A128,Users!$B$2:$B$310,0)),"")</f>
        <v/>
      </c>
      <c r="H128" s="21">
        <f>IFERROR(INDEX(Users!$D$2:$D$310,MATCH(A128,Users!$B$2:$B$310,0)),"")</f>
        <v/>
      </c>
      <c r="I128" s="19">
        <f>AND(G128="Service A",H128="Band 3")</f>
        <v/>
      </c>
      <c r="J128" s="33">
        <f>IF(AND(YEAR(B128)=2025,G128="Service B",OR(H128="Band 3",H128="Band 5"),ISNUMBER(F128)),F128,"")</f>
        <v/>
      </c>
    </row>
    <row r="129">
      <c r="A129" s="19" t="inlineStr">
        <is>
          <t>User1025</t>
        </is>
      </c>
      <c r="B129" s="60" t="n">
        <v>45778</v>
      </c>
      <c r="C129" s="21" t="n">
        <v>148</v>
      </c>
      <c r="D129" s="21" t="n">
        <v>134.83</v>
      </c>
      <c r="E129" s="21" t="n">
        <v>90.33000000000001</v>
      </c>
      <c r="F129" s="27">
        <f>IFERROR(IF(OR(C129="",D129="",C129=0),"",D129/C129),"")</f>
        <v/>
      </c>
      <c r="G129" s="21">
        <f>IFERROR(INDEX(Users!$A$2:$A$310,MATCH(A129,Users!$B$2:$B$310,0)),"")</f>
        <v/>
      </c>
      <c r="H129" s="21">
        <f>IFERROR(INDEX(Users!$D$2:$D$310,MATCH(A129,Users!$B$2:$B$310,0)),"")</f>
        <v/>
      </c>
      <c r="I129" s="19">
        <f>AND(G129="Service A",H129="Band 3")</f>
        <v/>
      </c>
      <c r="J129" s="33">
        <f>IF(AND(YEAR(B129)=2025,G129="Service B",OR(H129="Band 3",H129="Band 5"),ISNUMBER(F129)),F129,"")</f>
        <v/>
      </c>
    </row>
    <row r="130">
      <c r="A130" s="19" t="inlineStr">
        <is>
          <t>User1025</t>
        </is>
      </c>
      <c r="B130" s="60" t="n">
        <v>45809</v>
      </c>
      <c r="C130" s="21" t="n">
        <v>155.4</v>
      </c>
      <c r="D130" s="21" t="n">
        <v>113.84</v>
      </c>
      <c r="E130" s="21" t="n">
        <v>73.59</v>
      </c>
      <c r="F130" s="27">
        <f>IFERROR(IF(OR(C130="",D130="",C130=0),"",D130/C130),"")</f>
        <v/>
      </c>
      <c r="G130" s="21">
        <f>IFERROR(INDEX(Users!$A$2:$A$310,MATCH(A130,Users!$B$2:$B$310,0)),"")</f>
        <v/>
      </c>
      <c r="H130" s="21">
        <f>IFERROR(INDEX(Users!$D$2:$D$310,MATCH(A130,Users!$B$2:$B$310,0)),"")</f>
        <v/>
      </c>
      <c r="I130" s="19">
        <f>AND(G130="Service A",H130="Band 3")</f>
        <v/>
      </c>
      <c r="J130" s="33">
        <f>IF(AND(YEAR(B130)=2025,G130="Service B",OR(H130="Band 3",H130="Band 5"),ISNUMBER(F130)),F130,"")</f>
        <v/>
      </c>
    </row>
    <row r="131">
      <c r="A131" s="19" t="inlineStr">
        <is>
          <t>User1025</t>
        </is>
      </c>
      <c r="B131" s="60" t="n">
        <v>45839</v>
      </c>
      <c r="C131" s="21" t="n">
        <v>170.2</v>
      </c>
      <c r="D131" s="21" t="n">
        <v>143.5</v>
      </c>
      <c r="E131" s="21" t="n">
        <v>104</v>
      </c>
      <c r="F131" s="27">
        <f>IFERROR(IF(OR(C131="",D131="",C131=0),"",D131/C131),"")</f>
        <v/>
      </c>
      <c r="G131" s="21">
        <f>IFERROR(INDEX(Users!$A$2:$A$310,MATCH(A131,Users!$B$2:$B$310,0)),"")</f>
        <v/>
      </c>
      <c r="H131" s="21">
        <f>IFERROR(INDEX(Users!$D$2:$D$310,MATCH(A131,Users!$B$2:$B$310,0)),"")</f>
        <v/>
      </c>
      <c r="I131" s="19">
        <f>AND(G131="Service A",H131="Band 3")</f>
        <v/>
      </c>
      <c r="J131" s="33">
        <f>IF(AND(YEAR(B131)=2025,G131="Service B",OR(H131="Band 3",H131="Band 5"),ISNUMBER(F131)),F131,"")</f>
        <v/>
      </c>
    </row>
    <row r="132">
      <c r="A132" s="19" t="inlineStr">
        <is>
          <t>User1025</t>
        </is>
      </c>
      <c r="B132" s="60" t="n">
        <v>45870</v>
      </c>
      <c r="C132" s="21" t="n">
        <v>148</v>
      </c>
      <c r="D132" s="21" t="n">
        <v>67.93000000000001</v>
      </c>
      <c r="E132" s="21" t="n">
        <v>42.68</v>
      </c>
      <c r="F132" s="27">
        <f>IFERROR(IF(OR(C132="",D132="",C132=0),"",D132/C132),"")</f>
        <v/>
      </c>
      <c r="G132" s="21">
        <f>IFERROR(INDEX(Users!$A$2:$A$310,MATCH(A132,Users!$B$2:$B$310,0)),"")</f>
        <v/>
      </c>
      <c r="H132" s="21">
        <f>IFERROR(INDEX(Users!$D$2:$D$310,MATCH(A132,Users!$B$2:$B$310,0)),"")</f>
        <v/>
      </c>
      <c r="I132" s="19">
        <f>AND(G132="Service A",H132="Band 3")</f>
        <v/>
      </c>
      <c r="J132" s="33">
        <f>IF(AND(YEAR(B132)=2025,G132="Service B",OR(H132="Band 3",H132="Band 5"),ISNUMBER(F132)),F132,"")</f>
        <v/>
      </c>
    </row>
    <row r="133">
      <c r="A133" s="19" t="inlineStr">
        <is>
          <t>User1025</t>
        </is>
      </c>
      <c r="B133" s="60" t="n">
        <v>45901</v>
      </c>
      <c r="C133" s="21" t="n">
        <v>162.8</v>
      </c>
      <c r="D133" s="21" t="n">
        <v>156.6133333333333</v>
      </c>
      <c r="E133" s="21" t="n">
        <v>79.38000000000001</v>
      </c>
      <c r="F133" s="27">
        <f>IFERROR(IF(OR(C133="",D133="",C133=0),"",D133/C133),"")</f>
        <v/>
      </c>
      <c r="G133" s="21">
        <f>IFERROR(INDEX(Users!$A$2:$A$310,MATCH(A133,Users!$B$2:$B$310,0)),"")</f>
        <v/>
      </c>
      <c r="H133" s="21">
        <f>IFERROR(INDEX(Users!$D$2:$D$310,MATCH(A133,Users!$B$2:$B$310,0)),"")</f>
        <v/>
      </c>
      <c r="I133" s="19">
        <f>AND(G133="Service A",H133="Band 3")</f>
        <v/>
      </c>
      <c r="J133" s="33">
        <f>IF(AND(YEAR(B133)=2025,G133="Service B",OR(H133="Band 3",H133="Band 5"),ISNUMBER(F133)),F133,"")</f>
        <v/>
      </c>
    </row>
    <row r="134">
      <c r="A134" s="19" t="inlineStr">
        <is>
          <t>User1025</t>
        </is>
      </c>
      <c r="B134" s="60" t="n">
        <v>45931</v>
      </c>
      <c r="C134" s="21" t="n">
        <v>170.2</v>
      </c>
      <c r="D134" s="21" t="n">
        <v>146.2566666666667</v>
      </c>
      <c r="E134" s="21" t="n">
        <v>101.29</v>
      </c>
      <c r="F134" s="27">
        <f>IFERROR(IF(OR(C134="",D134="",C134=0),"",D134/C134),"")</f>
        <v/>
      </c>
      <c r="G134" s="21">
        <f>IFERROR(INDEX(Users!$A$2:$A$310,MATCH(A134,Users!$B$2:$B$310,0)),"")</f>
        <v/>
      </c>
      <c r="H134" s="21">
        <f>IFERROR(INDEX(Users!$D$2:$D$310,MATCH(A134,Users!$B$2:$B$310,0)),"")</f>
        <v/>
      </c>
      <c r="I134" s="19">
        <f>AND(G134="Service A",H134="Band 3")</f>
        <v/>
      </c>
      <c r="J134" s="33">
        <f>IF(AND(YEAR(B134)=2025,G134="Service B",OR(H134="Band 3",H134="Band 5"),ISNUMBER(F134)),F134,"")</f>
        <v/>
      </c>
    </row>
    <row r="135">
      <c r="A135" s="19" t="inlineStr">
        <is>
          <t>User1025</t>
        </is>
      </c>
      <c r="B135" s="60" t="n">
        <v>45962</v>
      </c>
      <c r="C135" s="21" t="n">
        <v>148</v>
      </c>
      <c r="D135" s="21" t="n">
        <v>120.99</v>
      </c>
      <c r="E135" s="21" t="n">
        <v>82.78999999999999</v>
      </c>
      <c r="F135" s="27">
        <f>IFERROR(IF(OR(C135="",D135="",C135=0),"",D135/C135),"")</f>
        <v/>
      </c>
      <c r="G135" s="21">
        <f>IFERROR(INDEX(Users!$A$2:$A$310,MATCH(A135,Users!$B$2:$B$310,0)),"")</f>
        <v/>
      </c>
      <c r="H135" s="21">
        <f>IFERROR(INDEX(Users!$D$2:$D$310,MATCH(A135,Users!$B$2:$B$310,0)),"")</f>
        <v/>
      </c>
      <c r="I135" s="19">
        <f>AND(G135="Service A",H135="Band 3")</f>
        <v/>
      </c>
      <c r="J135" s="33">
        <f>IF(AND(YEAR(B135)=2025,G135="Service B",OR(H135="Band 3",H135="Band 5"),ISNUMBER(F135)),F135,"")</f>
        <v/>
      </c>
    </row>
    <row r="136">
      <c r="A136" s="19" t="inlineStr">
        <is>
          <t>User1025</t>
        </is>
      </c>
      <c r="B136" s="60" t="n">
        <v>45992</v>
      </c>
      <c r="C136" s="21" t="n">
        <v>155.4</v>
      </c>
      <c r="D136" s="21" t="n">
        <v>128.6466666666666</v>
      </c>
      <c r="E136" s="21" t="n">
        <v>90.48</v>
      </c>
      <c r="F136" s="27">
        <f>IFERROR(IF(OR(C136="",D136="",C136=0),"",D136/C136),"")</f>
        <v/>
      </c>
      <c r="G136" s="21">
        <f>IFERROR(INDEX(Users!$A$2:$A$310,MATCH(A136,Users!$B$2:$B$310,0)),"")</f>
        <v/>
      </c>
      <c r="H136" s="21">
        <f>IFERROR(INDEX(Users!$D$2:$D$310,MATCH(A136,Users!$B$2:$B$310,0)),"")</f>
        <v/>
      </c>
      <c r="I136" s="19">
        <f>AND(G136="Service A",H136="Band 3")</f>
        <v/>
      </c>
      <c r="J136" s="33">
        <f>IF(AND(YEAR(B136)=2025,G136="Service B",OR(H136="Band 3",H136="Band 5"),ISNUMBER(F136)),F136,"")</f>
        <v/>
      </c>
    </row>
    <row r="137">
      <c r="A137" s="19" t="inlineStr">
        <is>
          <t>User1025</t>
        </is>
      </c>
      <c r="B137" s="60" t="n">
        <v>46023</v>
      </c>
      <c r="C137" s="21" t="n">
        <v>155.4</v>
      </c>
      <c r="D137" s="21" t="n">
        <v>102.1033333333333</v>
      </c>
      <c r="E137" s="21" t="n">
        <v>57.81999999999999</v>
      </c>
      <c r="F137" s="27">
        <f>IFERROR(IF(OR(C137="",D137="",C137=0),"",D137/C137),"")</f>
        <v/>
      </c>
      <c r="G137" s="21">
        <f>IFERROR(INDEX(Users!$A$2:$A$310,MATCH(A137,Users!$B$2:$B$310,0)),"")</f>
        <v/>
      </c>
      <c r="H137" s="21">
        <f>IFERROR(INDEX(Users!$D$2:$D$310,MATCH(A137,Users!$B$2:$B$310,0)),"")</f>
        <v/>
      </c>
      <c r="I137" s="19">
        <f>AND(G137="Service A",H137="Band 3")</f>
        <v/>
      </c>
      <c r="J137" s="33">
        <f>IF(AND(YEAR(B137)=2025,G137="Service B",OR(H137="Band 3",H137="Band 5"),ISNUMBER(F137)),F137,"")</f>
        <v/>
      </c>
    </row>
    <row r="138">
      <c r="A138" s="19" t="inlineStr">
        <is>
          <t>User1026</t>
        </is>
      </c>
      <c r="B138" s="60" t="n">
        <v>45778</v>
      </c>
      <c r="C138" s="21" t="n"/>
      <c r="D138" s="21" t="n">
        <v>3.25</v>
      </c>
      <c r="E138" s="21" t="n"/>
      <c r="F138" s="27">
        <f>IFERROR(IF(OR(C138="",D138="",C138=0),"",D138/C138),"")</f>
        <v/>
      </c>
      <c r="G138" s="21">
        <f>IFERROR(INDEX(Users!$A$2:$A$310,MATCH(A138,Users!$B$2:$B$310,0)),"")</f>
        <v/>
      </c>
      <c r="H138" s="21">
        <f>IFERROR(INDEX(Users!$D$2:$D$310,MATCH(A138,Users!$B$2:$B$310,0)),"")</f>
        <v/>
      </c>
      <c r="I138" s="19">
        <f>AND(G138="Service A",H138="Band 3")</f>
        <v/>
      </c>
      <c r="J138" s="33">
        <f>IF(AND(YEAR(B138)=2025,G138="Service B",OR(H138="Band 3",H138="Band 5"),ISNUMBER(F138)),F138,"")</f>
        <v/>
      </c>
    </row>
    <row r="139">
      <c r="A139" s="19" t="inlineStr">
        <is>
          <t>User1026</t>
        </is>
      </c>
      <c r="B139" s="60" t="n">
        <v>45901</v>
      </c>
      <c r="C139" s="21" t="n">
        <v>51.8</v>
      </c>
      <c r="D139" s="21" t="n">
        <v>16</v>
      </c>
      <c r="E139" s="21" t="n"/>
      <c r="F139" s="27">
        <f>IFERROR(IF(OR(C139="",D139="",C139=0),"",D139/C139),"")</f>
        <v/>
      </c>
      <c r="G139" s="21">
        <f>IFERROR(INDEX(Users!$A$2:$A$310,MATCH(A139,Users!$B$2:$B$310,0)),"")</f>
        <v/>
      </c>
      <c r="H139" s="21">
        <f>IFERROR(INDEX(Users!$D$2:$D$310,MATCH(A139,Users!$B$2:$B$310,0)),"")</f>
        <v/>
      </c>
      <c r="I139" s="19">
        <f>AND(G139="Service A",H139="Band 3")</f>
        <v/>
      </c>
      <c r="J139" s="33">
        <f>IF(AND(YEAR(B139)=2025,G139="Service B",OR(H139="Band 3",H139="Band 5"),ISNUMBER(F139)),F139,"")</f>
        <v/>
      </c>
    </row>
    <row r="140">
      <c r="A140" s="19" t="inlineStr">
        <is>
          <t>User1026</t>
        </is>
      </c>
      <c r="B140" s="60" t="n">
        <v>45931</v>
      </c>
      <c r="C140" s="21" t="n">
        <v>170.2</v>
      </c>
      <c r="D140" s="21" t="n">
        <v>179.5000000000001</v>
      </c>
      <c r="E140" s="21" t="n"/>
      <c r="F140" s="27">
        <f>IFERROR(IF(OR(C140="",D140="",C140=0),"",D140/C140),"")</f>
        <v/>
      </c>
      <c r="G140" s="21">
        <f>IFERROR(INDEX(Users!$A$2:$A$310,MATCH(A140,Users!$B$2:$B$310,0)),"")</f>
        <v/>
      </c>
      <c r="H140" s="21">
        <f>IFERROR(INDEX(Users!$D$2:$D$310,MATCH(A140,Users!$B$2:$B$310,0)),"")</f>
        <v/>
      </c>
      <c r="I140" s="19">
        <f>AND(G140="Service A",H140="Band 3")</f>
        <v/>
      </c>
      <c r="J140" s="33">
        <f>IF(AND(YEAR(B140)=2025,G140="Service B",OR(H140="Band 3",H140="Band 5"),ISNUMBER(F140)),F140,"")</f>
        <v/>
      </c>
    </row>
    <row r="141">
      <c r="A141" s="19" t="inlineStr">
        <is>
          <t>User1026</t>
        </is>
      </c>
      <c r="B141" s="60" t="n">
        <v>45962</v>
      </c>
      <c r="C141" s="21" t="n">
        <v>148</v>
      </c>
      <c r="D141" s="21" t="n">
        <v>112.8333333333334</v>
      </c>
      <c r="E141" s="21" t="n"/>
      <c r="F141" s="27">
        <f>IFERROR(IF(OR(C141="",D141="",C141=0),"",D141/C141),"")</f>
        <v/>
      </c>
      <c r="G141" s="21">
        <f>IFERROR(INDEX(Users!$A$2:$A$310,MATCH(A141,Users!$B$2:$B$310,0)),"")</f>
        <v/>
      </c>
      <c r="H141" s="21">
        <f>IFERROR(INDEX(Users!$D$2:$D$310,MATCH(A141,Users!$B$2:$B$310,0)),"")</f>
        <v/>
      </c>
      <c r="I141" s="19">
        <f>AND(G141="Service A",H141="Band 3")</f>
        <v/>
      </c>
      <c r="J141" s="33">
        <f>IF(AND(YEAR(B141)=2025,G141="Service B",OR(H141="Band 3",H141="Band 5"),ISNUMBER(F141)),F141,"")</f>
        <v/>
      </c>
    </row>
    <row r="142">
      <c r="A142" s="19" t="inlineStr">
        <is>
          <t>User1026</t>
        </is>
      </c>
      <c r="B142" s="60" t="n">
        <v>45992</v>
      </c>
      <c r="C142" s="21" t="n">
        <v>155.4</v>
      </c>
      <c r="D142" s="21" t="n">
        <v>149.8033333333334</v>
      </c>
      <c r="E142" s="21" t="n">
        <v>6.72</v>
      </c>
      <c r="F142" s="27">
        <f>IFERROR(IF(OR(C142="",D142="",C142=0),"",D142/C142),"")</f>
        <v/>
      </c>
      <c r="G142" s="21">
        <f>IFERROR(INDEX(Users!$A$2:$A$310,MATCH(A142,Users!$B$2:$B$310,0)),"")</f>
        <v/>
      </c>
      <c r="H142" s="21">
        <f>IFERROR(INDEX(Users!$D$2:$D$310,MATCH(A142,Users!$B$2:$B$310,0)),"")</f>
        <v/>
      </c>
      <c r="I142" s="19">
        <f>AND(G142="Service A",H142="Band 3")</f>
        <v/>
      </c>
      <c r="J142" s="33">
        <f>IF(AND(YEAR(B142)=2025,G142="Service B",OR(H142="Band 3",H142="Band 5"),ISNUMBER(F142)),F142,"")</f>
        <v/>
      </c>
    </row>
    <row r="143">
      <c r="A143" s="19" t="inlineStr">
        <is>
          <t>User1026</t>
        </is>
      </c>
      <c r="B143" s="60" t="n">
        <v>46023</v>
      </c>
      <c r="C143" s="21" t="n">
        <v>155.4</v>
      </c>
      <c r="D143" s="21" t="n">
        <v>160.4033333333333</v>
      </c>
      <c r="E143" s="21" t="n">
        <v>20.82</v>
      </c>
      <c r="F143" s="27">
        <f>IFERROR(IF(OR(C143="",D143="",C143=0),"",D143/C143),"")</f>
        <v/>
      </c>
      <c r="G143" s="21">
        <f>IFERROR(INDEX(Users!$A$2:$A$310,MATCH(A143,Users!$B$2:$B$310,0)),"")</f>
        <v/>
      </c>
      <c r="H143" s="21">
        <f>IFERROR(INDEX(Users!$D$2:$D$310,MATCH(A143,Users!$B$2:$B$310,0)),"")</f>
        <v/>
      </c>
      <c r="I143" s="19">
        <f>AND(G143="Service A",H143="Band 3")</f>
        <v/>
      </c>
      <c r="J143" s="33">
        <f>IF(AND(YEAR(B143)=2025,G143="Service B",OR(H143="Band 3",H143="Band 5"),ISNUMBER(F143)),F143,"")</f>
        <v/>
      </c>
    </row>
    <row r="144">
      <c r="A144" s="19" t="inlineStr">
        <is>
          <t>User1027</t>
        </is>
      </c>
      <c r="B144" s="60" t="n">
        <v>45658</v>
      </c>
      <c r="C144" s="21" t="n">
        <v>88.80000000000001</v>
      </c>
      <c r="D144" s="21" t="n">
        <v>120.58</v>
      </c>
      <c r="E144" s="21" t="n">
        <v>10.83</v>
      </c>
      <c r="F144" s="27">
        <f>IFERROR(IF(OR(C144="",D144="",C144=0),"",D144/C144),"")</f>
        <v/>
      </c>
      <c r="G144" s="21">
        <f>IFERROR(INDEX(Users!$A$2:$A$310,MATCH(A144,Users!$B$2:$B$310,0)),"")</f>
        <v/>
      </c>
      <c r="H144" s="21">
        <f>IFERROR(INDEX(Users!$D$2:$D$310,MATCH(A144,Users!$B$2:$B$310,0)),"")</f>
        <v/>
      </c>
      <c r="I144" s="19">
        <f>AND(G144="Service A",H144="Band 3")</f>
        <v/>
      </c>
      <c r="J144" s="33">
        <f>IF(AND(YEAR(B144)=2025,G144="Service B",OR(H144="Band 3",H144="Band 5"),ISNUMBER(F144)),F144,"")</f>
        <v/>
      </c>
    </row>
    <row r="145">
      <c r="A145" s="19" t="inlineStr">
        <is>
          <t>User1027</t>
        </is>
      </c>
      <c r="B145" s="60" t="n">
        <v>45689</v>
      </c>
      <c r="C145" s="21" t="n">
        <v>88.80000000000001</v>
      </c>
      <c r="D145" s="21" t="n">
        <v>104.67</v>
      </c>
      <c r="E145" s="21" t="n">
        <v>37.91999999999999</v>
      </c>
      <c r="F145" s="27">
        <f>IFERROR(IF(OR(C145="",D145="",C145=0),"",D145/C145),"")</f>
        <v/>
      </c>
      <c r="G145" s="21">
        <f>IFERROR(INDEX(Users!$A$2:$A$310,MATCH(A145,Users!$B$2:$B$310,0)),"")</f>
        <v/>
      </c>
      <c r="H145" s="21">
        <f>IFERROR(INDEX(Users!$D$2:$D$310,MATCH(A145,Users!$B$2:$B$310,0)),"")</f>
        <v/>
      </c>
      <c r="I145" s="19">
        <f>AND(G145="Service A",H145="Band 3")</f>
        <v/>
      </c>
      <c r="J145" s="33">
        <f>IF(AND(YEAR(B145)=2025,G145="Service B",OR(H145="Band 3",H145="Band 5"),ISNUMBER(F145)),F145,"")</f>
        <v/>
      </c>
    </row>
    <row r="146">
      <c r="A146" s="19" t="inlineStr">
        <is>
          <t>User1027</t>
        </is>
      </c>
      <c r="B146" s="60" t="n">
        <v>45717</v>
      </c>
      <c r="C146" s="21" t="n">
        <v>96.2</v>
      </c>
      <c r="D146" s="21" t="n">
        <v>112.7133333333333</v>
      </c>
      <c r="E146" s="21" t="n">
        <v>46.13</v>
      </c>
      <c r="F146" s="27">
        <f>IFERROR(IF(OR(C146="",D146="",C146=0),"",D146/C146),"")</f>
        <v/>
      </c>
      <c r="G146" s="21">
        <f>IFERROR(INDEX(Users!$A$2:$A$310,MATCH(A146,Users!$B$2:$B$310,0)),"")</f>
        <v/>
      </c>
      <c r="H146" s="21">
        <f>IFERROR(INDEX(Users!$D$2:$D$310,MATCH(A146,Users!$B$2:$B$310,0)),"")</f>
        <v/>
      </c>
      <c r="I146" s="19">
        <f>AND(G146="Service A",H146="Band 3")</f>
        <v/>
      </c>
      <c r="J146" s="33">
        <f>IF(AND(YEAR(B146)=2025,G146="Service B",OR(H146="Band 3",H146="Band 5"),ISNUMBER(F146)),F146,"")</f>
        <v/>
      </c>
    </row>
    <row r="147">
      <c r="A147" s="19" t="inlineStr">
        <is>
          <t>User1027</t>
        </is>
      </c>
      <c r="B147" s="60" t="n">
        <v>45748</v>
      </c>
      <c r="C147" s="21" t="n">
        <v>96.2</v>
      </c>
      <c r="D147" s="21" t="n">
        <v>111.7833333333333</v>
      </c>
      <c r="E147" s="21" t="n">
        <v>63.95</v>
      </c>
      <c r="F147" s="27">
        <f>IFERROR(IF(OR(C147="",D147="",C147=0),"",D147/C147),"")</f>
        <v/>
      </c>
      <c r="G147" s="21">
        <f>IFERROR(INDEX(Users!$A$2:$A$310,MATCH(A147,Users!$B$2:$B$310,0)),"")</f>
        <v/>
      </c>
      <c r="H147" s="21">
        <f>IFERROR(INDEX(Users!$D$2:$D$310,MATCH(A147,Users!$B$2:$B$310,0)),"")</f>
        <v/>
      </c>
      <c r="I147" s="19">
        <f>AND(G147="Service A",H147="Band 3")</f>
        <v/>
      </c>
      <c r="J147" s="33">
        <f>IF(AND(YEAR(B147)=2025,G147="Service B",OR(H147="Band 3",H147="Band 5"),ISNUMBER(F147)),F147,"")</f>
        <v/>
      </c>
    </row>
    <row r="148">
      <c r="A148" s="19" t="inlineStr">
        <is>
          <t>User1027</t>
        </is>
      </c>
      <c r="B148" s="60" t="n">
        <v>45778</v>
      </c>
      <c r="C148" s="21" t="n">
        <v>74</v>
      </c>
      <c r="D148" s="21" t="n">
        <v>97.56333333333335</v>
      </c>
      <c r="E148" s="21" t="n">
        <v>62.23</v>
      </c>
      <c r="F148" s="27">
        <f>IFERROR(IF(OR(C148="",D148="",C148=0),"",D148/C148),"")</f>
        <v/>
      </c>
      <c r="G148" s="21">
        <f>IFERROR(INDEX(Users!$A$2:$A$310,MATCH(A148,Users!$B$2:$B$310,0)),"")</f>
        <v/>
      </c>
      <c r="H148" s="21">
        <f>IFERROR(INDEX(Users!$D$2:$D$310,MATCH(A148,Users!$B$2:$B$310,0)),"")</f>
        <v/>
      </c>
      <c r="I148" s="19">
        <f>AND(G148="Service A",H148="Band 3")</f>
        <v/>
      </c>
      <c r="J148" s="33">
        <f>IF(AND(YEAR(B148)=2025,G148="Service B",OR(H148="Band 3",H148="Band 5"),ISNUMBER(F148)),F148,"")</f>
        <v/>
      </c>
    </row>
    <row r="149">
      <c r="A149" s="19" t="inlineStr">
        <is>
          <t>User1027</t>
        </is>
      </c>
      <c r="B149" s="60" t="n">
        <v>45809</v>
      </c>
      <c r="C149" s="21" t="n">
        <v>96.2</v>
      </c>
      <c r="D149" s="21" t="n">
        <v>35.45666666666666</v>
      </c>
      <c r="E149" s="21" t="n">
        <v>21.29</v>
      </c>
      <c r="F149" s="27">
        <f>IFERROR(IF(OR(C149="",D149="",C149=0),"",D149/C149),"")</f>
        <v/>
      </c>
      <c r="G149" s="21">
        <f>IFERROR(INDEX(Users!$A$2:$A$310,MATCH(A149,Users!$B$2:$B$310,0)),"")</f>
        <v/>
      </c>
      <c r="H149" s="21">
        <f>IFERROR(INDEX(Users!$D$2:$D$310,MATCH(A149,Users!$B$2:$B$310,0)),"")</f>
        <v/>
      </c>
      <c r="I149" s="19">
        <f>AND(G149="Service A",H149="Band 3")</f>
        <v/>
      </c>
      <c r="J149" s="33">
        <f>IF(AND(YEAR(B149)=2025,G149="Service B",OR(H149="Band 3",H149="Band 5"),ISNUMBER(F149)),F149,"")</f>
        <v/>
      </c>
    </row>
    <row r="150">
      <c r="A150" s="19" t="inlineStr">
        <is>
          <t>User1027</t>
        </is>
      </c>
      <c r="B150" s="60" t="n">
        <v>45839</v>
      </c>
      <c r="C150" s="21" t="n">
        <v>103.6</v>
      </c>
      <c r="D150" s="21" t="n">
        <v>130.1533333333333</v>
      </c>
      <c r="E150" s="21" t="n">
        <v>82.81999999999998</v>
      </c>
      <c r="F150" s="27">
        <f>IFERROR(IF(OR(C150="",D150="",C150=0),"",D150/C150),"")</f>
        <v/>
      </c>
      <c r="G150" s="21">
        <f>IFERROR(INDEX(Users!$A$2:$A$310,MATCH(A150,Users!$B$2:$B$310,0)),"")</f>
        <v/>
      </c>
      <c r="H150" s="21">
        <f>IFERROR(INDEX(Users!$D$2:$D$310,MATCH(A150,Users!$B$2:$B$310,0)),"")</f>
        <v/>
      </c>
      <c r="I150" s="19">
        <f>AND(G150="Service A",H150="Band 3")</f>
        <v/>
      </c>
      <c r="J150" s="33">
        <f>IF(AND(YEAR(B150)=2025,G150="Service B",OR(H150="Band 3",H150="Band 5"),ISNUMBER(F150)),F150,"")</f>
        <v/>
      </c>
    </row>
    <row r="151">
      <c r="A151" s="19" t="inlineStr">
        <is>
          <t>User1027</t>
        </is>
      </c>
      <c r="B151" s="60" t="n">
        <v>45870</v>
      </c>
      <c r="C151" s="21" t="n">
        <v>81.40000000000001</v>
      </c>
      <c r="D151" s="21" t="n">
        <v>86.85333333333334</v>
      </c>
      <c r="E151" s="21" t="n">
        <v>51.52</v>
      </c>
      <c r="F151" s="27">
        <f>IFERROR(IF(OR(C151="",D151="",C151=0),"",D151/C151),"")</f>
        <v/>
      </c>
      <c r="G151" s="21">
        <f>IFERROR(INDEX(Users!$A$2:$A$310,MATCH(A151,Users!$B$2:$B$310,0)),"")</f>
        <v/>
      </c>
      <c r="H151" s="21">
        <f>IFERROR(INDEX(Users!$D$2:$D$310,MATCH(A151,Users!$B$2:$B$310,0)),"")</f>
        <v/>
      </c>
      <c r="I151" s="19">
        <f>AND(G151="Service A",H151="Band 3")</f>
        <v/>
      </c>
      <c r="J151" s="33">
        <f>IF(AND(YEAR(B151)=2025,G151="Service B",OR(H151="Band 3",H151="Band 5"),ISNUMBER(F151)),F151,"")</f>
        <v/>
      </c>
    </row>
    <row r="152">
      <c r="A152" s="19" t="inlineStr">
        <is>
          <t>User1027</t>
        </is>
      </c>
      <c r="B152" s="60" t="n">
        <v>45901</v>
      </c>
      <c r="C152" s="21" t="n">
        <v>103.6</v>
      </c>
      <c r="D152" s="21" t="n">
        <v>77.59333333333332</v>
      </c>
      <c r="E152" s="21" t="n">
        <v>58.25999999999999</v>
      </c>
      <c r="F152" s="27">
        <f>IFERROR(IF(OR(C152="",D152="",C152=0),"",D152/C152),"")</f>
        <v/>
      </c>
      <c r="G152" s="21">
        <f>IFERROR(INDEX(Users!$A$2:$A$310,MATCH(A152,Users!$B$2:$B$310,0)),"")</f>
        <v/>
      </c>
      <c r="H152" s="21">
        <f>IFERROR(INDEX(Users!$D$2:$D$310,MATCH(A152,Users!$B$2:$B$310,0)),"")</f>
        <v/>
      </c>
      <c r="I152" s="19">
        <f>AND(G152="Service A",H152="Band 3")</f>
        <v/>
      </c>
      <c r="J152" s="33">
        <f>IF(AND(YEAR(B152)=2025,G152="Service B",OR(H152="Band 3",H152="Band 5"),ISNUMBER(F152)),F152,"")</f>
        <v/>
      </c>
    </row>
    <row r="153">
      <c r="A153" s="19" t="inlineStr">
        <is>
          <t>User1027</t>
        </is>
      </c>
      <c r="B153" s="60" t="n">
        <v>45931</v>
      </c>
      <c r="C153" s="21" t="n">
        <v>96.2</v>
      </c>
      <c r="D153" s="21" t="n">
        <v>115.6266666666667</v>
      </c>
      <c r="E153" s="21" t="n">
        <v>79.45999999999999</v>
      </c>
      <c r="F153" s="27">
        <f>IFERROR(IF(OR(C153="",D153="",C153=0),"",D153/C153),"")</f>
        <v/>
      </c>
      <c r="G153" s="21">
        <f>IFERROR(INDEX(Users!$A$2:$A$310,MATCH(A153,Users!$B$2:$B$310,0)),"")</f>
        <v/>
      </c>
      <c r="H153" s="21">
        <f>IFERROR(INDEX(Users!$D$2:$D$310,MATCH(A153,Users!$B$2:$B$310,0)),"")</f>
        <v/>
      </c>
      <c r="I153" s="19">
        <f>AND(G153="Service A",H153="Band 3")</f>
        <v/>
      </c>
      <c r="J153" s="33">
        <f>IF(AND(YEAR(B153)=2025,G153="Service B",OR(H153="Band 3",H153="Band 5"),ISNUMBER(F153)),F153,"")</f>
        <v/>
      </c>
    </row>
    <row r="154">
      <c r="A154" s="19" t="inlineStr">
        <is>
          <t>User1027</t>
        </is>
      </c>
      <c r="B154" s="60" t="n">
        <v>45962</v>
      </c>
      <c r="C154" s="21" t="n">
        <v>88.80000000000001</v>
      </c>
      <c r="D154" s="21" t="n">
        <v>102.2466666666667</v>
      </c>
      <c r="E154" s="21" t="n">
        <v>71.33</v>
      </c>
      <c r="F154" s="27">
        <f>IFERROR(IF(OR(C154="",D154="",C154=0),"",D154/C154),"")</f>
        <v/>
      </c>
      <c r="G154" s="21">
        <f>IFERROR(INDEX(Users!$A$2:$A$310,MATCH(A154,Users!$B$2:$B$310,0)),"")</f>
        <v/>
      </c>
      <c r="H154" s="21">
        <f>IFERROR(INDEX(Users!$D$2:$D$310,MATCH(A154,Users!$B$2:$B$310,0)),"")</f>
        <v/>
      </c>
      <c r="I154" s="19">
        <f>AND(G154="Service A",H154="Band 3")</f>
        <v/>
      </c>
      <c r="J154" s="33">
        <f>IF(AND(YEAR(B154)=2025,G154="Service B",OR(H154="Band 3",H154="Band 5"),ISNUMBER(F154)),F154,"")</f>
        <v/>
      </c>
    </row>
    <row r="155">
      <c r="A155" s="19" t="inlineStr">
        <is>
          <t>User1027</t>
        </is>
      </c>
      <c r="B155" s="60" t="n">
        <v>45992</v>
      </c>
      <c r="C155" s="21" t="n">
        <v>111</v>
      </c>
      <c r="D155" s="21" t="n">
        <v>98.79666666666665</v>
      </c>
      <c r="E155" s="21" t="n">
        <v>69.38</v>
      </c>
      <c r="F155" s="27">
        <f>IFERROR(IF(OR(C155="",D155="",C155=0),"",D155/C155),"")</f>
        <v/>
      </c>
      <c r="G155" s="21">
        <f>IFERROR(INDEX(Users!$A$2:$A$310,MATCH(A155,Users!$B$2:$B$310,0)),"")</f>
        <v/>
      </c>
      <c r="H155" s="21">
        <f>IFERROR(INDEX(Users!$D$2:$D$310,MATCH(A155,Users!$B$2:$B$310,0)),"")</f>
        <v/>
      </c>
      <c r="I155" s="19">
        <f>AND(G155="Service A",H155="Band 3")</f>
        <v/>
      </c>
      <c r="J155" s="33">
        <f>IF(AND(YEAR(B155)=2025,G155="Service B",OR(H155="Band 3",H155="Band 5"),ISNUMBER(F155)),F155,"")</f>
        <v/>
      </c>
    </row>
    <row r="156">
      <c r="A156" s="19" t="inlineStr">
        <is>
          <t>User1027</t>
        </is>
      </c>
      <c r="B156" s="60" t="n">
        <v>46023</v>
      </c>
      <c r="C156" s="21" t="n">
        <v>88.80000000000001</v>
      </c>
      <c r="D156" s="21" t="n">
        <v>132.2733333333333</v>
      </c>
      <c r="E156" s="21" t="n">
        <v>89.19000000000001</v>
      </c>
      <c r="F156" s="27">
        <f>IFERROR(IF(OR(C156="",D156="",C156=0),"",D156/C156),"")</f>
        <v/>
      </c>
      <c r="G156" s="21">
        <f>IFERROR(INDEX(Users!$A$2:$A$310,MATCH(A156,Users!$B$2:$B$310,0)),"")</f>
        <v/>
      </c>
      <c r="H156" s="21">
        <f>IFERROR(INDEX(Users!$D$2:$D$310,MATCH(A156,Users!$B$2:$B$310,0)),"")</f>
        <v/>
      </c>
      <c r="I156" s="19">
        <f>AND(G156="Service A",H156="Band 3")</f>
        <v/>
      </c>
      <c r="J156" s="33">
        <f>IF(AND(YEAR(B156)=2025,G156="Service B",OR(H156="Band 3",H156="Band 5"),ISNUMBER(F156)),F156,"")</f>
        <v/>
      </c>
    </row>
    <row r="157">
      <c r="A157" s="19" t="inlineStr">
        <is>
          <t>User1028</t>
        </is>
      </c>
      <c r="B157" s="60" t="n">
        <v>45658</v>
      </c>
      <c r="C157" s="21" t="n">
        <v>162.8</v>
      </c>
      <c r="D157" s="21" t="n">
        <v>157</v>
      </c>
      <c r="E157" s="21" t="n">
        <v>114.5</v>
      </c>
      <c r="F157" s="27">
        <f>IFERROR(IF(OR(C157="",D157="",C157=0),"",D157/C157),"")</f>
        <v/>
      </c>
      <c r="G157" s="21">
        <f>IFERROR(INDEX(Users!$A$2:$A$310,MATCH(A157,Users!$B$2:$B$310,0)),"")</f>
        <v/>
      </c>
      <c r="H157" s="21">
        <f>IFERROR(INDEX(Users!$D$2:$D$310,MATCH(A157,Users!$B$2:$B$310,0)),"")</f>
        <v/>
      </c>
      <c r="I157" s="19">
        <f>AND(G157="Service A",H157="Band 3")</f>
        <v/>
      </c>
      <c r="J157" s="33">
        <f>IF(AND(YEAR(B157)=2025,G157="Service B",OR(H157="Band 3",H157="Band 5"),ISNUMBER(F157)),F157,"")</f>
        <v/>
      </c>
    </row>
    <row r="158">
      <c r="A158" s="19" t="inlineStr">
        <is>
          <t>User1028</t>
        </is>
      </c>
      <c r="B158" s="60" t="n">
        <v>45689</v>
      </c>
      <c r="C158" s="21" t="n">
        <v>148</v>
      </c>
      <c r="D158" s="21" t="n">
        <v>124.63</v>
      </c>
      <c r="E158" s="21" t="n">
        <v>98.63</v>
      </c>
      <c r="F158" s="27">
        <f>IFERROR(IF(OR(C158="",D158="",C158=0),"",D158/C158),"")</f>
        <v/>
      </c>
      <c r="G158" s="21">
        <f>IFERROR(INDEX(Users!$A$2:$A$310,MATCH(A158,Users!$B$2:$B$310,0)),"")</f>
        <v/>
      </c>
      <c r="H158" s="21">
        <f>IFERROR(INDEX(Users!$D$2:$D$310,MATCH(A158,Users!$B$2:$B$310,0)),"")</f>
        <v/>
      </c>
      <c r="I158" s="19">
        <f>AND(G158="Service A",H158="Band 3")</f>
        <v/>
      </c>
      <c r="J158" s="33">
        <f>IF(AND(YEAR(B158)=2025,G158="Service B",OR(H158="Band 3",H158="Band 5"),ISNUMBER(F158)),F158,"")</f>
        <v/>
      </c>
    </row>
    <row r="159">
      <c r="A159" s="19" t="inlineStr">
        <is>
          <t>User1028</t>
        </is>
      </c>
      <c r="B159" s="60" t="n">
        <v>45717</v>
      </c>
      <c r="C159" s="21" t="n">
        <v>155.4</v>
      </c>
      <c r="D159" s="21" t="n">
        <v>143.2933333333334</v>
      </c>
      <c r="E159" s="21" t="n">
        <v>117.71</v>
      </c>
      <c r="F159" s="27">
        <f>IFERROR(IF(OR(C159="",D159="",C159=0),"",D159/C159),"")</f>
        <v/>
      </c>
      <c r="G159" s="21">
        <f>IFERROR(INDEX(Users!$A$2:$A$310,MATCH(A159,Users!$B$2:$B$310,0)),"")</f>
        <v/>
      </c>
      <c r="H159" s="21">
        <f>IFERROR(INDEX(Users!$D$2:$D$310,MATCH(A159,Users!$B$2:$B$310,0)),"")</f>
        <v/>
      </c>
      <c r="I159" s="19">
        <f>AND(G159="Service A",H159="Band 3")</f>
        <v/>
      </c>
      <c r="J159" s="33">
        <f>IF(AND(YEAR(B159)=2025,G159="Service B",OR(H159="Band 3",H159="Band 5"),ISNUMBER(F159)),F159,"")</f>
        <v/>
      </c>
    </row>
    <row r="160">
      <c r="A160" s="19" t="inlineStr">
        <is>
          <t>User1028</t>
        </is>
      </c>
      <c r="B160" s="60" t="n">
        <v>45748</v>
      </c>
      <c r="C160" s="21" t="n">
        <v>148</v>
      </c>
      <c r="D160" s="21" t="n">
        <v>139.5233333333333</v>
      </c>
      <c r="E160" s="21" t="n">
        <v>111.69</v>
      </c>
      <c r="F160" s="27">
        <f>IFERROR(IF(OR(C160="",D160="",C160=0),"",D160/C160),"")</f>
        <v/>
      </c>
      <c r="G160" s="21">
        <f>IFERROR(INDEX(Users!$A$2:$A$310,MATCH(A160,Users!$B$2:$B$310,0)),"")</f>
        <v/>
      </c>
      <c r="H160" s="21">
        <f>IFERROR(INDEX(Users!$D$2:$D$310,MATCH(A160,Users!$B$2:$B$310,0)),"")</f>
        <v/>
      </c>
      <c r="I160" s="19">
        <f>AND(G160="Service A",H160="Band 3")</f>
        <v/>
      </c>
      <c r="J160" s="33">
        <f>IF(AND(YEAR(B160)=2025,G160="Service B",OR(H160="Band 3",H160="Band 5"),ISNUMBER(F160)),F160,"")</f>
        <v/>
      </c>
    </row>
    <row r="161">
      <c r="A161" s="19" t="inlineStr">
        <is>
          <t>User1028</t>
        </is>
      </c>
      <c r="B161" s="60" t="n">
        <v>45778</v>
      </c>
      <c r="C161" s="21" t="n">
        <v>148</v>
      </c>
      <c r="D161" s="21" t="n">
        <v>81</v>
      </c>
      <c r="E161" s="21" t="n">
        <v>54.75</v>
      </c>
      <c r="F161" s="27">
        <f>IFERROR(IF(OR(C161="",D161="",C161=0),"",D161/C161),"")</f>
        <v/>
      </c>
      <c r="G161" s="21">
        <f>IFERROR(INDEX(Users!$A$2:$A$310,MATCH(A161,Users!$B$2:$B$310,0)),"")</f>
        <v/>
      </c>
      <c r="H161" s="21">
        <f>IFERROR(INDEX(Users!$D$2:$D$310,MATCH(A161,Users!$B$2:$B$310,0)),"")</f>
        <v/>
      </c>
      <c r="I161" s="19">
        <f>AND(G161="Service A",H161="Band 3")</f>
        <v/>
      </c>
      <c r="J161" s="33">
        <f>IF(AND(YEAR(B161)=2025,G161="Service B",OR(H161="Band 3",H161="Band 5"),ISNUMBER(F161)),F161,"")</f>
        <v/>
      </c>
    </row>
    <row r="162">
      <c r="A162" s="19" t="inlineStr">
        <is>
          <t>User1028</t>
        </is>
      </c>
      <c r="B162" s="60" t="n">
        <v>45809</v>
      </c>
      <c r="C162" s="21" t="n">
        <v>155.4</v>
      </c>
      <c r="D162" s="21" t="n">
        <v>144.5833333333333</v>
      </c>
      <c r="E162" s="21" t="n">
        <v>116.5</v>
      </c>
      <c r="F162" s="27">
        <f>IFERROR(IF(OR(C162="",D162="",C162=0),"",D162/C162),"")</f>
        <v/>
      </c>
      <c r="G162" s="21">
        <f>IFERROR(INDEX(Users!$A$2:$A$310,MATCH(A162,Users!$B$2:$B$310,0)),"")</f>
        <v/>
      </c>
      <c r="H162" s="21">
        <f>IFERROR(INDEX(Users!$D$2:$D$310,MATCH(A162,Users!$B$2:$B$310,0)),"")</f>
        <v/>
      </c>
      <c r="I162" s="19">
        <f>AND(G162="Service A",H162="Band 3")</f>
        <v/>
      </c>
      <c r="J162" s="33">
        <f>IF(AND(YEAR(B162)=2025,G162="Service B",OR(H162="Band 3",H162="Band 5"),ISNUMBER(F162)),F162,"")</f>
        <v/>
      </c>
    </row>
    <row r="163">
      <c r="A163" s="19" t="inlineStr">
        <is>
          <t>User1028</t>
        </is>
      </c>
      <c r="B163" s="60" t="n">
        <v>45839</v>
      </c>
      <c r="C163" s="21" t="n">
        <v>170.2</v>
      </c>
      <c r="D163" s="21" t="n">
        <v>115.1666666666667</v>
      </c>
      <c r="E163" s="21" t="n">
        <v>88.25</v>
      </c>
      <c r="F163" s="27">
        <f>IFERROR(IF(OR(C163="",D163="",C163=0),"",D163/C163),"")</f>
        <v/>
      </c>
      <c r="G163" s="21">
        <f>IFERROR(INDEX(Users!$A$2:$A$310,MATCH(A163,Users!$B$2:$B$310,0)),"")</f>
        <v/>
      </c>
      <c r="H163" s="21">
        <f>IFERROR(INDEX(Users!$D$2:$D$310,MATCH(A163,Users!$B$2:$B$310,0)),"")</f>
        <v/>
      </c>
      <c r="I163" s="19">
        <f>AND(G163="Service A",H163="Band 3")</f>
        <v/>
      </c>
      <c r="J163" s="33">
        <f>IF(AND(YEAR(B163)=2025,G163="Service B",OR(H163="Band 3",H163="Band 5"),ISNUMBER(F163)),F163,"")</f>
        <v/>
      </c>
    </row>
    <row r="164">
      <c r="A164" s="19" t="inlineStr">
        <is>
          <t>User1028</t>
        </is>
      </c>
      <c r="B164" s="60" t="n">
        <v>45870</v>
      </c>
      <c r="C164" s="21" t="n">
        <v>148</v>
      </c>
      <c r="D164" s="21" t="n">
        <v>116.6633333333333</v>
      </c>
      <c r="E164" s="21" t="n">
        <v>88.08</v>
      </c>
      <c r="F164" s="27">
        <f>IFERROR(IF(OR(C164="",D164="",C164=0),"",D164/C164),"")</f>
        <v/>
      </c>
      <c r="G164" s="21">
        <f>IFERROR(INDEX(Users!$A$2:$A$310,MATCH(A164,Users!$B$2:$B$310,0)),"")</f>
        <v/>
      </c>
      <c r="H164" s="21">
        <f>IFERROR(INDEX(Users!$D$2:$D$310,MATCH(A164,Users!$B$2:$B$310,0)),"")</f>
        <v/>
      </c>
      <c r="I164" s="19">
        <f>AND(G164="Service A",H164="Band 3")</f>
        <v/>
      </c>
      <c r="J164" s="33">
        <f>IF(AND(YEAR(B164)=2025,G164="Service B",OR(H164="Band 3",H164="Band 5"),ISNUMBER(F164)),F164,"")</f>
        <v/>
      </c>
    </row>
    <row r="165">
      <c r="A165" s="19" t="inlineStr">
        <is>
          <t>User1028</t>
        </is>
      </c>
      <c r="B165" s="60" t="n">
        <v>45901</v>
      </c>
      <c r="C165" s="21" t="n">
        <v>162.8</v>
      </c>
      <c r="D165" s="21" t="n">
        <v>134.3333333333333</v>
      </c>
      <c r="E165" s="21" t="n">
        <v>100.75</v>
      </c>
      <c r="F165" s="27">
        <f>IFERROR(IF(OR(C165="",D165="",C165=0),"",D165/C165),"")</f>
        <v/>
      </c>
      <c r="G165" s="21">
        <f>IFERROR(INDEX(Users!$A$2:$A$310,MATCH(A165,Users!$B$2:$B$310,0)),"")</f>
        <v/>
      </c>
      <c r="H165" s="21">
        <f>IFERROR(INDEX(Users!$D$2:$D$310,MATCH(A165,Users!$B$2:$B$310,0)),"")</f>
        <v/>
      </c>
      <c r="I165" s="19">
        <f>AND(G165="Service A",H165="Band 3")</f>
        <v/>
      </c>
      <c r="J165" s="33">
        <f>IF(AND(YEAR(B165)=2025,G165="Service B",OR(H165="Band 3",H165="Band 5"),ISNUMBER(F165)),F165,"")</f>
        <v/>
      </c>
    </row>
    <row r="166">
      <c r="A166" s="19" t="inlineStr">
        <is>
          <t>User1028</t>
        </is>
      </c>
      <c r="B166" s="60" t="n">
        <v>45931</v>
      </c>
      <c r="C166" s="21" t="n">
        <v>170.2</v>
      </c>
      <c r="D166" s="21" t="n">
        <v>141.0666666666667</v>
      </c>
      <c r="E166" s="21" t="n">
        <v>99</v>
      </c>
      <c r="F166" s="27">
        <f>IFERROR(IF(OR(C166="",D166="",C166=0),"",D166/C166),"")</f>
        <v/>
      </c>
      <c r="G166" s="21">
        <f>IFERROR(INDEX(Users!$A$2:$A$310,MATCH(A166,Users!$B$2:$B$310,0)),"")</f>
        <v/>
      </c>
      <c r="H166" s="21">
        <f>IFERROR(INDEX(Users!$D$2:$D$310,MATCH(A166,Users!$B$2:$B$310,0)),"")</f>
        <v/>
      </c>
      <c r="I166" s="19">
        <f>AND(G166="Service A",H166="Band 3")</f>
        <v/>
      </c>
      <c r="J166" s="33">
        <f>IF(AND(YEAR(B166)=2025,G166="Service B",OR(H166="Band 3",H166="Band 5"),ISNUMBER(F166)),F166,"")</f>
        <v/>
      </c>
    </row>
    <row r="167">
      <c r="A167" s="19" t="inlineStr">
        <is>
          <t>User1028</t>
        </is>
      </c>
      <c r="B167" s="60" t="n">
        <v>45962</v>
      </c>
      <c r="C167" s="21" t="n">
        <v>148</v>
      </c>
      <c r="D167" s="21" t="n">
        <v>133.6666666666667</v>
      </c>
      <c r="E167" s="21" t="n">
        <v>97.25</v>
      </c>
      <c r="F167" s="27">
        <f>IFERROR(IF(OR(C167="",D167="",C167=0),"",D167/C167),"")</f>
        <v/>
      </c>
      <c r="G167" s="21">
        <f>IFERROR(INDEX(Users!$A$2:$A$310,MATCH(A167,Users!$B$2:$B$310,0)),"")</f>
        <v/>
      </c>
      <c r="H167" s="21">
        <f>IFERROR(INDEX(Users!$D$2:$D$310,MATCH(A167,Users!$B$2:$B$310,0)),"")</f>
        <v/>
      </c>
      <c r="I167" s="19">
        <f>AND(G167="Service A",H167="Band 3")</f>
        <v/>
      </c>
      <c r="J167" s="33">
        <f>IF(AND(YEAR(B167)=2025,G167="Service B",OR(H167="Band 3",H167="Band 5"),ISNUMBER(F167)),F167,"")</f>
        <v/>
      </c>
    </row>
    <row r="168">
      <c r="A168" s="19" t="inlineStr">
        <is>
          <t>User1028</t>
        </is>
      </c>
      <c r="B168" s="60" t="n">
        <v>45992</v>
      </c>
      <c r="C168" s="21" t="n">
        <v>155.4</v>
      </c>
      <c r="D168" s="21" t="n">
        <v>102.33</v>
      </c>
      <c r="E168" s="21" t="n">
        <v>77.83</v>
      </c>
      <c r="F168" s="27">
        <f>IFERROR(IF(OR(C168="",D168="",C168=0),"",D168/C168),"")</f>
        <v/>
      </c>
      <c r="G168" s="21">
        <f>IFERROR(INDEX(Users!$A$2:$A$310,MATCH(A168,Users!$B$2:$B$310,0)),"")</f>
        <v/>
      </c>
      <c r="H168" s="21">
        <f>IFERROR(INDEX(Users!$D$2:$D$310,MATCH(A168,Users!$B$2:$B$310,0)),"")</f>
        <v/>
      </c>
      <c r="I168" s="19">
        <f>AND(G168="Service A",H168="Band 3")</f>
        <v/>
      </c>
      <c r="J168" s="33">
        <f>IF(AND(YEAR(B168)=2025,G168="Service B",OR(H168="Band 3",H168="Band 5"),ISNUMBER(F168)),F168,"")</f>
        <v/>
      </c>
    </row>
    <row r="169">
      <c r="A169" s="19" t="inlineStr">
        <is>
          <t>User1028</t>
        </is>
      </c>
      <c r="B169" s="60" t="n">
        <v>46023</v>
      </c>
      <c r="C169" s="21" t="n">
        <v>155.4</v>
      </c>
      <c r="D169" s="21" t="n">
        <v>132</v>
      </c>
      <c r="E169" s="21" t="n">
        <v>90.5</v>
      </c>
      <c r="F169" s="27">
        <f>IFERROR(IF(OR(C169="",D169="",C169=0),"",D169/C169),"")</f>
        <v/>
      </c>
      <c r="G169" s="21">
        <f>IFERROR(INDEX(Users!$A$2:$A$310,MATCH(A169,Users!$B$2:$B$310,0)),"")</f>
        <v/>
      </c>
      <c r="H169" s="21">
        <f>IFERROR(INDEX(Users!$D$2:$D$310,MATCH(A169,Users!$B$2:$B$310,0)),"")</f>
        <v/>
      </c>
      <c r="I169" s="19">
        <f>AND(G169="Service A",H169="Band 3")</f>
        <v/>
      </c>
      <c r="J169" s="33">
        <f>IF(AND(YEAR(B169)=2025,G169="Service B",OR(H169="Band 3",H169="Band 5"),ISNUMBER(F169)),F169,"")</f>
        <v/>
      </c>
    </row>
    <row r="170">
      <c r="A170" s="19" t="inlineStr">
        <is>
          <t>User1029</t>
        </is>
      </c>
      <c r="B170" s="60" t="n">
        <v>45658</v>
      </c>
      <c r="C170" s="21" t="n">
        <v>162.8</v>
      </c>
      <c r="D170" s="21" t="n">
        <v>12.97</v>
      </c>
      <c r="E170" s="21" t="n">
        <v>12.97</v>
      </c>
      <c r="F170" s="27">
        <f>IFERROR(IF(OR(C170="",D170="",C170=0),"",D170/C170),"")</f>
        <v/>
      </c>
      <c r="G170" s="21">
        <f>IFERROR(INDEX(Users!$A$2:$A$310,MATCH(A170,Users!$B$2:$B$310,0)),"")</f>
        <v/>
      </c>
      <c r="H170" s="21">
        <f>IFERROR(INDEX(Users!$D$2:$D$310,MATCH(A170,Users!$B$2:$B$310,0)),"")</f>
        <v/>
      </c>
      <c r="I170" s="19">
        <f>AND(G170="Service A",H170="Band 3")</f>
        <v/>
      </c>
      <c r="J170" s="33">
        <f>IF(AND(YEAR(B170)=2025,G170="Service B",OR(H170="Band 3",H170="Band 5"),ISNUMBER(F170)),F170,"")</f>
        <v/>
      </c>
    </row>
    <row r="171">
      <c r="A171" s="19" t="inlineStr">
        <is>
          <t>User1029</t>
        </is>
      </c>
      <c r="B171" s="60" t="n">
        <v>45689</v>
      </c>
      <c r="C171" s="21" t="n">
        <v>148</v>
      </c>
      <c r="D171" s="21" t="n">
        <v>109.3133333333333</v>
      </c>
      <c r="E171" s="21" t="n">
        <v>42.73</v>
      </c>
      <c r="F171" s="27">
        <f>IFERROR(IF(OR(C171="",D171="",C171=0),"",D171/C171),"")</f>
        <v/>
      </c>
      <c r="G171" s="21">
        <f>IFERROR(INDEX(Users!$A$2:$A$310,MATCH(A171,Users!$B$2:$B$310,0)),"")</f>
        <v/>
      </c>
      <c r="H171" s="21">
        <f>IFERROR(INDEX(Users!$D$2:$D$310,MATCH(A171,Users!$B$2:$B$310,0)),"")</f>
        <v/>
      </c>
      <c r="I171" s="19">
        <f>AND(G171="Service A",H171="Band 3")</f>
        <v/>
      </c>
      <c r="J171" s="33">
        <f>IF(AND(YEAR(B171)=2025,G171="Service B",OR(H171="Band 3",H171="Band 5"),ISNUMBER(F171)),F171,"")</f>
        <v/>
      </c>
    </row>
    <row r="172">
      <c r="A172" s="19" t="inlineStr">
        <is>
          <t>User1029</t>
        </is>
      </c>
      <c r="B172" s="60" t="n">
        <v>45717</v>
      </c>
      <c r="C172" s="21" t="n">
        <v>155.4</v>
      </c>
      <c r="D172" s="21" t="n">
        <v>145.2</v>
      </c>
      <c r="E172" s="21" t="n">
        <v>34.50000000000001</v>
      </c>
      <c r="F172" s="27">
        <f>IFERROR(IF(OR(C172="",D172="",C172=0),"",D172/C172),"")</f>
        <v/>
      </c>
      <c r="G172" s="21">
        <f>IFERROR(INDEX(Users!$A$2:$A$310,MATCH(A172,Users!$B$2:$B$310,0)),"")</f>
        <v/>
      </c>
      <c r="H172" s="21">
        <f>IFERROR(INDEX(Users!$D$2:$D$310,MATCH(A172,Users!$B$2:$B$310,0)),"")</f>
        <v/>
      </c>
      <c r="I172" s="19">
        <f>AND(G172="Service A",H172="Band 3")</f>
        <v/>
      </c>
      <c r="J172" s="33">
        <f>IF(AND(YEAR(B172)=2025,G172="Service B",OR(H172="Band 3",H172="Band 5"),ISNUMBER(F172)),F172,"")</f>
        <v/>
      </c>
    </row>
    <row r="173">
      <c r="A173" s="19" t="inlineStr">
        <is>
          <t>User1029</t>
        </is>
      </c>
      <c r="B173" s="60" t="n">
        <v>45748</v>
      </c>
      <c r="C173" s="21" t="n">
        <v>148</v>
      </c>
      <c r="D173" s="21" t="n">
        <v>125.34</v>
      </c>
      <c r="E173" s="21" t="n">
        <v>34.59000000000002</v>
      </c>
      <c r="F173" s="27">
        <f>IFERROR(IF(OR(C173="",D173="",C173=0),"",D173/C173),"")</f>
        <v/>
      </c>
      <c r="G173" s="21">
        <f>IFERROR(INDEX(Users!$A$2:$A$310,MATCH(A173,Users!$B$2:$B$310,0)),"")</f>
        <v/>
      </c>
      <c r="H173" s="21">
        <f>IFERROR(INDEX(Users!$D$2:$D$310,MATCH(A173,Users!$B$2:$B$310,0)),"")</f>
        <v/>
      </c>
      <c r="I173" s="19">
        <f>AND(G173="Service A",H173="Band 3")</f>
        <v/>
      </c>
      <c r="J173" s="33">
        <f>IF(AND(YEAR(B173)=2025,G173="Service B",OR(H173="Band 3",H173="Band 5"),ISNUMBER(F173)),F173,"")</f>
        <v/>
      </c>
    </row>
    <row r="174">
      <c r="A174" s="19" t="inlineStr">
        <is>
          <t>User1029</t>
        </is>
      </c>
      <c r="B174" s="60" t="n">
        <v>45778</v>
      </c>
      <c r="C174" s="21" t="n">
        <v>148</v>
      </c>
      <c r="D174" s="21" t="n">
        <v>132.9033333333333</v>
      </c>
      <c r="E174" s="21" t="n">
        <v>44.32</v>
      </c>
      <c r="F174" s="27">
        <f>IFERROR(IF(OR(C174="",D174="",C174=0),"",D174/C174),"")</f>
        <v/>
      </c>
      <c r="G174" s="21">
        <f>IFERROR(INDEX(Users!$A$2:$A$310,MATCH(A174,Users!$B$2:$B$310,0)),"")</f>
        <v/>
      </c>
      <c r="H174" s="21">
        <f>IFERROR(INDEX(Users!$D$2:$D$310,MATCH(A174,Users!$B$2:$B$310,0)),"")</f>
        <v/>
      </c>
      <c r="I174" s="19">
        <f>AND(G174="Service A",H174="Band 3")</f>
        <v/>
      </c>
      <c r="J174" s="33">
        <f>IF(AND(YEAR(B174)=2025,G174="Service B",OR(H174="Band 3",H174="Band 5"),ISNUMBER(F174)),F174,"")</f>
        <v/>
      </c>
    </row>
    <row r="175">
      <c r="A175" s="19" t="inlineStr">
        <is>
          <t>User1029</t>
        </is>
      </c>
      <c r="B175" s="60" t="n">
        <v>45809</v>
      </c>
      <c r="C175" s="21" t="n">
        <v>155.4</v>
      </c>
      <c r="D175" s="21" t="n">
        <v>110.4766666666667</v>
      </c>
      <c r="E175" s="21" t="n">
        <v>32.06</v>
      </c>
      <c r="F175" s="27">
        <f>IFERROR(IF(OR(C175="",D175="",C175=0),"",D175/C175),"")</f>
        <v/>
      </c>
      <c r="G175" s="21">
        <f>IFERROR(INDEX(Users!$A$2:$A$310,MATCH(A175,Users!$B$2:$B$310,0)),"")</f>
        <v/>
      </c>
      <c r="H175" s="21">
        <f>IFERROR(INDEX(Users!$D$2:$D$310,MATCH(A175,Users!$B$2:$B$310,0)),"")</f>
        <v/>
      </c>
      <c r="I175" s="19">
        <f>AND(G175="Service A",H175="Band 3")</f>
        <v/>
      </c>
      <c r="J175" s="33">
        <f>IF(AND(YEAR(B175)=2025,G175="Service B",OR(H175="Band 3",H175="Band 5"),ISNUMBER(F175)),F175,"")</f>
        <v/>
      </c>
    </row>
    <row r="176">
      <c r="A176" s="19" t="inlineStr">
        <is>
          <t>User1029</t>
        </is>
      </c>
      <c r="B176" s="60" t="n">
        <v>45839</v>
      </c>
      <c r="C176" s="21" t="n">
        <v>170.2</v>
      </c>
      <c r="D176" s="21" t="n">
        <v>155.56</v>
      </c>
      <c r="E176" s="21" t="n">
        <v>61.55999999999998</v>
      </c>
      <c r="F176" s="27">
        <f>IFERROR(IF(OR(C176="",D176="",C176=0),"",D176/C176),"")</f>
        <v/>
      </c>
      <c r="G176" s="21">
        <f>IFERROR(INDEX(Users!$A$2:$A$310,MATCH(A176,Users!$B$2:$B$310,0)),"")</f>
        <v/>
      </c>
      <c r="H176" s="21">
        <f>IFERROR(INDEX(Users!$D$2:$D$310,MATCH(A176,Users!$B$2:$B$310,0)),"")</f>
        <v/>
      </c>
      <c r="I176" s="19">
        <f>AND(G176="Service A",H176="Band 3")</f>
        <v/>
      </c>
      <c r="J176" s="33">
        <f>IF(AND(YEAR(B176)=2025,G176="Service B",OR(H176="Band 3",H176="Band 5"),ISNUMBER(F176)),F176,"")</f>
        <v/>
      </c>
    </row>
    <row r="177">
      <c r="A177" s="19" t="inlineStr">
        <is>
          <t>User1029</t>
        </is>
      </c>
      <c r="B177" s="60" t="n">
        <v>45870</v>
      </c>
      <c r="C177" s="21" t="n">
        <v>148</v>
      </c>
      <c r="D177" s="21" t="n">
        <v>86.13333333333334</v>
      </c>
      <c r="E177" s="21" t="n">
        <v>56.3</v>
      </c>
      <c r="F177" s="27">
        <f>IFERROR(IF(OR(C177="",D177="",C177=0),"",D177/C177),"")</f>
        <v/>
      </c>
      <c r="G177" s="21">
        <f>IFERROR(INDEX(Users!$A$2:$A$310,MATCH(A177,Users!$B$2:$B$310,0)),"")</f>
        <v/>
      </c>
      <c r="H177" s="21">
        <f>IFERROR(INDEX(Users!$D$2:$D$310,MATCH(A177,Users!$B$2:$B$310,0)),"")</f>
        <v/>
      </c>
      <c r="I177" s="19">
        <f>AND(G177="Service A",H177="Band 3")</f>
        <v/>
      </c>
      <c r="J177" s="33">
        <f>IF(AND(YEAR(B177)=2025,G177="Service B",OR(H177="Band 3",H177="Band 5"),ISNUMBER(F177)),F177,"")</f>
        <v/>
      </c>
    </row>
    <row r="178">
      <c r="A178" s="19" t="inlineStr">
        <is>
          <t>User1029</t>
        </is>
      </c>
      <c r="B178" s="60" t="n">
        <v>45901</v>
      </c>
      <c r="C178" s="21" t="n">
        <v>162.8</v>
      </c>
      <c r="D178" s="21" t="n">
        <v>164.0533333333333</v>
      </c>
      <c r="E178" s="21" t="n">
        <v>80.06999999999999</v>
      </c>
      <c r="F178" s="27">
        <f>IFERROR(IF(OR(C178="",D178="",C178=0),"",D178/C178),"")</f>
        <v/>
      </c>
      <c r="G178" s="21">
        <f>IFERROR(INDEX(Users!$A$2:$A$310,MATCH(A178,Users!$B$2:$B$310,0)),"")</f>
        <v/>
      </c>
      <c r="H178" s="21">
        <f>IFERROR(INDEX(Users!$D$2:$D$310,MATCH(A178,Users!$B$2:$B$310,0)),"")</f>
        <v/>
      </c>
      <c r="I178" s="19">
        <f>AND(G178="Service A",H178="Band 3")</f>
        <v/>
      </c>
      <c r="J178" s="33">
        <f>IF(AND(YEAR(B178)=2025,G178="Service B",OR(H178="Band 3",H178="Band 5"),ISNUMBER(F178)),F178,"")</f>
        <v/>
      </c>
    </row>
    <row r="179">
      <c r="A179" s="19" t="inlineStr">
        <is>
          <t>User1029</t>
        </is>
      </c>
      <c r="B179" s="60" t="n">
        <v>45931</v>
      </c>
      <c r="C179" s="21" t="n">
        <v>170.2</v>
      </c>
      <c r="D179" s="21" t="n">
        <v>123.85</v>
      </c>
      <c r="E179" s="21" t="n">
        <v>78.2</v>
      </c>
      <c r="F179" s="27">
        <f>IFERROR(IF(OR(C179="",D179="",C179=0),"",D179/C179),"")</f>
        <v/>
      </c>
      <c r="G179" s="21">
        <f>IFERROR(INDEX(Users!$A$2:$A$310,MATCH(A179,Users!$B$2:$B$310,0)),"")</f>
        <v/>
      </c>
      <c r="H179" s="21">
        <f>IFERROR(INDEX(Users!$D$2:$D$310,MATCH(A179,Users!$B$2:$B$310,0)),"")</f>
        <v/>
      </c>
      <c r="I179" s="19">
        <f>AND(G179="Service A",H179="Band 3")</f>
        <v/>
      </c>
      <c r="J179" s="33">
        <f>IF(AND(YEAR(B179)=2025,G179="Service B",OR(H179="Band 3",H179="Band 5"),ISNUMBER(F179)),F179,"")</f>
        <v/>
      </c>
    </row>
    <row r="180">
      <c r="A180" s="19" t="inlineStr">
        <is>
          <t>User1029</t>
        </is>
      </c>
      <c r="B180" s="60" t="n">
        <v>45962</v>
      </c>
      <c r="C180" s="21" t="n">
        <v>148</v>
      </c>
      <c r="D180" s="21" t="n">
        <v>76.47999999999999</v>
      </c>
      <c r="E180" s="21" t="n">
        <v>60.47999999999999</v>
      </c>
      <c r="F180" s="27">
        <f>IFERROR(IF(OR(C180="",D180="",C180=0),"",D180/C180),"")</f>
        <v/>
      </c>
      <c r="G180" s="21">
        <f>IFERROR(INDEX(Users!$A$2:$A$310,MATCH(A180,Users!$B$2:$B$310,0)),"")</f>
        <v/>
      </c>
      <c r="H180" s="21">
        <f>IFERROR(INDEX(Users!$D$2:$D$310,MATCH(A180,Users!$B$2:$B$310,0)),"")</f>
        <v/>
      </c>
      <c r="I180" s="19">
        <f>AND(G180="Service A",H180="Band 3")</f>
        <v/>
      </c>
      <c r="J180" s="33">
        <f>IF(AND(YEAR(B180)=2025,G180="Service B",OR(H180="Band 3",H180="Band 5"),ISNUMBER(F180)),F180,"")</f>
        <v/>
      </c>
    </row>
    <row r="181">
      <c r="A181" s="19" t="inlineStr">
        <is>
          <t>User1029</t>
        </is>
      </c>
      <c r="B181" s="60" t="n">
        <v>45992</v>
      </c>
      <c r="C181" s="21" t="n">
        <v>155.4</v>
      </c>
      <c r="D181" s="21" t="n">
        <v>124.11</v>
      </c>
      <c r="E181" s="21" t="n">
        <v>69.36</v>
      </c>
      <c r="F181" s="27">
        <f>IFERROR(IF(OR(C181="",D181="",C181=0),"",D181/C181),"")</f>
        <v/>
      </c>
      <c r="G181" s="21">
        <f>IFERROR(INDEX(Users!$A$2:$A$310,MATCH(A181,Users!$B$2:$B$310,0)),"")</f>
        <v/>
      </c>
      <c r="H181" s="21">
        <f>IFERROR(INDEX(Users!$D$2:$D$310,MATCH(A181,Users!$B$2:$B$310,0)),"")</f>
        <v/>
      </c>
      <c r="I181" s="19">
        <f>AND(G181="Service A",H181="Band 3")</f>
        <v/>
      </c>
      <c r="J181" s="33">
        <f>IF(AND(YEAR(B181)=2025,G181="Service B",OR(H181="Band 3",H181="Band 5"),ISNUMBER(F181)),F181,"")</f>
        <v/>
      </c>
    </row>
    <row r="182">
      <c r="A182" s="19" t="inlineStr">
        <is>
          <t>User1029</t>
        </is>
      </c>
      <c r="B182" s="60" t="n">
        <v>46023</v>
      </c>
      <c r="C182" s="21" t="n">
        <v>155.4</v>
      </c>
      <c r="D182" s="21" t="n">
        <v>73.37666666666667</v>
      </c>
      <c r="E182" s="21" t="n">
        <v>28.20999999999999</v>
      </c>
      <c r="F182" s="27">
        <f>IFERROR(IF(OR(C182="",D182="",C182=0),"",D182/C182),"")</f>
        <v/>
      </c>
      <c r="G182" s="21">
        <f>IFERROR(INDEX(Users!$A$2:$A$310,MATCH(A182,Users!$B$2:$B$310,0)),"")</f>
        <v/>
      </c>
      <c r="H182" s="21">
        <f>IFERROR(INDEX(Users!$D$2:$D$310,MATCH(A182,Users!$B$2:$B$310,0)),"")</f>
        <v/>
      </c>
      <c r="I182" s="19">
        <f>AND(G182="Service A",H182="Band 3")</f>
        <v/>
      </c>
      <c r="J182" s="33">
        <f>IF(AND(YEAR(B182)=2025,G182="Service B",OR(H182="Band 3",H182="Band 5"),ISNUMBER(F182)),F182,"")</f>
        <v/>
      </c>
    </row>
    <row r="183">
      <c r="A183" s="19" t="inlineStr">
        <is>
          <t>User1030</t>
        </is>
      </c>
      <c r="B183" s="60" t="n">
        <v>45658</v>
      </c>
      <c r="C183" s="21" t="n">
        <v>162.8</v>
      </c>
      <c r="D183" s="21" t="n">
        <v>163.0966666666667</v>
      </c>
      <c r="E183" s="21" t="n">
        <v>83.83</v>
      </c>
      <c r="F183" s="27">
        <f>IFERROR(IF(OR(C183="",D183="",C183=0),"",D183/C183),"")</f>
        <v/>
      </c>
      <c r="G183" s="21">
        <f>IFERROR(INDEX(Users!$A$2:$A$310,MATCH(A183,Users!$B$2:$B$310,0)),"")</f>
        <v/>
      </c>
      <c r="H183" s="21">
        <f>IFERROR(INDEX(Users!$D$2:$D$310,MATCH(A183,Users!$B$2:$B$310,0)),"")</f>
        <v/>
      </c>
      <c r="I183" s="19">
        <f>AND(G183="Service A",H183="Band 3")</f>
        <v/>
      </c>
      <c r="J183" s="33">
        <f>IF(AND(YEAR(B183)=2025,G183="Service B",OR(H183="Band 3",H183="Band 5"),ISNUMBER(F183)),F183,"")</f>
        <v/>
      </c>
    </row>
    <row r="184">
      <c r="A184" s="19" t="inlineStr">
        <is>
          <t>User1030</t>
        </is>
      </c>
      <c r="B184" s="60" t="n">
        <v>45689</v>
      </c>
      <c r="C184" s="21" t="n">
        <v>148</v>
      </c>
      <c r="D184" s="21" t="n">
        <v>100.9</v>
      </c>
      <c r="E184" s="21" t="n">
        <v>49.75</v>
      </c>
      <c r="F184" s="27">
        <f>IFERROR(IF(OR(C184="",D184="",C184=0),"",D184/C184),"")</f>
        <v/>
      </c>
      <c r="G184" s="21">
        <f>IFERROR(INDEX(Users!$A$2:$A$310,MATCH(A184,Users!$B$2:$B$310,0)),"")</f>
        <v/>
      </c>
      <c r="H184" s="21">
        <f>IFERROR(INDEX(Users!$D$2:$D$310,MATCH(A184,Users!$B$2:$B$310,0)),"")</f>
        <v/>
      </c>
      <c r="I184" s="19">
        <f>AND(G184="Service A",H184="Band 3")</f>
        <v/>
      </c>
      <c r="J184" s="33">
        <f>IF(AND(YEAR(B184)=2025,G184="Service B",OR(H184="Band 3",H184="Band 5"),ISNUMBER(F184)),F184,"")</f>
        <v/>
      </c>
    </row>
    <row r="185">
      <c r="A185" s="19" t="inlineStr">
        <is>
          <t>User1030</t>
        </is>
      </c>
      <c r="B185" s="60" t="n">
        <v>45717</v>
      </c>
      <c r="C185" s="21" t="n">
        <v>155.4</v>
      </c>
      <c r="D185" s="21" t="n">
        <v>155.9</v>
      </c>
      <c r="E185" s="21" t="n">
        <v>84.25</v>
      </c>
      <c r="F185" s="27">
        <f>IFERROR(IF(OR(C185="",D185="",C185=0),"",D185/C185),"")</f>
        <v/>
      </c>
      <c r="G185" s="21">
        <f>IFERROR(INDEX(Users!$A$2:$A$310,MATCH(A185,Users!$B$2:$B$310,0)),"")</f>
        <v/>
      </c>
      <c r="H185" s="21">
        <f>IFERROR(INDEX(Users!$D$2:$D$310,MATCH(A185,Users!$B$2:$B$310,0)),"")</f>
        <v/>
      </c>
      <c r="I185" s="19">
        <f>AND(G185="Service A",H185="Band 3")</f>
        <v/>
      </c>
      <c r="J185" s="33">
        <f>IF(AND(YEAR(B185)=2025,G185="Service B",OR(H185="Band 3",H185="Band 5"),ISNUMBER(F185)),F185,"")</f>
        <v/>
      </c>
    </row>
    <row r="186">
      <c r="A186" s="19" t="inlineStr">
        <is>
          <t>User1030</t>
        </is>
      </c>
      <c r="B186" s="60" t="n">
        <v>45748</v>
      </c>
      <c r="C186" s="21" t="n">
        <v>148</v>
      </c>
      <c r="D186" s="21" t="n">
        <v>147.5</v>
      </c>
      <c r="E186" s="21" t="n">
        <v>65.5</v>
      </c>
      <c r="F186" s="27">
        <f>IFERROR(IF(OR(C186="",D186="",C186=0),"",D186/C186),"")</f>
        <v/>
      </c>
      <c r="G186" s="21">
        <f>IFERROR(INDEX(Users!$A$2:$A$310,MATCH(A186,Users!$B$2:$B$310,0)),"")</f>
        <v/>
      </c>
      <c r="H186" s="21">
        <f>IFERROR(INDEX(Users!$D$2:$D$310,MATCH(A186,Users!$B$2:$B$310,0)),"")</f>
        <v/>
      </c>
      <c r="I186" s="19">
        <f>AND(G186="Service A",H186="Band 3")</f>
        <v/>
      </c>
      <c r="J186" s="33">
        <f>IF(AND(YEAR(B186)=2025,G186="Service B",OR(H186="Band 3",H186="Band 5"),ISNUMBER(F186)),F186,"")</f>
        <v/>
      </c>
    </row>
    <row r="187">
      <c r="A187" s="19" t="inlineStr">
        <is>
          <t>User1030</t>
        </is>
      </c>
      <c r="B187" s="60" t="n">
        <v>45778</v>
      </c>
      <c r="C187" s="21" t="n">
        <v>148</v>
      </c>
      <c r="D187" s="21" t="n">
        <v>133.2</v>
      </c>
      <c r="E187" s="21" t="n">
        <v>72</v>
      </c>
      <c r="F187" s="27">
        <f>IFERROR(IF(OR(C187="",D187="",C187=0),"",D187/C187),"")</f>
        <v/>
      </c>
      <c r="G187" s="21">
        <f>IFERROR(INDEX(Users!$A$2:$A$310,MATCH(A187,Users!$B$2:$B$310,0)),"")</f>
        <v/>
      </c>
      <c r="H187" s="21">
        <f>IFERROR(INDEX(Users!$D$2:$D$310,MATCH(A187,Users!$B$2:$B$310,0)),"")</f>
        <v/>
      </c>
      <c r="I187" s="19">
        <f>AND(G187="Service A",H187="Band 3")</f>
        <v/>
      </c>
      <c r="J187" s="33">
        <f>IF(AND(YEAR(B187)=2025,G187="Service B",OR(H187="Band 3",H187="Band 5"),ISNUMBER(F187)),F187,"")</f>
        <v/>
      </c>
    </row>
    <row r="188">
      <c r="A188" s="19" t="inlineStr">
        <is>
          <t>User1030</t>
        </is>
      </c>
      <c r="B188" s="60" t="n">
        <v>45809</v>
      </c>
      <c r="C188" s="21" t="n">
        <v>155.4</v>
      </c>
      <c r="D188" s="21" t="n">
        <v>131.5</v>
      </c>
      <c r="E188" s="21" t="n">
        <v>51</v>
      </c>
      <c r="F188" s="27">
        <f>IFERROR(IF(OR(C188="",D188="",C188=0),"",D188/C188),"")</f>
        <v/>
      </c>
      <c r="G188" s="21">
        <f>IFERROR(INDEX(Users!$A$2:$A$310,MATCH(A188,Users!$B$2:$B$310,0)),"")</f>
        <v/>
      </c>
      <c r="H188" s="21">
        <f>IFERROR(INDEX(Users!$D$2:$D$310,MATCH(A188,Users!$B$2:$B$310,0)),"")</f>
        <v/>
      </c>
      <c r="I188" s="19">
        <f>AND(G188="Service A",H188="Band 3")</f>
        <v/>
      </c>
      <c r="J188" s="33">
        <f>IF(AND(YEAR(B188)=2025,G188="Service B",OR(H188="Band 3",H188="Band 5"),ISNUMBER(F188)),F188,"")</f>
        <v/>
      </c>
    </row>
    <row r="189">
      <c r="A189" s="19" t="inlineStr">
        <is>
          <t>User1030</t>
        </is>
      </c>
      <c r="B189" s="60" t="n">
        <v>45839</v>
      </c>
      <c r="C189" s="21" t="n">
        <v>170.2</v>
      </c>
      <c r="D189" s="21" t="n">
        <v>118.4</v>
      </c>
      <c r="E189" s="21" t="n">
        <v>54.75</v>
      </c>
      <c r="F189" s="27">
        <f>IFERROR(IF(OR(C189="",D189="",C189=0),"",D189/C189),"")</f>
        <v/>
      </c>
      <c r="G189" s="21">
        <f>IFERROR(INDEX(Users!$A$2:$A$310,MATCH(A189,Users!$B$2:$B$310,0)),"")</f>
        <v/>
      </c>
      <c r="H189" s="21">
        <f>IFERROR(INDEX(Users!$D$2:$D$310,MATCH(A189,Users!$B$2:$B$310,0)),"")</f>
        <v/>
      </c>
      <c r="I189" s="19">
        <f>AND(G189="Service A",H189="Band 3")</f>
        <v/>
      </c>
      <c r="J189" s="33">
        <f>IF(AND(YEAR(B189)=2025,G189="Service B",OR(H189="Band 3",H189="Band 5"),ISNUMBER(F189)),F189,"")</f>
        <v/>
      </c>
    </row>
    <row r="190">
      <c r="A190" s="19" t="inlineStr">
        <is>
          <t>User1030</t>
        </is>
      </c>
      <c r="B190" s="60" t="n">
        <v>45870</v>
      </c>
      <c r="C190" s="21" t="n">
        <v>148</v>
      </c>
      <c r="D190" s="21" t="n">
        <v>111</v>
      </c>
      <c r="E190" s="21" t="n">
        <v>70</v>
      </c>
      <c r="F190" s="27">
        <f>IFERROR(IF(OR(C190="",D190="",C190=0),"",D190/C190),"")</f>
        <v/>
      </c>
      <c r="G190" s="21">
        <f>IFERROR(INDEX(Users!$A$2:$A$310,MATCH(A190,Users!$B$2:$B$310,0)),"")</f>
        <v/>
      </c>
      <c r="H190" s="21">
        <f>IFERROR(INDEX(Users!$D$2:$D$310,MATCH(A190,Users!$B$2:$B$310,0)),"")</f>
        <v/>
      </c>
      <c r="I190" s="19">
        <f>AND(G190="Service A",H190="Band 3")</f>
        <v/>
      </c>
      <c r="J190" s="33">
        <f>IF(AND(YEAR(B190)=2025,G190="Service B",OR(H190="Band 3",H190="Band 5"),ISNUMBER(F190)),F190,"")</f>
        <v/>
      </c>
    </row>
    <row r="191">
      <c r="A191" s="19" t="inlineStr">
        <is>
          <t>User1030</t>
        </is>
      </c>
      <c r="B191" s="60" t="n">
        <v>45901</v>
      </c>
      <c r="C191" s="21" t="n">
        <v>162.8</v>
      </c>
      <c r="D191" s="21" t="n">
        <v>159.1</v>
      </c>
      <c r="E191" s="21" t="n">
        <v>85</v>
      </c>
      <c r="F191" s="27">
        <f>IFERROR(IF(OR(C191="",D191="",C191=0),"",D191/C191),"")</f>
        <v/>
      </c>
      <c r="G191" s="21">
        <f>IFERROR(INDEX(Users!$A$2:$A$310,MATCH(A191,Users!$B$2:$B$310,0)),"")</f>
        <v/>
      </c>
      <c r="H191" s="21">
        <f>IFERROR(INDEX(Users!$D$2:$D$310,MATCH(A191,Users!$B$2:$B$310,0)),"")</f>
        <v/>
      </c>
      <c r="I191" s="19">
        <f>AND(G191="Service A",H191="Band 3")</f>
        <v/>
      </c>
      <c r="J191" s="33">
        <f>IF(AND(YEAR(B191)=2025,G191="Service B",OR(H191="Band 3",H191="Band 5"),ISNUMBER(F191)),F191,"")</f>
        <v/>
      </c>
    </row>
    <row r="192">
      <c r="A192" s="19" t="inlineStr">
        <is>
          <t>User1030</t>
        </is>
      </c>
      <c r="B192" s="60" t="n">
        <v>45931</v>
      </c>
      <c r="C192" s="21" t="n">
        <v>170.2</v>
      </c>
      <c r="D192" s="21" t="n">
        <v>159.1</v>
      </c>
      <c r="E192" s="21" t="n">
        <v>70</v>
      </c>
      <c r="F192" s="27">
        <f>IFERROR(IF(OR(C192="",D192="",C192=0),"",D192/C192),"")</f>
        <v/>
      </c>
      <c r="G192" s="21">
        <f>IFERROR(INDEX(Users!$A$2:$A$310,MATCH(A192,Users!$B$2:$B$310,0)),"")</f>
        <v/>
      </c>
      <c r="H192" s="21">
        <f>IFERROR(INDEX(Users!$D$2:$D$310,MATCH(A192,Users!$B$2:$B$310,0)),"")</f>
        <v/>
      </c>
      <c r="I192" s="19">
        <f>AND(G192="Service A",H192="Band 3")</f>
        <v/>
      </c>
      <c r="J192" s="33">
        <f>IF(AND(YEAR(B192)=2025,G192="Service B",OR(H192="Band 3",H192="Band 5"),ISNUMBER(F192)),F192,"")</f>
        <v/>
      </c>
    </row>
    <row r="193">
      <c r="A193" s="19" t="inlineStr">
        <is>
          <t>User1030</t>
        </is>
      </c>
      <c r="B193" s="60" t="n">
        <v>45962</v>
      </c>
      <c r="C193" s="21" t="n">
        <v>148</v>
      </c>
      <c r="D193" s="21" t="n">
        <v>148</v>
      </c>
      <c r="E193" s="21" t="n">
        <v>49.5</v>
      </c>
      <c r="F193" s="27">
        <f>IFERROR(IF(OR(C193="",D193="",C193=0),"",D193/C193),"")</f>
        <v/>
      </c>
      <c r="G193" s="21">
        <f>IFERROR(INDEX(Users!$A$2:$A$310,MATCH(A193,Users!$B$2:$B$310,0)),"")</f>
        <v/>
      </c>
      <c r="H193" s="21">
        <f>IFERROR(INDEX(Users!$D$2:$D$310,MATCH(A193,Users!$B$2:$B$310,0)),"")</f>
        <v/>
      </c>
      <c r="I193" s="19">
        <f>AND(G193="Service A",H193="Band 3")</f>
        <v/>
      </c>
      <c r="J193" s="33">
        <f>IF(AND(YEAR(B193)=2025,G193="Service B",OR(H193="Band 3",H193="Band 5"),ISNUMBER(F193)),F193,"")</f>
        <v/>
      </c>
    </row>
    <row r="194">
      <c r="A194" s="19" t="inlineStr">
        <is>
          <t>User1030</t>
        </is>
      </c>
      <c r="B194" s="60" t="n">
        <v>45992</v>
      </c>
      <c r="C194" s="21" t="n">
        <v>37</v>
      </c>
      <c r="D194" s="21" t="n">
        <v>37</v>
      </c>
      <c r="E194" s="21" t="n"/>
      <c r="F194" s="27">
        <f>IFERROR(IF(OR(C194="",D194="",C194=0),"",D194/C194),"")</f>
        <v/>
      </c>
      <c r="G194" s="21">
        <f>IFERROR(INDEX(Users!$A$2:$A$310,MATCH(A194,Users!$B$2:$B$310,0)),"")</f>
        <v/>
      </c>
      <c r="H194" s="21">
        <f>IFERROR(INDEX(Users!$D$2:$D$310,MATCH(A194,Users!$B$2:$B$310,0)),"")</f>
        <v/>
      </c>
      <c r="I194" s="19">
        <f>AND(G194="Service A",H194="Band 3")</f>
        <v/>
      </c>
      <c r="J194" s="33">
        <f>IF(AND(YEAR(B194)=2025,G194="Service B",OR(H194="Band 3",H194="Band 5"),ISNUMBER(F194)),F194,"")</f>
        <v/>
      </c>
    </row>
    <row r="195">
      <c r="A195" s="19" t="inlineStr">
        <is>
          <t>User1031</t>
        </is>
      </c>
      <c r="B195" s="60" t="n">
        <v>45658</v>
      </c>
      <c r="C195" s="21" t="n">
        <v>162.8</v>
      </c>
      <c r="D195" s="21" t="n">
        <v>162.83</v>
      </c>
      <c r="E195" s="21" t="n">
        <v>112.08</v>
      </c>
      <c r="F195" s="27">
        <f>IFERROR(IF(OR(C195="",D195="",C195=0),"",D195/C195),"")</f>
        <v/>
      </c>
      <c r="G195" s="21">
        <f>IFERROR(INDEX(Users!$A$2:$A$310,MATCH(A195,Users!$B$2:$B$310,0)),"")</f>
        <v/>
      </c>
      <c r="H195" s="21">
        <f>IFERROR(INDEX(Users!$D$2:$D$310,MATCH(A195,Users!$B$2:$B$310,0)),"")</f>
        <v/>
      </c>
      <c r="I195" s="19">
        <f>AND(G195="Service A",H195="Band 3")</f>
        <v/>
      </c>
      <c r="J195" s="33">
        <f>IF(AND(YEAR(B195)=2025,G195="Service B",OR(H195="Band 3",H195="Band 5"),ISNUMBER(F195)),F195,"")</f>
        <v/>
      </c>
    </row>
    <row r="196">
      <c r="A196" s="19" t="inlineStr">
        <is>
          <t>User1031</t>
        </is>
      </c>
      <c r="B196" s="60" t="n">
        <v>45689</v>
      </c>
      <c r="C196" s="21" t="n">
        <v>148</v>
      </c>
      <c r="D196" s="21" t="n">
        <v>118.39</v>
      </c>
      <c r="E196" s="21" t="n">
        <v>76.39</v>
      </c>
      <c r="F196" s="27">
        <f>IFERROR(IF(OR(C196="",D196="",C196=0),"",D196/C196),"")</f>
        <v/>
      </c>
      <c r="G196" s="21">
        <f>IFERROR(INDEX(Users!$A$2:$A$310,MATCH(A196,Users!$B$2:$B$310,0)),"")</f>
        <v/>
      </c>
      <c r="H196" s="21">
        <f>IFERROR(INDEX(Users!$D$2:$D$310,MATCH(A196,Users!$B$2:$B$310,0)),"")</f>
        <v/>
      </c>
      <c r="I196" s="19">
        <f>AND(G196="Service A",H196="Band 3")</f>
        <v/>
      </c>
      <c r="J196" s="33">
        <f>IF(AND(YEAR(B196)=2025,G196="Service B",OR(H196="Band 3",H196="Band 5"),ISNUMBER(F196)),F196,"")</f>
        <v/>
      </c>
    </row>
    <row r="197">
      <c r="A197" s="19" t="inlineStr">
        <is>
          <t>User1031</t>
        </is>
      </c>
      <c r="B197" s="60" t="n">
        <v>45717</v>
      </c>
      <c r="C197" s="21" t="n">
        <v>155.4</v>
      </c>
      <c r="D197" s="21" t="n">
        <v>148.23</v>
      </c>
      <c r="E197" s="21" t="n">
        <v>109.98</v>
      </c>
      <c r="F197" s="27">
        <f>IFERROR(IF(OR(C197="",D197="",C197=0),"",D197/C197),"")</f>
        <v/>
      </c>
      <c r="G197" s="21">
        <f>IFERROR(INDEX(Users!$A$2:$A$310,MATCH(A197,Users!$B$2:$B$310,0)),"")</f>
        <v/>
      </c>
      <c r="H197" s="21">
        <f>IFERROR(INDEX(Users!$D$2:$D$310,MATCH(A197,Users!$B$2:$B$310,0)),"")</f>
        <v/>
      </c>
      <c r="I197" s="19">
        <f>AND(G197="Service A",H197="Band 3")</f>
        <v/>
      </c>
      <c r="J197" s="33">
        <f>IF(AND(YEAR(B197)=2025,G197="Service B",OR(H197="Band 3",H197="Band 5"),ISNUMBER(F197)),F197,"")</f>
        <v/>
      </c>
    </row>
    <row r="198">
      <c r="A198" s="19" t="inlineStr">
        <is>
          <t>User1031</t>
        </is>
      </c>
      <c r="B198" s="60" t="n">
        <v>45748</v>
      </c>
      <c r="C198" s="21" t="n">
        <v>148</v>
      </c>
      <c r="D198" s="21" t="n">
        <v>136.9933333333333</v>
      </c>
      <c r="E198" s="21" t="n">
        <v>112.66</v>
      </c>
      <c r="F198" s="27">
        <f>IFERROR(IF(OR(C198="",D198="",C198=0),"",D198/C198),"")</f>
        <v/>
      </c>
      <c r="G198" s="21">
        <f>IFERROR(INDEX(Users!$A$2:$A$310,MATCH(A198,Users!$B$2:$B$310,0)),"")</f>
        <v/>
      </c>
      <c r="H198" s="21">
        <f>IFERROR(INDEX(Users!$D$2:$D$310,MATCH(A198,Users!$B$2:$B$310,0)),"")</f>
        <v/>
      </c>
      <c r="I198" s="19">
        <f>AND(G198="Service A",H198="Band 3")</f>
        <v/>
      </c>
      <c r="J198" s="33">
        <f>IF(AND(YEAR(B198)=2025,G198="Service B",OR(H198="Band 3",H198="Band 5"),ISNUMBER(F198)),F198,"")</f>
        <v/>
      </c>
    </row>
    <row r="199">
      <c r="A199" s="19" t="inlineStr">
        <is>
          <t>User1031</t>
        </is>
      </c>
      <c r="B199" s="60" t="n">
        <v>45778</v>
      </c>
      <c r="C199" s="21" t="n">
        <v>148</v>
      </c>
      <c r="D199" s="21" t="n">
        <v>126.2233333333333</v>
      </c>
      <c r="E199" s="21" t="n">
        <v>88.63999999999999</v>
      </c>
      <c r="F199" s="27">
        <f>IFERROR(IF(OR(C199="",D199="",C199=0),"",D199/C199),"")</f>
        <v/>
      </c>
      <c r="G199" s="21">
        <f>IFERROR(INDEX(Users!$A$2:$A$310,MATCH(A199,Users!$B$2:$B$310,0)),"")</f>
        <v/>
      </c>
      <c r="H199" s="21">
        <f>IFERROR(INDEX(Users!$D$2:$D$310,MATCH(A199,Users!$B$2:$B$310,0)),"")</f>
        <v/>
      </c>
      <c r="I199" s="19">
        <f>AND(G199="Service A",H199="Band 3")</f>
        <v/>
      </c>
      <c r="J199" s="33">
        <f>IF(AND(YEAR(B199)=2025,G199="Service B",OR(H199="Band 3",H199="Band 5"),ISNUMBER(F199)),F199,"")</f>
        <v/>
      </c>
    </row>
    <row r="200">
      <c r="A200" s="19" t="inlineStr">
        <is>
          <t>User1031</t>
        </is>
      </c>
      <c r="B200" s="60" t="n">
        <v>45809</v>
      </c>
      <c r="C200" s="21" t="n">
        <v>155.4</v>
      </c>
      <c r="D200" s="21" t="n">
        <v>117.93</v>
      </c>
      <c r="E200" s="21" t="n">
        <v>93.18000000000001</v>
      </c>
      <c r="F200" s="27">
        <f>IFERROR(IF(OR(C200="",D200="",C200=0),"",D200/C200),"")</f>
        <v/>
      </c>
      <c r="G200" s="21">
        <f>IFERROR(INDEX(Users!$A$2:$A$310,MATCH(A200,Users!$B$2:$B$310,0)),"")</f>
        <v/>
      </c>
      <c r="H200" s="21">
        <f>IFERROR(INDEX(Users!$D$2:$D$310,MATCH(A200,Users!$B$2:$B$310,0)),"")</f>
        <v/>
      </c>
      <c r="I200" s="19">
        <f>AND(G200="Service A",H200="Band 3")</f>
        <v/>
      </c>
      <c r="J200" s="33">
        <f>IF(AND(YEAR(B200)=2025,G200="Service B",OR(H200="Band 3",H200="Band 5"),ISNUMBER(F200)),F200,"")</f>
        <v/>
      </c>
    </row>
    <row r="201">
      <c r="A201" s="19" t="inlineStr">
        <is>
          <t>User1031</t>
        </is>
      </c>
      <c r="B201" s="60" t="n">
        <v>45839</v>
      </c>
      <c r="C201" s="21" t="n">
        <v>170.2</v>
      </c>
      <c r="D201" s="21" t="n">
        <v>159.19</v>
      </c>
      <c r="E201" s="21" t="n">
        <v>110.84</v>
      </c>
      <c r="F201" s="27">
        <f>IFERROR(IF(OR(C201="",D201="",C201=0),"",D201/C201),"")</f>
        <v/>
      </c>
      <c r="G201" s="21">
        <f>IFERROR(INDEX(Users!$A$2:$A$310,MATCH(A201,Users!$B$2:$B$310,0)),"")</f>
        <v/>
      </c>
      <c r="H201" s="21">
        <f>IFERROR(INDEX(Users!$D$2:$D$310,MATCH(A201,Users!$B$2:$B$310,0)),"")</f>
        <v/>
      </c>
      <c r="I201" s="19">
        <f>AND(G201="Service A",H201="Band 3")</f>
        <v/>
      </c>
      <c r="J201" s="33">
        <f>IF(AND(YEAR(B201)=2025,G201="Service B",OR(H201="Band 3",H201="Band 5"),ISNUMBER(F201)),F201,"")</f>
        <v/>
      </c>
    </row>
    <row r="202">
      <c r="A202" s="19" t="inlineStr">
        <is>
          <t>User1031</t>
        </is>
      </c>
      <c r="B202" s="60" t="n">
        <v>45870</v>
      </c>
      <c r="C202" s="21" t="n">
        <v>148</v>
      </c>
      <c r="D202" s="21" t="n">
        <v>111.1566666666667</v>
      </c>
      <c r="E202" s="21" t="n">
        <v>90.23999999999999</v>
      </c>
      <c r="F202" s="27">
        <f>IFERROR(IF(OR(C202="",D202="",C202=0),"",D202/C202),"")</f>
        <v/>
      </c>
      <c r="G202" s="21">
        <f>IFERROR(INDEX(Users!$A$2:$A$310,MATCH(A202,Users!$B$2:$B$310,0)),"")</f>
        <v/>
      </c>
      <c r="H202" s="21">
        <f>IFERROR(INDEX(Users!$D$2:$D$310,MATCH(A202,Users!$B$2:$B$310,0)),"")</f>
        <v/>
      </c>
      <c r="I202" s="19">
        <f>AND(G202="Service A",H202="Band 3")</f>
        <v/>
      </c>
      <c r="J202" s="33">
        <f>IF(AND(YEAR(B202)=2025,G202="Service B",OR(H202="Band 3",H202="Band 5"),ISNUMBER(F202)),F202,"")</f>
        <v/>
      </c>
    </row>
    <row r="203">
      <c r="A203" s="19" t="inlineStr">
        <is>
          <t>User1031</t>
        </is>
      </c>
      <c r="B203" s="60" t="n">
        <v>45901</v>
      </c>
      <c r="C203" s="21" t="n">
        <v>162.8</v>
      </c>
      <c r="D203" s="21" t="n">
        <v>158.8633333333333</v>
      </c>
      <c r="E203" s="21" t="n">
        <v>123.33</v>
      </c>
      <c r="F203" s="27">
        <f>IFERROR(IF(OR(C203="",D203="",C203=0),"",D203/C203),"")</f>
        <v/>
      </c>
      <c r="G203" s="21">
        <f>IFERROR(INDEX(Users!$A$2:$A$310,MATCH(A203,Users!$B$2:$B$310,0)),"")</f>
        <v/>
      </c>
      <c r="H203" s="21">
        <f>IFERROR(INDEX(Users!$D$2:$D$310,MATCH(A203,Users!$B$2:$B$310,0)),"")</f>
        <v/>
      </c>
      <c r="I203" s="19">
        <f>AND(G203="Service A",H203="Band 3")</f>
        <v/>
      </c>
      <c r="J203" s="33">
        <f>IF(AND(YEAR(B203)=2025,G203="Service B",OR(H203="Band 3",H203="Band 5"),ISNUMBER(F203)),F203,"")</f>
        <v/>
      </c>
    </row>
    <row r="204">
      <c r="A204" s="19" t="inlineStr">
        <is>
          <t>User1031</t>
        </is>
      </c>
      <c r="B204" s="60" t="n">
        <v>45931</v>
      </c>
      <c r="C204" s="21" t="n">
        <v>170.2</v>
      </c>
      <c r="D204" s="21" t="n">
        <v>86.16333333333334</v>
      </c>
      <c r="E204" s="21" t="n">
        <v>51.83000000000001</v>
      </c>
      <c r="F204" s="27">
        <f>IFERROR(IF(OR(C204="",D204="",C204=0),"",D204/C204),"")</f>
        <v/>
      </c>
      <c r="G204" s="21">
        <f>IFERROR(INDEX(Users!$A$2:$A$310,MATCH(A204,Users!$B$2:$B$310,0)),"")</f>
        <v/>
      </c>
      <c r="H204" s="21">
        <f>IFERROR(INDEX(Users!$D$2:$D$310,MATCH(A204,Users!$B$2:$B$310,0)),"")</f>
        <v/>
      </c>
      <c r="I204" s="19">
        <f>AND(G204="Service A",H204="Band 3")</f>
        <v/>
      </c>
      <c r="J204" s="33">
        <f>IF(AND(YEAR(B204)=2025,G204="Service B",OR(H204="Band 3",H204="Band 5"),ISNUMBER(F204)),F204,"")</f>
        <v/>
      </c>
    </row>
    <row r="205">
      <c r="A205" s="19" t="inlineStr">
        <is>
          <t>User1031</t>
        </is>
      </c>
      <c r="B205" s="60" t="n">
        <v>45962</v>
      </c>
      <c r="C205" s="21" t="n">
        <v>148</v>
      </c>
      <c r="D205" s="21" t="n">
        <v>36.56666666666666</v>
      </c>
      <c r="E205" s="21" t="n">
        <v>20.5</v>
      </c>
      <c r="F205" s="27">
        <f>IFERROR(IF(OR(C205="",D205="",C205=0),"",D205/C205),"")</f>
        <v/>
      </c>
      <c r="G205" s="21">
        <f>IFERROR(INDEX(Users!$A$2:$A$310,MATCH(A205,Users!$B$2:$B$310,0)),"")</f>
        <v/>
      </c>
      <c r="H205" s="21">
        <f>IFERROR(INDEX(Users!$D$2:$D$310,MATCH(A205,Users!$B$2:$B$310,0)),"")</f>
        <v/>
      </c>
      <c r="I205" s="19">
        <f>AND(G205="Service A",H205="Band 3")</f>
        <v/>
      </c>
      <c r="J205" s="33">
        <f>IF(AND(YEAR(B205)=2025,G205="Service B",OR(H205="Band 3",H205="Band 5"),ISNUMBER(F205)),F205,"")</f>
        <v/>
      </c>
    </row>
    <row r="206">
      <c r="A206" s="19" t="inlineStr">
        <is>
          <t>User1031</t>
        </is>
      </c>
      <c r="B206" s="60" t="n">
        <v>45992</v>
      </c>
      <c r="C206" s="21" t="n">
        <v>155.4</v>
      </c>
      <c r="D206" s="21" t="n">
        <v>93.55666666666667</v>
      </c>
      <c r="E206" s="21" t="n">
        <v>69.67333333333333</v>
      </c>
      <c r="F206" s="27">
        <f>IFERROR(IF(OR(C206="",D206="",C206=0),"",D206/C206),"")</f>
        <v/>
      </c>
      <c r="G206" s="21">
        <f>IFERROR(INDEX(Users!$A$2:$A$310,MATCH(A206,Users!$B$2:$B$310,0)),"")</f>
        <v/>
      </c>
      <c r="H206" s="21">
        <f>IFERROR(INDEX(Users!$D$2:$D$310,MATCH(A206,Users!$B$2:$B$310,0)),"")</f>
        <v/>
      </c>
      <c r="I206" s="19">
        <f>AND(G206="Service A",H206="Band 3")</f>
        <v/>
      </c>
      <c r="J206" s="33">
        <f>IF(AND(YEAR(B206)=2025,G206="Service B",OR(H206="Band 3",H206="Band 5"),ISNUMBER(F206)),F206,"")</f>
        <v/>
      </c>
    </row>
    <row r="207">
      <c r="A207" s="19" t="inlineStr">
        <is>
          <t>User1031</t>
        </is>
      </c>
      <c r="B207" s="60" t="n">
        <v>46023</v>
      </c>
      <c r="C207" s="21" t="n">
        <v>155.4</v>
      </c>
      <c r="D207" s="21" t="n">
        <v>146.5866666666666</v>
      </c>
      <c r="E207" s="21" t="n">
        <v>96.42</v>
      </c>
      <c r="F207" s="27">
        <f>IFERROR(IF(OR(C207="",D207="",C207=0),"",D207/C207),"")</f>
        <v/>
      </c>
      <c r="G207" s="21">
        <f>IFERROR(INDEX(Users!$A$2:$A$310,MATCH(A207,Users!$B$2:$B$310,0)),"")</f>
        <v/>
      </c>
      <c r="H207" s="21">
        <f>IFERROR(INDEX(Users!$D$2:$D$310,MATCH(A207,Users!$B$2:$B$310,0)),"")</f>
        <v/>
      </c>
      <c r="I207" s="19">
        <f>AND(G207="Service A",H207="Band 3")</f>
        <v/>
      </c>
      <c r="J207" s="33">
        <f>IF(AND(YEAR(B207)=2025,G207="Service B",OR(H207="Band 3",H207="Band 5"),ISNUMBER(F207)),F207,"")</f>
        <v/>
      </c>
    </row>
    <row r="208">
      <c r="A208" s="19" t="inlineStr">
        <is>
          <t>User1032</t>
        </is>
      </c>
      <c r="B208" s="60" t="n">
        <v>45658</v>
      </c>
      <c r="C208" s="21" t="n">
        <v>162.8</v>
      </c>
      <c r="D208" s="21" t="n">
        <v>154.3333333333333</v>
      </c>
      <c r="E208" s="21" t="n">
        <v>58</v>
      </c>
      <c r="F208" s="27">
        <f>IFERROR(IF(OR(C208="",D208="",C208=0),"",D208/C208),"")</f>
        <v/>
      </c>
      <c r="G208" s="21">
        <f>IFERROR(INDEX(Users!$A$2:$A$310,MATCH(A208,Users!$B$2:$B$310,0)),"")</f>
        <v/>
      </c>
      <c r="H208" s="21">
        <f>IFERROR(INDEX(Users!$D$2:$D$310,MATCH(A208,Users!$B$2:$B$310,0)),"")</f>
        <v/>
      </c>
      <c r="I208" s="19">
        <f>AND(G208="Service A",H208="Band 3")</f>
        <v/>
      </c>
      <c r="J208" s="33">
        <f>IF(AND(YEAR(B208)=2025,G208="Service B",OR(H208="Band 3",H208="Band 5"),ISNUMBER(F208)),F208,"")</f>
        <v/>
      </c>
    </row>
    <row r="209">
      <c r="A209" s="19" t="inlineStr">
        <is>
          <t>User1032</t>
        </is>
      </c>
      <c r="B209" s="60" t="n">
        <v>45689</v>
      </c>
      <c r="C209" s="21" t="n">
        <v>148</v>
      </c>
      <c r="D209" s="21" t="n">
        <v>107.67</v>
      </c>
      <c r="E209" s="21" t="n">
        <v>14.92</v>
      </c>
      <c r="F209" s="27">
        <f>IFERROR(IF(OR(C209="",D209="",C209=0),"",D209/C209),"")</f>
        <v/>
      </c>
      <c r="G209" s="21">
        <f>IFERROR(INDEX(Users!$A$2:$A$310,MATCH(A209,Users!$B$2:$B$310,0)),"")</f>
        <v/>
      </c>
      <c r="H209" s="21">
        <f>IFERROR(INDEX(Users!$D$2:$D$310,MATCH(A209,Users!$B$2:$B$310,0)),"")</f>
        <v/>
      </c>
      <c r="I209" s="19">
        <f>AND(G209="Service A",H209="Band 3")</f>
        <v/>
      </c>
      <c r="J209" s="33">
        <f>IF(AND(YEAR(B209)=2025,G209="Service B",OR(H209="Band 3",H209="Band 5"),ISNUMBER(F209)),F209,"")</f>
        <v/>
      </c>
    </row>
    <row r="210">
      <c r="A210" s="19" t="inlineStr">
        <is>
          <t>User1032</t>
        </is>
      </c>
      <c r="B210" s="60" t="n">
        <v>45717</v>
      </c>
      <c r="C210" s="21" t="n">
        <v>155.4</v>
      </c>
      <c r="D210" s="21" t="n">
        <v>155.1666666666667</v>
      </c>
      <c r="E210" s="21" t="n">
        <v>46.25</v>
      </c>
      <c r="F210" s="27">
        <f>IFERROR(IF(OR(C210="",D210="",C210=0),"",D210/C210),"")</f>
        <v/>
      </c>
      <c r="G210" s="21">
        <f>IFERROR(INDEX(Users!$A$2:$A$310,MATCH(A210,Users!$B$2:$B$310,0)),"")</f>
        <v/>
      </c>
      <c r="H210" s="21">
        <f>IFERROR(INDEX(Users!$D$2:$D$310,MATCH(A210,Users!$B$2:$B$310,0)),"")</f>
        <v/>
      </c>
      <c r="I210" s="19">
        <f>AND(G210="Service A",H210="Band 3")</f>
        <v/>
      </c>
      <c r="J210" s="33">
        <f>IF(AND(YEAR(B210)=2025,G210="Service B",OR(H210="Band 3",H210="Band 5"),ISNUMBER(F210)),F210,"")</f>
        <v/>
      </c>
    </row>
    <row r="211">
      <c r="A211" s="19" t="inlineStr">
        <is>
          <t>User1032</t>
        </is>
      </c>
      <c r="B211" s="60" t="n">
        <v>45748</v>
      </c>
      <c r="C211" s="21" t="n">
        <v>148</v>
      </c>
      <c r="D211" s="21" t="n">
        <v>101.4166666666667</v>
      </c>
      <c r="E211" s="21" t="n">
        <v>30.25</v>
      </c>
      <c r="F211" s="27">
        <f>IFERROR(IF(OR(C211="",D211="",C211=0),"",D211/C211),"")</f>
        <v/>
      </c>
      <c r="G211" s="21">
        <f>IFERROR(INDEX(Users!$A$2:$A$310,MATCH(A211,Users!$B$2:$B$310,0)),"")</f>
        <v/>
      </c>
      <c r="H211" s="21">
        <f>IFERROR(INDEX(Users!$D$2:$D$310,MATCH(A211,Users!$B$2:$B$310,0)),"")</f>
        <v/>
      </c>
      <c r="I211" s="19">
        <f>AND(G211="Service A",H211="Band 3")</f>
        <v/>
      </c>
      <c r="J211" s="33">
        <f>IF(AND(YEAR(B211)=2025,G211="Service B",OR(H211="Band 3",H211="Band 5"),ISNUMBER(F211)),F211,"")</f>
        <v/>
      </c>
    </row>
    <row r="212">
      <c r="A212" s="19" t="inlineStr">
        <is>
          <t>User1032</t>
        </is>
      </c>
      <c r="B212" s="60" t="n">
        <v>45778</v>
      </c>
      <c r="C212" s="21" t="n">
        <v>148</v>
      </c>
      <c r="D212" s="21" t="n">
        <v>135.5833333333333</v>
      </c>
      <c r="E212" s="21" t="n">
        <v>32.25</v>
      </c>
      <c r="F212" s="27">
        <f>IFERROR(IF(OR(C212="",D212="",C212=0),"",D212/C212),"")</f>
        <v/>
      </c>
      <c r="G212" s="21">
        <f>IFERROR(INDEX(Users!$A$2:$A$310,MATCH(A212,Users!$B$2:$B$310,0)),"")</f>
        <v/>
      </c>
      <c r="H212" s="21">
        <f>IFERROR(INDEX(Users!$D$2:$D$310,MATCH(A212,Users!$B$2:$B$310,0)),"")</f>
        <v/>
      </c>
      <c r="I212" s="19">
        <f>AND(G212="Service A",H212="Band 3")</f>
        <v/>
      </c>
      <c r="J212" s="33">
        <f>IF(AND(YEAR(B212)=2025,G212="Service B",OR(H212="Band 3",H212="Band 5"),ISNUMBER(F212)),F212,"")</f>
        <v/>
      </c>
    </row>
    <row r="213">
      <c r="A213" s="19" t="inlineStr">
        <is>
          <t>User1032</t>
        </is>
      </c>
      <c r="B213" s="60" t="n">
        <v>45809</v>
      </c>
      <c r="C213" s="21" t="n">
        <v>155.4</v>
      </c>
      <c r="D213" s="21" t="n">
        <v>156.5</v>
      </c>
      <c r="E213" s="21" t="n">
        <v>37</v>
      </c>
      <c r="F213" s="27">
        <f>IFERROR(IF(OR(C213="",D213="",C213=0),"",D213/C213),"")</f>
        <v/>
      </c>
      <c r="G213" s="21">
        <f>IFERROR(INDEX(Users!$A$2:$A$310,MATCH(A213,Users!$B$2:$B$310,0)),"")</f>
        <v/>
      </c>
      <c r="H213" s="21">
        <f>IFERROR(INDEX(Users!$D$2:$D$310,MATCH(A213,Users!$B$2:$B$310,0)),"")</f>
        <v/>
      </c>
      <c r="I213" s="19">
        <f>AND(G213="Service A",H213="Band 3")</f>
        <v/>
      </c>
      <c r="J213" s="33">
        <f>IF(AND(YEAR(B213)=2025,G213="Service B",OR(H213="Band 3",H213="Band 5"),ISNUMBER(F213)),F213,"")</f>
        <v/>
      </c>
    </row>
    <row r="214">
      <c r="A214" s="19" t="inlineStr">
        <is>
          <t>User1032</t>
        </is>
      </c>
      <c r="B214" s="60" t="n">
        <v>45839</v>
      </c>
      <c r="C214" s="21" t="n">
        <v>170.2</v>
      </c>
      <c r="D214" s="21" t="n">
        <v>116.4133333333333</v>
      </c>
      <c r="E214" s="21" t="n">
        <v>46.08</v>
      </c>
      <c r="F214" s="27">
        <f>IFERROR(IF(OR(C214="",D214="",C214=0),"",D214/C214),"")</f>
        <v/>
      </c>
      <c r="G214" s="21">
        <f>IFERROR(INDEX(Users!$A$2:$A$310,MATCH(A214,Users!$B$2:$B$310,0)),"")</f>
        <v/>
      </c>
      <c r="H214" s="21">
        <f>IFERROR(INDEX(Users!$D$2:$D$310,MATCH(A214,Users!$B$2:$B$310,0)),"")</f>
        <v/>
      </c>
      <c r="I214" s="19">
        <f>AND(G214="Service A",H214="Band 3")</f>
        <v/>
      </c>
      <c r="J214" s="33">
        <f>IF(AND(YEAR(B214)=2025,G214="Service B",OR(H214="Band 3",H214="Band 5"),ISNUMBER(F214)),F214,"")</f>
        <v/>
      </c>
    </row>
    <row r="215">
      <c r="A215" s="19" t="inlineStr">
        <is>
          <t>User1032</t>
        </is>
      </c>
      <c r="B215" s="60" t="n">
        <v>45870</v>
      </c>
      <c r="C215" s="21" t="n">
        <v>148</v>
      </c>
      <c r="D215" s="21" t="n">
        <v>137.8233333333333</v>
      </c>
      <c r="E215" s="21" t="n">
        <v>64.09</v>
      </c>
      <c r="F215" s="27">
        <f>IFERROR(IF(OR(C215="",D215="",C215=0),"",D215/C215),"")</f>
        <v/>
      </c>
      <c r="G215" s="21">
        <f>IFERROR(INDEX(Users!$A$2:$A$310,MATCH(A215,Users!$B$2:$B$310,0)),"")</f>
        <v/>
      </c>
      <c r="H215" s="21">
        <f>IFERROR(INDEX(Users!$D$2:$D$310,MATCH(A215,Users!$B$2:$B$310,0)),"")</f>
        <v/>
      </c>
      <c r="I215" s="19">
        <f>AND(G215="Service A",H215="Band 3")</f>
        <v/>
      </c>
      <c r="J215" s="33">
        <f>IF(AND(YEAR(B215)=2025,G215="Service B",OR(H215="Band 3",H215="Band 5"),ISNUMBER(F215)),F215,"")</f>
        <v/>
      </c>
    </row>
    <row r="216">
      <c r="A216" s="19" t="inlineStr">
        <is>
          <t>User1032</t>
        </is>
      </c>
      <c r="B216" s="60" t="n">
        <v>45901</v>
      </c>
      <c r="C216" s="21" t="n">
        <v>162.8</v>
      </c>
      <c r="D216" s="21" t="n">
        <v>170.99</v>
      </c>
      <c r="E216" s="21" t="n">
        <v>76.98999999999999</v>
      </c>
      <c r="F216" s="27">
        <f>IFERROR(IF(OR(C216="",D216="",C216=0),"",D216/C216),"")</f>
        <v/>
      </c>
      <c r="G216" s="21">
        <f>IFERROR(INDEX(Users!$A$2:$A$310,MATCH(A216,Users!$B$2:$B$310,0)),"")</f>
        <v/>
      </c>
      <c r="H216" s="21">
        <f>IFERROR(INDEX(Users!$D$2:$D$310,MATCH(A216,Users!$B$2:$B$310,0)),"")</f>
        <v/>
      </c>
      <c r="I216" s="19">
        <f>AND(G216="Service A",H216="Band 3")</f>
        <v/>
      </c>
      <c r="J216" s="33">
        <f>IF(AND(YEAR(B216)=2025,G216="Service B",OR(H216="Band 3",H216="Band 5"),ISNUMBER(F216)),F216,"")</f>
        <v/>
      </c>
    </row>
    <row r="217">
      <c r="A217" s="19" t="inlineStr">
        <is>
          <t>User1032</t>
        </is>
      </c>
      <c r="B217" s="60" t="n">
        <v>45931</v>
      </c>
      <c r="C217" s="21" t="n">
        <v>170.2</v>
      </c>
      <c r="D217" s="21" t="n">
        <v>168.0633333333333</v>
      </c>
      <c r="E217" s="21" t="n">
        <v>88.97999999999999</v>
      </c>
      <c r="F217" s="27">
        <f>IFERROR(IF(OR(C217="",D217="",C217=0),"",D217/C217),"")</f>
        <v/>
      </c>
      <c r="G217" s="21">
        <f>IFERROR(INDEX(Users!$A$2:$A$310,MATCH(A217,Users!$B$2:$B$310,0)),"")</f>
        <v/>
      </c>
      <c r="H217" s="21">
        <f>IFERROR(INDEX(Users!$D$2:$D$310,MATCH(A217,Users!$B$2:$B$310,0)),"")</f>
        <v/>
      </c>
      <c r="I217" s="19">
        <f>AND(G217="Service A",H217="Band 3")</f>
        <v/>
      </c>
      <c r="J217" s="33">
        <f>IF(AND(YEAR(B217)=2025,G217="Service B",OR(H217="Band 3",H217="Band 5"),ISNUMBER(F217)),F217,"")</f>
        <v/>
      </c>
    </row>
    <row r="218">
      <c r="A218" s="19" t="inlineStr">
        <is>
          <t>User1032</t>
        </is>
      </c>
      <c r="B218" s="60" t="n">
        <v>45962</v>
      </c>
      <c r="C218" s="21" t="n">
        <v>148</v>
      </c>
      <c r="D218" s="21" t="n">
        <v>145.83</v>
      </c>
      <c r="E218" s="21" t="n">
        <v>67.83</v>
      </c>
      <c r="F218" s="27">
        <f>IFERROR(IF(OR(C218="",D218="",C218=0),"",D218/C218),"")</f>
        <v/>
      </c>
      <c r="G218" s="21">
        <f>IFERROR(INDEX(Users!$A$2:$A$310,MATCH(A218,Users!$B$2:$B$310,0)),"")</f>
        <v/>
      </c>
      <c r="H218" s="21">
        <f>IFERROR(INDEX(Users!$D$2:$D$310,MATCH(A218,Users!$B$2:$B$310,0)),"")</f>
        <v/>
      </c>
      <c r="I218" s="19">
        <f>AND(G218="Service A",H218="Band 3")</f>
        <v/>
      </c>
      <c r="J218" s="33">
        <f>IF(AND(YEAR(B218)=2025,G218="Service B",OR(H218="Band 3",H218="Band 5"),ISNUMBER(F218)),F218,"")</f>
        <v/>
      </c>
    </row>
    <row r="219">
      <c r="A219" s="19" t="inlineStr">
        <is>
          <t>User1032</t>
        </is>
      </c>
      <c r="B219" s="60" t="n">
        <v>45992</v>
      </c>
      <c r="C219" s="21" t="n">
        <v>155.4</v>
      </c>
      <c r="D219" s="21" t="n">
        <v>96.82333333333334</v>
      </c>
      <c r="E219" s="21" t="n">
        <v>38.24</v>
      </c>
      <c r="F219" s="27">
        <f>IFERROR(IF(OR(C219="",D219="",C219=0),"",D219/C219),"")</f>
        <v/>
      </c>
      <c r="G219" s="21">
        <f>IFERROR(INDEX(Users!$A$2:$A$310,MATCH(A219,Users!$B$2:$B$310,0)),"")</f>
        <v/>
      </c>
      <c r="H219" s="21">
        <f>IFERROR(INDEX(Users!$D$2:$D$310,MATCH(A219,Users!$B$2:$B$310,0)),"")</f>
        <v/>
      </c>
      <c r="I219" s="19">
        <f>AND(G219="Service A",H219="Band 3")</f>
        <v/>
      </c>
      <c r="J219" s="33">
        <f>IF(AND(YEAR(B219)=2025,G219="Service B",OR(H219="Band 3",H219="Band 5"),ISNUMBER(F219)),F219,"")</f>
        <v/>
      </c>
    </row>
    <row r="220">
      <c r="A220" s="19" t="inlineStr">
        <is>
          <t>User1032</t>
        </is>
      </c>
      <c r="B220" s="60" t="n">
        <v>46023</v>
      </c>
      <c r="C220" s="21" t="n">
        <v>155.4</v>
      </c>
      <c r="D220" s="21" t="n">
        <v>138.82</v>
      </c>
      <c r="E220" s="21" t="n">
        <v>64.56999999999999</v>
      </c>
      <c r="F220" s="27">
        <f>IFERROR(IF(OR(C220="",D220="",C220=0),"",D220/C220),"")</f>
        <v/>
      </c>
      <c r="G220" s="21">
        <f>IFERROR(INDEX(Users!$A$2:$A$310,MATCH(A220,Users!$B$2:$B$310,0)),"")</f>
        <v/>
      </c>
      <c r="H220" s="21">
        <f>IFERROR(INDEX(Users!$D$2:$D$310,MATCH(A220,Users!$B$2:$B$310,0)),"")</f>
        <v/>
      </c>
      <c r="I220" s="19">
        <f>AND(G220="Service A",H220="Band 3")</f>
        <v/>
      </c>
      <c r="J220" s="33">
        <f>IF(AND(YEAR(B220)=2025,G220="Service B",OR(H220="Band 3",H220="Band 5"),ISNUMBER(F220)),F220,"")</f>
        <v/>
      </c>
    </row>
    <row r="221">
      <c r="A221" s="19" t="inlineStr">
        <is>
          <t>User1033</t>
        </is>
      </c>
      <c r="B221" s="60" t="n">
        <v>45689</v>
      </c>
      <c r="C221" s="21" t="n">
        <v>37</v>
      </c>
      <c r="D221" s="21" t="n"/>
      <c r="E221" s="21" t="n"/>
      <c r="F221" s="27">
        <f>IFERROR(IF(OR(C221="",D221="",C221=0),"",D221/C221),"")</f>
        <v/>
      </c>
      <c r="G221" s="21">
        <f>IFERROR(INDEX(Users!$A$2:$A$310,MATCH(A221,Users!$B$2:$B$310,0)),"")</f>
        <v/>
      </c>
      <c r="H221" s="21">
        <f>IFERROR(INDEX(Users!$D$2:$D$310,MATCH(A221,Users!$B$2:$B$310,0)),"")</f>
        <v/>
      </c>
      <c r="I221" s="19">
        <f>AND(G221="Service A",H221="Band 3")</f>
        <v/>
      </c>
      <c r="J221" s="33">
        <f>IF(AND(YEAR(B221)=2025,G221="Service B",OR(H221="Band 3",H221="Band 5"),ISNUMBER(F221)),F221,"")</f>
        <v/>
      </c>
    </row>
    <row r="222">
      <c r="A222" s="19" t="inlineStr">
        <is>
          <t>User1033</t>
        </is>
      </c>
      <c r="B222" s="60" t="n">
        <v>45717</v>
      </c>
      <c r="C222" s="21" t="n">
        <v>155.4000000000001</v>
      </c>
      <c r="D222" s="21" t="n"/>
      <c r="E222" s="21" t="n"/>
      <c r="F222" s="27">
        <f>IFERROR(IF(OR(C222="",D222="",C222=0),"",D222/C222),"")</f>
        <v/>
      </c>
      <c r="G222" s="21">
        <f>IFERROR(INDEX(Users!$A$2:$A$310,MATCH(A222,Users!$B$2:$B$310,0)),"")</f>
        <v/>
      </c>
      <c r="H222" s="21">
        <f>IFERROR(INDEX(Users!$D$2:$D$310,MATCH(A222,Users!$B$2:$B$310,0)),"")</f>
        <v/>
      </c>
      <c r="I222" s="19">
        <f>AND(G222="Service A",H222="Band 3")</f>
        <v/>
      </c>
      <c r="J222" s="33">
        <f>IF(AND(YEAR(B222)=2025,G222="Service B",OR(H222="Band 3",H222="Band 5"),ISNUMBER(F222)),F222,"")</f>
        <v/>
      </c>
    </row>
    <row r="223">
      <c r="A223" s="19" t="inlineStr">
        <is>
          <t>User1033</t>
        </is>
      </c>
      <c r="B223" s="60" t="n">
        <v>45748</v>
      </c>
      <c r="C223" s="21" t="n">
        <v>148.0000000000001</v>
      </c>
      <c r="D223" s="21" t="n">
        <v>29.43</v>
      </c>
      <c r="E223" s="21" t="n">
        <v>12.68</v>
      </c>
      <c r="F223" s="27">
        <f>IFERROR(IF(OR(C223="",D223="",C223=0),"",D223/C223),"")</f>
        <v/>
      </c>
      <c r="G223" s="21">
        <f>IFERROR(INDEX(Users!$A$2:$A$310,MATCH(A223,Users!$B$2:$B$310,0)),"")</f>
        <v/>
      </c>
      <c r="H223" s="21">
        <f>IFERROR(INDEX(Users!$D$2:$D$310,MATCH(A223,Users!$B$2:$B$310,0)),"")</f>
        <v/>
      </c>
      <c r="I223" s="19">
        <f>AND(G223="Service A",H223="Band 3")</f>
        <v/>
      </c>
      <c r="J223" s="33">
        <f>IF(AND(YEAR(B223)=2025,G223="Service B",OR(H223="Band 3",H223="Band 5"),ISNUMBER(F223)),F223,"")</f>
        <v/>
      </c>
    </row>
    <row r="224">
      <c r="A224" s="19" t="inlineStr">
        <is>
          <t>User1033</t>
        </is>
      </c>
      <c r="B224" s="60" t="n">
        <v>45778</v>
      </c>
      <c r="C224" s="21" t="n">
        <v>148.0000000000001</v>
      </c>
      <c r="D224" s="21" t="n">
        <v>72.5</v>
      </c>
      <c r="E224" s="21" t="n">
        <v>10.75</v>
      </c>
      <c r="F224" s="27">
        <f>IFERROR(IF(OR(C224="",D224="",C224=0),"",D224/C224),"")</f>
        <v/>
      </c>
      <c r="G224" s="21">
        <f>IFERROR(INDEX(Users!$A$2:$A$310,MATCH(A224,Users!$B$2:$B$310,0)),"")</f>
        <v/>
      </c>
      <c r="H224" s="21">
        <f>IFERROR(INDEX(Users!$D$2:$D$310,MATCH(A224,Users!$B$2:$B$310,0)),"")</f>
        <v/>
      </c>
      <c r="I224" s="19">
        <f>AND(G224="Service A",H224="Band 3")</f>
        <v/>
      </c>
      <c r="J224" s="33">
        <f>IF(AND(YEAR(B224)=2025,G224="Service B",OR(H224="Band 3",H224="Band 5"),ISNUMBER(F224)),F224,"")</f>
        <v/>
      </c>
    </row>
    <row r="225">
      <c r="A225" s="19" t="inlineStr">
        <is>
          <t>User1033</t>
        </is>
      </c>
      <c r="B225" s="60" t="n">
        <v>45809</v>
      </c>
      <c r="C225" s="21" t="n">
        <v>155.4000000000001</v>
      </c>
      <c r="D225" s="21" t="n">
        <v>130.9033333333333</v>
      </c>
      <c r="E225" s="21" t="n">
        <v>9.57</v>
      </c>
      <c r="F225" s="27">
        <f>IFERROR(IF(OR(C225="",D225="",C225=0),"",D225/C225),"")</f>
        <v/>
      </c>
      <c r="G225" s="21">
        <f>IFERROR(INDEX(Users!$A$2:$A$310,MATCH(A225,Users!$B$2:$B$310,0)),"")</f>
        <v/>
      </c>
      <c r="H225" s="21">
        <f>IFERROR(INDEX(Users!$D$2:$D$310,MATCH(A225,Users!$B$2:$B$310,0)),"")</f>
        <v/>
      </c>
      <c r="I225" s="19">
        <f>AND(G225="Service A",H225="Band 3")</f>
        <v/>
      </c>
      <c r="J225" s="33">
        <f>IF(AND(YEAR(B225)=2025,G225="Service B",OR(H225="Band 3",H225="Band 5"),ISNUMBER(F225)),F225,"")</f>
        <v/>
      </c>
    </row>
    <row r="226">
      <c r="A226" s="19" t="inlineStr">
        <is>
          <t>User1033</t>
        </is>
      </c>
      <c r="B226" s="60" t="n">
        <v>45839</v>
      </c>
      <c r="C226" s="21" t="n">
        <v>170.2000000000001</v>
      </c>
      <c r="D226" s="21" t="n">
        <v>133.1333333333333</v>
      </c>
      <c r="E226" s="21" t="n">
        <v>65.5</v>
      </c>
      <c r="F226" s="27">
        <f>IFERROR(IF(OR(C226="",D226="",C226=0),"",D226/C226),"")</f>
        <v/>
      </c>
      <c r="G226" s="21">
        <f>IFERROR(INDEX(Users!$A$2:$A$310,MATCH(A226,Users!$B$2:$B$310,0)),"")</f>
        <v/>
      </c>
      <c r="H226" s="21">
        <f>IFERROR(INDEX(Users!$D$2:$D$310,MATCH(A226,Users!$B$2:$B$310,0)),"")</f>
        <v/>
      </c>
      <c r="I226" s="19">
        <f>AND(G226="Service A",H226="Band 3")</f>
        <v/>
      </c>
      <c r="J226" s="33">
        <f>IF(AND(YEAR(B226)=2025,G226="Service B",OR(H226="Band 3",H226="Band 5"),ISNUMBER(F226)),F226,"")</f>
        <v/>
      </c>
    </row>
    <row r="227">
      <c r="A227" s="19" t="inlineStr">
        <is>
          <t>User1033</t>
        </is>
      </c>
      <c r="B227" s="60" t="n">
        <v>45870</v>
      </c>
      <c r="C227" s="21" t="n">
        <v>148.0000000000001</v>
      </c>
      <c r="D227" s="21" t="n">
        <v>111.5633333333333</v>
      </c>
      <c r="E227" s="21" t="n">
        <v>58.23000000000001</v>
      </c>
      <c r="F227" s="27">
        <f>IFERROR(IF(OR(C227="",D227="",C227=0),"",D227/C227),"")</f>
        <v/>
      </c>
      <c r="G227" s="21">
        <f>IFERROR(INDEX(Users!$A$2:$A$310,MATCH(A227,Users!$B$2:$B$310,0)),"")</f>
        <v/>
      </c>
      <c r="H227" s="21">
        <f>IFERROR(INDEX(Users!$D$2:$D$310,MATCH(A227,Users!$B$2:$B$310,0)),"")</f>
        <v/>
      </c>
      <c r="I227" s="19">
        <f>AND(G227="Service A",H227="Band 3")</f>
        <v/>
      </c>
      <c r="J227" s="33">
        <f>IF(AND(YEAR(B227)=2025,G227="Service B",OR(H227="Band 3",H227="Band 5"),ISNUMBER(F227)),F227,"")</f>
        <v/>
      </c>
    </row>
    <row r="228">
      <c r="A228" s="19" t="inlineStr">
        <is>
          <t>User1033</t>
        </is>
      </c>
      <c r="B228" s="60" t="n">
        <v>45901</v>
      </c>
      <c r="C228" s="21" t="n">
        <v>162.8000000000001</v>
      </c>
      <c r="D228" s="21" t="n">
        <v>102.0666666666666</v>
      </c>
      <c r="E228" s="21" t="n">
        <v>55.89999999999997</v>
      </c>
      <c r="F228" s="27">
        <f>IFERROR(IF(OR(C228="",D228="",C228=0),"",D228/C228),"")</f>
        <v/>
      </c>
      <c r="G228" s="21">
        <f>IFERROR(INDEX(Users!$A$2:$A$310,MATCH(A228,Users!$B$2:$B$310,0)),"")</f>
        <v/>
      </c>
      <c r="H228" s="21">
        <f>IFERROR(INDEX(Users!$D$2:$D$310,MATCH(A228,Users!$B$2:$B$310,0)),"")</f>
        <v/>
      </c>
      <c r="I228" s="19">
        <f>AND(G228="Service A",H228="Band 3")</f>
        <v/>
      </c>
      <c r="J228" s="33">
        <f>IF(AND(YEAR(B228)=2025,G228="Service B",OR(H228="Band 3",H228="Band 5"),ISNUMBER(F228)),F228,"")</f>
        <v/>
      </c>
    </row>
    <row r="229">
      <c r="A229" s="19" t="inlineStr">
        <is>
          <t>User1033</t>
        </is>
      </c>
      <c r="B229" s="60" t="n">
        <v>45931</v>
      </c>
      <c r="C229" s="21" t="n">
        <v>170.2000000000001</v>
      </c>
      <c r="D229" s="21" t="n">
        <v>80.39999999999999</v>
      </c>
      <c r="E229" s="21" t="n">
        <v>22.4</v>
      </c>
      <c r="F229" s="27">
        <f>IFERROR(IF(OR(C229="",D229="",C229=0),"",D229/C229),"")</f>
        <v/>
      </c>
      <c r="G229" s="21">
        <f>IFERROR(INDEX(Users!$A$2:$A$310,MATCH(A229,Users!$B$2:$B$310,0)),"")</f>
        <v/>
      </c>
      <c r="H229" s="21">
        <f>IFERROR(INDEX(Users!$D$2:$D$310,MATCH(A229,Users!$B$2:$B$310,0)),"")</f>
        <v/>
      </c>
      <c r="I229" s="19">
        <f>AND(G229="Service A",H229="Band 3")</f>
        <v/>
      </c>
      <c r="J229" s="33">
        <f>IF(AND(YEAR(B229)=2025,G229="Service B",OR(H229="Band 3",H229="Band 5"),ISNUMBER(F229)),F229,"")</f>
        <v/>
      </c>
    </row>
    <row r="230">
      <c r="A230" s="19" t="inlineStr">
        <is>
          <t>User1033</t>
        </is>
      </c>
      <c r="B230" s="60" t="n">
        <v>45962</v>
      </c>
      <c r="C230" s="21" t="n">
        <v>148.0000000000001</v>
      </c>
      <c r="D230" s="21" t="n">
        <v>74.09333333333333</v>
      </c>
      <c r="E230" s="21" t="n">
        <v>24.01</v>
      </c>
      <c r="F230" s="27">
        <f>IFERROR(IF(OR(C230="",D230="",C230=0),"",D230/C230),"")</f>
        <v/>
      </c>
      <c r="G230" s="21">
        <f>IFERROR(INDEX(Users!$A$2:$A$310,MATCH(A230,Users!$B$2:$B$310,0)),"")</f>
        <v/>
      </c>
      <c r="H230" s="21">
        <f>IFERROR(INDEX(Users!$D$2:$D$310,MATCH(A230,Users!$B$2:$B$310,0)),"")</f>
        <v/>
      </c>
      <c r="I230" s="19">
        <f>AND(G230="Service A",H230="Band 3")</f>
        <v/>
      </c>
      <c r="J230" s="33">
        <f>IF(AND(YEAR(B230)=2025,G230="Service B",OR(H230="Band 3",H230="Band 5"),ISNUMBER(F230)),F230,"")</f>
        <v/>
      </c>
    </row>
    <row r="231">
      <c r="A231" s="19" t="inlineStr">
        <is>
          <t>User1033</t>
        </is>
      </c>
      <c r="B231" s="60" t="n">
        <v>45992</v>
      </c>
      <c r="C231" s="21" t="n">
        <v>155.4000000000001</v>
      </c>
      <c r="D231" s="21" t="n">
        <v>106.0733333333333</v>
      </c>
      <c r="E231" s="21" t="n">
        <v>38.99</v>
      </c>
      <c r="F231" s="27">
        <f>IFERROR(IF(OR(C231="",D231="",C231=0),"",D231/C231),"")</f>
        <v/>
      </c>
      <c r="G231" s="21">
        <f>IFERROR(INDEX(Users!$A$2:$A$310,MATCH(A231,Users!$B$2:$B$310,0)),"")</f>
        <v/>
      </c>
      <c r="H231" s="21">
        <f>IFERROR(INDEX(Users!$D$2:$D$310,MATCH(A231,Users!$B$2:$B$310,0)),"")</f>
        <v/>
      </c>
      <c r="I231" s="19">
        <f>AND(G231="Service A",H231="Band 3")</f>
        <v/>
      </c>
      <c r="J231" s="33">
        <f>IF(AND(YEAR(B231)=2025,G231="Service B",OR(H231="Band 3",H231="Band 5"),ISNUMBER(F231)),F231,"")</f>
        <v/>
      </c>
    </row>
    <row r="232">
      <c r="A232" s="19" t="inlineStr">
        <is>
          <t>User1033</t>
        </is>
      </c>
      <c r="B232" s="60" t="n">
        <v>46023</v>
      </c>
      <c r="C232" s="21" t="n">
        <v>155.4000000000001</v>
      </c>
      <c r="D232" s="21" t="n">
        <v>133.8566666666666</v>
      </c>
      <c r="E232" s="21" t="n">
        <v>45.68999999999998</v>
      </c>
      <c r="F232" s="27">
        <f>IFERROR(IF(OR(C232="",D232="",C232=0),"",D232/C232),"")</f>
        <v/>
      </c>
      <c r="G232" s="21">
        <f>IFERROR(INDEX(Users!$A$2:$A$310,MATCH(A232,Users!$B$2:$B$310,0)),"")</f>
        <v/>
      </c>
      <c r="H232" s="21">
        <f>IFERROR(INDEX(Users!$D$2:$D$310,MATCH(A232,Users!$B$2:$B$310,0)),"")</f>
        <v/>
      </c>
      <c r="I232" s="19">
        <f>AND(G232="Service A",H232="Band 3")</f>
        <v/>
      </c>
      <c r="J232" s="33">
        <f>IF(AND(YEAR(B232)=2025,G232="Service B",OR(H232="Band 3",H232="Band 5"),ISNUMBER(F232)),F232,"")</f>
        <v/>
      </c>
    </row>
    <row r="233">
      <c r="A233" s="19" t="inlineStr">
        <is>
          <t>User1034</t>
        </is>
      </c>
      <c r="B233" s="60" t="n">
        <v>45658</v>
      </c>
      <c r="C233" s="21" t="n">
        <v>162.8</v>
      </c>
      <c r="D233" s="21" t="n">
        <v>151.53</v>
      </c>
      <c r="E233" s="21" t="n">
        <v>110.78</v>
      </c>
      <c r="F233" s="27">
        <f>IFERROR(IF(OR(C233="",D233="",C233=0),"",D233/C233),"")</f>
        <v/>
      </c>
      <c r="G233" s="21">
        <f>IFERROR(INDEX(Users!$A$2:$A$310,MATCH(A233,Users!$B$2:$B$310,0)),"")</f>
        <v/>
      </c>
      <c r="H233" s="21">
        <f>IFERROR(INDEX(Users!$D$2:$D$310,MATCH(A233,Users!$B$2:$B$310,0)),"")</f>
        <v/>
      </c>
      <c r="I233" s="19">
        <f>AND(G233="Service A",H233="Band 3")</f>
        <v/>
      </c>
      <c r="J233" s="33">
        <f>IF(AND(YEAR(B233)=2025,G233="Service B",OR(H233="Band 3",H233="Band 5"),ISNUMBER(F233)),F233,"")</f>
        <v/>
      </c>
    </row>
    <row r="234">
      <c r="A234" s="19" t="inlineStr">
        <is>
          <t>User1034</t>
        </is>
      </c>
      <c r="B234" s="60" t="n">
        <v>45689</v>
      </c>
      <c r="C234" s="21" t="n">
        <v>148</v>
      </c>
      <c r="D234" s="21" t="n">
        <v>84.81666666666666</v>
      </c>
      <c r="E234" s="21" t="n">
        <v>71.15000000000001</v>
      </c>
      <c r="F234" s="27">
        <f>IFERROR(IF(OR(C234="",D234="",C234=0),"",D234/C234),"")</f>
        <v/>
      </c>
      <c r="G234" s="21">
        <f>IFERROR(INDEX(Users!$A$2:$A$310,MATCH(A234,Users!$B$2:$B$310,0)),"")</f>
        <v/>
      </c>
      <c r="H234" s="21">
        <f>IFERROR(INDEX(Users!$D$2:$D$310,MATCH(A234,Users!$B$2:$B$310,0)),"")</f>
        <v/>
      </c>
      <c r="I234" s="19">
        <f>AND(G234="Service A",H234="Band 3")</f>
        <v/>
      </c>
      <c r="J234" s="33">
        <f>IF(AND(YEAR(B234)=2025,G234="Service B",OR(H234="Band 3",H234="Band 5"),ISNUMBER(F234)),F234,"")</f>
        <v/>
      </c>
    </row>
    <row r="235">
      <c r="A235" s="19" t="inlineStr">
        <is>
          <t>User1034</t>
        </is>
      </c>
      <c r="B235" s="60" t="n">
        <v>45717</v>
      </c>
      <c r="C235" s="21" t="n">
        <v>155.4</v>
      </c>
      <c r="D235" s="21" t="n">
        <v>128.78</v>
      </c>
      <c r="E235" s="21" t="n">
        <v>86.27999999999999</v>
      </c>
      <c r="F235" s="27">
        <f>IFERROR(IF(OR(C235="",D235="",C235=0),"",D235/C235),"")</f>
        <v/>
      </c>
      <c r="G235" s="21">
        <f>IFERROR(INDEX(Users!$A$2:$A$310,MATCH(A235,Users!$B$2:$B$310,0)),"")</f>
        <v/>
      </c>
      <c r="H235" s="21">
        <f>IFERROR(INDEX(Users!$D$2:$D$310,MATCH(A235,Users!$B$2:$B$310,0)),"")</f>
        <v/>
      </c>
      <c r="I235" s="19">
        <f>AND(G235="Service A",H235="Band 3")</f>
        <v/>
      </c>
      <c r="J235" s="33">
        <f>IF(AND(YEAR(B235)=2025,G235="Service B",OR(H235="Band 3",H235="Band 5"),ISNUMBER(F235)),F235,"")</f>
        <v/>
      </c>
    </row>
    <row r="236">
      <c r="A236" s="19" t="inlineStr">
        <is>
          <t>User1034</t>
        </is>
      </c>
      <c r="B236" s="60" t="n">
        <v>45748</v>
      </c>
      <c r="C236" s="21" t="n">
        <v>148</v>
      </c>
      <c r="D236" s="21" t="n">
        <v>90.79666666666665</v>
      </c>
      <c r="E236" s="21" t="n">
        <v>73.63</v>
      </c>
      <c r="F236" s="27">
        <f>IFERROR(IF(OR(C236="",D236="",C236=0),"",D236/C236),"")</f>
        <v/>
      </c>
      <c r="G236" s="21">
        <f>IFERROR(INDEX(Users!$A$2:$A$310,MATCH(A236,Users!$B$2:$B$310,0)),"")</f>
        <v/>
      </c>
      <c r="H236" s="21">
        <f>IFERROR(INDEX(Users!$D$2:$D$310,MATCH(A236,Users!$B$2:$B$310,0)),"")</f>
        <v/>
      </c>
      <c r="I236" s="19">
        <f>AND(G236="Service A",H236="Band 3")</f>
        <v/>
      </c>
      <c r="J236" s="33">
        <f>IF(AND(YEAR(B236)=2025,G236="Service B",OR(H236="Band 3",H236="Band 5"),ISNUMBER(F236)),F236,"")</f>
        <v/>
      </c>
    </row>
    <row r="237">
      <c r="A237" s="19" t="inlineStr">
        <is>
          <t>User1034</t>
        </is>
      </c>
      <c r="B237" s="60" t="n">
        <v>45778</v>
      </c>
      <c r="C237" s="21" t="n">
        <v>148</v>
      </c>
      <c r="D237" s="21" t="n">
        <v>146.5666666666666</v>
      </c>
      <c r="E237" s="21" t="n">
        <v>122.4</v>
      </c>
      <c r="F237" s="27">
        <f>IFERROR(IF(OR(C237="",D237="",C237=0),"",D237/C237),"")</f>
        <v/>
      </c>
      <c r="G237" s="21">
        <f>IFERROR(INDEX(Users!$A$2:$A$310,MATCH(A237,Users!$B$2:$B$310,0)),"")</f>
        <v/>
      </c>
      <c r="H237" s="21">
        <f>IFERROR(INDEX(Users!$D$2:$D$310,MATCH(A237,Users!$B$2:$B$310,0)),"")</f>
        <v/>
      </c>
      <c r="I237" s="19">
        <f>AND(G237="Service A",H237="Band 3")</f>
        <v/>
      </c>
      <c r="J237" s="33">
        <f>IF(AND(YEAR(B237)=2025,G237="Service B",OR(H237="Band 3",H237="Band 5"),ISNUMBER(F237)),F237,"")</f>
        <v/>
      </c>
    </row>
    <row r="238">
      <c r="A238" s="19" t="inlineStr">
        <is>
          <t>User1034</t>
        </is>
      </c>
      <c r="B238" s="60" t="n">
        <v>45809</v>
      </c>
      <c r="C238" s="21" t="n">
        <v>155.4</v>
      </c>
      <c r="D238" s="21" t="n">
        <v>129.7733333333333</v>
      </c>
      <c r="E238" s="21" t="n">
        <v>104.19</v>
      </c>
      <c r="F238" s="27">
        <f>IFERROR(IF(OR(C238="",D238="",C238=0),"",D238/C238),"")</f>
        <v/>
      </c>
      <c r="G238" s="21">
        <f>IFERROR(INDEX(Users!$A$2:$A$310,MATCH(A238,Users!$B$2:$B$310,0)),"")</f>
        <v/>
      </c>
      <c r="H238" s="21">
        <f>IFERROR(INDEX(Users!$D$2:$D$310,MATCH(A238,Users!$B$2:$B$310,0)),"")</f>
        <v/>
      </c>
      <c r="I238" s="19">
        <f>AND(G238="Service A",H238="Band 3")</f>
        <v/>
      </c>
      <c r="J238" s="33">
        <f>IF(AND(YEAR(B238)=2025,G238="Service B",OR(H238="Band 3",H238="Band 5"),ISNUMBER(F238)),F238,"")</f>
        <v/>
      </c>
    </row>
    <row r="239">
      <c r="A239" s="19" t="inlineStr">
        <is>
          <t>User1034</t>
        </is>
      </c>
      <c r="B239" s="60" t="n">
        <v>45839</v>
      </c>
      <c r="C239" s="21" t="n">
        <v>170.2</v>
      </c>
      <c r="D239" s="21" t="n">
        <v>144.7833333333333</v>
      </c>
      <c r="E239" s="21" t="n">
        <v>112.2</v>
      </c>
      <c r="F239" s="27">
        <f>IFERROR(IF(OR(C239="",D239="",C239=0),"",D239/C239),"")</f>
        <v/>
      </c>
      <c r="G239" s="21">
        <f>IFERROR(INDEX(Users!$A$2:$A$310,MATCH(A239,Users!$B$2:$B$310,0)),"")</f>
        <v/>
      </c>
      <c r="H239" s="21">
        <f>IFERROR(INDEX(Users!$D$2:$D$310,MATCH(A239,Users!$B$2:$B$310,0)),"")</f>
        <v/>
      </c>
      <c r="I239" s="19">
        <f>AND(G239="Service A",H239="Band 3")</f>
        <v/>
      </c>
      <c r="J239" s="33">
        <f>IF(AND(YEAR(B239)=2025,G239="Service B",OR(H239="Band 3",H239="Band 5"),ISNUMBER(F239)),F239,"")</f>
        <v/>
      </c>
    </row>
    <row r="240">
      <c r="A240" s="19" t="inlineStr">
        <is>
          <t>User1034</t>
        </is>
      </c>
      <c r="B240" s="60" t="n">
        <v>45870</v>
      </c>
      <c r="C240" s="21" t="n">
        <v>7.4</v>
      </c>
      <c r="D240" s="21" t="n">
        <v>0.58</v>
      </c>
      <c r="E240" s="21" t="n">
        <v>0.58</v>
      </c>
      <c r="F240" s="27">
        <f>IFERROR(IF(OR(C240="",D240="",C240=0),"",D240/C240),"")</f>
        <v/>
      </c>
      <c r="G240" s="21">
        <f>IFERROR(INDEX(Users!$A$2:$A$310,MATCH(A240,Users!$B$2:$B$310,0)),"")</f>
        <v/>
      </c>
      <c r="H240" s="21">
        <f>IFERROR(INDEX(Users!$D$2:$D$310,MATCH(A240,Users!$B$2:$B$310,0)),"")</f>
        <v/>
      </c>
      <c r="I240" s="19">
        <f>AND(G240="Service A",H240="Band 3")</f>
        <v/>
      </c>
      <c r="J240" s="33">
        <f>IF(AND(YEAR(B240)=2025,G240="Service B",OR(H240="Band 3",H240="Band 5"),ISNUMBER(F240)),F240,"")</f>
        <v/>
      </c>
    </row>
    <row r="241">
      <c r="A241" s="19" t="inlineStr">
        <is>
          <t>User1035</t>
        </is>
      </c>
      <c r="B241" s="60" t="n">
        <v>45658</v>
      </c>
      <c r="C241" s="21" t="n">
        <v>164.4444444444444</v>
      </c>
      <c r="D241" s="21" t="n">
        <v>112.19</v>
      </c>
      <c r="E241" s="21" t="n">
        <v>60.99</v>
      </c>
      <c r="F241" s="27">
        <f>IFERROR(IF(OR(C241="",D241="",C241=0),"",D241/C241),"")</f>
        <v/>
      </c>
      <c r="G241" s="21">
        <f>IFERROR(INDEX(Users!$A$2:$A$310,MATCH(A241,Users!$B$2:$B$310,0)),"")</f>
        <v/>
      </c>
      <c r="H241" s="21">
        <f>IFERROR(INDEX(Users!$D$2:$D$310,MATCH(A241,Users!$B$2:$B$310,0)),"")</f>
        <v/>
      </c>
      <c r="I241" s="19">
        <f>AND(G241="Service A",H241="Band 3")</f>
        <v/>
      </c>
      <c r="J241" s="33">
        <f>IF(AND(YEAR(B241)=2025,G241="Service B",OR(H241="Band 3",H241="Band 5"),ISNUMBER(F241)),F241,"")</f>
        <v/>
      </c>
    </row>
    <row r="242">
      <c r="A242" s="19" t="inlineStr">
        <is>
          <t>User1035</t>
        </is>
      </c>
      <c r="B242" s="60" t="n">
        <v>45689</v>
      </c>
      <c r="C242" s="21" t="n">
        <v>148</v>
      </c>
      <c r="D242" s="21" t="n">
        <v>139.0933333333333</v>
      </c>
      <c r="E242" s="21" t="n">
        <v>86.70999999999999</v>
      </c>
      <c r="F242" s="27">
        <f>IFERROR(IF(OR(C242="",D242="",C242=0),"",D242/C242),"")</f>
        <v/>
      </c>
      <c r="G242" s="21">
        <f>IFERROR(INDEX(Users!$A$2:$A$310,MATCH(A242,Users!$B$2:$B$310,0)),"")</f>
        <v/>
      </c>
      <c r="H242" s="21">
        <f>IFERROR(INDEX(Users!$D$2:$D$310,MATCH(A242,Users!$B$2:$B$310,0)),"")</f>
        <v/>
      </c>
      <c r="I242" s="19">
        <f>AND(G242="Service A",H242="Band 3")</f>
        <v/>
      </c>
      <c r="J242" s="33">
        <f>IF(AND(YEAR(B242)=2025,G242="Service B",OR(H242="Band 3",H242="Band 5"),ISNUMBER(F242)),F242,"")</f>
        <v/>
      </c>
    </row>
    <row r="243">
      <c r="A243" s="19" t="inlineStr">
        <is>
          <t>User1035</t>
        </is>
      </c>
      <c r="B243" s="60" t="n">
        <v>45717</v>
      </c>
      <c r="C243" s="21" t="n">
        <v>106.8888888888889</v>
      </c>
      <c r="D243" s="21" t="n">
        <v>123.5866666666667</v>
      </c>
      <c r="E243" s="21" t="n">
        <v>77.22</v>
      </c>
      <c r="F243" s="27">
        <f>IFERROR(IF(OR(C243="",D243="",C243=0),"",D243/C243),"")</f>
        <v/>
      </c>
      <c r="G243" s="21">
        <f>IFERROR(INDEX(Users!$A$2:$A$310,MATCH(A243,Users!$B$2:$B$310,0)),"")</f>
        <v/>
      </c>
      <c r="H243" s="21">
        <f>IFERROR(INDEX(Users!$D$2:$D$310,MATCH(A243,Users!$B$2:$B$310,0)),"")</f>
        <v/>
      </c>
      <c r="I243" s="19">
        <f>AND(G243="Service A",H243="Band 3")</f>
        <v/>
      </c>
      <c r="J243" s="33">
        <f>IF(AND(YEAR(B243)=2025,G243="Service B",OR(H243="Band 3",H243="Band 5"),ISNUMBER(F243)),F243,"")</f>
        <v/>
      </c>
    </row>
    <row r="244">
      <c r="A244" s="19" t="inlineStr">
        <is>
          <t>User1036</t>
        </is>
      </c>
      <c r="B244" s="60" t="n">
        <v>45717</v>
      </c>
      <c r="C244" s="21" t="n">
        <v>118.4</v>
      </c>
      <c r="D244" s="21" t="n"/>
      <c r="E244" s="21" t="n"/>
      <c r="F244" s="27">
        <f>IFERROR(IF(OR(C244="",D244="",C244=0),"",D244/C244),"")</f>
        <v/>
      </c>
      <c r="G244" s="21">
        <f>IFERROR(INDEX(Users!$A$2:$A$310,MATCH(A244,Users!$B$2:$B$310,0)),"")</f>
        <v/>
      </c>
      <c r="H244" s="21">
        <f>IFERROR(INDEX(Users!$D$2:$D$310,MATCH(A244,Users!$B$2:$B$310,0)),"")</f>
        <v/>
      </c>
      <c r="I244" s="19">
        <f>AND(G244="Service A",H244="Band 3")</f>
        <v/>
      </c>
      <c r="J244" s="33">
        <f>IF(AND(YEAR(B244)=2025,G244="Service B",OR(H244="Band 3",H244="Band 5"),ISNUMBER(F244)),F244,"")</f>
        <v/>
      </c>
    </row>
    <row r="245">
      <c r="A245" s="19" t="inlineStr">
        <is>
          <t>User1036</t>
        </is>
      </c>
      <c r="B245" s="60" t="n">
        <v>45748</v>
      </c>
      <c r="C245" s="21" t="n">
        <v>148.0000000000001</v>
      </c>
      <c r="D245" s="21" t="n">
        <v>0.17</v>
      </c>
      <c r="E245" s="21" t="n">
        <v>0.17</v>
      </c>
      <c r="F245" s="27">
        <f>IFERROR(IF(OR(C245="",D245="",C245=0),"",D245/C245),"")</f>
        <v/>
      </c>
      <c r="G245" s="21">
        <f>IFERROR(INDEX(Users!$A$2:$A$310,MATCH(A245,Users!$B$2:$B$310,0)),"")</f>
        <v/>
      </c>
      <c r="H245" s="21">
        <f>IFERROR(INDEX(Users!$D$2:$D$310,MATCH(A245,Users!$B$2:$B$310,0)),"")</f>
        <v/>
      </c>
      <c r="I245" s="19">
        <f>AND(G245="Service A",H245="Band 3")</f>
        <v/>
      </c>
      <c r="J245" s="33">
        <f>IF(AND(YEAR(B245)=2025,G245="Service B",OR(H245="Band 3",H245="Band 5"),ISNUMBER(F245)),F245,"")</f>
        <v/>
      </c>
    </row>
    <row r="246">
      <c r="A246" s="19" t="inlineStr">
        <is>
          <t>User1036</t>
        </is>
      </c>
      <c r="B246" s="60" t="n">
        <v>45778</v>
      </c>
      <c r="C246" s="21" t="n">
        <v>148.0000000000001</v>
      </c>
      <c r="D246" s="21" t="n">
        <v>109.4933333333333</v>
      </c>
      <c r="E246" s="21" t="n">
        <v>52.66</v>
      </c>
      <c r="F246" s="27">
        <f>IFERROR(IF(OR(C246="",D246="",C246=0),"",D246/C246),"")</f>
        <v/>
      </c>
      <c r="G246" s="21">
        <f>IFERROR(INDEX(Users!$A$2:$A$310,MATCH(A246,Users!$B$2:$B$310,0)),"")</f>
        <v/>
      </c>
      <c r="H246" s="21">
        <f>IFERROR(INDEX(Users!$D$2:$D$310,MATCH(A246,Users!$B$2:$B$310,0)),"")</f>
        <v/>
      </c>
      <c r="I246" s="19">
        <f>AND(G246="Service A",H246="Band 3")</f>
        <v/>
      </c>
      <c r="J246" s="33">
        <f>IF(AND(YEAR(B246)=2025,G246="Service B",OR(H246="Band 3",H246="Band 5"),ISNUMBER(F246)),F246,"")</f>
        <v/>
      </c>
    </row>
    <row r="247">
      <c r="A247" s="19" t="inlineStr">
        <is>
          <t>User1036</t>
        </is>
      </c>
      <c r="B247" s="60" t="n">
        <v>45809</v>
      </c>
      <c r="C247" s="21" t="n">
        <v>155.4000000000001</v>
      </c>
      <c r="D247" s="21" t="n">
        <v>98.47666666666666</v>
      </c>
      <c r="E247" s="21" t="n">
        <v>50.81</v>
      </c>
      <c r="F247" s="27">
        <f>IFERROR(IF(OR(C247="",D247="",C247=0),"",D247/C247),"")</f>
        <v/>
      </c>
      <c r="G247" s="21">
        <f>IFERROR(INDEX(Users!$A$2:$A$310,MATCH(A247,Users!$B$2:$B$310,0)),"")</f>
        <v/>
      </c>
      <c r="H247" s="21">
        <f>IFERROR(INDEX(Users!$D$2:$D$310,MATCH(A247,Users!$B$2:$B$310,0)),"")</f>
        <v/>
      </c>
      <c r="I247" s="19">
        <f>AND(G247="Service A",H247="Band 3")</f>
        <v/>
      </c>
      <c r="J247" s="33">
        <f>IF(AND(YEAR(B247)=2025,G247="Service B",OR(H247="Band 3",H247="Band 5"),ISNUMBER(F247)),F247,"")</f>
        <v/>
      </c>
    </row>
    <row r="248">
      <c r="A248" s="19" t="inlineStr">
        <is>
          <t>User1036</t>
        </is>
      </c>
      <c r="B248" s="60" t="n">
        <v>45839</v>
      </c>
      <c r="C248" s="21" t="n">
        <v>170.2000000000001</v>
      </c>
      <c r="D248" s="21" t="n">
        <v>134.9866666666667</v>
      </c>
      <c r="E248" s="21" t="n">
        <v>87.31999999999999</v>
      </c>
      <c r="F248" s="27">
        <f>IFERROR(IF(OR(C248="",D248="",C248=0),"",D248/C248),"")</f>
        <v/>
      </c>
      <c r="G248" s="21">
        <f>IFERROR(INDEX(Users!$A$2:$A$310,MATCH(A248,Users!$B$2:$B$310,0)),"")</f>
        <v/>
      </c>
      <c r="H248" s="21">
        <f>IFERROR(INDEX(Users!$D$2:$D$310,MATCH(A248,Users!$B$2:$B$310,0)),"")</f>
        <v/>
      </c>
      <c r="I248" s="19">
        <f>AND(G248="Service A",H248="Band 3")</f>
        <v/>
      </c>
      <c r="J248" s="33">
        <f>IF(AND(YEAR(B248)=2025,G248="Service B",OR(H248="Band 3",H248="Band 5"),ISNUMBER(F248)),F248,"")</f>
        <v/>
      </c>
    </row>
    <row r="249">
      <c r="A249" s="19" t="inlineStr">
        <is>
          <t>User1036</t>
        </is>
      </c>
      <c r="B249" s="60" t="n">
        <v>45870</v>
      </c>
      <c r="C249" s="21" t="n">
        <v>148.0000000000001</v>
      </c>
      <c r="D249" s="21" t="n">
        <v>136.6266666666667</v>
      </c>
      <c r="E249" s="21" t="n">
        <v>106.71</v>
      </c>
      <c r="F249" s="27">
        <f>IFERROR(IF(OR(C249="",D249="",C249=0),"",D249/C249),"")</f>
        <v/>
      </c>
      <c r="G249" s="21">
        <f>IFERROR(INDEX(Users!$A$2:$A$310,MATCH(A249,Users!$B$2:$B$310,0)),"")</f>
        <v/>
      </c>
      <c r="H249" s="21">
        <f>IFERROR(INDEX(Users!$D$2:$D$310,MATCH(A249,Users!$B$2:$B$310,0)),"")</f>
        <v/>
      </c>
      <c r="I249" s="19">
        <f>AND(G249="Service A",H249="Band 3")</f>
        <v/>
      </c>
      <c r="J249" s="33">
        <f>IF(AND(YEAR(B249)=2025,G249="Service B",OR(H249="Band 3",H249="Band 5"),ISNUMBER(F249)),F249,"")</f>
        <v/>
      </c>
    </row>
    <row r="250">
      <c r="A250" s="19" t="inlineStr">
        <is>
          <t>User1036</t>
        </is>
      </c>
      <c r="B250" s="60" t="n">
        <v>45901</v>
      </c>
      <c r="C250" s="21" t="n">
        <v>162.8000000000001</v>
      </c>
      <c r="D250" s="21" t="n">
        <v>122.64</v>
      </c>
      <c r="E250" s="21" t="n">
        <v>95.64000000000001</v>
      </c>
      <c r="F250" s="27">
        <f>IFERROR(IF(OR(C250="",D250="",C250=0),"",D250/C250),"")</f>
        <v/>
      </c>
      <c r="G250" s="21">
        <f>IFERROR(INDEX(Users!$A$2:$A$310,MATCH(A250,Users!$B$2:$B$310,0)),"")</f>
        <v/>
      </c>
      <c r="H250" s="21">
        <f>IFERROR(INDEX(Users!$D$2:$D$310,MATCH(A250,Users!$B$2:$B$310,0)),"")</f>
        <v/>
      </c>
      <c r="I250" s="19">
        <f>AND(G250="Service A",H250="Band 3")</f>
        <v/>
      </c>
      <c r="J250" s="33">
        <f>IF(AND(YEAR(B250)=2025,G250="Service B",OR(H250="Band 3",H250="Band 5"),ISNUMBER(F250)),F250,"")</f>
        <v/>
      </c>
    </row>
    <row r="251">
      <c r="A251" s="19" t="inlineStr">
        <is>
          <t>User1036</t>
        </is>
      </c>
      <c r="B251" s="60" t="n">
        <v>45931</v>
      </c>
      <c r="C251" s="21" t="n">
        <v>170.2000000000001</v>
      </c>
      <c r="D251" s="21" t="n">
        <v>167.44</v>
      </c>
      <c r="E251" s="21" t="n">
        <v>128.44</v>
      </c>
      <c r="F251" s="27">
        <f>IFERROR(IF(OR(C251="",D251="",C251=0),"",D251/C251),"")</f>
        <v/>
      </c>
      <c r="G251" s="21">
        <f>IFERROR(INDEX(Users!$A$2:$A$310,MATCH(A251,Users!$B$2:$B$310,0)),"")</f>
        <v/>
      </c>
      <c r="H251" s="21">
        <f>IFERROR(INDEX(Users!$D$2:$D$310,MATCH(A251,Users!$B$2:$B$310,0)),"")</f>
        <v/>
      </c>
      <c r="I251" s="19">
        <f>AND(G251="Service A",H251="Band 3")</f>
        <v/>
      </c>
      <c r="J251" s="33">
        <f>IF(AND(YEAR(B251)=2025,G251="Service B",OR(H251="Band 3",H251="Band 5"),ISNUMBER(F251)),F251,"")</f>
        <v/>
      </c>
    </row>
    <row r="252">
      <c r="A252" s="19" t="inlineStr">
        <is>
          <t>User1036</t>
        </is>
      </c>
      <c r="B252" s="60" t="n">
        <v>45962</v>
      </c>
      <c r="C252" s="21" t="n">
        <v>148.0000000000001</v>
      </c>
      <c r="D252" s="21" t="n">
        <v>157.57</v>
      </c>
      <c r="E252" s="21" t="n">
        <v>125.57</v>
      </c>
      <c r="F252" s="27">
        <f>IFERROR(IF(OR(C252="",D252="",C252=0),"",D252/C252),"")</f>
        <v/>
      </c>
      <c r="G252" s="21">
        <f>IFERROR(INDEX(Users!$A$2:$A$310,MATCH(A252,Users!$B$2:$B$310,0)),"")</f>
        <v/>
      </c>
      <c r="H252" s="21">
        <f>IFERROR(INDEX(Users!$D$2:$D$310,MATCH(A252,Users!$B$2:$B$310,0)),"")</f>
        <v/>
      </c>
      <c r="I252" s="19">
        <f>AND(G252="Service A",H252="Band 3")</f>
        <v/>
      </c>
      <c r="J252" s="33">
        <f>IF(AND(YEAR(B252)=2025,G252="Service B",OR(H252="Band 3",H252="Band 5"),ISNUMBER(F252)),F252,"")</f>
        <v/>
      </c>
    </row>
    <row r="253">
      <c r="A253" s="19" t="inlineStr">
        <is>
          <t>User1036</t>
        </is>
      </c>
      <c r="B253" s="60" t="n">
        <v>45992</v>
      </c>
      <c r="C253" s="21" t="n">
        <v>155.4000000000001</v>
      </c>
      <c r="D253" s="21" t="n">
        <v>125.13</v>
      </c>
      <c r="E253" s="21" t="n">
        <v>103.63</v>
      </c>
      <c r="F253" s="27">
        <f>IFERROR(IF(OR(C253="",D253="",C253=0),"",D253/C253),"")</f>
        <v/>
      </c>
      <c r="G253" s="21">
        <f>IFERROR(INDEX(Users!$A$2:$A$310,MATCH(A253,Users!$B$2:$B$310,0)),"")</f>
        <v/>
      </c>
      <c r="H253" s="21">
        <f>IFERROR(INDEX(Users!$D$2:$D$310,MATCH(A253,Users!$B$2:$B$310,0)),"")</f>
        <v/>
      </c>
      <c r="I253" s="19">
        <f>AND(G253="Service A",H253="Band 3")</f>
        <v/>
      </c>
      <c r="J253" s="33">
        <f>IF(AND(YEAR(B253)=2025,G253="Service B",OR(H253="Band 3",H253="Band 5"),ISNUMBER(F253)),F253,"")</f>
        <v/>
      </c>
    </row>
    <row r="254">
      <c r="A254" s="19" t="inlineStr">
        <is>
          <t>User1036</t>
        </is>
      </c>
      <c r="B254" s="60" t="n">
        <v>46023</v>
      </c>
      <c r="C254" s="21" t="n">
        <v>155.4000000000001</v>
      </c>
      <c r="D254" s="21" t="n">
        <v>138.7433333333333</v>
      </c>
      <c r="E254" s="21" t="n">
        <v>106.91</v>
      </c>
      <c r="F254" s="27">
        <f>IFERROR(IF(OR(C254="",D254="",C254=0),"",D254/C254),"")</f>
        <v/>
      </c>
      <c r="G254" s="21">
        <f>IFERROR(INDEX(Users!$A$2:$A$310,MATCH(A254,Users!$B$2:$B$310,0)),"")</f>
        <v/>
      </c>
      <c r="H254" s="21">
        <f>IFERROR(INDEX(Users!$D$2:$D$310,MATCH(A254,Users!$B$2:$B$310,0)),"")</f>
        <v/>
      </c>
      <c r="I254" s="19">
        <f>AND(G254="Service A",H254="Band 3")</f>
        <v/>
      </c>
      <c r="J254" s="33">
        <f>IF(AND(YEAR(B254)=2025,G254="Service B",OR(H254="Band 3",H254="Band 5"),ISNUMBER(F254)),F254,"")</f>
        <v/>
      </c>
    </row>
    <row r="255">
      <c r="A255" s="19" t="inlineStr">
        <is>
          <t>User1037</t>
        </is>
      </c>
      <c r="B255" s="60" t="n">
        <v>45658</v>
      </c>
      <c r="C255" s="21" t="n">
        <v>96.20000000000002</v>
      </c>
      <c r="D255" s="21" t="n">
        <v>86.39861111111111</v>
      </c>
      <c r="E255" s="21" t="n">
        <v>19.99</v>
      </c>
      <c r="F255" s="27">
        <f>IFERROR(IF(OR(C255="",D255="",C255=0),"",D255/C255),"")</f>
        <v/>
      </c>
      <c r="G255" s="21">
        <f>IFERROR(INDEX(Users!$A$2:$A$310,MATCH(A255,Users!$B$2:$B$310,0)),"")</f>
        <v/>
      </c>
      <c r="H255" s="21">
        <f>IFERROR(INDEX(Users!$D$2:$D$310,MATCH(A255,Users!$B$2:$B$310,0)),"")</f>
        <v/>
      </c>
      <c r="I255" s="19">
        <f>AND(G255="Service A",H255="Band 3")</f>
        <v/>
      </c>
      <c r="J255" s="33">
        <f>IF(AND(YEAR(B255)=2025,G255="Service B",OR(H255="Band 3",H255="Band 5"),ISNUMBER(F255)),F255,"")</f>
        <v/>
      </c>
    </row>
    <row r="256">
      <c r="A256" s="19" t="inlineStr">
        <is>
          <t>User1037</t>
        </is>
      </c>
      <c r="B256" s="60" t="n">
        <v>45689</v>
      </c>
      <c r="C256" s="21" t="n">
        <v>88.80000000000001</v>
      </c>
      <c r="D256" s="21" t="n">
        <v>92.20666666666665</v>
      </c>
      <c r="E256" s="21" t="n">
        <v>11.54</v>
      </c>
      <c r="F256" s="27">
        <f>IFERROR(IF(OR(C256="",D256="",C256=0),"",D256/C256),"")</f>
        <v/>
      </c>
      <c r="G256" s="21">
        <f>IFERROR(INDEX(Users!$A$2:$A$310,MATCH(A256,Users!$B$2:$B$310,0)),"")</f>
        <v/>
      </c>
      <c r="H256" s="21">
        <f>IFERROR(INDEX(Users!$D$2:$D$310,MATCH(A256,Users!$B$2:$B$310,0)),"")</f>
        <v/>
      </c>
      <c r="I256" s="19">
        <f>AND(G256="Service A",H256="Band 3")</f>
        <v/>
      </c>
      <c r="J256" s="33">
        <f>IF(AND(YEAR(B256)=2025,G256="Service B",OR(H256="Band 3",H256="Band 5"),ISNUMBER(F256)),F256,"")</f>
        <v/>
      </c>
    </row>
    <row r="257">
      <c r="A257" s="19" t="inlineStr">
        <is>
          <t>User1037</t>
        </is>
      </c>
      <c r="B257" s="60" t="n">
        <v>45717</v>
      </c>
      <c r="C257" s="21" t="n">
        <v>96.2</v>
      </c>
      <c r="D257" s="21" t="n">
        <v>88.74333333333334</v>
      </c>
      <c r="E257" s="21" t="n">
        <v>16.41</v>
      </c>
      <c r="F257" s="27">
        <f>IFERROR(IF(OR(C257="",D257="",C257=0),"",D257/C257),"")</f>
        <v/>
      </c>
      <c r="G257" s="21">
        <f>IFERROR(INDEX(Users!$A$2:$A$310,MATCH(A257,Users!$B$2:$B$310,0)),"")</f>
        <v/>
      </c>
      <c r="H257" s="21">
        <f>IFERROR(INDEX(Users!$D$2:$D$310,MATCH(A257,Users!$B$2:$B$310,0)),"")</f>
        <v/>
      </c>
      <c r="I257" s="19">
        <f>AND(G257="Service A",H257="Band 3")</f>
        <v/>
      </c>
      <c r="J257" s="33">
        <f>IF(AND(YEAR(B257)=2025,G257="Service B",OR(H257="Band 3",H257="Band 5"),ISNUMBER(F257)),F257,"")</f>
        <v/>
      </c>
    </row>
    <row r="258">
      <c r="A258" s="19" t="inlineStr">
        <is>
          <t>User1037</t>
        </is>
      </c>
      <c r="B258" s="60" t="n">
        <v>45748</v>
      </c>
      <c r="C258" s="21" t="n">
        <v>88.80000000000001</v>
      </c>
      <c r="D258" s="21" t="n">
        <v>59.95333333333333</v>
      </c>
      <c r="E258" s="21" t="n">
        <v>10.62</v>
      </c>
      <c r="F258" s="27">
        <f>IFERROR(IF(OR(C258="",D258="",C258=0),"",D258/C258),"")</f>
        <v/>
      </c>
      <c r="G258" s="21">
        <f>IFERROR(INDEX(Users!$A$2:$A$310,MATCH(A258,Users!$B$2:$B$310,0)),"")</f>
        <v/>
      </c>
      <c r="H258" s="21">
        <f>IFERROR(INDEX(Users!$D$2:$D$310,MATCH(A258,Users!$B$2:$B$310,0)),"")</f>
        <v/>
      </c>
      <c r="I258" s="19">
        <f>AND(G258="Service A",H258="Band 3")</f>
        <v/>
      </c>
      <c r="J258" s="33">
        <f>IF(AND(YEAR(B258)=2025,G258="Service B",OR(H258="Band 3",H258="Band 5"),ISNUMBER(F258)),F258,"")</f>
        <v/>
      </c>
    </row>
    <row r="259">
      <c r="A259" s="19" t="inlineStr">
        <is>
          <t>User1037</t>
        </is>
      </c>
      <c r="B259" s="60" t="n">
        <v>45778</v>
      </c>
      <c r="C259" s="21" t="n">
        <v>81.40000000000001</v>
      </c>
      <c r="D259" s="21" t="n">
        <v>53.86</v>
      </c>
      <c r="E259" s="21" t="n">
        <v>3.860000000000001</v>
      </c>
      <c r="F259" s="27">
        <f>IFERROR(IF(OR(C259="",D259="",C259=0),"",D259/C259),"")</f>
        <v/>
      </c>
      <c r="G259" s="21">
        <f>IFERROR(INDEX(Users!$A$2:$A$310,MATCH(A259,Users!$B$2:$B$310,0)),"")</f>
        <v/>
      </c>
      <c r="H259" s="21">
        <f>IFERROR(INDEX(Users!$D$2:$D$310,MATCH(A259,Users!$B$2:$B$310,0)),"")</f>
        <v/>
      </c>
      <c r="I259" s="19">
        <f>AND(G259="Service A",H259="Band 3")</f>
        <v/>
      </c>
      <c r="J259" s="33">
        <f>IF(AND(YEAR(B259)=2025,G259="Service B",OR(H259="Band 3",H259="Band 5"),ISNUMBER(F259)),F259,"")</f>
        <v/>
      </c>
    </row>
    <row r="260">
      <c r="A260" s="19" t="inlineStr">
        <is>
          <t>User1037</t>
        </is>
      </c>
      <c r="B260" s="60" t="n">
        <v>45809</v>
      </c>
      <c r="C260" s="21" t="n">
        <v>96.2</v>
      </c>
      <c r="D260" s="21" t="n">
        <v>97.55666666666667</v>
      </c>
      <c r="E260" s="21" t="n">
        <v>20.64</v>
      </c>
      <c r="F260" s="27">
        <f>IFERROR(IF(OR(C260="",D260="",C260=0),"",D260/C260),"")</f>
        <v/>
      </c>
      <c r="G260" s="21">
        <f>IFERROR(INDEX(Users!$A$2:$A$310,MATCH(A260,Users!$B$2:$B$310,0)),"")</f>
        <v/>
      </c>
      <c r="H260" s="21">
        <f>IFERROR(INDEX(Users!$D$2:$D$310,MATCH(A260,Users!$B$2:$B$310,0)),"")</f>
        <v/>
      </c>
      <c r="I260" s="19">
        <f>AND(G260="Service A",H260="Band 3")</f>
        <v/>
      </c>
      <c r="J260" s="33">
        <f>IF(AND(YEAR(B260)=2025,G260="Service B",OR(H260="Band 3",H260="Band 5"),ISNUMBER(F260)),F260,"")</f>
        <v/>
      </c>
    </row>
    <row r="261">
      <c r="A261" s="19" t="inlineStr">
        <is>
          <t>User1037</t>
        </is>
      </c>
      <c r="B261" s="60" t="n">
        <v>45839</v>
      </c>
      <c r="C261" s="21" t="n">
        <v>103.6</v>
      </c>
      <c r="D261" s="21" t="n">
        <v>82.87333333333333</v>
      </c>
      <c r="E261" s="21" t="n">
        <v>24.29</v>
      </c>
      <c r="F261" s="27">
        <f>IFERROR(IF(OR(C261="",D261="",C261=0),"",D261/C261),"")</f>
        <v/>
      </c>
      <c r="G261" s="21">
        <f>IFERROR(INDEX(Users!$A$2:$A$310,MATCH(A261,Users!$B$2:$B$310,0)),"")</f>
        <v/>
      </c>
      <c r="H261" s="21">
        <f>IFERROR(INDEX(Users!$D$2:$D$310,MATCH(A261,Users!$B$2:$B$310,0)),"")</f>
        <v/>
      </c>
      <c r="I261" s="19">
        <f>AND(G261="Service A",H261="Band 3")</f>
        <v/>
      </c>
      <c r="J261" s="33">
        <f>IF(AND(YEAR(B261)=2025,G261="Service B",OR(H261="Band 3",H261="Band 5"),ISNUMBER(F261)),F261,"")</f>
        <v/>
      </c>
    </row>
    <row r="262">
      <c r="A262" s="19" t="inlineStr">
        <is>
          <t>User1037</t>
        </is>
      </c>
      <c r="B262" s="60" t="n">
        <v>45870</v>
      </c>
      <c r="C262" s="21" t="n">
        <v>81.40000000000001</v>
      </c>
      <c r="D262" s="21" t="n">
        <v>60.21</v>
      </c>
      <c r="E262" s="21" t="n">
        <v>20.21</v>
      </c>
      <c r="F262" s="27">
        <f>IFERROR(IF(OR(C262="",D262="",C262=0),"",D262/C262),"")</f>
        <v/>
      </c>
      <c r="G262" s="21">
        <f>IFERROR(INDEX(Users!$A$2:$A$310,MATCH(A262,Users!$B$2:$B$310,0)),"")</f>
        <v/>
      </c>
      <c r="H262" s="21">
        <f>IFERROR(INDEX(Users!$D$2:$D$310,MATCH(A262,Users!$B$2:$B$310,0)),"")</f>
        <v/>
      </c>
      <c r="I262" s="19">
        <f>AND(G262="Service A",H262="Band 3")</f>
        <v/>
      </c>
      <c r="J262" s="33">
        <f>IF(AND(YEAR(B262)=2025,G262="Service B",OR(H262="Band 3",H262="Band 5"),ISNUMBER(F262)),F262,"")</f>
        <v/>
      </c>
    </row>
    <row r="263">
      <c r="A263" s="19" t="inlineStr">
        <is>
          <t>User1037</t>
        </is>
      </c>
      <c r="B263" s="60" t="n">
        <v>45901</v>
      </c>
      <c r="C263" s="21" t="n">
        <v>103.6</v>
      </c>
      <c r="D263" s="21" t="n">
        <v>102.7366666666667</v>
      </c>
      <c r="E263" s="21" t="n">
        <v>39.82</v>
      </c>
      <c r="F263" s="27">
        <f>IFERROR(IF(OR(C263="",D263="",C263=0),"",D263/C263),"")</f>
        <v/>
      </c>
      <c r="G263" s="21">
        <f>IFERROR(INDEX(Users!$A$2:$A$310,MATCH(A263,Users!$B$2:$B$310,0)),"")</f>
        <v/>
      </c>
      <c r="H263" s="21">
        <f>IFERROR(INDEX(Users!$D$2:$D$310,MATCH(A263,Users!$B$2:$B$310,0)),"")</f>
        <v/>
      </c>
      <c r="I263" s="19">
        <f>AND(G263="Service A",H263="Band 3")</f>
        <v/>
      </c>
      <c r="J263" s="33">
        <f>IF(AND(YEAR(B263)=2025,G263="Service B",OR(H263="Band 3",H263="Band 5"),ISNUMBER(F263)),F263,"")</f>
        <v/>
      </c>
    </row>
    <row r="264">
      <c r="A264" s="19" t="inlineStr">
        <is>
          <t>User1037</t>
        </is>
      </c>
      <c r="B264" s="60" t="n">
        <v>45931</v>
      </c>
      <c r="C264" s="21" t="n">
        <v>96.20000000000002</v>
      </c>
      <c r="D264" s="21" t="n">
        <v>78.19333333333334</v>
      </c>
      <c r="E264" s="21" t="n">
        <v>39.86000000000001</v>
      </c>
      <c r="F264" s="27">
        <f>IFERROR(IF(OR(C264="",D264="",C264=0),"",D264/C264),"")</f>
        <v/>
      </c>
      <c r="G264" s="21">
        <f>IFERROR(INDEX(Users!$A$2:$A$310,MATCH(A264,Users!$B$2:$B$310,0)),"")</f>
        <v/>
      </c>
      <c r="H264" s="21">
        <f>IFERROR(INDEX(Users!$D$2:$D$310,MATCH(A264,Users!$B$2:$B$310,0)),"")</f>
        <v/>
      </c>
      <c r="I264" s="19">
        <f>AND(G264="Service A",H264="Band 3")</f>
        <v/>
      </c>
      <c r="J264" s="33">
        <f>IF(AND(YEAR(B264)=2025,G264="Service B",OR(H264="Band 3",H264="Band 5"),ISNUMBER(F264)),F264,"")</f>
        <v/>
      </c>
    </row>
    <row r="265">
      <c r="A265" s="19" t="inlineStr">
        <is>
          <t>User1037</t>
        </is>
      </c>
      <c r="B265" s="60" t="n">
        <v>45962</v>
      </c>
      <c r="C265" s="21" t="n">
        <v>88.80000000000001</v>
      </c>
      <c r="D265" s="21" t="n">
        <v>89.51000000000001</v>
      </c>
      <c r="E265" s="21" t="n">
        <v>43.76000000000001</v>
      </c>
      <c r="F265" s="27">
        <f>IFERROR(IF(OR(C265="",D265="",C265=0),"",D265/C265),"")</f>
        <v/>
      </c>
      <c r="G265" s="21">
        <f>IFERROR(INDEX(Users!$A$2:$A$310,MATCH(A265,Users!$B$2:$B$310,0)),"")</f>
        <v/>
      </c>
      <c r="H265" s="21">
        <f>IFERROR(INDEX(Users!$D$2:$D$310,MATCH(A265,Users!$B$2:$B$310,0)),"")</f>
        <v/>
      </c>
      <c r="I265" s="19">
        <f>AND(G265="Service A",H265="Band 3")</f>
        <v/>
      </c>
      <c r="J265" s="33">
        <f>IF(AND(YEAR(B265)=2025,G265="Service B",OR(H265="Band 3",H265="Band 5"),ISNUMBER(F265)),F265,"")</f>
        <v/>
      </c>
    </row>
    <row r="266">
      <c r="A266" s="19" t="inlineStr">
        <is>
          <t>User1037</t>
        </is>
      </c>
      <c r="B266" s="60" t="n">
        <v>45992</v>
      </c>
      <c r="C266" s="21" t="n">
        <v>96.2</v>
      </c>
      <c r="D266" s="21" t="n">
        <v>77.15000000000001</v>
      </c>
      <c r="E266" s="21" t="n">
        <v>31.15</v>
      </c>
      <c r="F266" s="27">
        <f>IFERROR(IF(OR(C266="",D266="",C266=0),"",D266/C266),"")</f>
        <v/>
      </c>
      <c r="G266" s="21">
        <f>IFERROR(INDEX(Users!$A$2:$A$310,MATCH(A266,Users!$B$2:$B$310,0)),"")</f>
        <v/>
      </c>
      <c r="H266" s="21">
        <f>IFERROR(INDEX(Users!$D$2:$D$310,MATCH(A266,Users!$B$2:$B$310,0)),"")</f>
        <v/>
      </c>
      <c r="I266" s="19">
        <f>AND(G266="Service A",H266="Band 3")</f>
        <v/>
      </c>
      <c r="J266" s="33">
        <f>IF(AND(YEAR(B266)=2025,G266="Service B",OR(H266="Band 3",H266="Band 5"),ISNUMBER(F266)),F266,"")</f>
        <v/>
      </c>
    </row>
    <row r="267">
      <c r="A267" s="19" t="inlineStr">
        <is>
          <t>User1037</t>
        </is>
      </c>
      <c r="B267" s="60" t="n">
        <v>46023</v>
      </c>
      <c r="C267" s="21" t="n">
        <v>88.80000000000001</v>
      </c>
      <c r="D267" s="21" t="n">
        <v>104.2466666666667</v>
      </c>
      <c r="E267" s="21" t="n">
        <v>34.83</v>
      </c>
      <c r="F267" s="27">
        <f>IFERROR(IF(OR(C267="",D267="",C267=0),"",D267/C267),"")</f>
        <v/>
      </c>
      <c r="G267" s="21">
        <f>IFERROR(INDEX(Users!$A$2:$A$310,MATCH(A267,Users!$B$2:$B$310,0)),"")</f>
        <v/>
      </c>
      <c r="H267" s="21">
        <f>IFERROR(INDEX(Users!$D$2:$D$310,MATCH(A267,Users!$B$2:$B$310,0)),"")</f>
        <v/>
      </c>
      <c r="I267" s="19">
        <f>AND(G267="Service A",H267="Band 3")</f>
        <v/>
      </c>
      <c r="J267" s="33">
        <f>IF(AND(YEAR(B267)=2025,G267="Service B",OR(H267="Band 3",H267="Band 5"),ISNUMBER(F267)),F267,"")</f>
        <v/>
      </c>
    </row>
    <row r="268">
      <c r="A268" s="19" t="inlineStr">
        <is>
          <t>User1038</t>
        </is>
      </c>
      <c r="B268" s="60" t="n"/>
      <c r="C268" s="21" t="n"/>
      <c r="D268" s="21" t="n">
        <v>0</v>
      </c>
      <c r="E268" s="21" t="n">
        <v>0</v>
      </c>
      <c r="F268" s="27">
        <f>IFERROR(IF(OR(C268="",D268="",C268=0),"",D268/C268),"")</f>
        <v/>
      </c>
      <c r="G268" s="21">
        <f>IFERROR(INDEX(Users!$A$2:$A$310,MATCH(A268,Users!$B$2:$B$310,0)),"")</f>
        <v/>
      </c>
      <c r="H268" s="21">
        <f>IFERROR(INDEX(Users!$D$2:$D$310,MATCH(A268,Users!$B$2:$B$310,0)),"")</f>
        <v/>
      </c>
      <c r="I268" s="19">
        <f>AND(G268="Service A",H268="Band 3")</f>
        <v/>
      </c>
      <c r="J268" s="33">
        <f>IF(AND(YEAR(B268)=2025,G268="Service B",OR(H268="Band 3",H268="Band 5"),ISNUMBER(F268)),F268,"")</f>
        <v/>
      </c>
    </row>
    <row r="269">
      <c r="A269" s="19" t="inlineStr">
        <is>
          <t>User1038</t>
        </is>
      </c>
      <c r="B269" s="60" t="n">
        <v>45658</v>
      </c>
      <c r="C269" s="21" t="n">
        <v>162.8</v>
      </c>
      <c r="D269" s="21" t="n">
        <v>150.9</v>
      </c>
      <c r="E269" s="21" t="n">
        <v>97</v>
      </c>
      <c r="F269" s="27">
        <f>IFERROR(IF(OR(C269="",D269="",C269=0),"",D269/C269),"")</f>
        <v/>
      </c>
      <c r="G269" s="21">
        <f>IFERROR(INDEX(Users!$A$2:$A$310,MATCH(A269,Users!$B$2:$B$310,0)),"")</f>
        <v/>
      </c>
      <c r="H269" s="21">
        <f>IFERROR(INDEX(Users!$D$2:$D$310,MATCH(A269,Users!$B$2:$B$310,0)),"")</f>
        <v/>
      </c>
      <c r="I269" s="19">
        <f>AND(G269="Service A",H269="Band 3")</f>
        <v/>
      </c>
      <c r="J269" s="33">
        <f>IF(AND(YEAR(B269)=2025,G269="Service B",OR(H269="Band 3",H269="Band 5"),ISNUMBER(F269)),F269,"")</f>
        <v/>
      </c>
    </row>
    <row r="270">
      <c r="A270" s="19" t="inlineStr">
        <is>
          <t>User1038</t>
        </is>
      </c>
      <c r="B270" s="60" t="n">
        <v>45689</v>
      </c>
      <c r="C270" s="21" t="n">
        <v>148</v>
      </c>
      <c r="D270" s="21" t="n">
        <v>101.2</v>
      </c>
      <c r="E270" s="21" t="n">
        <v>69.45</v>
      </c>
      <c r="F270" s="27">
        <f>IFERROR(IF(OR(C270="",D270="",C270=0),"",D270/C270),"")</f>
        <v/>
      </c>
      <c r="G270" s="21">
        <f>IFERROR(INDEX(Users!$A$2:$A$310,MATCH(A270,Users!$B$2:$B$310,0)),"")</f>
        <v/>
      </c>
      <c r="H270" s="21">
        <f>IFERROR(INDEX(Users!$D$2:$D$310,MATCH(A270,Users!$B$2:$B$310,0)),"")</f>
        <v/>
      </c>
      <c r="I270" s="19">
        <f>AND(G270="Service A",H270="Band 3")</f>
        <v/>
      </c>
      <c r="J270" s="33">
        <f>IF(AND(YEAR(B270)=2025,G270="Service B",OR(H270="Band 3",H270="Band 5"),ISNUMBER(F270)),F270,"")</f>
        <v/>
      </c>
    </row>
    <row r="271">
      <c r="A271" s="19" t="inlineStr">
        <is>
          <t>User1038</t>
        </is>
      </c>
      <c r="B271" s="60" t="n">
        <v>45717</v>
      </c>
      <c r="C271" s="21" t="n">
        <v>155.4</v>
      </c>
      <c r="D271" s="21" t="n">
        <v>159.77</v>
      </c>
      <c r="E271" s="21" t="n">
        <v>114.27</v>
      </c>
      <c r="F271" s="27">
        <f>IFERROR(IF(OR(C271="",D271="",C271=0),"",D271/C271),"")</f>
        <v/>
      </c>
      <c r="G271" s="21">
        <f>IFERROR(INDEX(Users!$A$2:$A$310,MATCH(A271,Users!$B$2:$B$310,0)),"")</f>
        <v/>
      </c>
      <c r="H271" s="21">
        <f>IFERROR(INDEX(Users!$D$2:$D$310,MATCH(A271,Users!$B$2:$B$310,0)),"")</f>
        <v/>
      </c>
      <c r="I271" s="19">
        <f>AND(G271="Service A",H271="Band 3")</f>
        <v/>
      </c>
      <c r="J271" s="33">
        <f>IF(AND(YEAR(B271)=2025,G271="Service B",OR(H271="Band 3",H271="Band 5"),ISNUMBER(F271)),F271,"")</f>
        <v/>
      </c>
    </row>
    <row r="272">
      <c r="A272" s="19" t="inlineStr">
        <is>
          <t>User1038</t>
        </is>
      </c>
      <c r="B272" s="60" t="n">
        <v>45748</v>
      </c>
      <c r="C272" s="21" t="n">
        <v>148</v>
      </c>
      <c r="D272" s="21" t="n">
        <v>130.25</v>
      </c>
      <c r="E272" s="21" t="n">
        <v>83.5</v>
      </c>
      <c r="F272" s="27">
        <f>IFERROR(IF(OR(C272="",D272="",C272=0),"",D272/C272),"")</f>
        <v/>
      </c>
      <c r="G272" s="21">
        <f>IFERROR(INDEX(Users!$A$2:$A$310,MATCH(A272,Users!$B$2:$B$310,0)),"")</f>
        <v/>
      </c>
      <c r="H272" s="21">
        <f>IFERROR(INDEX(Users!$D$2:$D$310,MATCH(A272,Users!$B$2:$B$310,0)),"")</f>
        <v/>
      </c>
      <c r="I272" s="19">
        <f>AND(G272="Service A",H272="Band 3")</f>
        <v/>
      </c>
      <c r="J272" s="33">
        <f>IF(AND(YEAR(B272)=2025,G272="Service B",OR(H272="Band 3",H272="Band 5"),ISNUMBER(F272)),F272,"")</f>
        <v/>
      </c>
    </row>
    <row r="273">
      <c r="A273" s="19" t="inlineStr">
        <is>
          <t>User1038</t>
        </is>
      </c>
      <c r="B273" s="60" t="n">
        <v>45778</v>
      </c>
      <c r="C273" s="21" t="n">
        <v>148</v>
      </c>
      <c r="D273" s="21" t="n">
        <v>147.62</v>
      </c>
      <c r="E273" s="21" t="n">
        <v>108.12</v>
      </c>
      <c r="F273" s="27">
        <f>IFERROR(IF(OR(C273="",D273="",C273=0),"",D273/C273),"")</f>
        <v/>
      </c>
      <c r="G273" s="21">
        <f>IFERROR(INDEX(Users!$A$2:$A$310,MATCH(A273,Users!$B$2:$B$310,0)),"")</f>
        <v/>
      </c>
      <c r="H273" s="21">
        <f>IFERROR(INDEX(Users!$D$2:$D$310,MATCH(A273,Users!$B$2:$B$310,0)),"")</f>
        <v/>
      </c>
      <c r="I273" s="19">
        <f>AND(G273="Service A",H273="Band 3")</f>
        <v/>
      </c>
      <c r="J273" s="33">
        <f>IF(AND(YEAR(B273)=2025,G273="Service B",OR(H273="Band 3",H273="Band 5"),ISNUMBER(F273)),F273,"")</f>
        <v/>
      </c>
    </row>
    <row r="274">
      <c r="A274" s="19" t="inlineStr">
        <is>
          <t>User1038</t>
        </is>
      </c>
      <c r="B274" s="60" t="n">
        <v>45809</v>
      </c>
      <c r="C274" s="21" t="n">
        <v>155.4</v>
      </c>
      <c r="D274" s="21" t="n">
        <v>140.04</v>
      </c>
      <c r="E274" s="21" t="n">
        <v>99.03999999999999</v>
      </c>
      <c r="F274" s="27">
        <f>IFERROR(IF(OR(C274="",D274="",C274=0),"",D274/C274),"")</f>
        <v/>
      </c>
      <c r="G274" s="21">
        <f>IFERROR(INDEX(Users!$A$2:$A$310,MATCH(A274,Users!$B$2:$B$310,0)),"")</f>
        <v/>
      </c>
      <c r="H274" s="21">
        <f>IFERROR(INDEX(Users!$D$2:$D$310,MATCH(A274,Users!$B$2:$B$310,0)),"")</f>
        <v/>
      </c>
      <c r="I274" s="19">
        <f>AND(G274="Service A",H274="Band 3")</f>
        <v/>
      </c>
      <c r="J274" s="33">
        <f>IF(AND(YEAR(B274)=2025,G274="Service B",OR(H274="Band 3",H274="Band 5"),ISNUMBER(F274)),F274,"")</f>
        <v/>
      </c>
    </row>
    <row r="275">
      <c r="A275" s="19" t="inlineStr">
        <is>
          <t>User1038</t>
        </is>
      </c>
      <c r="B275" s="60" t="n">
        <v>45839</v>
      </c>
      <c r="C275" s="21" t="n">
        <v>170.2</v>
      </c>
      <c r="D275" s="21" t="n">
        <v>126.3533333333333</v>
      </c>
      <c r="E275" s="21" t="n">
        <v>91.52000000000001</v>
      </c>
      <c r="F275" s="27">
        <f>IFERROR(IF(OR(C275="",D275="",C275=0),"",D275/C275),"")</f>
        <v/>
      </c>
      <c r="G275" s="21">
        <f>IFERROR(INDEX(Users!$A$2:$A$310,MATCH(A275,Users!$B$2:$B$310,0)),"")</f>
        <v/>
      </c>
      <c r="H275" s="21">
        <f>IFERROR(INDEX(Users!$D$2:$D$310,MATCH(A275,Users!$B$2:$B$310,0)),"")</f>
        <v/>
      </c>
      <c r="I275" s="19">
        <f>AND(G275="Service A",H275="Band 3")</f>
        <v/>
      </c>
      <c r="J275" s="33">
        <f>IF(AND(YEAR(B275)=2025,G275="Service B",OR(H275="Band 3",H275="Band 5"),ISNUMBER(F275)),F275,"")</f>
        <v/>
      </c>
    </row>
    <row r="276">
      <c r="A276" s="19" t="inlineStr">
        <is>
          <t>User1038</t>
        </is>
      </c>
      <c r="B276" s="60" t="n">
        <v>45870</v>
      </c>
      <c r="C276" s="21" t="n">
        <v>148</v>
      </c>
      <c r="D276" s="21" t="n">
        <v>142.0866666666667</v>
      </c>
      <c r="E276" s="21" t="n">
        <v>104.17</v>
      </c>
      <c r="F276" s="27">
        <f>IFERROR(IF(OR(C276="",D276="",C276=0),"",D276/C276),"")</f>
        <v/>
      </c>
      <c r="G276" s="21">
        <f>IFERROR(INDEX(Users!$A$2:$A$310,MATCH(A276,Users!$B$2:$B$310,0)),"")</f>
        <v/>
      </c>
      <c r="H276" s="21">
        <f>IFERROR(INDEX(Users!$D$2:$D$310,MATCH(A276,Users!$B$2:$B$310,0)),"")</f>
        <v/>
      </c>
      <c r="I276" s="19">
        <f>AND(G276="Service A",H276="Band 3")</f>
        <v/>
      </c>
      <c r="J276" s="33">
        <f>IF(AND(YEAR(B276)=2025,G276="Service B",OR(H276="Band 3",H276="Band 5"),ISNUMBER(F276)),F276,"")</f>
        <v/>
      </c>
    </row>
    <row r="277">
      <c r="A277" s="19" t="inlineStr">
        <is>
          <t>User1038</t>
        </is>
      </c>
      <c r="B277" s="60" t="n">
        <v>45901</v>
      </c>
      <c r="C277" s="21" t="n">
        <v>162.8</v>
      </c>
      <c r="D277" s="21" t="n">
        <v>155.42</v>
      </c>
      <c r="E277" s="21" t="n">
        <v>110.42</v>
      </c>
      <c r="F277" s="27">
        <f>IFERROR(IF(OR(C277="",D277="",C277=0),"",D277/C277),"")</f>
        <v/>
      </c>
      <c r="G277" s="21">
        <f>IFERROR(INDEX(Users!$A$2:$A$310,MATCH(A277,Users!$B$2:$B$310,0)),"")</f>
        <v/>
      </c>
      <c r="H277" s="21">
        <f>IFERROR(INDEX(Users!$D$2:$D$310,MATCH(A277,Users!$B$2:$B$310,0)),"")</f>
        <v/>
      </c>
      <c r="I277" s="19">
        <f>AND(G277="Service A",H277="Band 3")</f>
        <v/>
      </c>
      <c r="J277" s="33">
        <f>IF(AND(YEAR(B277)=2025,G277="Service B",OR(H277="Band 3",H277="Band 5"),ISNUMBER(F277)),F277,"")</f>
        <v/>
      </c>
    </row>
    <row r="278">
      <c r="A278" s="19" t="inlineStr">
        <is>
          <t>User1038</t>
        </is>
      </c>
      <c r="B278" s="60" t="n">
        <v>45931</v>
      </c>
      <c r="C278" s="21" t="n">
        <v>170.2</v>
      </c>
      <c r="D278" s="21" t="n">
        <v>171.4</v>
      </c>
      <c r="E278" s="21" t="n">
        <v>121.25</v>
      </c>
      <c r="F278" s="27">
        <f>IFERROR(IF(OR(C278="",D278="",C278=0),"",D278/C278),"")</f>
        <v/>
      </c>
      <c r="G278" s="21">
        <f>IFERROR(INDEX(Users!$A$2:$A$310,MATCH(A278,Users!$B$2:$B$310,0)),"")</f>
        <v/>
      </c>
      <c r="H278" s="21">
        <f>IFERROR(INDEX(Users!$D$2:$D$310,MATCH(A278,Users!$B$2:$B$310,0)),"")</f>
        <v/>
      </c>
      <c r="I278" s="19">
        <f>AND(G278="Service A",H278="Band 3")</f>
        <v/>
      </c>
      <c r="J278" s="33">
        <f>IF(AND(YEAR(B278)=2025,G278="Service B",OR(H278="Band 3",H278="Band 5"),ISNUMBER(F278)),F278,"")</f>
        <v/>
      </c>
    </row>
    <row r="279">
      <c r="A279" s="19" t="inlineStr">
        <is>
          <t>User1038</t>
        </is>
      </c>
      <c r="B279" s="60" t="n">
        <v>45962</v>
      </c>
      <c r="C279" s="21" t="n">
        <v>148</v>
      </c>
      <c r="D279" s="21" t="n">
        <v>148.77</v>
      </c>
      <c r="E279" s="21" t="n">
        <v>114.77</v>
      </c>
      <c r="F279" s="27">
        <f>IFERROR(IF(OR(C279="",D279="",C279=0),"",D279/C279),"")</f>
        <v/>
      </c>
      <c r="G279" s="21">
        <f>IFERROR(INDEX(Users!$A$2:$A$310,MATCH(A279,Users!$B$2:$B$310,0)),"")</f>
        <v/>
      </c>
      <c r="H279" s="21">
        <f>IFERROR(INDEX(Users!$D$2:$D$310,MATCH(A279,Users!$B$2:$B$310,0)),"")</f>
        <v/>
      </c>
      <c r="I279" s="19">
        <f>AND(G279="Service A",H279="Band 3")</f>
        <v/>
      </c>
      <c r="J279" s="33">
        <f>IF(AND(YEAR(B279)=2025,G279="Service B",OR(H279="Band 3",H279="Band 5"),ISNUMBER(F279)),F279,"")</f>
        <v/>
      </c>
    </row>
    <row r="280">
      <c r="A280" s="19" t="inlineStr">
        <is>
          <t>User1038</t>
        </is>
      </c>
      <c r="B280" s="60" t="n">
        <v>45992</v>
      </c>
      <c r="C280" s="21" t="n">
        <v>155.4</v>
      </c>
      <c r="D280" s="21" t="n">
        <v>157.25</v>
      </c>
      <c r="E280" s="21" t="n">
        <v>118.5</v>
      </c>
      <c r="F280" s="27">
        <f>IFERROR(IF(OR(C280="",D280="",C280=0),"",D280/C280),"")</f>
        <v/>
      </c>
      <c r="G280" s="21">
        <f>IFERROR(INDEX(Users!$A$2:$A$310,MATCH(A280,Users!$B$2:$B$310,0)),"")</f>
        <v/>
      </c>
      <c r="H280" s="21">
        <f>IFERROR(INDEX(Users!$D$2:$D$310,MATCH(A280,Users!$B$2:$B$310,0)),"")</f>
        <v/>
      </c>
      <c r="I280" s="19">
        <f>AND(G280="Service A",H280="Band 3")</f>
        <v/>
      </c>
      <c r="J280" s="33">
        <f>IF(AND(YEAR(B280)=2025,G280="Service B",OR(H280="Band 3",H280="Band 5"),ISNUMBER(F280)),F280,"")</f>
        <v/>
      </c>
    </row>
    <row r="281">
      <c r="A281" s="19" t="inlineStr">
        <is>
          <t>User1038</t>
        </is>
      </c>
      <c r="B281" s="60" t="n">
        <v>46023</v>
      </c>
      <c r="C281" s="21" t="n">
        <v>155.4</v>
      </c>
      <c r="D281" s="21" t="n">
        <v>152.5</v>
      </c>
      <c r="E281" s="21" t="n">
        <v>114.5</v>
      </c>
      <c r="F281" s="27">
        <f>IFERROR(IF(OR(C281="",D281="",C281=0),"",D281/C281),"")</f>
        <v/>
      </c>
      <c r="G281" s="21">
        <f>IFERROR(INDEX(Users!$A$2:$A$310,MATCH(A281,Users!$B$2:$B$310,0)),"")</f>
        <v/>
      </c>
      <c r="H281" s="21">
        <f>IFERROR(INDEX(Users!$D$2:$D$310,MATCH(A281,Users!$B$2:$B$310,0)),"")</f>
        <v/>
      </c>
      <c r="I281" s="19">
        <f>AND(G281="Service A",H281="Band 3")</f>
        <v/>
      </c>
      <c r="J281" s="33">
        <f>IF(AND(YEAR(B281)=2025,G281="Service B",OR(H281="Band 3",H281="Band 5"),ISNUMBER(F281)),F281,"")</f>
        <v/>
      </c>
    </row>
    <row r="282">
      <c r="A282" s="19" t="inlineStr">
        <is>
          <t>User1039</t>
        </is>
      </c>
      <c r="B282" s="60" t="n">
        <v>45658</v>
      </c>
      <c r="C282" s="21" t="n">
        <v>162.8</v>
      </c>
      <c r="D282" s="21" t="n">
        <v>137.3611111111111</v>
      </c>
      <c r="E282" s="21" t="n">
        <v>11.68</v>
      </c>
      <c r="F282" s="27">
        <f>IFERROR(IF(OR(C282="",D282="",C282=0),"",D282/C282),"")</f>
        <v/>
      </c>
      <c r="G282" s="21">
        <f>IFERROR(INDEX(Users!$A$2:$A$310,MATCH(A282,Users!$B$2:$B$310,0)),"")</f>
        <v/>
      </c>
      <c r="H282" s="21">
        <f>IFERROR(INDEX(Users!$D$2:$D$310,MATCH(A282,Users!$B$2:$B$310,0)),"")</f>
        <v/>
      </c>
      <c r="I282" s="19">
        <f>AND(G282="Service A",H282="Band 3")</f>
        <v/>
      </c>
      <c r="J282" s="33">
        <f>IF(AND(YEAR(B282)=2025,G282="Service B",OR(H282="Band 3",H282="Band 5"),ISNUMBER(F282)),F282,"")</f>
        <v/>
      </c>
    </row>
    <row r="283">
      <c r="A283" s="19" t="inlineStr">
        <is>
          <t>User1039</t>
        </is>
      </c>
      <c r="B283" s="60" t="n">
        <v>45689</v>
      </c>
      <c r="C283" s="21" t="n">
        <v>148</v>
      </c>
      <c r="D283" s="21" t="n">
        <v>141.8197222222223</v>
      </c>
      <c r="E283" s="21" t="n">
        <v>31.49</v>
      </c>
      <c r="F283" s="27">
        <f>IFERROR(IF(OR(C283="",D283="",C283=0),"",D283/C283),"")</f>
        <v/>
      </c>
      <c r="G283" s="21">
        <f>IFERROR(INDEX(Users!$A$2:$A$310,MATCH(A283,Users!$B$2:$B$310,0)),"")</f>
        <v/>
      </c>
      <c r="H283" s="21">
        <f>IFERROR(INDEX(Users!$D$2:$D$310,MATCH(A283,Users!$B$2:$B$310,0)),"")</f>
        <v/>
      </c>
      <c r="I283" s="19">
        <f>AND(G283="Service A",H283="Band 3")</f>
        <v/>
      </c>
      <c r="J283" s="33">
        <f>IF(AND(YEAR(B283)=2025,G283="Service B",OR(H283="Band 3",H283="Band 5"),ISNUMBER(F283)),F283,"")</f>
        <v/>
      </c>
    </row>
    <row r="284">
      <c r="A284" s="19" t="inlineStr">
        <is>
          <t>User1039</t>
        </is>
      </c>
      <c r="B284" s="60" t="n">
        <v>45717</v>
      </c>
      <c r="C284" s="21" t="n">
        <v>155.4</v>
      </c>
      <c r="D284" s="21" t="n">
        <v>117.82</v>
      </c>
      <c r="E284" s="21" t="n">
        <v>44.02</v>
      </c>
      <c r="F284" s="27">
        <f>IFERROR(IF(OR(C284="",D284="",C284=0),"",D284/C284),"")</f>
        <v/>
      </c>
      <c r="G284" s="21">
        <f>IFERROR(INDEX(Users!$A$2:$A$310,MATCH(A284,Users!$B$2:$B$310,0)),"")</f>
        <v/>
      </c>
      <c r="H284" s="21">
        <f>IFERROR(INDEX(Users!$D$2:$D$310,MATCH(A284,Users!$B$2:$B$310,0)),"")</f>
        <v/>
      </c>
      <c r="I284" s="19">
        <f>AND(G284="Service A",H284="Band 3")</f>
        <v/>
      </c>
      <c r="J284" s="33">
        <f>IF(AND(YEAR(B284)=2025,G284="Service B",OR(H284="Band 3",H284="Band 5"),ISNUMBER(F284)),F284,"")</f>
        <v/>
      </c>
    </row>
    <row r="285">
      <c r="A285" s="19" t="inlineStr">
        <is>
          <t>User1039</t>
        </is>
      </c>
      <c r="B285" s="60" t="n">
        <v>45748</v>
      </c>
      <c r="C285" s="21" t="n">
        <v>148</v>
      </c>
      <c r="D285" s="21" t="n">
        <v>140.0033333333333</v>
      </c>
      <c r="E285" s="21" t="n">
        <v>84.02</v>
      </c>
      <c r="F285" s="27">
        <f>IFERROR(IF(OR(C285="",D285="",C285=0),"",D285/C285),"")</f>
        <v/>
      </c>
      <c r="G285" s="21">
        <f>IFERROR(INDEX(Users!$A$2:$A$310,MATCH(A285,Users!$B$2:$B$310,0)),"")</f>
        <v/>
      </c>
      <c r="H285" s="21">
        <f>IFERROR(INDEX(Users!$D$2:$D$310,MATCH(A285,Users!$B$2:$B$310,0)),"")</f>
        <v/>
      </c>
      <c r="I285" s="19">
        <f>AND(G285="Service A",H285="Band 3")</f>
        <v/>
      </c>
      <c r="J285" s="33">
        <f>IF(AND(YEAR(B285)=2025,G285="Service B",OR(H285="Band 3",H285="Band 5"),ISNUMBER(F285)),F285,"")</f>
        <v/>
      </c>
    </row>
    <row r="286">
      <c r="A286" s="19" t="inlineStr">
        <is>
          <t>User1039</t>
        </is>
      </c>
      <c r="B286" s="60" t="n">
        <v>45778</v>
      </c>
      <c r="C286" s="21" t="n">
        <v>148</v>
      </c>
      <c r="D286" s="21" t="n">
        <v>131.49</v>
      </c>
      <c r="E286" s="21" t="n">
        <v>77.18999999999998</v>
      </c>
      <c r="F286" s="27">
        <f>IFERROR(IF(OR(C286="",D286="",C286=0),"",D286/C286),"")</f>
        <v/>
      </c>
      <c r="G286" s="21">
        <f>IFERROR(INDEX(Users!$A$2:$A$310,MATCH(A286,Users!$B$2:$B$310,0)),"")</f>
        <v/>
      </c>
      <c r="H286" s="21">
        <f>IFERROR(INDEX(Users!$D$2:$D$310,MATCH(A286,Users!$B$2:$B$310,0)),"")</f>
        <v/>
      </c>
      <c r="I286" s="19">
        <f>AND(G286="Service A",H286="Band 3")</f>
        <v/>
      </c>
      <c r="J286" s="33">
        <f>IF(AND(YEAR(B286)=2025,G286="Service B",OR(H286="Band 3",H286="Band 5"),ISNUMBER(F286)),F286,"")</f>
        <v/>
      </c>
    </row>
    <row r="287">
      <c r="A287" s="19" t="inlineStr">
        <is>
          <t>User1039</t>
        </is>
      </c>
      <c r="B287" s="60" t="n">
        <v>45809</v>
      </c>
      <c r="C287" s="21" t="n">
        <v>155.4</v>
      </c>
      <c r="D287" s="21" t="n">
        <v>131.6633333333333</v>
      </c>
      <c r="E287" s="21" t="n">
        <v>66.83</v>
      </c>
      <c r="F287" s="27">
        <f>IFERROR(IF(OR(C287="",D287="",C287=0),"",D287/C287),"")</f>
        <v/>
      </c>
      <c r="G287" s="21">
        <f>IFERROR(INDEX(Users!$A$2:$A$310,MATCH(A287,Users!$B$2:$B$310,0)),"")</f>
        <v/>
      </c>
      <c r="H287" s="21">
        <f>IFERROR(INDEX(Users!$D$2:$D$310,MATCH(A287,Users!$B$2:$B$310,0)),"")</f>
        <v/>
      </c>
      <c r="I287" s="19">
        <f>AND(G287="Service A",H287="Band 3")</f>
        <v/>
      </c>
      <c r="J287" s="33">
        <f>IF(AND(YEAR(B287)=2025,G287="Service B",OR(H287="Band 3",H287="Band 5"),ISNUMBER(F287)),F287,"")</f>
        <v/>
      </c>
    </row>
    <row r="288">
      <c r="A288" s="19" t="inlineStr">
        <is>
          <t>User1039</t>
        </is>
      </c>
      <c r="B288" s="60" t="n">
        <v>45839</v>
      </c>
      <c r="C288" s="21" t="n">
        <v>170.2</v>
      </c>
      <c r="D288" s="21" t="n">
        <v>135.6066666666667</v>
      </c>
      <c r="E288" s="21" t="n">
        <v>64.03999999999999</v>
      </c>
      <c r="F288" s="27">
        <f>IFERROR(IF(OR(C288="",D288="",C288=0),"",D288/C288),"")</f>
        <v/>
      </c>
      <c r="G288" s="21">
        <f>IFERROR(INDEX(Users!$A$2:$A$310,MATCH(A288,Users!$B$2:$B$310,0)),"")</f>
        <v/>
      </c>
      <c r="H288" s="21">
        <f>IFERROR(INDEX(Users!$D$2:$D$310,MATCH(A288,Users!$B$2:$B$310,0)),"")</f>
        <v/>
      </c>
      <c r="I288" s="19">
        <f>AND(G288="Service A",H288="Band 3")</f>
        <v/>
      </c>
      <c r="J288" s="33">
        <f>IF(AND(YEAR(B288)=2025,G288="Service B",OR(H288="Band 3",H288="Band 5"),ISNUMBER(F288)),F288,"")</f>
        <v/>
      </c>
    </row>
    <row r="289">
      <c r="A289" s="19" t="inlineStr">
        <is>
          <t>User1039</t>
        </is>
      </c>
      <c r="B289" s="60" t="n">
        <v>45870</v>
      </c>
      <c r="C289" s="21" t="n">
        <v>148</v>
      </c>
      <c r="D289" s="21" t="n">
        <v>110.7166666666667</v>
      </c>
      <c r="E289" s="21" t="n">
        <v>66.59999999999999</v>
      </c>
      <c r="F289" s="27">
        <f>IFERROR(IF(OR(C289="",D289="",C289=0),"",D289/C289),"")</f>
        <v/>
      </c>
      <c r="G289" s="21">
        <f>IFERROR(INDEX(Users!$A$2:$A$310,MATCH(A289,Users!$B$2:$B$310,0)),"")</f>
        <v/>
      </c>
      <c r="H289" s="21">
        <f>IFERROR(INDEX(Users!$D$2:$D$310,MATCH(A289,Users!$B$2:$B$310,0)),"")</f>
        <v/>
      </c>
      <c r="I289" s="19">
        <f>AND(G289="Service A",H289="Band 3")</f>
        <v/>
      </c>
      <c r="J289" s="33">
        <f>IF(AND(YEAR(B289)=2025,G289="Service B",OR(H289="Band 3",H289="Band 5"),ISNUMBER(F289)),F289,"")</f>
        <v/>
      </c>
    </row>
    <row r="290">
      <c r="A290" s="19" t="inlineStr">
        <is>
          <t>User1039</t>
        </is>
      </c>
      <c r="B290" s="60" t="n">
        <v>45901</v>
      </c>
      <c r="C290" s="21" t="n">
        <v>162.8</v>
      </c>
      <c r="D290" s="21" t="n">
        <v>143.09</v>
      </c>
      <c r="E290" s="21" t="n">
        <v>92.84</v>
      </c>
      <c r="F290" s="27">
        <f>IFERROR(IF(OR(C290="",D290="",C290=0),"",D290/C290),"")</f>
        <v/>
      </c>
      <c r="G290" s="21">
        <f>IFERROR(INDEX(Users!$A$2:$A$310,MATCH(A290,Users!$B$2:$B$310,0)),"")</f>
        <v/>
      </c>
      <c r="H290" s="21">
        <f>IFERROR(INDEX(Users!$D$2:$D$310,MATCH(A290,Users!$B$2:$B$310,0)),"")</f>
        <v/>
      </c>
      <c r="I290" s="19">
        <f>AND(G290="Service A",H290="Band 3")</f>
        <v/>
      </c>
      <c r="J290" s="33">
        <f>IF(AND(YEAR(B290)=2025,G290="Service B",OR(H290="Band 3",H290="Band 5"),ISNUMBER(F290)),F290,"")</f>
        <v/>
      </c>
    </row>
    <row r="291">
      <c r="A291" s="19" t="inlineStr">
        <is>
          <t>User1039</t>
        </is>
      </c>
      <c r="B291" s="60" t="n">
        <v>45931</v>
      </c>
      <c r="C291" s="21" t="n">
        <v>170.2</v>
      </c>
      <c r="D291" s="21" t="n">
        <v>155.49</v>
      </c>
      <c r="E291" s="21" t="n">
        <v>92.64000000000001</v>
      </c>
      <c r="F291" s="27">
        <f>IFERROR(IF(OR(C291="",D291="",C291=0),"",D291/C291),"")</f>
        <v/>
      </c>
      <c r="G291" s="21">
        <f>IFERROR(INDEX(Users!$A$2:$A$310,MATCH(A291,Users!$B$2:$B$310,0)),"")</f>
        <v/>
      </c>
      <c r="H291" s="21">
        <f>IFERROR(INDEX(Users!$D$2:$D$310,MATCH(A291,Users!$B$2:$B$310,0)),"")</f>
        <v/>
      </c>
      <c r="I291" s="19">
        <f>AND(G291="Service A",H291="Band 3")</f>
        <v/>
      </c>
      <c r="J291" s="33">
        <f>IF(AND(YEAR(B291)=2025,G291="Service B",OR(H291="Band 3",H291="Band 5"),ISNUMBER(F291)),F291,"")</f>
        <v/>
      </c>
    </row>
    <row r="292">
      <c r="A292" s="19" t="inlineStr">
        <is>
          <t>User1039</t>
        </is>
      </c>
      <c r="B292" s="60" t="n">
        <v>45962</v>
      </c>
      <c r="C292" s="21" t="n">
        <v>148</v>
      </c>
      <c r="D292" s="21" t="n">
        <v>97.16999999999999</v>
      </c>
      <c r="E292" s="21" t="n">
        <v>58.37</v>
      </c>
      <c r="F292" s="27">
        <f>IFERROR(IF(OR(C292="",D292="",C292=0),"",D292/C292),"")</f>
        <v/>
      </c>
      <c r="G292" s="21">
        <f>IFERROR(INDEX(Users!$A$2:$A$310,MATCH(A292,Users!$B$2:$B$310,0)),"")</f>
        <v/>
      </c>
      <c r="H292" s="21">
        <f>IFERROR(INDEX(Users!$D$2:$D$310,MATCH(A292,Users!$B$2:$B$310,0)),"")</f>
        <v/>
      </c>
      <c r="I292" s="19">
        <f>AND(G292="Service A",H292="Band 3")</f>
        <v/>
      </c>
      <c r="J292" s="33">
        <f>IF(AND(YEAR(B292)=2025,G292="Service B",OR(H292="Band 3",H292="Band 5"),ISNUMBER(F292)),F292,"")</f>
        <v/>
      </c>
    </row>
    <row r="293">
      <c r="A293" s="19" t="inlineStr">
        <is>
          <t>User1039</t>
        </is>
      </c>
      <c r="B293" s="60" t="n">
        <v>45992</v>
      </c>
      <c r="C293" s="21" t="n">
        <v>155.4</v>
      </c>
      <c r="D293" s="21" t="n">
        <v>157.5866666666666</v>
      </c>
      <c r="E293" s="21" t="n">
        <v>94.96999999999997</v>
      </c>
      <c r="F293" s="27">
        <f>IFERROR(IF(OR(C293="",D293="",C293=0),"",D293/C293),"")</f>
        <v/>
      </c>
      <c r="G293" s="21">
        <f>IFERROR(INDEX(Users!$A$2:$A$310,MATCH(A293,Users!$B$2:$B$310,0)),"")</f>
        <v/>
      </c>
      <c r="H293" s="21">
        <f>IFERROR(INDEX(Users!$D$2:$D$310,MATCH(A293,Users!$B$2:$B$310,0)),"")</f>
        <v/>
      </c>
      <c r="I293" s="19">
        <f>AND(G293="Service A",H293="Band 3")</f>
        <v/>
      </c>
      <c r="J293" s="33">
        <f>IF(AND(YEAR(B293)=2025,G293="Service B",OR(H293="Band 3",H293="Band 5"),ISNUMBER(F293)),F293,"")</f>
        <v/>
      </c>
    </row>
    <row r="294">
      <c r="A294" s="19" t="inlineStr">
        <is>
          <t>User1039</t>
        </is>
      </c>
      <c r="B294" s="60" t="n">
        <v>46023</v>
      </c>
      <c r="C294" s="21" t="n">
        <v>155.4</v>
      </c>
      <c r="D294" s="21" t="n">
        <v>134.84</v>
      </c>
      <c r="E294" s="21" t="n">
        <v>65.33999999999999</v>
      </c>
      <c r="F294" s="27">
        <f>IFERROR(IF(OR(C294="",D294="",C294=0),"",D294/C294),"")</f>
        <v/>
      </c>
      <c r="G294" s="21">
        <f>IFERROR(INDEX(Users!$A$2:$A$310,MATCH(A294,Users!$B$2:$B$310,0)),"")</f>
        <v/>
      </c>
      <c r="H294" s="21">
        <f>IFERROR(INDEX(Users!$D$2:$D$310,MATCH(A294,Users!$B$2:$B$310,0)),"")</f>
        <v/>
      </c>
      <c r="I294" s="19">
        <f>AND(G294="Service A",H294="Band 3")</f>
        <v/>
      </c>
      <c r="J294" s="33">
        <f>IF(AND(YEAR(B294)=2025,G294="Service B",OR(H294="Band 3",H294="Band 5"),ISNUMBER(F294)),F294,"")</f>
        <v/>
      </c>
    </row>
    <row r="295">
      <c r="A295" s="19" t="inlineStr">
        <is>
          <t>User1040</t>
        </is>
      </c>
      <c r="B295" s="60" t="n">
        <v>45658</v>
      </c>
      <c r="C295" s="21" t="n">
        <v>162.8</v>
      </c>
      <c r="D295" s="21" t="n">
        <v>157.1533333333334</v>
      </c>
      <c r="E295" s="21" t="n">
        <v>69.57000000000001</v>
      </c>
      <c r="F295" s="27">
        <f>IFERROR(IF(OR(C295="",D295="",C295=0),"",D295/C295),"")</f>
        <v/>
      </c>
      <c r="G295" s="21">
        <f>IFERROR(INDEX(Users!$A$2:$A$310,MATCH(A295,Users!$B$2:$B$310,0)),"")</f>
        <v/>
      </c>
      <c r="H295" s="21">
        <f>IFERROR(INDEX(Users!$D$2:$D$310,MATCH(A295,Users!$B$2:$B$310,0)),"")</f>
        <v/>
      </c>
      <c r="I295" s="19">
        <f>AND(G295="Service A",H295="Band 3")</f>
        <v/>
      </c>
      <c r="J295" s="33">
        <f>IF(AND(YEAR(B295)=2025,G295="Service B",OR(H295="Band 3",H295="Band 5"),ISNUMBER(F295)),F295,"")</f>
        <v/>
      </c>
    </row>
    <row r="296">
      <c r="A296" s="19" t="inlineStr">
        <is>
          <t>User1040</t>
        </is>
      </c>
      <c r="B296" s="60" t="n">
        <v>45689</v>
      </c>
      <c r="C296" s="21" t="n">
        <v>111</v>
      </c>
      <c r="D296" s="21" t="n">
        <v>114.75</v>
      </c>
      <c r="E296" s="21" t="n">
        <v>27.25</v>
      </c>
      <c r="F296" s="27">
        <f>IFERROR(IF(OR(C296="",D296="",C296=0),"",D296/C296),"")</f>
        <v/>
      </c>
      <c r="G296" s="21">
        <f>IFERROR(INDEX(Users!$A$2:$A$310,MATCH(A296,Users!$B$2:$B$310,0)),"")</f>
        <v/>
      </c>
      <c r="H296" s="21">
        <f>IFERROR(INDEX(Users!$D$2:$D$310,MATCH(A296,Users!$B$2:$B$310,0)),"")</f>
        <v/>
      </c>
      <c r="I296" s="19">
        <f>AND(G296="Service A",H296="Band 3")</f>
        <v/>
      </c>
      <c r="J296" s="33">
        <f>IF(AND(YEAR(B296)=2025,G296="Service B",OR(H296="Band 3",H296="Band 5"),ISNUMBER(F296)),F296,"")</f>
        <v/>
      </c>
    </row>
    <row r="297">
      <c r="A297" s="19" t="inlineStr">
        <is>
          <t>User1041</t>
        </is>
      </c>
      <c r="B297" s="60" t="n">
        <v>45901</v>
      </c>
      <c r="C297" s="21" t="n">
        <v>51.8</v>
      </c>
      <c r="D297" s="21" t="n"/>
      <c r="E297" s="21" t="n"/>
      <c r="F297" s="27">
        <f>IFERROR(IF(OR(C297="",D297="",C297=0),"",D297/C297),"")</f>
        <v/>
      </c>
      <c r="G297" s="21">
        <f>IFERROR(INDEX(Users!$A$2:$A$310,MATCH(A297,Users!$B$2:$B$310,0)),"")</f>
        <v/>
      </c>
      <c r="H297" s="21">
        <f>IFERROR(INDEX(Users!$D$2:$D$310,MATCH(A297,Users!$B$2:$B$310,0)),"")</f>
        <v/>
      </c>
      <c r="I297" s="19">
        <f>AND(G297="Service A",H297="Band 3")</f>
        <v/>
      </c>
      <c r="J297" s="33">
        <f>IF(AND(YEAR(B297)=2025,G297="Service B",OR(H297="Band 3",H297="Band 5"),ISNUMBER(F297)),F297,"")</f>
        <v/>
      </c>
    </row>
    <row r="298">
      <c r="A298" s="19" t="inlineStr">
        <is>
          <t>User1041</t>
        </is>
      </c>
      <c r="B298" s="60" t="n">
        <v>45931</v>
      </c>
      <c r="C298" s="21" t="n">
        <v>170.2000000000001</v>
      </c>
      <c r="D298" s="21" t="n">
        <v>163.24</v>
      </c>
      <c r="E298" s="21" t="n">
        <v>29.24</v>
      </c>
      <c r="F298" s="27">
        <f>IFERROR(IF(OR(C298="",D298="",C298=0),"",D298/C298),"")</f>
        <v/>
      </c>
      <c r="G298" s="21">
        <f>IFERROR(INDEX(Users!$A$2:$A$310,MATCH(A298,Users!$B$2:$B$310,0)),"")</f>
        <v/>
      </c>
      <c r="H298" s="21">
        <f>IFERROR(INDEX(Users!$D$2:$D$310,MATCH(A298,Users!$B$2:$B$310,0)),"")</f>
        <v/>
      </c>
      <c r="I298" s="19">
        <f>AND(G298="Service A",H298="Band 3")</f>
        <v/>
      </c>
      <c r="J298" s="33">
        <f>IF(AND(YEAR(B298)=2025,G298="Service B",OR(H298="Band 3",H298="Band 5"),ISNUMBER(F298)),F298,"")</f>
        <v/>
      </c>
    </row>
    <row r="299">
      <c r="A299" s="19" t="inlineStr">
        <is>
          <t>User1041</t>
        </is>
      </c>
      <c r="B299" s="60" t="n">
        <v>45962</v>
      </c>
      <c r="C299" s="21" t="n">
        <v>148.0000000000001</v>
      </c>
      <c r="D299" s="21" t="n">
        <v>133.2766666666667</v>
      </c>
      <c r="E299" s="21" t="n">
        <v>37.41000000000003</v>
      </c>
      <c r="F299" s="27">
        <f>IFERROR(IF(OR(C299="",D299="",C299=0),"",D299/C299),"")</f>
        <v/>
      </c>
      <c r="G299" s="21">
        <f>IFERROR(INDEX(Users!$A$2:$A$310,MATCH(A299,Users!$B$2:$B$310,0)),"")</f>
        <v/>
      </c>
      <c r="H299" s="21">
        <f>IFERROR(INDEX(Users!$D$2:$D$310,MATCH(A299,Users!$B$2:$B$310,0)),"")</f>
        <v/>
      </c>
      <c r="I299" s="19">
        <f>AND(G299="Service A",H299="Band 3")</f>
        <v/>
      </c>
      <c r="J299" s="33">
        <f>IF(AND(YEAR(B299)=2025,G299="Service B",OR(H299="Band 3",H299="Band 5"),ISNUMBER(F299)),F299,"")</f>
        <v/>
      </c>
    </row>
    <row r="300">
      <c r="A300" s="19" t="inlineStr">
        <is>
          <t>User1041</t>
        </is>
      </c>
      <c r="B300" s="60" t="n">
        <v>45992</v>
      </c>
      <c r="C300" s="21" t="n">
        <v>155.4000000000001</v>
      </c>
      <c r="D300" s="21" t="n">
        <v>156.7533333333334</v>
      </c>
      <c r="E300" s="21" t="n">
        <v>112.47</v>
      </c>
      <c r="F300" s="27">
        <f>IFERROR(IF(OR(C300="",D300="",C300=0),"",D300/C300),"")</f>
        <v/>
      </c>
      <c r="G300" s="21">
        <f>IFERROR(INDEX(Users!$A$2:$A$310,MATCH(A300,Users!$B$2:$B$310,0)),"")</f>
        <v/>
      </c>
      <c r="H300" s="21">
        <f>IFERROR(INDEX(Users!$D$2:$D$310,MATCH(A300,Users!$B$2:$B$310,0)),"")</f>
        <v/>
      </c>
      <c r="I300" s="19">
        <f>AND(G300="Service A",H300="Band 3")</f>
        <v/>
      </c>
      <c r="J300" s="33">
        <f>IF(AND(YEAR(B300)=2025,G300="Service B",OR(H300="Band 3",H300="Band 5"),ISNUMBER(F300)),F300,"")</f>
        <v/>
      </c>
    </row>
    <row r="301">
      <c r="A301" s="19" t="inlineStr">
        <is>
          <t>User1041</t>
        </is>
      </c>
      <c r="B301" s="60" t="n">
        <v>46023</v>
      </c>
      <c r="C301" s="21" t="n">
        <v>155.4000000000001</v>
      </c>
      <c r="D301" s="21" t="n">
        <v>141.0033333333334</v>
      </c>
      <c r="E301" s="21" t="n">
        <v>100.42</v>
      </c>
      <c r="F301" s="27">
        <f>IFERROR(IF(OR(C301="",D301="",C301=0),"",D301/C301),"")</f>
        <v/>
      </c>
      <c r="G301" s="21">
        <f>IFERROR(INDEX(Users!$A$2:$A$310,MATCH(A301,Users!$B$2:$B$310,0)),"")</f>
        <v/>
      </c>
      <c r="H301" s="21">
        <f>IFERROR(INDEX(Users!$D$2:$D$310,MATCH(A301,Users!$B$2:$B$310,0)),"")</f>
        <v/>
      </c>
      <c r="I301" s="19">
        <f>AND(G301="Service A",H301="Band 3")</f>
        <v/>
      </c>
      <c r="J301" s="33">
        <f>IF(AND(YEAR(B301)=2025,G301="Service B",OR(H301="Band 3",H301="Band 5"),ISNUMBER(F301)),F301,"")</f>
        <v/>
      </c>
    </row>
    <row r="302">
      <c r="A302" s="19" t="inlineStr">
        <is>
          <t>User1042</t>
        </is>
      </c>
      <c r="B302" s="60" t="n">
        <v>45658</v>
      </c>
      <c r="C302" s="21" t="n">
        <v>162.8</v>
      </c>
      <c r="D302" s="21" t="n">
        <v>155.17</v>
      </c>
      <c r="E302" s="21" t="n">
        <v>87.42</v>
      </c>
      <c r="F302" s="27">
        <f>IFERROR(IF(OR(C302="",D302="",C302=0),"",D302/C302),"")</f>
        <v/>
      </c>
      <c r="G302" s="21">
        <f>IFERROR(INDEX(Users!$A$2:$A$310,MATCH(A302,Users!$B$2:$B$310,0)),"")</f>
        <v/>
      </c>
      <c r="H302" s="21">
        <f>IFERROR(INDEX(Users!$D$2:$D$310,MATCH(A302,Users!$B$2:$B$310,0)),"")</f>
        <v/>
      </c>
      <c r="I302" s="19">
        <f>AND(G302="Service A",H302="Band 3")</f>
        <v/>
      </c>
      <c r="J302" s="33">
        <f>IF(AND(YEAR(B302)=2025,G302="Service B",OR(H302="Band 3",H302="Band 5"),ISNUMBER(F302)),F302,"")</f>
        <v/>
      </c>
    </row>
    <row r="303">
      <c r="A303" s="19" t="inlineStr">
        <is>
          <t>User1042</t>
        </is>
      </c>
      <c r="B303" s="60" t="n">
        <v>45689</v>
      </c>
      <c r="C303" s="21" t="n">
        <v>148</v>
      </c>
      <c r="D303" s="21" t="n">
        <v>133.15</v>
      </c>
      <c r="E303" s="21" t="n">
        <v>55.75</v>
      </c>
      <c r="F303" s="27">
        <f>IFERROR(IF(OR(C303="",D303="",C303=0),"",D303/C303),"")</f>
        <v/>
      </c>
      <c r="G303" s="21">
        <f>IFERROR(INDEX(Users!$A$2:$A$310,MATCH(A303,Users!$B$2:$B$310,0)),"")</f>
        <v/>
      </c>
      <c r="H303" s="21">
        <f>IFERROR(INDEX(Users!$D$2:$D$310,MATCH(A303,Users!$B$2:$B$310,0)),"")</f>
        <v/>
      </c>
      <c r="I303" s="19">
        <f>AND(G303="Service A",H303="Band 3")</f>
        <v/>
      </c>
      <c r="J303" s="33">
        <f>IF(AND(YEAR(B303)=2025,G303="Service B",OR(H303="Band 3",H303="Band 5"),ISNUMBER(F303)),F303,"")</f>
        <v/>
      </c>
    </row>
    <row r="304">
      <c r="A304" s="19" t="inlineStr">
        <is>
          <t>User1042</t>
        </is>
      </c>
      <c r="B304" s="60" t="n">
        <v>45717</v>
      </c>
      <c r="C304" s="21" t="n">
        <v>155.4</v>
      </c>
      <c r="D304" s="21" t="n">
        <v>158.5066666666667</v>
      </c>
      <c r="E304" s="21" t="n">
        <v>116.34</v>
      </c>
      <c r="F304" s="27">
        <f>IFERROR(IF(OR(C304="",D304="",C304=0),"",D304/C304),"")</f>
        <v/>
      </c>
      <c r="G304" s="21">
        <f>IFERROR(INDEX(Users!$A$2:$A$310,MATCH(A304,Users!$B$2:$B$310,0)),"")</f>
        <v/>
      </c>
      <c r="H304" s="21">
        <f>IFERROR(INDEX(Users!$D$2:$D$310,MATCH(A304,Users!$B$2:$B$310,0)),"")</f>
        <v/>
      </c>
      <c r="I304" s="19">
        <f>AND(G304="Service A",H304="Band 3")</f>
        <v/>
      </c>
      <c r="J304" s="33">
        <f>IF(AND(YEAR(B304)=2025,G304="Service B",OR(H304="Band 3",H304="Band 5"),ISNUMBER(F304)),F304,"")</f>
        <v/>
      </c>
    </row>
    <row r="305">
      <c r="A305" s="19" t="inlineStr">
        <is>
          <t>User1042</t>
        </is>
      </c>
      <c r="B305" s="60" t="n">
        <v>45748</v>
      </c>
      <c r="C305" s="21" t="n">
        <v>148</v>
      </c>
      <c r="D305" s="21" t="n">
        <v>149.9</v>
      </c>
      <c r="E305" s="21" t="n">
        <v>100.15</v>
      </c>
      <c r="F305" s="27">
        <f>IFERROR(IF(OR(C305="",D305="",C305=0),"",D305/C305),"")</f>
        <v/>
      </c>
      <c r="G305" s="21">
        <f>IFERROR(INDEX(Users!$A$2:$A$310,MATCH(A305,Users!$B$2:$B$310,0)),"")</f>
        <v/>
      </c>
      <c r="H305" s="21">
        <f>IFERROR(INDEX(Users!$D$2:$D$310,MATCH(A305,Users!$B$2:$B$310,0)),"")</f>
        <v/>
      </c>
      <c r="I305" s="19">
        <f>AND(G305="Service A",H305="Band 3")</f>
        <v/>
      </c>
      <c r="J305" s="33">
        <f>IF(AND(YEAR(B305)=2025,G305="Service B",OR(H305="Band 3",H305="Band 5"),ISNUMBER(F305)),F305,"")</f>
        <v/>
      </c>
    </row>
    <row r="306">
      <c r="A306" s="19" t="inlineStr">
        <is>
          <t>User1042</t>
        </is>
      </c>
      <c r="B306" s="60" t="n">
        <v>45778</v>
      </c>
      <c r="C306" s="21" t="n">
        <v>148</v>
      </c>
      <c r="D306" s="21" t="n">
        <v>135.16</v>
      </c>
      <c r="E306" s="21" t="n">
        <v>101.91</v>
      </c>
      <c r="F306" s="27">
        <f>IFERROR(IF(OR(C306="",D306="",C306=0),"",D306/C306),"")</f>
        <v/>
      </c>
      <c r="G306" s="21">
        <f>IFERROR(INDEX(Users!$A$2:$A$310,MATCH(A306,Users!$B$2:$B$310,0)),"")</f>
        <v/>
      </c>
      <c r="H306" s="21">
        <f>IFERROR(INDEX(Users!$D$2:$D$310,MATCH(A306,Users!$B$2:$B$310,0)),"")</f>
        <v/>
      </c>
      <c r="I306" s="19">
        <f>AND(G306="Service A",H306="Band 3")</f>
        <v/>
      </c>
      <c r="J306" s="33">
        <f>IF(AND(YEAR(B306)=2025,G306="Service B",OR(H306="Band 3",H306="Band 5"),ISNUMBER(F306)),F306,"")</f>
        <v/>
      </c>
    </row>
    <row r="307">
      <c r="A307" s="19" t="inlineStr">
        <is>
          <t>User1042</t>
        </is>
      </c>
      <c r="B307" s="60" t="n">
        <v>45809</v>
      </c>
      <c r="C307" s="21" t="n">
        <v>155.4</v>
      </c>
      <c r="D307" s="21" t="n">
        <v>122.4966666666667</v>
      </c>
      <c r="E307" s="21" t="n">
        <v>96.08</v>
      </c>
      <c r="F307" s="27">
        <f>IFERROR(IF(OR(C307="",D307="",C307=0),"",D307/C307),"")</f>
        <v/>
      </c>
      <c r="G307" s="21">
        <f>IFERROR(INDEX(Users!$A$2:$A$310,MATCH(A307,Users!$B$2:$B$310,0)),"")</f>
        <v/>
      </c>
      <c r="H307" s="21">
        <f>IFERROR(INDEX(Users!$D$2:$D$310,MATCH(A307,Users!$B$2:$B$310,0)),"")</f>
        <v/>
      </c>
      <c r="I307" s="19">
        <f>AND(G307="Service A",H307="Band 3")</f>
        <v/>
      </c>
      <c r="J307" s="33">
        <f>IF(AND(YEAR(B307)=2025,G307="Service B",OR(H307="Band 3",H307="Band 5"),ISNUMBER(F307)),F307,"")</f>
        <v/>
      </c>
    </row>
    <row r="308">
      <c r="A308" s="19" t="inlineStr">
        <is>
          <t>User1042</t>
        </is>
      </c>
      <c r="B308" s="60" t="n">
        <v>45839</v>
      </c>
      <c r="C308" s="21" t="n">
        <v>170.2</v>
      </c>
      <c r="D308" s="21" t="n">
        <v>117.8366666666667</v>
      </c>
      <c r="E308" s="21" t="n">
        <v>81.17</v>
      </c>
      <c r="F308" s="27">
        <f>IFERROR(IF(OR(C308="",D308="",C308=0),"",D308/C308),"")</f>
        <v/>
      </c>
      <c r="G308" s="21">
        <f>IFERROR(INDEX(Users!$A$2:$A$310,MATCH(A308,Users!$B$2:$B$310,0)),"")</f>
        <v/>
      </c>
      <c r="H308" s="21">
        <f>IFERROR(INDEX(Users!$D$2:$D$310,MATCH(A308,Users!$B$2:$B$310,0)),"")</f>
        <v/>
      </c>
      <c r="I308" s="19">
        <f>AND(G308="Service A",H308="Band 3")</f>
        <v/>
      </c>
      <c r="J308" s="33">
        <f>IF(AND(YEAR(B308)=2025,G308="Service B",OR(H308="Band 3",H308="Band 5"),ISNUMBER(F308)),F308,"")</f>
        <v/>
      </c>
    </row>
    <row r="309">
      <c r="A309" s="19" t="inlineStr">
        <is>
          <t>User1042</t>
        </is>
      </c>
      <c r="B309" s="60" t="n">
        <v>45870</v>
      </c>
      <c r="C309" s="21" t="n">
        <v>148</v>
      </c>
      <c r="D309" s="21" t="n">
        <v>132.75</v>
      </c>
      <c r="E309" s="21" t="n">
        <v>101.25</v>
      </c>
      <c r="F309" s="27">
        <f>IFERROR(IF(OR(C309="",D309="",C309=0),"",D309/C309),"")</f>
        <v/>
      </c>
      <c r="G309" s="21">
        <f>IFERROR(INDEX(Users!$A$2:$A$310,MATCH(A309,Users!$B$2:$B$310,0)),"")</f>
        <v/>
      </c>
      <c r="H309" s="21">
        <f>IFERROR(INDEX(Users!$D$2:$D$310,MATCH(A309,Users!$B$2:$B$310,0)),"")</f>
        <v/>
      </c>
      <c r="I309" s="19">
        <f>AND(G309="Service A",H309="Band 3")</f>
        <v/>
      </c>
      <c r="J309" s="33">
        <f>IF(AND(YEAR(B309)=2025,G309="Service B",OR(H309="Band 3",H309="Band 5"),ISNUMBER(F309)),F309,"")</f>
        <v/>
      </c>
    </row>
    <row r="310">
      <c r="A310" s="19" t="inlineStr">
        <is>
          <t>User1042</t>
        </is>
      </c>
      <c r="B310" s="60" t="n">
        <v>45901</v>
      </c>
      <c r="C310" s="21" t="n">
        <v>162.8</v>
      </c>
      <c r="D310" s="21" t="n">
        <v>145</v>
      </c>
      <c r="E310" s="21" t="n">
        <v>116.5</v>
      </c>
      <c r="F310" s="27">
        <f>IFERROR(IF(OR(C310="",D310="",C310=0),"",D310/C310),"")</f>
        <v/>
      </c>
      <c r="G310" s="21">
        <f>IFERROR(INDEX(Users!$A$2:$A$310,MATCH(A310,Users!$B$2:$B$310,0)),"")</f>
        <v/>
      </c>
      <c r="H310" s="21">
        <f>IFERROR(INDEX(Users!$D$2:$D$310,MATCH(A310,Users!$B$2:$B$310,0)),"")</f>
        <v/>
      </c>
      <c r="I310" s="19">
        <f>AND(G310="Service A",H310="Band 3")</f>
        <v/>
      </c>
      <c r="J310" s="33">
        <f>IF(AND(YEAR(B310)=2025,G310="Service B",OR(H310="Band 3",H310="Band 5"),ISNUMBER(F310)),F310,"")</f>
        <v/>
      </c>
    </row>
    <row r="311">
      <c r="A311" s="19" t="inlineStr">
        <is>
          <t>User1042</t>
        </is>
      </c>
      <c r="B311" s="60" t="n">
        <v>45931</v>
      </c>
      <c r="C311" s="21" t="n">
        <v>170.2</v>
      </c>
      <c r="D311" s="21" t="n">
        <v>143.6733333333333</v>
      </c>
      <c r="E311" s="21" t="n">
        <v>103.59</v>
      </c>
      <c r="F311" s="27">
        <f>IFERROR(IF(OR(C311="",D311="",C311=0),"",D311/C311),"")</f>
        <v/>
      </c>
      <c r="G311" s="21">
        <f>IFERROR(INDEX(Users!$A$2:$A$310,MATCH(A311,Users!$B$2:$B$310,0)),"")</f>
        <v/>
      </c>
      <c r="H311" s="21">
        <f>IFERROR(INDEX(Users!$D$2:$D$310,MATCH(A311,Users!$B$2:$B$310,0)),"")</f>
        <v/>
      </c>
      <c r="I311" s="19">
        <f>AND(G311="Service A",H311="Band 3")</f>
        <v/>
      </c>
      <c r="J311" s="33">
        <f>IF(AND(YEAR(B311)=2025,G311="Service B",OR(H311="Band 3",H311="Band 5"),ISNUMBER(F311)),F311,"")</f>
        <v/>
      </c>
    </row>
    <row r="312">
      <c r="A312" s="19" t="inlineStr">
        <is>
          <t>User1042</t>
        </is>
      </c>
      <c r="B312" s="60" t="n">
        <v>45962</v>
      </c>
      <c r="C312" s="21" t="n">
        <v>148</v>
      </c>
      <c r="D312" s="21" t="n">
        <v>123.8333333333333</v>
      </c>
      <c r="E312" s="21" t="n">
        <v>94.25</v>
      </c>
      <c r="F312" s="27">
        <f>IFERROR(IF(OR(C312="",D312="",C312=0),"",D312/C312),"")</f>
        <v/>
      </c>
      <c r="G312" s="21">
        <f>IFERROR(INDEX(Users!$A$2:$A$310,MATCH(A312,Users!$B$2:$B$310,0)),"")</f>
        <v/>
      </c>
      <c r="H312" s="21">
        <f>IFERROR(INDEX(Users!$D$2:$D$310,MATCH(A312,Users!$B$2:$B$310,0)),"")</f>
        <v/>
      </c>
      <c r="I312" s="19">
        <f>AND(G312="Service A",H312="Band 3")</f>
        <v/>
      </c>
      <c r="J312" s="33">
        <f>IF(AND(YEAR(B312)=2025,G312="Service B",OR(H312="Band 3",H312="Band 5"),ISNUMBER(F312)),F312,"")</f>
        <v/>
      </c>
    </row>
    <row r="313">
      <c r="A313" s="19" t="inlineStr">
        <is>
          <t>User1042</t>
        </is>
      </c>
      <c r="B313" s="60" t="n">
        <v>45992</v>
      </c>
      <c r="C313" s="21" t="n">
        <v>155.4</v>
      </c>
      <c r="D313" s="21" t="n">
        <v>86.50333333333333</v>
      </c>
      <c r="E313" s="21" t="n">
        <v>58.17</v>
      </c>
      <c r="F313" s="27">
        <f>IFERROR(IF(OR(C313="",D313="",C313=0),"",D313/C313),"")</f>
        <v/>
      </c>
      <c r="G313" s="21">
        <f>IFERROR(INDEX(Users!$A$2:$A$310,MATCH(A313,Users!$B$2:$B$310,0)),"")</f>
        <v/>
      </c>
      <c r="H313" s="21">
        <f>IFERROR(INDEX(Users!$D$2:$D$310,MATCH(A313,Users!$B$2:$B$310,0)),"")</f>
        <v/>
      </c>
      <c r="I313" s="19">
        <f>AND(G313="Service A",H313="Band 3")</f>
        <v/>
      </c>
      <c r="J313" s="33">
        <f>IF(AND(YEAR(B313)=2025,G313="Service B",OR(H313="Band 3",H313="Band 5"),ISNUMBER(F313)),F313,"")</f>
        <v/>
      </c>
    </row>
    <row r="314">
      <c r="A314" s="19" t="inlineStr">
        <is>
          <t>User1042</t>
        </is>
      </c>
      <c r="B314" s="60" t="n">
        <v>46023</v>
      </c>
      <c r="C314" s="21" t="n">
        <v>155.4</v>
      </c>
      <c r="D314" s="21" t="n">
        <v>139.4966666666667</v>
      </c>
      <c r="E314" s="21" t="n">
        <v>94.83</v>
      </c>
      <c r="F314" s="27">
        <f>IFERROR(IF(OR(C314="",D314="",C314=0),"",D314/C314),"")</f>
        <v/>
      </c>
      <c r="G314" s="21">
        <f>IFERROR(INDEX(Users!$A$2:$A$310,MATCH(A314,Users!$B$2:$B$310,0)),"")</f>
        <v/>
      </c>
      <c r="H314" s="21">
        <f>IFERROR(INDEX(Users!$D$2:$D$310,MATCH(A314,Users!$B$2:$B$310,0)),"")</f>
        <v/>
      </c>
      <c r="I314" s="19">
        <f>AND(G314="Service A",H314="Band 3")</f>
        <v/>
      </c>
      <c r="J314" s="33">
        <f>IF(AND(YEAR(B314)=2025,G314="Service B",OR(H314="Band 3",H314="Band 5"),ISNUMBER(F314)),F314,"")</f>
        <v/>
      </c>
    </row>
    <row r="315">
      <c r="A315" s="19" t="inlineStr">
        <is>
          <t>User1043</t>
        </is>
      </c>
      <c r="B315" s="60" t="n">
        <v>45658</v>
      </c>
      <c r="C315" s="21" t="n">
        <v>162.8</v>
      </c>
      <c r="D315" s="21" t="n">
        <v>83.66333333333333</v>
      </c>
      <c r="E315" s="21" t="n">
        <v>25.08</v>
      </c>
      <c r="F315" s="27">
        <f>IFERROR(IF(OR(C315="",D315="",C315=0),"",D315/C315),"")</f>
        <v/>
      </c>
      <c r="G315" s="21">
        <f>IFERROR(INDEX(Users!$A$2:$A$310,MATCH(A315,Users!$B$2:$B$310,0)),"")</f>
        <v/>
      </c>
      <c r="H315" s="21">
        <f>IFERROR(INDEX(Users!$D$2:$D$310,MATCH(A315,Users!$B$2:$B$310,0)),"")</f>
        <v/>
      </c>
      <c r="I315" s="19">
        <f>AND(G315="Service A",H315="Band 3")</f>
        <v/>
      </c>
      <c r="J315" s="33">
        <f>IF(AND(YEAR(B315)=2025,G315="Service B",OR(H315="Band 3",H315="Band 5"),ISNUMBER(F315)),F315,"")</f>
        <v/>
      </c>
    </row>
    <row r="316">
      <c r="A316" s="19" t="inlineStr">
        <is>
          <t>User1043</t>
        </is>
      </c>
      <c r="B316" s="60" t="n">
        <v>45689</v>
      </c>
      <c r="C316" s="21" t="n">
        <v>148</v>
      </c>
      <c r="D316" s="21" t="n">
        <v>147.2966666666667</v>
      </c>
      <c r="E316" s="21" t="n">
        <v>24.68</v>
      </c>
      <c r="F316" s="27">
        <f>IFERROR(IF(OR(C316="",D316="",C316=0),"",D316/C316),"")</f>
        <v/>
      </c>
      <c r="G316" s="21">
        <f>IFERROR(INDEX(Users!$A$2:$A$310,MATCH(A316,Users!$B$2:$B$310,0)),"")</f>
        <v/>
      </c>
      <c r="H316" s="21">
        <f>IFERROR(INDEX(Users!$D$2:$D$310,MATCH(A316,Users!$B$2:$B$310,0)),"")</f>
        <v/>
      </c>
      <c r="I316" s="19">
        <f>AND(G316="Service A",H316="Band 3")</f>
        <v/>
      </c>
      <c r="J316" s="33">
        <f>IF(AND(YEAR(B316)=2025,G316="Service B",OR(H316="Band 3",H316="Band 5"),ISNUMBER(F316)),F316,"")</f>
        <v/>
      </c>
    </row>
    <row r="317">
      <c r="A317" s="19" t="inlineStr">
        <is>
          <t>User1043</t>
        </is>
      </c>
      <c r="B317" s="60" t="n">
        <v>45717</v>
      </c>
      <c r="C317" s="21" t="n">
        <v>155.4</v>
      </c>
      <c r="D317" s="21" t="n">
        <v>60.09</v>
      </c>
      <c r="E317" s="21" t="n">
        <v>13.24</v>
      </c>
      <c r="F317" s="27">
        <f>IFERROR(IF(OR(C317="",D317="",C317=0),"",D317/C317),"")</f>
        <v/>
      </c>
      <c r="G317" s="21">
        <f>IFERROR(INDEX(Users!$A$2:$A$310,MATCH(A317,Users!$B$2:$B$310,0)),"")</f>
        <v/>
      </c>
      <c r="H317" s="21">
        <f>IFERROR(INDEX(Users!$D$2:$D$310,MATCH(A317,Users!$B$2:$B$310,0)),"")</f>
        <v/>
      </c>
      <c r="I317" s="19">
        <f>AND(G317="Service A",H317="Band 3")</f>
        <v/>
      </c>
      <c r="J317" s="33">
        <f>IF(AND(YEAR(B317)=2025,G317="Service B",OR(H317="Band 3",H317="Band 5"),ISNUMBER(F317)),F317,"")</f>
        <v/>
      </c>
    </row>
    <row r="318">
      <c r="A318" s="19" t="inlineStr">
        <is>
          <t>User1043</t>
        </is>
      </c>
      <c r="B318" s="60" t="n">
        <v>45748</v>
      </c>
      <c r="C318" s="21" t="n">
        <v>148</v>
      </c>
      <c r="D318" s="21" t="n">
        <v>156.1266666666667</v>
      </c>
      <c r="E318" s="21" t="n">
        <v>43.21000000000001</v>
      </c>
      <c r="F318" s="27">
        <f>IFERROR(IF(OR(C318="",D318="",C318=0),"",D318/C318),"")</f>
        <v/>
      </c>
      <c r="G318" s="21">
        <f>IFERROR(INDEX(Users!$A$2:$A$310,MATCH(A318,Users!$B$2:$B$310,0)),"")</f>
        <v/>
      </c>
      <c r="H318" s="21">
        <f>IFERROR(INDEX(Users!$D$2:$D$310,MATCH(A318,Users!$B$2:$B$310,0)),"")</f>
        <v/>
      </c>
      <c r="I318" s="19">
        <f>AND(G318="Service A",H318="Band 3")</f>
        <v/>
      </c>
      <c r="J318" s="33">
        <f>IF(AND(YEAR(B318)=2025,G318="Service B",OR(H318="Band 3",H318="Band 5"),ISNUMBER(F318)),F318,"")</f>
        <v/>
      </c>
    </row>
    <row r="319">
      <c r="A319" s="19" t="inlineStr">
        <is>
          <t>User1043</t>
        </is>
      </c>
      <c r="B319" s="60" t="n">
        <v>45778</v>
      </c>
      <c r="C319" s="21" t="n">
        <v>148</v>
      </c>
      <c r="D319" s="21" t="n">
        <v>102.4733333333333</v>
      </c>
      <c r="E319" s="21" t="n">
        <v>28.74</v>
      </c>
      <c r="F319" s="27">
        <f>IFERROR(IF(OR(C319="",D319="",C319=0),"",D319/C319),"")</f>
        <v/>
      </c>
      <c r="G319" s="21">
        <f>IFERROR(INDEX(Users!$A$2:$A$310,MATCH(A319,Users!$B$2:$B$310,0)),"")</f>
        <v/>
      </c>
      <c r="H319" s="21">
        <f>IFERROR(INDEX(Users!$D$2:$D$310,MATCH(A319,Users!$B$2:$B$310,0)),"")</f>
        <v/>
      </c>
      <c r="I319" s="19">
        <f>AND(G319="Service A",H319="Band 3")</f>
        <v/>
      </c>
      <c r="J319" s="33">
        <f>IF(AND(YEAR(B319)=2025,G319="Service B",OR(H319="Band 3",H319="Band 5"),ISNUMBER(F319)),F319,"")</f>
        <v/>
      </c>
    </row>
    <row r="320">
      <c r="A320" s="19" t="inlineStr">
        <is>
          <t>User1043</t>
        </is>
      </c>
      <c r="B320" s="60" t="n">
        <v>45809</v>
      </c>
      <c r="C320" s="21" t="n">
        <v>155.4</v>
      </c>
      <c r="D320" s="21" t="n">
        <v>153.4366666666667</v>
      </c>
      <c r="E320" s="21" t="n">
        <v>73.17</v>
      </c>
      <c r="F320" s="27">
        <f>IFERROR(IF(OR(C320="",D320="",C320=0),"",D320/C320),"")</f>
        <v/>
      </c>
      <c r="G320" s="21">
        <f>IFERROR(INDEX(Users!$A$2:$A$310,MATCH(A320,Users!$B$2:$B$310,0)),"")</f>
        <v/>
      </c>
      <c r="H320" s="21">
        <f>IFERROR(INDEX(Users!$D$2:$D$310,MATCH(A320,Users!$B$2:$B$310,0)),"")</f>
        <v/>
      </c>
      <c r="I320" s="19">
        <f>AND(G320="Service A",H320="Band 3")</f>
        <v/>
      </c>
      <c r="J320" s="33">
        <f>IF(AND(YEAR(B320)=2025,G320="Service B",OR(H320="Band 3",H320="Band 5"),ISNUMBER(F320)),F320,"")</f>
        <v/>
      </c>
    </row>
    <row r="321">
      <c r="A321" s="19" t="inlineStr">
        <is>
          <t>User1043</t>
        </is>
      </c>
      <c r="B321" s="60" t="n">
        <v>45839</v>
      </c>
      <c r="C321" s="21" t="n">
        <v>170.2</v>
      </c>
      <c r="D321" s="21" t="n">
        <v>131.6566666666667</v>
      </c>
      <c r="E321" s="21" t="n">
        <v>57.23999999999999</v>
      </c>
      <c r="F321" s="27">
        <f>IFERROR(IF(OR(C321="",D321="",C321=0),"",D321/C321),"")</f>
        <v/>
      </c>
      <c r="G321" s="21">
        <f>IFERROR(INDEX(Users!$A$2:$A$310,MATCH(A321,Users!$B$2:$B$310,0)),"")</f>
        <v/>
      </c>
      <c r="H321" s="21">
        <f>IFERROR(INDEX(Users!$D$2:$D$310,MATCH(A321,Users!$B$2:$B$310,0)),"")</f>
        <v/>
      </c>
      <c r="I321" s="19">
        <f>AND(G321="Service A",H321="Band 3")</f>
        <v/>
      </c>
      <c r="J321" s="33">
        <f>IF(AND(YEAR(B321)=2025,G321="Service B",OR(H321="Band 3",H321="Band 5"),ISNUMBER(F321)),F321,"")</f>
        <v/>
      </c>
    </row>
    <row r="322">
      <c r="A322" s="19" t="inlineStr">
        <is>
          <t>User1043</t>
        </is>
      </c>
      <c r="B322" s="60" t="n">
        <v>45870</v>
      </c>
      <c r="C322" s="21" t="n">
        <v>148</v>
      </c>
      <c r="D322" s="21" t="n">
        <v>135.2933333333333</v>
      </c>
      <c r="E322" s="21" t="n">
        <v>54.81</v>
      </c>
      <c r="F322" s="27">
        <f>IFERROR(IF(OR(C322="",D322="",C322=0),"",D322/C322),"")</f>
        <v/>
      </c>
      <c r="G322" s="21">
        <f>IFERROR(INDEX(Users!$A$2:$A$310,MATCH(A322,Users!$B$2:$B$310,0)),"")</f>
        <v/>
      </c>
      <c r="H322" s="21">
        <f>IFERROR(INDEX(Users!$D$2:$D$310,MATCH(A322,Users!$B$2:$B$310,0)),"")</f>
        <v/>
      </c>
      <c r="I322" s="19">
        <f>AND(G322="Service A",H322="Band 3")</f>
        <v/>
      </c>
      <c r="J322" s="33">
        <f>IF(AND(YEAR(B322)=2025,G322="Service B",OR(H322="Band 3",H322="Band 5"),ISNUMBER(F322)),F322,"")</f>
        <v/>
      </c>
    </row>
    <row r="323">
      <c r="A323" s="19" t="inlineStr">
        <is>
          <t>User1043</t>
        </is>
      </c>
      <c r="B323" s="60" t="n">
        <v>45901</v>
      </c>
      <c r="C323" s="21" t="n">
        <v>162.8</v>
      </c>
      <c r="D323" s="21" t="n">
        <v>162.9233333333333</v>
      </c>
      <c r="E323" s="21" t="n">
        <v>86.54000000000001</v>
      </c>
      <c r="F323" s="27">
        <f>IFERROR(IF(OR(C323="",D323="",C323=0),"",D323/C323),"")</f>
        <v/>
      </c>
      <c r="G323" s="21">
        <f>IFERROR(INDEX(Users!$A$2:$A$310,MATCH(A323,Users!$B$2:$B$310,0)),"")</f>
        <v/>
      </c>
      <c r="H323" s="21">
        <f>IFERROR(INDEX(Users!$D$2:$D$310,MATCH(A323,Users!$B$2:$B$310,0)),"")</f>
        <v/>
      </c>
      <c r="I323" s="19">
        <f>AND(G323="Service A",H323="Band 3")</f>
        <v/>
      </c>
      <c r="J323" s="33">
        <f>IF(AND(YEAR(B323)=2025,G323="Service B",OR(H323="Band 3",H323="Band 5"),ISNUMBER(F323)),F323,"")</f>
        <v/>
      </c>
    </row>
    <row r="324">
      <c r="A324" s="19" t="inlineStr">
        <is>
          <t>User1043</t>
        </is>
      </c>
      <c r="B324" s="60" t="n">
        <v>45931</v>
      </c>
      <c r="C324" s="21" t="n">
        <v>170.2</v>
      </c>
      <c r="D324" s="21" t="n">
        <v>166.6</v>
      </c>
      <c r="E324" s="21" t="n">
        <v>88.45</v>
      </c>
      <c r="F324" s="27">
        <f>IFERROR(IF(OR(C324="",D324="",C324=0),"",D324/C324),"")</f>
        <v/>
      </c>
      <c r="G324" s="21">
        <f>IFERROR(INDEX(Users!$A$2:$A$310,MATCH(A324,Users!$B$2:$B$310,0)),"")</f>
        <v/>
      </c>
      <c r="H324" s="21">
        <f>IFERROR(INDEX(Users!$D$2:$D$310,MATCH(A324,Users!$B$2:$B$310,0)),"")</f>
        <v/>
      </c>
      <c r="I324" s="19">
        <f>AND(G324="Service A",H324="Band 3")</f>
        <v/>
      </c>
      <c r="J324" s="33">
        <f>IF(AND(YEAR(B324)=2025,G324="Service B",OR(H324="Band 3",H324="Band 5"),ISNUMBER(F324)),F324,"")</f>
        <v/>
      </c>
    </row>
    <row r="325">
      <c r="A325" s="19" t="inlineStr">
        <is>
          <t>User1043</t>
        </is>
      </c>
      <c r="B325" s="60" t="n">
        <v>45962</v>
      </c>
      <c r="C325" s="21" t="n">
        <v>148</v>
      </c>
      <c r="D325" s="21" t="n">
        <v>107.5833333333333</v>
      </c>
      <c r="E325" s="21" t="n">
        <v>52.05</v>
      </c>
      <c r="F325" s="27">
        <f>IFERROR(IF(OR(C325="",D325="",C325=0),"",D325/C325),"")</f>
        <v/>
      </c>
      <c r="G325" s="21">
        <f>IFERROR(INDEX(Users!$A$2:$A$310,MATCH(A325,Users!$B$2:$B$310,0)),"")</f>
        <v/>
      </c>
      <c r="H325" s="21">
        <f>IFERROR(INDEX(Users!$D$2:$D$310,MATCH(A325,Users!$B$2:$B$310,0)),"")</f>
        <v/>
      </c>
      <c r="I325" s="19">
        <f>AND(G325="Service A",H325="Band 3")</f>
        <v/>
      </c>
      <c r="J325" s="33">
        <f>IF(AND(YEAR(B325)=2025,G325="Service B",OR(H325="Band 3",H325="Band 5"),ISNUMBER(F325)),F325,"")</f>
        <v/>
      </c>
    </row>
    <row r="326">
      <c r="A326" s="19" t="inlineStr">
        <is>
          <t>User1043</t>
        </is>
      </c>
      <c r="B326" s="60" t="n">
        <v>45992</v>
      </c>
      <c r="C326" s="21" t="n">
        <v>155.4</v>
      </c>
      <c r="D326" s="21" t="n">
        <v>111.9733333333333</v>
      </c>
      <c r="E326" s="21" t="n">
        <v>67.33999999999999</v>
      </c>
      <c r="F326" s="27">
        <f>IFERROR(IF(OR(C326="",D326="",C326=0),"",D326/C326),"")</f>
        <v/>
      </c>
      <c r="G326" s="21">
        <f>IFERROR(INDEX(Users!$A$2:$A$310,MATCH(A326,Users!$B$2:$B$310,0)),"")</f>
        <v/>
      </c>
      <c r="H326" s="21">
        <f>IFERROR(INDEX(Users!$D$2:$D$310,MATCH(A326,Users!$B$2:$B$310,0)),"")</f>
        <v/>
      </c>
      <c r="I326" s="19">
        <f>AND(G326="Service A",H326="Band 3")</f>
        <v/>
      </c>
      <c r="J326" s="33">
        <f>IF(AND(YEAR(B326)=2025,G326="Service B",OR(H326="Band 3",H326="Band 5"),ISNUMBER(F326)),F326,"")</f>
        <v/>
      </c>
    </row>
    <row r="327">
      <c r="A327" s="19" t="inlineStr">
        <is>
          <t>User1043</t>
        </is>
      </c>
      <c r="B327" s="60" t="n">
        <v>46023</v>
      </c>
      <c r="C327" s="21" t="n">
        <v>155.4</v>
      </c>
      <c r="D327" s="21" t="n">
        <v>147.6733333333333</v>
      </c>
      <c r="E327" s="21" t="n">
        <v>66.89</v>
      </c>
      <c r="F327" s="27">
        <f>IFERROR(IF(OR(C327="",D327="",C327=0),"",D327/C327),"")</f>
        <v/>
      </c>
      <c r="G327" s="21">
        <f>IFERROR(INDEX(Users!$A$2:$A$310,MATCH(A327,Users!$B$2:$B$310,0)),"")</f>
        <v/>
      </c>
      <c r="H327" s="21">
        <f>IFERROR(INDEX(Users!$D$2:$D$310,MATCH(A327,Users!$B$2:$B$310,0)),"")</f>
        <v/>
      </c>
      <c r="I327" s="19">
        <f>AND(G327="Service A",H327="Band 3")</f>
        <v/>
      </c>
      <c r="J327" s="33">
        <f>IF(AND(YEAR(B327)=2025,G327="Service B",OR(H327="Band 3",H327="Band 5"),ISNUMBER(F327)),F327,"")</f>
        <v/>
      </c>
    </row>
    <row r="328">
      <c r="A328" s="19" t="inlineStr">
        <is>
          <t>User1044</t>
        </is>
      </c>
      <c r="B328" s="60" t="n">
        <v>45658</v>
      </c>
      <c r="C328" s="21" t="n">
        <v>162.8</v>
      </c>
      <c r="D328" s="21" t="n">
        <v>8.5</v>
      </c>
      <c r="E328" s="21" t="n">
        <v>8.5</v>
      </c>
      <c r="F328" s="27">
        <f>IFERROR(IF(OR(C328="",D328="",C328=0),"",D328/C328),"")</f>
        <v/>
      </c>
      <c r="G328" s="21">
        <f>IFERROR(INDEX(Users!$A$2:$A$310,MATCH(A328,Users!$B$2:$B$310,0)),"")</f>
        <v/>
      </c>
      <c r="H328" s="21">
        <f>IFERROR(INDEX(Users!$D$2:$D$310,MATCH(A328,Users!$B$2:$B$310,0)),"")</f>
        <v/>
      </c>
      <c r="I328" s="19">
        <f>AND(G328="Service A",H328="Band 3")</f>
        <v/>
      </c>
      <c r="J328" s="33">
        <f>IF(AND(YEAR(B328)=2025,G328="Service B",OR(H328="Band 3",H328="Band 5"),ISNUMBER(F328)),F328,"")</f>
        <v/>
      </c>
    </row>
    <row r="329">
      <c r="A329" s="19" t="inlineStr">
        <is>
          <t>User1044</t>
        </is>
      </c>
      <c r="B329" s="60" t="n">
        <v>45689</v>
      </c>
      <c r="C329" s="21" t="n">
        <v>148</v>
      </c>
      <c r="D329" s="21" t="n">
        <v>32.96527777777778</v>
      </c>
      <c r="E329" s="21" t="n">
        <v>7</v>
      </c>
      <c r="F329" s="27">
        <f>IFERROR(IF(OR(C329="",D329="",C329=0),"",D329/C329),"")</f>
        <v/>
      </c>
      <c r="G329" s="21">
        <f>IFERROR(INDEX(Users!$A$2:$A$310,MATCH(A329,Users!$B$2:$B$310,0)),"")</f>
        <v/>
      </c>
      <c r="H329" s="21">
        <f>IFERROR(INDEX(Users!$D$2:$D$310,MATCH(A329,Users!$B$2:$B$310,0)),"")</f>
        <v/>
      </c>
      <c r="I329" s="19">
        <f>AND(G329="Service A",H329="Band 3")</f>
        <v/>
      </c>
      <c r="J329" s="33">
        <f>IF(AND(YEAR(B329)=2025,G329="Service B",OR(H329="Band 3",H329="Band 5"),ISNUMBER(F329)),F329,"")</f>
        <v/>
      </c>
    </row>
    <row r="330">
      <c r="A330" s="19" t="inlineStr">
        <is>
          <t>User1044</t>
        </is>
      </c>
      <c r="B330" s="60" t="n">
        <v>45717</v>
      </c>
      <c r="C330" s="21" t="n">
        <v>155.4</v>
      </c>
      <c r="D330" s="21" t="n">
        <v>155.2277777777778</v>
      </c>
      <c r="E330" s="21" t="n">
        <v>2.17</v>
      </c>
      <c r="F330" s="27">
        <f>IFERROR(IF(OR(C330="",D330="",C330=0),"",D330/C330),"")</f>
        <v/>
      </c>
      <c r="G330" s="21">
        <f>IFERROR(INDEX(Users!$A$2:$A$310,MATCH(A330,Users!$B$2:$B$310,0)),"")</f>
        <v/>
      </c>
      <c r="H330" s="21">
        <f>IFERROR(INDEX(Users!$D$2:$D$310,MATCH(A330,Users!$B$2:$B$310,0)),"")</f>
        <v/>
      </c>
      <c r="I330" s="19">
        <f>AND(G330="Service A",H330="Band 3")</f>
        <v/>
      </c>
      <c r="J330" s="33">
        <f>IF(AND(YEAR(B330)=2025,G330="Service B",OR(H330="Band 3",H330="Band 5"),ISNUMBER(F330)),F330,"")</f>
        <v/>
      </c>
    </row>
    <row r="331">
      <c r="A331" s="19" t="inlineStr">
        <is>
          <t>User1044</t>
        </is>
      </c>
      <c r="B331" s="60" t="n">
        <v>45748</v>
      </c>
      <c r="C331" s="21" t="n">
        <v>148</v>
      </c>
      <c r="D331" s="21" t="n">
        <v>137.2808333333333</v>
      </c>
      <c r="E331" s="21" t="n">
        <v>1.5</v>
      </c>
      <c r="F331" s="27">
        <f>IFERROR(IF(OR(C331="",D331="",C331=0),"",D331/C331),"")</f>
        <v/>
      </c>
      <c r="G331" s="21">
        <f>IFERROR(INDEX(Users!$A$2:$A$310,MATCH(A331,Users!$B$2:$B$310,0)),"")</f>
        <v/>
      </c>
      <c r="H331" s="21">
        <f>IFERROR(INDEX(Users!$D$2:$D$310,MATCH(A331,Users!$B$2:$B$310,0)),"")</f>
        <v/>
      </c>
      <c r="I331" s="19">
        <f>AND(G331="Service A",H331="Band 3")</f>
        <v/>
      </c>
      <c r="J331" s="33">
        <f>IF(AND(YEAR(B331)=2025,G331="Service B",OR(H331="Band 3",H331="Band 5"),ISNUMBER(F331)),F331,"")</f>
        <v/>
      </c>
    </row>
    <row r="332">
      <c r="A332" s="19" t="inlineStr">
        <is>
          <t>User1044</t>
        </is>
      </c>
      <c r="B332" s="60" t="n">
        <v>45778</v>
      </c>
      <c r="C332" s="21" t="n">
        <v>148</v>
      </c>
      <c r="D332" s="21" t="n">
        <v>99.03916666666665</v>
      </c>
      <c r="E332" s="21" t="n">
        <v>9</v>
      </c>
      <c r="F332" s="27">
        <f>IFERROR(IF(OR(C332="",D332="",C332=0),"",D332/C332),"")</f>
        <v/>
      </c>
      <c r="G332" s="21">
        <f>IFERROR(INDEX(Users!$A$2:$A$310,MATCH(A332,Users!$B$2:$B$310,0)),"")</f>
        <v/>
      </c>
      <c r="H332" s="21">
        <f>IFERROR(INDEX(Users!$D$2:$D$310,MATCH(A332,Users!$B$2:$B$310,0)),"")</f>
        <v/>
      </c>
      <c r="I332" s="19">
        <f>AND(G332="Service A",H332="Band 3")</f>
        <v/>
      </c>
      <c r="J332" s="33">
        <f>IF(AND(YEAR(B332)=2025,G332="Service B",OR(H332="Band 3",H332="Band 5"),ISNUMBER(F332)),F332,"")</f>
        <v/>
      </c>
    </row>
    <row r="333">
      <c r="A333" s="19" t="inlineStr">
        <is>
          <t>User1044</t>
        </is>
      </c>
      <c r="B333" s="60" t="n">
        <v>45809</v>
      </c>
      <c r="C333" s="21" t="n">
        <v>155.4</v>
      </c>
      <c r="D333" s="21" t="n">
        <v>94.18666666666667</v>
      </c>
      <c r="E333" s="21" t="n">
        <v>21.84</v>
      </c>
      <c r="F333" s="27">
        <f>IFERROR(IF(OR(C333="",D333="",C333=0),"",D333/C333),"")</f>
        <v/>
      </c>
      <c r="G333" s="21">
        <f>IFERROR(INDEX(Users!$A$2:$A$310,MATCH(A333,Users!$B$2:$B$310,0)),"")</f>
        <v/>
      </c>
      <c r="H333" s="21">
        <f>IFERROR(INDEX(Users!$D$2:$D$310,MATCH(A333,Users!$B$2:$B$310,0)),"")</f>
        <v/>
      </c>
      <c r="I333" s="19">
        <f>AND(G333="Service A",H333="Band 3")</f>
        <v/>
      </c>
      <c r="J333" s="33">
        <f>IF(AND(YEAR(B333)=2025,G333="Service B",OR(H333="Band 3",H333="Band 5"),ISNUMBER(F333)),F333,"")</f>
        <v/>
      </c>
    </row>
    <row r="334">
      <c r="A334" s="19" t="inlineStr">
        <is>
          <t>User1044</t>
        </is>
      </c>
      <c r="B334" s="60" t="n">
        <v>45839</v>
      </c>
      <c r="C334" s="21" t="n">
        <v>170.2</v>
      </c>
      <c r="D334" s="21" t="n">
        <v>140.0752777777778</v>
      </c>
      <c r="E334" s="21" t="n">
        <v>73.42</v>
      </c>
      <c r="F334" s="27">
        <f>IFERROR(IF(OR(C334="",D334="",C334=0),"",D334/C334),"")</f>
        <v/>
      </c>
      <c r="G334" s="21">
        <f>IFERROR(INDEX(Users!$A$2:$A$310,MATCH(A334,Users!$B$2:$B$310,0)),"")</f>
        <v/>
      </c>
      <c r="H334" s="21">
        <f>IFERROR(INDEX(Users!$D$2:$D$310,MATCH(A334,Users!$B$2:$B$310,0)),"")</f>
        <v/>
      </c>
      <c r="I334" s="19">
        <f>AND(G334="Service A",H334="Band 3")</f>
        <v/>
      </c>
      <c r="J334" s="33">
        <f>IF(AND(YEAR(B334)=2025,G334="Service B",OR(H334="Band 3",H334="Band 5"),ISNUMBER(F334)),F334,"")</f>
        <v/>
      </c>
    </row>
    <row r="335">
      <c r="A335" s="19" t="inlineStr">
        <is>
          <t>User1044</t>
        </is>
      </c>
      <c r="B335" s="60" t="n">
        <v>45870</v>
      </c>
      <c r="C335" s="21" t="n">
        <v>148</v>
      </c>
      <c r="D335" s="21" t="n">
        <v>126.35</v>
      </c>
      <c r="E335" s="21" t="n">
        <v>74.40000000000001</v>
      </c>
      <c r="F335" s="27">
        <f>IFERROR(IF(OR(C335="",D335="",C335=0),"",D335/C335),"")</f>
        <v/>
      </c>
      <c r="G335" s="21">
        <f>IFERROR(INDEX(Users!$A$2:$A$310,MATCH(A335,Users!$B$2:$B$310,0)),"")</f>
        <v/>
      </c>
      <c r="H335" s="21">
        <f>IFERROR(INDEX(Users!$D$2:$D$310,MATCH(A335,Users!$B$2:$B$310,0)),"")</f>
        <v/>
      </c>
      <c r="I335" s="19">
        <f>AND(G335="Service A",H335="Band 3")</f>
        <v/>
      </c>
      <c r="J335" s="33">
        <f>IF(AND(YEAR(B335)=2025,G335="Service B",OR(H335="Band 3",H335="Band 5"),ISNUMBER(F335)),F335,"")</f>
        <v/>
      </c>
    </row>
    <row r="336">
      <c r="A336" s="19" t="inlineStr">
        <is>
          <t>User1044</t>
        </is>
      </c>
      <c r="B336" s="60" t="n">
        <v>45901</v>
      </c>
      <c r="C336" s="21" t="n">
        <v>162.8</v>
      </c>
      <c r="D336" s="21" t="n">
        <v>92.2511111111111</v>
      </c>
      <c r="E336" s="21" t="n">
        <v>42.67</v>
      </c>
      <c r="F336" s="27">
        <f>IFERROR(IF(OR(C336="",D336="",C336=0),"",D336/C336),"")</f>
        <v/>
      </c>
      <c r="G336" s="21">
        <f>IFERROR(INDEX(Users!$A$2:$A$310,MATCH(A336,Users!$B$2:$B$310,0)),"")</f>
        <v/>
      </c>
      <c r="H336" s="21">
        <f>IFERROR(INDEX(Users!$D$2:$D$310,MATCH(A336,Users!$B$2:$B$310,0)),"")</f>
        <v/>
      </c>
      <c r="I336" s="19">
        <f>AND(G336="Service A",H336="Band 3")</f>
        <v/>
      </c>
      <c r="J336" s="33">
        <f>IF(AND(YEAR(B336)=2025,G336="Service B",OR(H336="Band 3",H336="Band 5"),ISNUMBER(F336)),F336,"")</f>
        <v/>
      </c>
    </row>
    <row r="337">
      <c r="A337" s="19" t="inlineStr">
        <is>
          <t>User1044</t>
        </is>
      </c>
      <c r="B337" s="60" t="n">
        <v>45931</v>
      </c>
      <c r="C337" s="21" t="n">
        <v>170.2</v>
      </c>
      <c r="D337" s="21" t="n">
        <v>140.4133333333333</v>
      </c>
      <c r="E337" s="21" t="n">
        <v>87.16</v>
      </c>
      <c r="F337" s="27">
        <f>IFERROR(IF(OR(C337="",D337="",C337=0),"",D337/C337),"")</f>
        <v/>
      </c>
      <c r="G337" s="21">
        <f>IFERROR(INDEX(Users!$A$2:$A$310,MATCH(A337,Users!$B$2:$B$310,0)),"")</f>
        <v/>
      </c>
      <c r="H337" s="21">
        <f>IFERROR(INDEX(Users!$D$2:$D$310,MATCH(A337,Users!$B$2:$B$310,0)),"")</f>
        <v/>
      </c>
      <c r="I337" s="19">
        <f>AND(G337="Service A",H337="Band 3")</f>
        <v/>
      </c>
      <c r="J337" s="33">
        <f>IF(AND(YEAR(B337)=2025,G337="Service B",OR(H337="Band 3",H337="Band 5"),ISNUMBER(F337)),F337,"")</f>
        <v/>
      </c>
    </row>
    <row r="338">
      <c r="A338" s="19" t="inlineStr">
        <is>
          <t>User1044</t>
        </is>
      </c>
      <c r="B338" s="60" t="n">
        <v>45962</v>
      </c>
      <c r="C338" s="21" t="n">
        <v>148</v>
      </c>
      <c r="D338" s="21" t="n">
        <v>132.8075</v>
      </c>
      <c r="E338" s="21" t="n">
        <v>79</v>
      </c>
      <c r="F338" s="27">
        <f>IFERROR(IF(OR(C338="",D338="",C338=0),"",D338/C338),"")</f>
        <v/>
      </c>
      <c r="G338" s="21">
        <f>IFERROR(INDEX(Users!$A$2:$A$310,MATCH(A338,Users!$B$2:$B$310,0)),"")</f>
        <v/>
      </c>
      <c r="H338" s="21">
        <f>IFERROR(INDEX(Users!$D$2:$D$310,MATCH(A338,Users!$B$2:$B$310,0)),"")</f>
        <v/>
      </c>
      <c r="I338" s="19">
        <f>AND(G338="Service A",H338="Band 3")</f>
        <v/>
      </c>
      <c r="J338" s="33">
        <f>IF(AND(YEAR(B338)=2025,G338="Service B",OR(H338="Band 3",H338="Band 5"),ISNUMBER(F338)),F338,"")</f>
        <v/>
      </c>
    </row>
    <row r="339">
      <c r="A339" s="19" t="inlineStr">
        <is>
          <t>User1044</t>
        </is>
      </c>
      <c r="B339" s="60" t="n">
        <v>45992</v>
      </c>
      <c r="C339" s="21" t="n">
        <v>155.4</v>
      </c>
      <c r="D339" s="21" t="n">
        <v>122.4608333333333</v>
      </c>
      <c r="E339" s="21" t="n">
        <v>63.58</v>
      </c>
      <c r="F339" s="27">
        <f>IFERROR(IF(OR(C339="",D339="",C339=0),"",D339/C339),"")</f>
        <v/>
      </c>
      <c r="G339" s="21">
        <f>IFERROR(INDEX(Users!$A$2:$A$310,MATCH(A339,Users!$B$2:$B$310,0)),"")</f>
        <v/>
      </c>
      <c r="H339" s="21">
        <f>IFERROR(INDEX(Users!$D$2:$D$310,MATCH(A339,Users!$B$2:$B$310,0)),"")</f>
        <v/>
      </c>
      <c r="I339" s="19">
        <f>AND(G339="Service A",H339="Band 3")</f>
        <v/>
      </c>
      <c r="J339" s="33">
        <f>IF(AND(YEAR(B339)=2025,G339="Service B",OR(H339="Band 3",H339="Band 5"),ISNUMBER(F339)),F339,"")</f>
        <v/>
      </c>
    </row>
    <row r="340">
      <c r="A340" s="19" t="inlineStr">
        <is>
          <t>User1044</t>
        </is>
      </c>
      <c r="B340" s="60" t="n">
        <v>46023</v>
      </c>
      <c r="C340" s="21" t="n">
        <v>155.4</v>
      </c>
      <c r="D340" s="21" t="n">
        <v>134.4927777777778</v>
      </c>
      <c r="E340" s="21" t="n">
        <v>72.67</v>
      </c>
      <c r="F340" s="27">
        <f>IFERROR(IF(OR(C340="",D340="",C340=0),"",D340/C340),"")</f>
        <v/>
      </c>
      <c r="G340" s="21">
        <f>IFERROR(INDEX(Users!$A$2:$A$310,MATCH(A340,Users!$B$2:$B$310,0)),"")</f>
        <v/>
      </c>
      <c r="H340" s="21">
        <f>IFERROR(INDEX(Users!$D$2:$D$310,MATCH(A340,Users!$B$2:$B$310,0)),"")</f>
        <v/>
      </c>
      <c r="I340" s="19">
        <f>AND(G340="Service A",H340="Band 3")</f>
        <v/>
      </c>
      <c r="J340" s="33">
        <f>IF(AND(YEAR(B340)=2025,G340="Service B",OR(H340="Band 3",H340="Band 5"),ISNUMBER(F340)),F340,"")</f>
        <v/>
      </c>
    </row>
    <row r="341">
      <c r="A341" s="19" t="inlineStr">
        <is>
          <t>User1045</t>
        </is>
      </c>
      <c r="B341" s="60" t="n">
        <v>45658</v>
      </c>
      <c r="C341" s="21" t="n">
        <v>162.8</v>
      </c>
      <c r="D341" s="21" t="n">
        <v>15.39666666666667</v>
      </c>
      <c r="E341" s="21" t="n">
        <v>2.93</v>
      </c>
      <c r="F341" s="27">
        <f>IFERROR(IF(OR(C341="",D341="",C341=0),"",D341/C341),"")</f>
        <v/>
      </c>
      <c r="G341" s="21">
        <f>IFERROR(INDEX(Users!$A$2:$A$310,MATCH(A341,Users!$B$2:$B$310,0)),"")</f>
        <v/>
      </c>
      <c r="H341" s="21">
        <f>IFERROR(INDEX(Users!$D$2:$D$310,MATCH(A341,Users!$B$2:$B$310,0)),"")</f>
        <v/>
      </c>
      <c r="I341" s="19">
        <f>AND(G341="Service A",H341="Band 3")</f>
        <v/>
      </c>
      <c r="J341" s="33">
        <f>IF(AND(YEAR(B341)=2025,G341="Service B",OR(H341="Band 3",H341="Band 5"),ISNUMBER(F341)),F341,"")</f>
        <v/>
      </c>
    </row>
    <row r="342">
      <c r="A342" s="19" t="inlineStr">
        <is>
          <t>User1045</t>
        </is>
      </c>
      <c r="B342" s="60" t="n">
        <v>45689</v>
      </c>
      <c r="C342" s="21" t="n">
        <v>148</v>
      </c>
      <c r="D342" s="21" t="n">
        <v>149.0133333333333</v>
      </c>
      <c r="E342" s="21" t="n">
        <v>37.93</v>
      </c>
      <c r="F342" s="27">
        <f>IFERROR(IF(OR(C342="",D342="",C342=0),"",D342/C342),"")</f>
        <v/>
      </c>
      <c r="G342" s="21">
        <f>IFERROR(INDEX(Users!$A$2:$A$310,MATCH(A342,Users!$B$2:$B$310,0)),"")</f>
        <v/>
      </c>
      <c r="H342" s="21">
        <f>IFERROR(INDEX(Users!$D$2:$D$310,MATCH(A342,Users!$B$2:$B$310,0)),"")</f>
        <v/>
      </c>
      <c r="I342" s="19">
        <f>AND(G342="Service A",H342="Band 3")</f>
        <v/>
      </c>
      <c r="J342" s="33">
        <f>IF(AND(YEAR(B342)=2025,G342="Service B",OR(H342="Band 3",H342="Band 5"),ISNUMBER(F342)),F342,"")</f>
        <v/>
      </c>
    </row>
    <row r="343">
      <c r="A343" s="19" t="inlineStr">
        <is>
          <t>User1045</t>
        </is>
      </c>
      <c r="B343" s="60" t="n">
        <v>45717</v>
      </c>
      <c r="C343" s="21" t="n">
        <v>155.4</v>
      </c>
      <c r="D343" s="21" t="n">
        <v>158.9233333333333</v>
      </c>
      <c r="E343" s="21" t="n">
        <v>45.84</v>
      </c>
      <c r="F343" s="27">
        <f>IFERROR(IF(OR(C343="",D343="",C343=0),"",D343/C343),"")</f>
        <v/>
      </c>
      <c r="G343" s="21">
        <f>IFERROR(INDEX(Users!$A$2:$A$310,MATCH(A343,Users!$B$2:$B$310,0)),"")</f>
        <v/>
      </c>
      <c r="H343" s="21">
        <f>IFERROR(INDEX(Users!$D$2:$D$310,MATCH(A343,Users!$B$2:$B$310,0)),"")</f>
        <v/>
      </c>
      <c r="I343" s="19">
        <f>AND(G343="Service A",H343="Band 3")</f>
        <v/>
      </c>
      <c r="J343" s="33">
        <f>IF(AND(YEAR(B343)=2025,G343="Service B",OR(H343="Band 3",H343="Band 5"),ISNUMBER(F343)),F343,"")</f>
        <v/>
      </c>
    </row>
    <row r="344">
      <c r="A344" s="19" t="inlineStr">
        <is>
          <t>User1045</t>
        </is>
      </c>
      <c r="B344" s="60" t="n">
        <v>45748</v>
      </c>
      <c r="C344" s="21" t="n">
        <v>148</v>
      </c>
      <c r="D344" s="21" t="n">
        <v>145.75</v>
      </c>
      <c r="E344" s="21" t="n">
        <v>53.5</v>
      </c>
      <c r="F344" s="27">
        <f>IFERROR(IF(OR(C344="",D344="",C344=0),"",D344/C344),"")</f>
        <v/>
      </c>
      <c r="G344" s="21">
        <f>IFERROR(INDEX(Users!$A$2:$A$310,MATCH(A344,Users!$B$2:$B$310,0)),"")</f>
        <v/>
      </c>
      <c r="H344" s="21">
        <f>IFERROR(INDEX(Users!$D$2:$D$310,MATCH(A344,Users!$B$2:$B$310,0)),"")</f>
        <v/>
      </c>
      <c r="I344" s="19">
        <f>AND(G344="Service A",H344="Band 3")</f>
        <v/>
      </c>
      <c r="J344" s="33">
        <f>IF(AND(YEAR(B344)=2025,G344="Service B",OR(H344="Band 3",H344="Band 5"),ISNUMBER(F344)),F344,"")</f>
        <v/>
      </c>
    </row>
    <row r="345">
      <c r="A345" s="19" t="inlineStr">
        <is>
          <t>User1045</t>
        </is>
      </c>
      <c r="B345" s="60" t="n">
        <v>45778</v>
      </c>
      <c r="C345" s="21" t="n">
        <v>148</v>
      </c>
      <c r="D345" s="21" t="n">
        <v>133.99</v>
      </c>
      <c r="E345" s="21" t="n">
        <v>58.24</v>
      </c>
      <c r="F345" s="27">
        <f>IFERROR(IF(OR(C345="",D345="",C345=0),"",D345/C345),"")</f>
        <v/>
      </c>
      <c r="G345" s="21">
        <f>IFERROR(INDEX(Users!$A$2:$A$310,MATCH(A345,Users!$B$2:$B$310,0)),"")</f>
        <v/>
      </c>
      <c r="H345" s="21">
        <f>IFERROR(INDEX(Users!$D$2:$D$310,MATCH(A345,Users!$B$2:$B$310,0)),"")</f>
        <v/>
      </c>
      <c r="I345" s="19">
        <f>AND(G345="Service A",H345="Band 3")</f>
        <v/>
      </c>
      <c r="J345" s="33">
        <f>IF(AND(YEAR(B345)=2025,G345="Service B",OR(H345="Band 3",H345="Band 5"),ISNUMBER(F345)),F345,"")</f>
        <v/>
      </c>
    </row>
    <row r="346">
      <c r="A346" s="19" t="inlineStr">
        <is>
          <t>User1045</t>
        </is>
      </c>
      <c r="B346" s="60" t="n">
        <v>45809</v>
      </c>
      <c r="C346" s="21" t="n">
        <v>155.4</v>
      </c>
      <c r="D346" s="21" t="n">
        <v>111.15</v>
      </c>
      <c r="E346" s="21" t="n">
        <v>61.15</v>
      </c>
      <c r="F346" s="27">
        <f>IFERROR(IF(OR(C346="",D346="",C346=0),"",D346/C346),"")</f>
        <v/>
      </c>
      <c r="G346" s="21">
        <f>IFERROR(INDEX(Users!$A$2:$A$310,MATCH(A346,Users!$B$2:$B$310,0)),"")</f>
        <v/>
      </c>
      <c r="H346" s="21">
        <f>IFERROR(INDEX(Users!$D$2:$D$310,MATCH(A346,Users!$B$2:$B$310,0)),"")</f>
        <v/>
      </c>
      <c r="I346" s="19">
        <f>AND(G346="Service A",H346="Band 3")</f>
        <v/>
      </c>
      <c r="J346" s="33">
        <f>IF(AND(YEAR(B346)=2025,G346="Service B",OR(H346="Band 3",H346="Band 5"),ISNUMBER(F346)),F346,"")</f>
        <v/>
      </c>
    </row>
    <row r="347">
      <c r="A347" s="19" t="inlineStr">
        <is>
          <t>User1045</t>
        </is>
      </c>
      <c r="B347" s="60" t="n">
        <v>45839</v>
      </c>
      <c r="C347" s="21" t="n">
        <v>170.2</v>
      </c>
      <c r="D347" s="21" t="n">
        <v>116.4133333333334</v>
      </c>
      <c r="E347" s="21" t="n">
        <v>66.08000000000001</v>
      </c>
      <c r="F347" s="27">
        <f>IFERROR(IF(OR(C347="",D347="",C347=0),"",D347/C347),"")</f>
        <v/>
      </c>
      <c r="G347" s="21">
        <f>IFERROR(INDEX(Users!$A$2:$A$310,MATCH(A347,Users!$B$2:$B$310,0)),"")</f>
        <v/>
      </c>
      <c r="H347" s="21">
        <f>IFERROR(INDEX(Users!$D$2:$D$310,MATCH(A347,Users!$B$2:$B$310,0)),"")</f>
        <v/>
      </c>
      <c r="I347" s="19">
        <f>AND(G347="Service A",H347="Band 3")</f>
        <v/>
      </c>
      <c r="J347" s="33">
        <f>IF(AND(YEAR(B347)=2025,G347="Service B",OR(H347="Band 3",H347="Band 5"),ISNUMBER(F347)),F347,"")</f>
        <v/>
      </c>
    </row>
    <row r="348">
      <c r="A348" s="19" t="inlineStr">
        <is>
          <t>User1045</t>
        </is>
      </c>
      <c r="B348" s="60" t="n">
        <v>45870</v>
      </c>
      <c r="C348" s="21" t="n">
        <v>148</v>
      </c>
      <c r="D348" s="21" t="n">
        <v>109.7</v>
      </c>
      <c r="E348" s="21" t="n">
        <v>42.95</v>
      </c>
      <c r="F348" s="27">
        <f>IFERROR(IF(OR(C348="",D348="",C348=0),"",D348/C348),"")</f>
        <v/>
      </c>
      <c r="G348" s="21">
        <f>IFERROR(INDEX(Users!$A$2:$A$310,MATCH(A348,Users!$B$2:$B$310,0)),"")</f>
        <v/>
      </c>
      <c r="H348" s="21">
        <f>IFERROR(INDEX(Users!$D$2:$D$310,MATCH(A348,Users!$B$2:$B$310,0)),"")</f>
        <v/>
      </c>
      <c r="I348" s="19">
        <f>AND(G348="Service A",H348="Band 3")</f>
        <v/>
      </c>
      <c r="J348" s="33">
        <f>IF(AND(YEAR(B348)=2025,G348="Service B",OR(H348="Band 3",H348="Band 5"),ISNUMBER(F348)),F348,"")</f>
        <v/>
      </c>
    </row>
    <row r="349">
      <c r="A349" s="19" t="inlineStr">
        <is>
          <t>User1045</t>
        </is>
      </c>
      <c r="B349" s="60" t="n">
        <v>45901</v>
      </c>
      <c r="C349" s="21" t="n">
        <v>162.8</v>
      </c>
      <c r="D349" s="21" t="n">
        <v>164.53</v>
      </c>
      <c r="E349" s="21" t="n">
        <v>89.83</v>
      </c>
      <c r="F349" s="27">
        <f>IFERROR(IF(OR(C349="",D349="",C349=0),"",D349/C349),"")</f>
        <v/>
      </c>
      <c r="G349" s="21">
        <f>IFERROR(INDEX(Users!$A$2:$A$310,MATCH(A349,Users!$B$2:$B$310,0)),"")</f>
        <v/>
      </c>
      <c r="H349" s="21">
        <f>IFERROR(INDEX(Users!$D$2:$D$310,MATCH(A349,Users!$B$2:$B$310,0)),"")</f>
        <v/>
      </c>
      <c r="I349" s="19">
        <f>AND(G349="Service A",H349="Band 3")</f>
        <v/>
      </c>
      <c r="J349" s="33">
        <f>IF(AND(YEAR(B349)=2025,G349="Service B",OR(H349="Band 3",H349="Band 5"),ISNUMBER(F349)),F349,"")</f>
        <v/>
      </c>
    </row>
    <row r="350">
      <c r="A350" s="19" t="inlineStr">
        <is>
          <t>User1045</t>
        </is>
      </c>
      <c r="B350" s="60" t="n">
        <v>45931</v>
      </c>
      <c r="C350" s="21" t="n">
        <v>170.2</v>
      </c>
      <c r="D350" s="21" t="n">
        <v>172.1666666666667</v>
      </c>
      <c r="E350" s="21" t="n">
        <v>106.75</v>
      </c>
      <c r="F350" s="27">
        <f>IFERROR(IF(OR(C350="",D350="",C350=0),"",D350/C350),"")</f>
        <v/>
      </c>
      <c r="G350" s="21">
        <f>IFERROR(INDEX(Users!$A$2:$A$310,MATCH(A350,Users!$B$2:$B$310,0)),"")</f>
        <v/>
      </c>
      <c r="H350" s="21">
        <f>IFERROR(INDEX(Users!$D$2:$D$310,MATCH(A350,Users!$B$2:$B$310,0)),"")</f>
        <v/>
      </c>
      <c r="I350" s="19">
        <f>AND(G350="Service A",H350="Band 3")</f>
        <v/>
      </c>
      <c r="J350" s="33">
        <f>IF(AND(YEAR(B350)=2025,G350="Service B",OR(H350="Band 3",H350="Band 5"),ISNUMBER(F350)),F350,"")</f>
        <v/>
      </c>
    </row>
    <row r="351">
      <c r="A351" s="19" t="inlineStr">
        <is>
          <t>User1045</t>
        </is>
      </c>
      <c r="B351" s="60" t="n">
        <v>45962</v>
      </c>
      <c r="C351" s="21" t="n">
        <v>148</v>
      </c>
      <c r="D351" s="21" t="n">
        <v>135.4533333333333</v>
      </c>
      <c r="E351" s="21" t="n">
        <v>71.12</v>
      </c>
      <c r="F351" s="27">
        <f>IFERROR(IF(OR(C351="",D351="",C351=0),"",D351/C351),"")</f>
        <v/>
      </c>
      <c r="G351" s="21">
        <f>IFERROR(INDEX(Users!$A$2:$A$310,MATCH(A351,Users!$B$2:$B$310,0)),"")</f>
        <v/>
      </c>
      <c r="H351" s="21">
        <f>IFERROR(INDEX(Users!$D$2:$D$310,MATCH(A351,Users!$B$2:$B$310,0)),"")</f>
        <v/>
      </c>
      <c r="I351" s="19">
        <f>AND(G351="Service A",H351="Band 3")</f>
        <v/>
      </c>
      <c r="J351" s="33">
        <f>IF(AND(YEAR(B351)=2025,G351="Service B",OR(H351="Band 3",H351="Band 5"),ISNUMBER(F351)),F351,"")</f>
        <v/>
      </c>
    </row>
    <row r="352">
      <c r="A352" s="19" t="inlineStr">
        <is>
          <t>User1045</t>
        </is>
      </c>
      <c r="B352" s="60" t="n">
        <v>45992</v>
      </c>
      <c r="C352" s="21" t="n">
        <v>155.4</v>
      </c>
      <c r="D352" s="21" t="n">
        <v>134.2533333333333</v>
      </c>
      <c r="E352" s="21" t="n">
        <v>79.17</v>
      </c>
      <c r="F352" s="27">
        <f>IFERROR(IF(OR(C352="",D352="",C352=0),"",D352/C352),"")</f>
        <v/>
      </c>
      <c r="G352" s="21">
        <f>IFERROR(INDEX(Users!$A$2:$A$310,MATCH(A352,Users!$B$2:$B$310,0)),"")</f>
        <v/>
      </c>
      <c r="H352" s="21">
        <f>IFERROR(INDEX(Users!$D$2:$D$310,MATCH(A352,Users!$B$2:$B$310,0)),"")</f>
        <v/>
      </c>
      <c r="I352" s="19">
        <f>AND(G352="Service A",H352="Band 3")</f>
        <v/>
      </c>
      <c r="J352" s="33">
        <f>IF(AND(YEAR(B352)=2025,G352="Service B",OR(H352="Band 3",H352="Band 5"),ISNUMBER(F352)),F352,"")</f>
        <v/>
      </c>
    </row>
    <row r="353">
      <c r="A353" s="19" t="inlineStr">
        <is>
          <t>User1045</t>
        </is>
      </c>
      <c r="B353" s="60" t="n">
        <v>46023</v>
      </c>
      <c r="C353" s="21" t="n">
        <v>155.4</v>
      </c>
      <c r="D353" s="21" t="n">
        <v>138.5466666666667</v>
      </c>
      <c r="E353" s="21" t="n">
        <v>86.88</v>
      </c>
      <c r="F353" s="27">
        <f>IFERROR(IF(OR(C353="",D353="",C353=0),"",D353/C353),"")</f>
        <v/>
      </c>
      <c r="G353" s="21">
        <f>IFERROR(INDEX(Users!$A$2:$A$310,MATCH(A353,Users!$B$2:$B$310,0)),"")</f>
        <v/>
      </c>
      <c r="H353" s="21">
        <f>IFERROR(INDEX(Users!$D$2:$D$310,MATCH(A353,Users!$B$2:$B$310,0)),"")</f>
        <v/>
      </c>
      <c r="I353" s="19">
        <f>AND(G353="Service A",H353="Band 3")</f>
        <v/>
      </c>
      <c r="J353" s="33">
        <f>IF(AND(YEAR(B353)=2025,G353="Service B",OR(H353="Band 3",H353="Band 5"),ISNUMBER(F353)),F353,"")</f>
        <v/>
      </c>
    </row>
    <row r="354">
      <c r="A354" s="19" t="inlineStr">
        <is>
          <t>User1046</t>
        </is>
      </c>
      <c r="B354" s="60" t="n">
        <v>45658</v>
      </c>
      <c r="C354" s="21" t="n">
        <v>162.8</v>
      </c>
      <c r="D354" s="21" t="n">
        <v>103.8716666666667</v>
      </c>
      <c r="E354" s="21" t="n">
        <v>57.27999999999999</v>
      </c>
      <c r="F354" s="27">
        <f>IFERROR(IF(OR(C354="",D354="",C354=0),"",D354/C354),"")</f>
        <v/>
      </c>
      <c r="G354" s="21">
        <f>IFERROR(INDEX(Users!$A$2:$A$310,MATCH(A354,Users!$B$2:$B$310,0)),"")</f>
        <v/>
      </c>
      <c r="H354" s="21">
        <f>IFERROR(INDEX(Users!$D$2:$D$310,MATCH(A354,Users!$B$2:$B$310,0)),"")</f>
        <v/>
      </c>
      <c r="I354" s="19">
        <f>AND(G354="Service A",H354="Band 3")</f>
        <v/>
      </c>
      <c r="J354" s="33">
        <f>IF(AND(YEAR(B354)=2025,G354="Service B",OR(H354="Band 3",H354="Band 5"),ISNUMBER(F354)),F354,"")</f>
        <v/>
      </c>
    </row>
    <row r="355">
      <c r="A355" s="19" t="inlineStr">
        <is>
          <t>User1046</t>
        </is>
      </c>
      <c r="B355" s="60" t="n">
        <v>45689</v>
      </c>
      <c r="C355" s="21" t="n">
        <v>148</v>
      </c>
      <c r="D355" s="21" t="n">
        <v>99.99666666666668</v>
      </c>
      <c r="E355" s="21" t="n">
        <v>51.98</v>
      </c>
      <c r="F355" s="27">
        <f>IFERROR(IF(OR(C355="",D355="",C355=0),"",D355/C355),"")</f>
        <v/>
      </c>
      <c r="G355" s="21">
        <f>IFERROR(INDEX(Users!$A$2:$A$310,MATCH(A355,Users!$B$2:$B$310,0)),"")</f>
        <v/>
      </c>
      <c r="H355" s="21">
        <f>IFERROR(INDEX(Users!$D$2:$D$310,MATCH(A355,Users!$B$2:$B$310,0)),"")</f>
        <v/>
      </c>
      <c r="I355" s="19">
        <f>AND(G355="Service A",H355="Band 3")</f>
        <v/>
      </c>
      <c r="J355" s="33">
        <f>IF(AND(YEAR(B355)=2025,G355="Service B",OR(H355="Band 3",H355="Band 5"),ISNUMBER(F355)),F355,"")</f>
        <v/>
      </c>
    </row>
    <row r="356">
      <c r="A356" s="19" t="inlineStr">
        <is>
          <t>User1046</t>
        </is>
      </c>
      <c r="B356" s="60" t="n">
        <v>45717</v>
      </c>
      <c r="C356" s="21" t="n">
        <v>155.4</v>
      </c>
      <c r="D356" s="21" t="n">
        <v>139.2333333333333</v>
      </c>
      <c r="E356" s="21" t="n">
        <v>63.15</v>
      </c>
      <c r="F356" s="27">
        <f>IFERROR(IF(OR(C356="",D356="",C356=0),"",D356/C356),"")</f>
        <v/>
      </c>
      <c r="G356" s="21">
        <f>IFERROR(INDEX(Users!$A$2:$A$310,MATCH(A356,Users!$B$2:$B$310,0)),"")</f>
        <v/>
      </c>
      <c r="H356" s="21">
        <f>IFERROR(INDEX(Users!$D$2:$D$310,MATCH(A356,Users!$B$2:$B$310,0)),"")</f>
        <v/>
      </c>
      <c r="I356" s="19">
        <f>AND(G356="Service A",H356="Band 3")</f>
        <v/>
      </c>
      <c r="J356" s="33">
        <f>IF(AND(YEAR(B356)=2025,G356="Service B",OR(H356="Band 3",H356="Band 5"),ISNUMBER(F356)),F356,"")</f>
        <v/>
      </c>
    </row>
    <row r="357">
      <c r="A357" s="19" t="inlineStr">
        <is>
          <t>User1046</t>
        </is>
      </c>
      <c r="B357" s="60" t="n">
        <v>45748</v>
      </c>
      <c r="C357" s="21" t="n">
        <v>148</v>
      </c>
      <c r="D357" s="21" t="n">
        <v>65.75333333333333</v>
      </c>
      <c r="E357" s="21" t="n">
        <v>22.92</v>
      </c>
      <c r="F357" s="27">
        <f>IFERROR(IF(OR(C357="",D357="",C357=0),"",D357/C357),"")</f>
        <v/>
      </c>
      <c r="G357" s="21">
        <f>IFERROR(INDEX(Users!$A$2:$A$310,MATCH(A357,Users!$B$2:$B$310,0)),"")</f>
        <v/>
      </c>
      <c r="H357" s="21">
        <f>IFERROR(INDEX(Users!$D$2:$D$310,MATCH(A357,Users!$B$2:$B$310,0)),"")</f>
        <v/>
      </c>
      <c r="I357" s="19">
        <f>AND(G357="Service A",H357="Band 3")</f>
        <v/>
      </c>
      <c r="J357" s="33">
        <f>IF(AND(YEAR(B357)=2025,G357="Service B",OR(H357="Band 3",H357="Band 5"),ISNUMBER(F357)),F357,"")</f>
        <v/>
      </c>
    </row>
    <row r="358">
      <c r="A358" s="19" t="inlineStr">
        <is>
          <t>User1046</t>
        </is>
      </c>
      <c r="B358" s="60" t="n">
        <v>45778</v>
      </c>
      <c r="C358" s="21" t="n">
        <v>148</v>
      </c>
      <c r="D358" s="21" t="n">
        <v>123.05</v>
      </c>
      <c r="E358" s="21" t="n">
        <v>59.3</v>
      </c>
      <c r="F358" s="27">
        <f>IFERROR(IF(OR(C358="",D358="",C358=0),"",D358/C358),"")</f>
        <v/>
      </c>
      <c r="G358" s="21">
        <f>IFERROR(INDEX(Users!$A$2:$A$310,MATCH(A358,Users!$B$2:$B$310,0)),"")</f>
        <v/>
      </c>
      <c r="H358" s="21">
        <f>IFERROR(INDEX(Users!$D$2:$D$310,MATCH(A358,Users!$B$2:$B$310,0)),"")</f>
        <v/>
      </c>
      <c r="I358" s="19">
        <f>AND(G358="Service A",H358="Band 3")</f>
        <v/>
      </c>
      <c r="J358" s="33">
        <f>IF(AND(YEAR(B358)=2025,G358="Service B",OR(H358="Band 3",H358="Band 5"),ISNUMBER(F358)),F358,"")</f>
        <v/>
      </c>
    </row>
    <row r="359">
      <c r="A359" s="19" t="inlineStr">
        <is>
          <t>User1046</t>
        </is>
      </c>
      <c r="B359" s="60" t="n">
        <v>45809</v>
      </c>
      <c r="C359" s="21" t="n">
        <v>155.4</v>
      </c>
      <c r="D359" s="21" t="n">
        <v>138.4233333333333</v>
      </c>
      <c r="E359" s="21" t="n">
        <v>78.09</v>
      </c>
      <c r="F359" s="27">
        <f>IFERROR(IF(OR(C359="",D359="",C359=0),"",D359/C359),"")</f>
        <v/>
      </c>
      <c r="G359" s="21">
        <f>IFERROR(INDEX(Users!$A$2:$A$310,MATCH(A359,Users!$B$2:$B$310,0)),"")</f>
        <v/>
      </c>
      <c r="H359" s="21">
        <f>IFERROR(INDEX(Users!$D$2:$D$310,MATCH(A359,Users!$B$2:$B$310,0)),"")</f>
        <v/>
      </c>
      <c r="I359" s="19">
        <f>AND(G359="Service A",H359="Band 3")</f>
        <v/>
      </c>
      <c r="J359" s="33">
        <f>IF(AND(YEAR(B359)=2025,G359="Service B",OR(H359="Band 3",H359="Band 5"),ISNUMBER(F359)),F359,"")</f>
        <v/>
      </c>
    </row>
    <row r="360">
      <c r="A360" s="19" t="inlineStr">
        <is>
          <t>User1046</t>
        </is>
      </c>
      <c r="B360" s="60" t="n">
        <v>45839</v>
      </c>
      <c r="C360" s="21" t="n">
        <v>170.2</v>
      </c>
      <c r="D360" s="21" t="n">
        <v>151.3433333333333</v>
      </c>
      <c r="E360" s="21" t="n">
        <v>97.00999999999999</v>
      </c>
      <c r="F360" s="27">
        <f>IFERROR(IF(OR(C360="",D360="",C360=0),"",D360/C360),"")</f>
        <v/>
      </c>
      <c r="G360" s="21">
        <f>IFERROR(INDEX(Users!$A$2:$A$310,MATCH(A360,Users!$B$2:$B$310,0)),"")</f>
        <v/>
      </c>
      <c r="H360" s="21">
        <f>IFERROR(INDEX(Users!$D$2:$D$310,MATCH(A360,Users!$B$2:$B$310,0)),"")</f>
        <v/>
      </c>
      <c r="I360" s="19">
        <f>AND(G360="Service A",H360="Band 3")</f>
        <v/>
      </c>
      <c r="J360" s="33">
        <f>IF(AND(YEAR(B360)=2025,G360="Service B",OR(H360="Band 3",H360="Band 5"),ISNUMBER(F360)),F360,"")</f>
        <v/>
      </c>
    </row>
    <row r="361">
      <c r="A361" s="19" t="inlineStr">
        <is>
          <t>User1046</t>
        </is>
      </c>
      <c r="B361" s="60" t="n">
        <v>45870</v>
      </c>
      <c r="C361" s="21" t="n">
        <v>148</v>
      </c>
      <c r="D361" s="21" t="n">
        <v>59.07666666666668</v>
      </c>
      <c r="E361" s="21" t="n">
        <v>25.16</v>
      </c>
      <c r="F361" s="27">
        <f>IFERROR(IF(OR(C361="",D361="",C361=0),"",D361/C361),"")</f>
        <v/>
      </c>
      <c r="G361" s="21">
        <f>IFERROR(INDEX(Users!$A$2:$A$310,MATCH(A361,Users!$B$2:$B$310,0)),"")</f>
        <v/>
      </c>
      <c r="H361" s="21">
        <f>IFERROR(INDEX(Users!$D$2:$D$310,MATCH(A361,Users!$B$2:$B$310,0)),"")</f>
        <v/>
      </c>
      <c r="I361" s="19">
        <f>AND(G361="Service A",H361="Band 3")</f>
        <v/>
      </c>
      <c r="J361" s="33">
        <f>IF(AND(YEAR(B361)=2025,G361="Service B",OR(H361="Band 3",H361="Band 5"),ISNUMBER(F361)),F361,"")</f>
        <v/>
      </c>
    </row>
    <row r="362">
      <c r="A362" s="19" t="inlineStr">
        <is>
          <t>User1046</t>
        </is>
      </c>
      <c r="B362" s="60" t="n">
        <v>45901</v>
      </c>
      <c r="C362" s="21" t="n">
        <v>162.8</v>
      </c>
      <c r="D362" s="21" t="n">
        <v>150.77</v>
      </c>
      <c r="E362" s="21" t="n">
        <v>92.96999999999998</v>
      </c>
      <c r="F362" s="27">
        <f>IFERROR(IF(OR(C362="",D362="",C362=0),"",D362/C362),"")</f>
        <v/>
      </c>
      <c r="G362" s="21">
        <f>IFERROR(INDEX(Users!$A$2:$A$310,MATCH(A362,Users!$B$2:$B$310,0)),"")</f>
        <v/>
      </c>
      <c r="H362" s="21">
        <f>IFERROR(INDEX(Users!$D$2:$D$310,MATCH(A362,Users!$B$2:$B$310,0)),"")</f>
        <v/>
      </c>
      <c r="I362" s="19">
        <f>AND(G362="Service A",H362="Band 3")</f>
        <v/>
      </c>
      <c r="J362" s="33">
        <f>IF(AND(YEAR(B362)=2025,G362="Service B",OR(H362="Band 3",H362="Band 5"),ISNUMBER(F362)),F362,"")</f>
        <v/>
      </c>
    </row>
    <row r="363">
      <c r="A363" s="19" t="inlineStr">
        <is>
          <t>User1046</t>
        </is>
      </c>
      <c r="B363" s="60" t="n">
        <v>45931</v>
      </c>
      <c r="C363" s="21" t="n">
        <v>170.2</v>
      </c>
      <c r="D363" s="21" t="n">
        <v>119.5133333333333</v>
      </c>
      <c r="E363" s="21" t="n">
        <v>61.18000000000001</v>
      </c>
      <c r="F363" s="27">
        <f>IFERROR(IF(OR(C363="",D363="",C363=0),"",D363/C363),"")</f>
        <v/>
      </c>
      <c r="G363" s="21">
        <f>IFERROR(INDEX(Users!$A$2:$A$310,MATCH(A363,Users!$B$2:$B$310,0)),"")</f>
        <v/>
      </c>
      <c r="H363" s="21">
        <f>IFERROR(INDEX(Users!$D$2:$D$310,MATCH(A363,Users!$B$2:$B$310,0)),"")</f>
        <v/>
      </c>
      <c r="I363" s="19">
        <f>AND(G363="Service A",H363="Band 3")</f>
        <v/>
      </c>
      <c r="J363" s="33">
        <f>IF(AND(YEAR(B363)=2025,G363="Service B",OR(H363="Band 3",H363="Band 5"),ISNUMBER(F363)),F363,"")</f>
        <v/>
      </c>
    </row>
    <row r="364">
      <c r="A364" s="19" t="inlineStr">
        <is>
          <t>User1046</t>
        </is>
      </c>
      <c r="B364" s="60" t="n">
        <v>45962</v>
      </c>
      <c r="C364" s="21" t="n">
        <v>148</v>
      </c>
      <c r="D364" s="21" t="n">
        <v>136.6633333333333</v>
      </c>
      <c r="E364" s="21" t="n">
        <v>81.07999999999998</v>
      </c>
      <c r="F364" s="27">
        <f>IFERROR(IF(OR(C364="",D364="",C364=0),"",D364/C364),"")</f>
        <v/>
      </c>
      <c r="G364" s="21">
        <f>IFERROR(INDEX(Users!$A$2:$A$310,MATCH(A364,Users!$B$2:$B$310,0)),"")</f>
        <v/>
      </c>
      <c r="H364" s="21">
        <f>IFERROR(INDEX(Users!$D$2:$D$310,MATCH(A364,Users!$B$2:$B$310,0)),"")</f>
        <v/>
      </c>
      <c r="I364" s="19">
        <f>AND(G364="Service A",H364="Band 3")</f>
        <v/>
      </c>
      <c r="J364" s="33">
        <f>IF(AND(YEAR(B364)=2025,G364="Service B",OR(H364="Band 3",H364="Band 5"),ISNUMBER(F364)),F364,"")</f>
        <v/>
      </c>
    </row>
    <row r="365">
      <c r="A365" s="19" t="inlineStr">
        <is>
          <t>User1046</t>
        </is>
      </c>
      <c r="B365" s="60" t="n">
        <v>45992</v>
      </c>
      <c r="C365" s="21" t="n">
        <v>155.4</v>
      </c>
      <c r="D365" s="21" t="n">
        <v>75.76666666666665</v>
      </c>
      <c r="E365" s="21" t="n">
        <v>49.09999999999999</v>
      </c>
      <c r="F365" s="27">
        <f>IFERROR(IF(OR(C365="",D365="",C365=0),"",D365/C365),"")</f>
        <v/>
      </c>
      <c r="G365" s="21">
        <f>IFERROR(INDEX(Users!$A$2:$A$310,MATCH(A365,Users!$B$2:$B$310,0)),"")</f>
        <v/>
      </c>
      <c r="H365" s="21">
        <f>IFERROR(INDEX(Users!$D$2:$D$310,MATCH(A365,Users!$B$2:$B$310,0)),"")</f>
        <v/>
      </c>
      <c r="I365" s="19">
        <f>AND(G365="Service A",H365="Band 3")</f>
        <v/>
      </c>
      <c r="J365" s="33">
        <f>IF(AND(YEAR(B365)=2025,G365="Service B",OR(H365="Band 3",H365="Band 5"),ISNUMBER(F365)),F365,"")</f>
        <v/>
      </c>
    </row>
    <row r="366">
      <c r="A366" s="19" t="inlineStr">
        <is>
          <t>User1046</t>
        </is>
      </c>
      <c r="B366" s="60" t="n">
        <v>46023</v>
      </c>
      <c r="C366" s="21" t="n">
        <v>155.4</v>
      </c>
      <c r="D366" s="21" t="n">
        <v>0.84</v>
      </c>
      <c r="E366" s="21" t="n">
        <v>0.84</v>
      </c>
      <c r="F366" s="27">
        <f>IFERROR(IF(OR(C366="",D366="",C366=0),"",D366/C366),"")</f>
        <v/>
      </c>
      <c r="G366" s="21">
        <f>IFERROR(INDEX(Users!$A$2:$A$310,MATCH(A366,Users!$B$2:$B$310,0)),"")</f>
        <v/>
      </c>
      <c r="H366" s="21">
        <f>IFERROR(INDEX(Users!$D$2:$D$310,MATCH(A366,Users!$B$2:$B$310,0)),"")</f>
        <v/>
      </c>
      <c r="I366" s="19">
        <f>AND(G366="Service A",H366="Band 3")</f>
        <v/>
      </c>
      <c r="J366" s="33">
        <f>IF(AND(YEAR(B366)=2025,G366="Service B",OR(H366="Band 3",H366="Band 5"),ISNUMBER(F366)),F366,"")</f>
        <v/>
      </c>
    </row>
    <row r="367">
      <c r="A367" s="19" t="inlineStr">
        <is>
          <t>User1047</t>
        </is>
      </c>
      <c r="B367" s="60" t="n">
        <v>45658</v>
      </c>
      <c r="C367" s="21" t="n">
        <v>162.8</v>
      </c>
      <c r="D367" s="21" t="n">
        <v>145.2527777777778</v>
      </c>
      <c r="E367" s="21" t="n">
        <v>86.30000000000003</v>
      </c>
      <c r="F367" s="27">
        <f>IFERROR(IF(OR(C367="",D367="",C367=0),"",D367/C367),"")</f>
        <v/>
      </c>
      <c r="G367" s="21">
        <f>IFERROR(INDEX(Users!$A$2:$A$310,MATCH(A367,Users!$B$2:$B$310,0)),"")</f>
        <v/>
      </c>
      <c r="H367" s="21">
        <f>IFERROR(INDEX(Users!$D$2:$D$310,MATCH(A367,Users!$B$2:$B$310,0)),"")</f>
        <v/>
      </c>
      <c r="I367" s="19">
        <f>AND(G367="Service A",H367="Band 3")</f>
        <v/>
      </c>
      <c r="J367" s="33">
        <f>IF(AND(YEAR(B367)=2025,G367="Service B",OR(H367="Band 3",H367="Band 5"),ISNUMBER(F367)),F367,"")</f>
        <v/>
      </c>
    </row>
    <row r="368">
      <c r="A368" s="19" t="inlineStr">
        <is>
          <t>User1047</t>
        </is>
      </c>
      <c r="B368" s="60" t="n">
        <v>45689</v>
      </c>
      <c r="C368" s="21" t="n">
        <v>148</v>
      </c>
      <c r="D368" s="21" t="n">
        <v>148.2705555555556</v>
      </c>
      <c r="E368" s="21" t="n">
        <v>90.72000000000003</v>
      </c>
      <c r="F368" s="27">
        <f>IFERROR(IF(OR(C368="",D368="",C368=0),"",D368/C368),"")</f>
        <v/>
      </c>
      <c r="G368" s="21">
        <f>IFERROR(INDEX(Users!$A$2:$A$310,MATCH(A368,Users!$B$2:$B$310,0)),"")</f>
        <v/>
      </c>
      <c r="H368" s="21">
        <f>IFERROR(INDEX(Users!$D$2:$D$310,MATCH(A368,Users!$B$2:$B$310,0)),"")</f>
        <v/>
      </c>
      <c r="I368" s="19">
        <f>AND(G368="Service A",H368="Band 3")</f>
        <v/>
      </c>
      <c r="J368" s="33">
        <f>IF(AND(YEAR(B368)=2025,G368="Service B",OR(H368="Band 3",H368="Band 5"),ISNUMBER(F368)),F368,"")</f>
        <v/>
      </c>
    </row>
    <row r="369">
      <c r="A369" s="19" t="inlineStr">
        <is>
          <t>User1047</t>
        </is>
      </c>
      <c r="B369" s="60" t="n">
        <v>45717</v>
      </c>
      <c r="C369" s="21" t="n">
        <v>155.4</v>
      </c>
      <c r="D369" s="21" t="n">
        <v>101.6413888888889</v>
      </c>
      <c r="E369" s="21" t="n">
        <v>62.37</v>
      </c>
      <c r="F369" s="27">
        <f>IFERROR(IF(OR(C369="",D369="",C369=0),"",D369/C369),"")</f>
        <v/>
      </c>
      <c r="G369" s="21">
        <f>IFERROR(INDEX(Users!$A$2:$A$310,MATCH(A369,Users!$B$2:$B$310,0)),"")</f>
        <v/>
      </c>
      <c r="H369" s="21">
        <f>IFERROR(INDEX(Users!$D$2:$D$310,MATCH(A369,Users!$B$2:$B$310,0)),"")</f>
        <v/>
      </c>
      <c r="I369" s="19">
        <f>AND(G369="Service A",H369="Band 3")</f>
        <v/>
      </c>
      <c r="J369" s="33">
        <f>IF(AND(YEAR(B369)=2025,G369="Service B",OR(H369="Band 3",H369="Band 5"),ISNUMBER(F369)),F369,"")</f>
        <v/>
      </c>
    </row>
    <row r="370">
      <c r="A370" s="19" t="inlineStr">
        <is>
          <t>User1047</t>
        </is>
      </c>
      <c r="B370" s="60" t="n">
        <v>45748</v>
      </c>
      <c r="C370" s="21" t="n">
        <v>148</v>
      </c>
      <c r="D370" s="21" t="n">
        <v>134.6691666666666</v>
      </c>
      <c r="E370" s="21" t="n">
        <v>90.82999999999997</v>
      </c>
      <c r="F370" s="27">
        <f>IFERROR(IF(OR(C370="",D370="",C370=0),"",D370/C370),"")</f>
        <v/>
      </c>
      <c r="G370" s="21">
        <f>IFERROR(INDEX(Users!$A$2:$A$310,MATCH(A370,Users!$B$2:$B$310,0)),"")</f>
        <v/>
      </c>
      <c r="H370" s="21">
        <f>IFERROR(INDEX(Users!$D$2:$D$310,MATCH(A370,Users!$B$2:$B$310,0)),"")</f>
        <v/>
      </c>
      <c r="I370" s="19">
        <f>AND(G370="Service A",H370="Band 3")</f>
        <v/>
      </c>
      <c r="J370" s="33">
        <f>IF(AND(YEAR(B370)=2025,G370="Service B",OR(H370="Band 3",H370="Band 5"),ISNUMBER(F370)),F370,"")</f>
        <v/>
      </c>
    </row>
    <row r="371">
      <c r="A371" s="19" t="inlineStr">
        <is>
          <t>User1047</t>
        </is>
      </c>
      <c r="B371" s="60" t="n">
        <v>45778</v>
      </c>
      <c r="C371" s="21" t="n">
        <v>148</v>
      </c>
      <c r="D371" s="21" t="n">
        <v>150.6144444444445</v>
      </c>
      <c r="E371" s="21" t="n">
        <v>92.22000000000001</v>
      </c>
      <c r="F371" s="27">
        <f>IFERROR(IF(OR(C371="",D371="",C371=0),"",D371/C371),"")</f>
        <v/>
      </c>
      <c r="G371" s="21">
        <f>IFERROR(INDEX(Users!$A$2:$A$310,MATCH(A371,Users!$B$2:$B$310,0)),"")</f>
        <v/>
      </c>
      <c r="H371" s="21">
        <f>IFERROR(INDEX(Users!$D$2:$D$310,MATCH(A371,Users!$B$2:$B$310,0)),"")</f>
        <v/>
      </c>
      <c r="I371" s="19">
        <f>AND(G371="Service A",H371="Band 3")</f>
        <v/>
      </c>
      <c r="J371" s="33">
        <f>IF(AND(YEAR(B371)=2025,G371="Service B",OR(H371="Band 3",H371="Band 5"),ISNUMBER(F371)),F371,"")</f>
        <v/>
      </c>
    </row>
    <row r="372">
      <c r="A372" s="19" t="inlineStr">
        <is>
          <t>User1047</t>
        </is>
      </c>
      <c r="B372" s="60" t="n">
        <v>45809</v>
      </c>
      <c r="C372" s="21" t="n">
        <v>155.4</v>
      </c>
      <c r="D372" s="21" t="n">
        <v>92.69333333333334</v>
      </c>
      <c r="E372" s="21" t="n">
        <v>72.86000000000001</v>
      </c>
      <c r="F372" s="27">
        <f>IFERROR(IF(OR(C372="",D372="",C372=0),"",D372/C372),"")</f>
        <v/>
      </c>
      <c r="G372" s="21">
        <f>IFERROR(INDEX(Users!$A$2:$A$310,MATCH(A372,Users!$B$2:$B$310,0)),"")</f>
        <v/>
      </c>
      <c r="H372" s="21">
        <f>IFERROR(INDEX(Users!$D$2:$D$310,MATCH(A372,Users!$B$2:$B$310,0)),"")</f>
        <v/>
      </c>
      <c r="I372" s="19">
        <f>AND(G372="Service A",H372="Band 3")</f>
        <v/>
      </c>
      <c r="J372" s="33">
        <f>IF(AND(YEAR(B372)=2025,G372="Service B",OR(H372="Band 3",H372="Band 5"),ISNUMBER(F372)),F372,"")</f>
        <v/>
      </c>
    </row>
    <row r="373">
      <c r="A373" s="19" t="inlineStr">
        <is>
          <t>User1047</t>
        </is>
      </c>
      <c r="B373" s="60" t="n">
        <v>45839</v>
      </c>
      <c r="C373" s="21" t="n">
        <v>170.2</v>
      </c>
      <c r="D373" s="21" t="n">
        <v>130.52</v>
      </c>
      <c r="E373" s="21" t="n">
        <v>74.01999999999998</v>
      </c>
      <c r="F373" s="27">
        <f>IFERROR(IF(OR(C373="",D373="",C373=0),"",D373/C373),"")</f>
        <v/>
      </c>
      <c r="G373" s="21">
        <f>IFERROR(INDEX(Users!$A$2:$A$310,MATCH(A373,Users!$B$2:$B$310,0)),"")</f>
        <v/>
      </c>
      <c r="H373" s="21">
        <f>IFERROR(INDEX(Users!$D$2:$D$310,MATCH(A373,Users!$B$2:$B$310,0)),"")</f>
        <v/>
      </c>
      <c r="I373" s="19">
        <f>AND(G373="Service A",H373="Band 3")</f>
        <v/>
      </c>
      <c r="J373" s="33">
        <f>IF(AND(YEAR(B373)=2025,G373="Service B",OR(H373="Band 3",H373="Band 5"),ISNUMBER(F373)),F373,"")</f>
        <v/>
      </c>
    </row>
    <row r="374">
      <c r="A374" s="19" t="inlineStr">
        <is>
          <t>User1047</t>
        </is>
      </c>
      <c r="B374" s="60" t="n">
        <v>45870</v>
      </c>
      <c r="C374" s="21" t="n">
        <v>148</v>
      </c>
      <c r="D374" s="21" t="n">
        <v>132.5533333333333</v>
      </c>
      <c r="E374" s="21" t="n">
        <v>90.22000000000003</v>
      </c>
      <c r="F374" s="27">
        <f>IFERROR(IF(OR(C374="",D374="",C374=0),"",D374/C374),"")</f>
        <v/>
      </c>
      <c r="G374" s="21">
        <f>IFERROR(INDEX(Users!$A$2:$A$310,MATCH(A374,Users!$B$2:$B$310,0)),"")</f>
        <v/>
      </c>
      <c r="H374" s="21">
        <f>IFERROR(INDEX(Users!$D$2:$D$310,MATCH(A374,Users!$B$2:$B$310,0)),"")</f>
        <v/>
      </c>
      <c r="I374" s="19">
        <f>AND(G374="Service A",H374="Band 3")</f>
        <v/>
      </c>
      <c r="J374" s="33">
        <f>IF(AND(YEAR(B374)=2025,G374="Service B",OR(H374="Band 3",H374="Band 5"),ISNUMBER(F374)),F374,"")</f>
        <v/>
      </c>
    </row>
    <row r="375">
      <c r="A375" s="19" t="inlineStr">
        <is>
          <t>User1047</t>
        </is>
      </c>
      <c r="B375" s="60" t="n">
        <v>45901</v>
      </c>
      <c r="C375" s="21" t="n">
        <v>162.8</v>
      </c>
      <c r="D375" s="21" t="n">
        <v>169.6</v>
      </c>
      <c r="E375" s="21" t="n">
        <v>73.40000000000001</v>
      </c>
      <c r="F375" s="27">
        <f>IFERROR(IF(OR(C375="",D375="",C375=0),"",D375/C375),"")</f>
        <v/>
      </c>
      <c r="G375" s="21">
        <f>IFERROR(INDEX(Users!$A$2:$A$310,MATCH(A375,Users!$B$2:$B$310,0)),"")</f>
        <v/>
      </c>
      <c r="H375" s="21">
        <f>IFERROR(INDEX(Users!$D$2:$D$310,MATCH(A375,Users!$B$2:$B$310,0)),"")</f>
        <v/>
      </c>
      <c r="I375" s="19">
        <f>AND(G375="Service A",H375="Band 3")</f>
        <v/>
      </c>
      <c r="J375" s="33">
        <f>IF(AND(YEAR(B375)=2025,G375="Service B",OR(H375="Band 3",H375="Band 5"),ISNUMBER(F375)),F375,"")</f>
        <v/>
      </c>
    </row>
    <row r="376">
      <c r="A376" s="19" t="inlineStr">
        <is>
          <t>User1047</t>
        </is>
      </c>
      <c r="B376" s="60" t="n">
        <v>45931</v>
      </c>
      <c r="C376" s="21" t="n">
        <v>170.2</v>
      </c>
      <c r="D376" s="21" t="n">
        <v>99.52666666666666</v>
      </c>
      <c r="E376" s="21" t="n">
        <v>61.10999999999999</v>
      </c>
      <c r="F376" s="27">
        <f>IFERROR(IF(OR(C376="",D376="",C376=0),"",D376/C376),"")</f>
        <v/>
      </c>
      <c r="G376" s="21">
        <f>IFERROR(INDEX(Users!$A$2:$A$310,MATCH(A376,Users!$B$2:$B$310,0)),"")</f>
        <v/>
      </c>
      <c r="H376" s="21">
        <f>IFERROR(INDEX(Users!$D$2:$D$310,MATCH(A376,Users!$B$2:$B$310,0)),"")</f>
        <v/>
      </c>
      <c r="I376" s="19">
        <f>AND(G376="Service A",H376="Band 3")</f>
        <v/>
      </c>
      <c r="J376" s="33">
        <f>IF(AND(YEAR(B376)=2025,G376="Service B",OR(H376="Band 3",H376="Band 5"),ISNUMBER(F376)),F376,"")</f>
        <v/>
      </c>
    </row>
    <row r="377">
      <c r="A377" s="19" t="inlineStr">
        <is>
          <t>User1047</t>
        </is>
      </c>
      <c r="B377" s="60" t="n">
        <v>45962</v>
      </c>
      <c r="C377" s="21" t="n">
        <v>148</v>
      </c>
      <c r="D377" s="21" t="n">
        <v>110.6266666666667</v>
      </c>
      <c r="E377" s="21" t="n">
        <v>77.70999999999999</v>
      </c>
      <c r="F377" s="27">
        <f>IFERROR(IF(OR(C377="",D377="",C377=0),"",D377/C377),"")</f>
        <v/>
      </c>
      <c r="G377" s="21">
        <f>IFERROR(INDEX(Users!$A$2:$A$310,MATCH(A377,Users!$B$2:$B$310,0)),"")</f>
        <v/>
      </c>
      <c r="H377" s="21">
        <f>IFERROR(INDEX(Users!$D$2:$D$310,MATCH(A377,Users!$B$2:$B$310,0)),"")</f>
        <v/>
      </c>
      <c r="I377" s="19">
        <f>AND(G377="Service A",H377="Band 3")</f>
        <v/>
      </c>
      <c r="J377" s="33">
        <f>IF(AND(YEAR(B377)=2025,G377="Service B",OR(H377="Band 3",H377="Band 5"),ISNUMBER(F377)),F377,"")</f>
        <v/>
      </c>
    </row>
    <row r="378">
      <c r="A378" s="19" t="inlineStr">
        <is>
          <t>User1047</t>
        </is>
      </c>
      <c r="B378" s="60" t="n">
        <v>45992</v>
      </c>
      <c r="C378" s="21" t="n">
        <v>155.4</v>
      </c>
      <c r="D378" s="21" t="n">
        <v>143.1933333333333</v>
      </c>
      <c r="E378" s="21" t="n">
        <v>77.20999999999997</v>
      </c>
      <c r="F378" s="27">
        <f>IFERROR(IF(OR(C378="",D378="",C378=0),"",D378/C378),"")</f>
        <v/>
      </c>
      <c r="G378" s="21">
        <f>IFERROR(INDEX(Users!$A$2:$A$310,MATCH(A378,Users!$B$2:$B$310,0)),"")</f>
        <v/>
      </c>
      <c r="H378" s="21">
        <f>IFERROR(INDEX(Users!$D$2:$D$310,MATCH(A378,Users!$B$2:$B$310,0)),"")</f>
        <v/>
      </c>
      <c r="I378" s="19">
        <f>AND(G378="Service A",H378="Band 3")</f>
        <v/>
      </c>
      <c r="J378" s="33">
        <f>IF(AND(YEAR(B378)=2025,G378="Service B",OR(H378="Band 3",H378="Band 5"),ISNUMBER(F378)),F378,"")</f>
        <v/>
      </c>
    </row>
    <row r="379">
      <c r="A379" s="19" t="inlineStr">
        <is>
          <t>User1047</t>
        </is>
      </c>
      <c r="B379" s="60" t="n">
        <v>46023</v>
      </c>
      <c r="C379" s="21" t="n">
        <v>155.4</v>
      </c>
      <c r="D379" s="21" t="n">
        <v>127.6233333333333</v>
      </c>
      <c r="E379" s="21" t="n">
        <v>59.88999999999998</v>
      </c>
      <c r="F379" s="27">
        <f>IFERROR(IF(OR(C379="",D379="",C379=0),"",D379/C379),"")</f>
        <v/>
      </c>
      <c r="G379" s="21">
        <f>IFERROR(INDEX(Users!$A$2:$A$310,MATCH(A379,Users!$B$2:$B$310,0)),"")</f>
        <v/>
      </c>
      <c r="H379" s="21">
        <f>IFERROR(INDEX(Users!$D$2:$D$310,MATCH(A379,Users!$B$2:$B$310,0)),"")</f>
        <v/>
      </c>
      <c r="I379" s="19">
        <f>AND(G379="Service A",H379="Band 3")</f>
        <v/>
      </c>
      <c r="J379" s="33">
        <f>IF(AND(YEAR(B379)=2025,G379="Service B",OR(H379="Band 3",H379="Band 5"),ISNUMBER(F379)),F379,"")</f>
        <v/>
      </c>
    </row>
    <row r="380">
      <c r="A380" s="19" t="inlineStr">
        <is>
          <t>User1048</t>
        </is>
      </c>
      <c r="B380" s="60" t="n">
        <v>45658</v>
      </c>
      <c r="C380" s="21" t="n">
        <v>162.8</v>
      </c>
      <c r="D380" s="21" t="n">
        <v>100.4266666666667</v>
      </c>
      <c r="E380" s="21" t="n">
        <v>62.41</v>
      </c>
      <c r="F380" s="27">
        <f>IFERROR(IF(OR(C380="",D380="",C380=0),"",D380/C380),"")</f>
        <v/>
      </c>
      <c r="G380" s="21">
        <f>IFERROR(INDEX(Users!$A$2:$A$310,MATCH(A380,Users!$B$2:$B$310,0)),"")</f>
        <v/>
      </c>
      <c r="H380" s="21">
        <f>IFERROR(INDEX(Users!$D$2:$D$310,MATCH(A380,Users!$B$2:$B$310,0)),"")</f>
        <v/>
      </c>
      <c r="I380" s="19">
        <f>AND(G380="Service A",H380="Band 3")</f>
        <v/>
      </c>
      <c r="J380" s="33">
        <f>IF(AND(YEAR(B380)=2025,G380="Service B",OR(H380="Band 3",H380="Band 5"),ISNUMBER(F380)),F380,"")</f>
        <v/>
      </c>
    </row>
    <row r="381">
      <c r="A381" s="19" t="inlineStr">
        <is>
          <t>User1048</t>
        </is>
      </c>
      <c r="B381" s="60" t="n">
        <v>45689</v>
      </c>
      <c r="C381" s="21" t="n">
        <v>148</v>
      </c>
      <c r="D381" s="21" t="n">
        <v>132.3766666666667</v>
      </c>
      <c r="E381" s="21" t="n">
        <v>104.71</v>
      </c>
      <c r="F381" s="27">
        <f>IFERROR(IF(OR(C381="",D381="",C381=0),"",D381/C381),"")</f>
        <v/>
      </c>
      <c r="G381" s="21">
        <f>IFERROR(INDEX(Users!$A$2:$A$310,MATCH(A381,Users!$B$2:$B$310,0)),"")</f>
        <v/>
      </c>
      <c r="H381" s="21">
        <f>IFERROR(INDEX(Users!$D$2:$D$310,MATCH(A381,Users!$B$2:$B$310,0)),"")</f>
        <v/>
      </c>
      <c r="I381" s="19">
        <f>AND(G381="Service A",H381="Band 3")</f>
        <v/>
      </c>
      <c r="J381" s="33">
        <f>IF(AND(YEAR(B381)=2025,G381="Service B",OR(H381="Band 3",H381="Band 5"),ISNUMBER(F381)),F381,"")</f>
        <v/>
      </c>
    </row>
    <row r="382">
      <c r="A382" s="19" t="inlineStr">
        <is>
          <t>User1048</t>
        </is>
      </c>
      <c r="B382" s="60" t="n">
        <v>45717</v>
      </c>
      <c r="C382" s="21" t="n">
        <v>155.4</v>
      </c>
      <c r="D382" s="21" t="n">
        <v>58.58</v>
      </c>
      <c r="E382" s="21" t="n">
        <v>58.58</v>
      </c>
      <c r="F382" s="27">
        <f>IFERROR(IF(OR(C382="",D382="",C382=0),"",D382/C382),"")</f>
        <v/>
      </c>
      <c r="G382" s="21">
        <f>IFERROR(INDEX(Users!$A$2:$A$310,MATCH(A382,Users!$B$2:$B$310,0)),"")</f>
        <v/>
      </c>
      <c r="H382" s="21">
        <f>IFERROR(INDEX(Users!$D$2:$D$310,MATCH(A382,Users!$B$2:$B$310,0)),"")</f>
        <v/>
      </c>
      <c r="I382" s="19">
        <f>AND(G382="Service A",H382="Band 3")</f>
        <v/>
      </c>
      <c r="J382" s="33">
        <f>IF(AND(YEAR(B382)=2025,G382="Service B",OR(H382="Band 3",H382="Band 5"),ISNUMBER(F382)),F382,"")</f>
        <v/>
      </c>
    </row>
    <row r="383">
      <c r="A383" s="19" t="inlineStr">
        <is>
          <t>User1048</t>
        </is>
      </c>
      <c r="B383" s="60" t="n">
        <v>45748</v>
      </c>
      <c r="C383" s="21" t="n">
        <v>148</v>
      </c>
      <c r="D383" s="21" t="n">
        <v>65.20666666666666</v>
      </c>
      <c r="E383" s="21" t="n">
        <v>52.89</v>
      </c>
      <c r="F383" s="27">
        <f>IFERROR(IF(OR(C383="",D383="",C383=0),"",D383/C383),"")</f>
        <v/>
      </c>
      <c r="G383" s="21">
        <f>IFERROR(INDEX(Users!$A$2:$A$310,MATCH(A383,Users!$B$2:$B$310,0)),"")</f>
        <v/>
      </c>
      <c r="H383" s="21">
        <f>IFERROR(INDEX(Users!$D$2:$D$310,MATCH(A383,Users!$B$2:$B$310,0)),"")</f>
        <v/>
      </c>
      <c r="I383" s="19">
        <f>AND(G383="Service A",H383="Band 3")</f>
        <v/>
      </c>
      <c r="J383" s="33">
        <f>IF(AND(YEAR(B383)=2025,G383="Service B",OR(H383="Band 3",H383="Band 5"),ISNUMBER(F383)),F383,"")</f>
        <v/>
      </c>
    </row>
    <row r="384">
      <c r="A384" s="19" t="inlineStr">
        <is>
          <t>User1048</t>
        </is>
      </c>
      <c r="B384" s="60" t="n">
        <v>45778</v>
      </c>
      <c r="C384" s="21" t="n">
        <v>148</v>
      </c>
      <c r="D384" s="21" t="n">
        <v>133.01</v>
      </c>
      <c r="E384" s="21" t="n">
        <v>98.91000000000001</v>
      </c>
      <c r="F384" s="27">
        <f>IFERROR(IF(OR(C384="",D384="",C384=0),"",D384/C384),"")</f>
        <v/>
      </c>
      <c r="G384" s="21">
        <f>IFERROR(INDEX(Users!$A$2:$A$310,MATCH(A384,Users!$B$2:$B$310,0)),"")</f>
        <v/>
      </c>
      <c r="H384" s="21">
        <f>IFERROR(INDEX(Users!$D$2:$D$310,MATCH(A384,Users!$B$2:$B$310,0)),"")</f>
        <v/>
      </c>
      <c r="I384" s="19">
        <f>AND(G384="Service A",H384="Band 3")</f>
        <v/>
      </c>
      <c r="J384" s="33">
        <f>IF(AND(YEAR(B384)=2025,G384="Service B",OR(H384="Band 3",H384="Band 5"),ISNUMBER(F384)),F384,"")</f>
        <v/>
      </c>
    </row>
    <row r="385">
      <c r="A385" s="19" t="inlineStr">
        <is>
          <t>User1048</t>
        </is>
      </c>
      <c r="B385" s="60" t="n">
        <v>45809</v>
      </c>
      <c r="C385" s="21" t="n">
        <v>155.4</v>
      </c>
      <c r="D385" s="21" t="n">
        <v>161.59</v>
      </c>
      <c r="E385" s="21" t="n">
        <v>111.09</v>
      </c>
      <c r="F385" s="27">
        <f>IFERROR(IF(OR(C385="",D385="",C385=0),"",D385/C385),"")</f>
        <v/>
      </c>
      <c r="G385" s="21">
        <f>IFERROR(INDEX(Users!$A$2:$A$310,MATCH(A385,Users!$B$2:$B$310,0)),"")</f>
        <v/>
      </c>
      <c r="H385" s="21">
        <f>IFERROR(INDEX(Users!$D$2:$D$310,MATCH(A385,Users!$B$2:$B$310,0)),"")</f>
        <v/>
      </c>
      <c r="I385" s="19">
        <f>AND(G385="Service A",H385="Band 3")</f>
        <v/>
      </c>
      <c r="J385" s="33">
        <f>IF(AND(YEAR(B385)=2025,G385="Service B",OR(H385="Band 3",H385="Band 5"),ISNUMBER(F385)),F385,"")</f>
        <v/>
      </c>
    </row>
    <row r="386">
      <c r="A386" s="19" t="inlineStr">
        <is>
          <t>User1048</t>
        </is>
      </c>
      <c r="B386" s="60" t="n">
        <v>45839</v>
      </c>
      <c r="C386" s="21" t="n">
        <v>170.2</v>
      </c>
      <c r="D386" s="21" t="n">
        <v>111.08</v>
      </c>
      <c r="E386" s="21" t="n">
        <v>81.08</v>
      </c>
      <c r="F386" s="27">
        <f>IFERROR(IF(OR(C386="",D386="",C386=0),"",D386/C386),"")</f>
        <v/>
      </c>
      <c r="G386" s="21">
        <f>IFERROR(INDEX(Users!$A$2:$A$310,MATCH(A386,Users!$B$2:$B$310,0)),"")</f>
        <v/>
      </c>
      <c r="H386" s="21">
        <f>IFERROR(INDEX(Users!$D$2:$D$310,MATCH(A386,Users!$B$2:$B$310,0)),"")</f>
        <v/>
      </c>
      <c r="I386" s="19">
        <f>AND(G386="Service A",H386="Band 3")</f>
        <v/>
      </c>
      <c r="J386" s="33">
        <f>IF(AND(YEAR(B386)=2025,G386="Service B",OR(H386="Band 3",H386="Band 5"),ISNUMBER(F386)),F386,"")</f>
        <v/>
      </c>
    </row>
    <row r="387">
      <c r="A387" s="19" t="inlineStr">
        <is>
          <t>User1048</t>
        </is>
      </c>
      <c r="B387" s="60" t="n">
        <v>45870</v>
      </c>
      <c r="C387" s="21" t="n">
        <v>148</v>
      </c>
      <c r="D387" s="21" t="n"/>
      <c r="E387" s="21" t="n"/>
      <c r="F387" s="27">
        <f>IFERROR(IF(OR(C387="",D387="",C387=0),"",D387/C387),"")</f>
        <v/>
      </c>
      <c r="G387" s="21">
        <f>IFERROR(INDEX(Users!$A$2:$A$310,MATCH(A387,Users!$B$2:$B$310,0)),"")</f>
        <v/>
      </c>
      <c r="H387" s="21">
        <f>IFERROR(INDEX(Users!$D$2:$D$310,MATCH(A387,Users!$B$2:$B$310,0)),"")</f>
        <v/>
      </c>
      <c r="I387" s="19">
        <f>AND(G387="Service A",H387="Band 3")</f>
        <v/>
      </c>
      <c r="J387" s="33">
        <f>IF(AND(YEAR(B387)=2025,G387="Service B",OR(H387="Band 3",H387="Band 5"),ISNUMBER(F387)),F387,"")</f>
        <v/>
      </c>
    </row>
    <row r="388">
      <c r="A388" s="19" t="inlineStr">
        <is>
          <t>User1048</t>
        </is>
      </c>
      <c r="B388" s="60" t="n">
        <v>45901</v>
      </c>
      <c r="C388" s="21" t="n">
        <v>162.8</v>
      </c>
      <c r="D388" s="21" t="n">
        <v>150.2433333333333</v>
      </c>
      <c r="E388" s="21" t="n">
        <v>100.51</v>
      </c>
      <c r="F388" s="27">
        <f>IFERROR(IF(OR(C388="",D388="",C388=0),"",D388/C388),"")</f>
        <v/>
      </c>
      <c r="G388" s="21">
        <f>IFERROR(INDEX(Users!$A$2:$A$310,MATCH(A388,Users!$B$2:$B$310,0)),"")</f>
        <v/>
      </c>
      <c r="H388" s="21">
        <f>IFERROR(INDEX(Users!$D$2:$D$310,MATCH(A388,Users!$B$2:$B$310,0)),"")</f>
        <v/>
      </c>
      <c r="I388" s="19">
        <f>AND(G388="Service A",H388="Band 3")</f>
        <v/>
      </c>
      <c r="J388" s="33">
        <f>IF(AND(YEAR(B388)=2025,G388="Service B",OR(H388="Band 3",H388="Band 5"),ISNUMBER(F388)),F388,"")</f>
        <v/>
      </c>
    </row>
    <row r="389">
      <c r="A389" s="19" t="inlineStr">
        <is>
          <t>User1048</t>
        </is>
      </c>
      <c r="B389" s="60" t="n">
        <v>45931</v>
      </c>
      <c r="C389" s="21" t="n">
        <v>170.2</v>
      </c>
      <c r="D389" s="21" t="n">
        <v>116.9766666666667</v>
      </c>
      <c r="E389" s="21" t="n">
        <v>68.16</v>
      </c>
      <c r="F389" s="27">
        <f>IFERROR(IF(OR(C389="",D389="",C389=0),"",D389/C389),"")</f>
        <v/>
      </c>
      <c r="G389" s="21">
        <f>IFERROR(INDEX(Users!$A$2:$A$310,MATCH(A389,Users!$B$2:$B$310,0)),"")</f>
        <v/>
      </c>
      <c r="H389" s="21">
        <f>IFERROR(INDEX(Users!$D$2:$D$310,MATCH(A389,Users!$B$2:$B$310,0)),"")</f>
        <v/>
      </c>
      <c r="I389" s="19">
        <f>AND(G389="Service A",H389="Band 3")</f>
        <v/>
      </c>
      <c r="J389" s="33">
        <f>IF(AND(YEAR(B389)=2025,G389="Service B",OR(H389="Band 3",H389="Band 5"),ISNUMBER(F389)),F389,"")</f>
        <v/>
      </c>
    </row>
    <row r="390">
      <c r="A390" s="19" t="inlineStr">
        <is>
          <t>User1048</t>
        </is>
      </c>
      <c r="B390" s="60" t="n">
        <v>45962</v>
      </c>
      <c r="C390" s="21" t="n">
        <v>148</v>
      </c>
      <c r="D390" s="21" t="n">
        <v>102.5966666666667</v>
      </c>
      <c r="E390" s="21" t="n">
        <v>71.93000000000001</v>
      </c>
      <c r="F390" s="27">
        <f>IFERROR(IF(OR(C390="",D390="",C390=0),"",D390/C390),"")</f>
        <v/>
      </c>
      <c r="G390" s="21">
        <f>IFERROR(INDEX(Users!$A$2:$A$310,MATCH(A390,Users!$B$2:$B$310,0)),"")</f>
        <v/>
      </c>
      <c r="H390" s="21">
        <f>IFERROR(INDEX(Users!$D$2:$D$310,MATCH(A390,Users!$B$2:$B$310,0)),"")</f>
        <v/>
      </c>
      <c r="I390" s="19">
        <f>AND(G390="Service A",H390="Band 3")</f>
        <v/>
      </c>
      <c r="J390" s="33">
        <f>IF(AND(YEAR(B390)=2025,G390="Service B",OR(H390="Band 3",H390="Band 5"),ISNUMBER(F390)),F390,"")</f>
        <v/>
      </c>
    </row>
    <row r="391">
      <c r="A391" s="19" t="inlineStr">
        <is>
          <t>User1048</t>
        </is>
      </c>
      <c r="B391" s="60" t="n">
        <v>45992</v>
      </c>
      <c r="C391" s="21" t="n">
        <v>155.4</v>
      </c>
      <c r="D391" s="21" t="n">
        <v>122.6633333333333</v>
      </c>
      <c r="E391" s="21" t="n">
        <v>84.08</v>
      </c>
      <c r="F391" s="27">
        <f>IFERROR(IF(OR(C391="",D391="",C391=0),"",D391/C391),"")</f>
        <v/>
      </c>
      <c r="G391" s="21">
        <f>IFERROR(INDEX(Users!$A$2:$A$310,MATCH(A391,Users!$B$2:$B$310,0)),"")</f>
        <v/>
      </c>
      <c r="H391" s="21">
        <f>IFERROR(INDEX(Users!$D$2:$D$310,MATCH(A391,Users!$B$2:$B$310,0)),"")</f>
        <v/>
      </c>
      <c r="I391" s="19">
        <f>AND(G391="Service A",H391="Band 3")</f>
        <v/>
      </c>
      <c r="J391" s="33">
        <f>IF(AND(YEAR(B391)=2025,G391="Service B",OR(H391="Band 3",H391="Band 5"),ISNUMBER(F391)),F391,"")</f>
        <v/>
      </c>
    </row>
    <row r="392">
      <c r="A392" s="19" t="inlineStr">
        <is>
          <t>User1048</t>
        </is>
      </c>
      <c r="B392" s="60" t="n">
        <v>46023</v>
      </c>
      <c r="C392" s="21" t="n">
        <v>155.4</v>
      </c>
      <c r="D392" s="21" t="n">
        <v>105.2266666666667</v>
      </c>
      <c r="E392" s="21" t="n">
        <v>43.66</v>
      </c>
      <c r="F392" s="27">
        <f>IFERROR(IF(OR(C392="",D392="",C392=0),"",D392/C392),"")</f>
        <v/>
      </c>
      <c r="G392" s="21">
        <f>IFERROR(INDEX(Users!$A$2:$A$310,MATCH(A392,Users!$B$2:$B$310,0)),"")</f>
        <v/>
      </c>
      <c r="H392" s="21">
        <f>IFERROR(INDEX(Users!$D$2:$D$310,MATCH(A392,Users!$B$2:$B$310,0)),"")</f>
        <v/>
      </c>
      <c r="I392" s="19">
        <f>AND(G392="Service A",H392="Band 3")</f>
        <v/>
      </c>
      <c r="J392" s="33">
        <f>IF(AND(YEAR(B392)=2025,G392="Service B",OR(H392="Band 3",H392="Band 5"),ISNUMBER(F392)),F392,"")</f>
        <v/>
      </c>
    </row>
    <row r="393">
      <c r="A393" s="19" t="inlineStr">
        <is>
          <t>User1049</t>
        </is>
      </c>
      <c r="B393" s="60" t="n">
        <v>45658</v>
      </c>
      <c r="C393" s="21" t="n">
        <v>162.8</v>
      </c>
      <c r="D393" s="21" t="n">
        <v>142.6666666666667</v>
      </c>
      <c r="E393" s="21" t="n"/>
      <c r="F393" s="27">
        <f>IFERROR(IF(OR(C393="",D393="",C393=0),"",D393/C393),"")</f>
        <v/>
      </c>
      <c r="G393" s="21">
        <f>IFERROR(INDEX(Users!$A$2:$A$310,MATCH(A393,Users!$B$2:$B$310,0)),"")</f>
        <v/>
      </c>
      <c r="H393" s="21">
        <f>IFERROR(INDEX(Users!$D$2:$D$310,MATCH(A393,Users!$B$2:$B$310,0)),"")</f>
        <v/>
      </c>
      <c r="I393" s="19">
        <f>AND(G393="Service A",H393="Band 3")</f>
        <v/>
      </c>
      <c r="J393" s="33">
        <f>IF(AND(YEAR(B393)=2025,G393="Service B",OR(H393="Band 3",H393="Band 5"),ISNUMBER(F393)),F393,"")</f>
        <v/>
      </c>
    </row>
    <row r="394">
      <c r="A394" s="19" t="inlineStr">
        <is>
          <t>User1049</t>
        </is>
      </c>
      <c r="B394" s="60" t="n">
        <v>45689</v>
      </c>
      <c r="C394" s="21" t="n">
        <v>148</v>
      </c>
      <c r="D394" s="21" t="n">
        <v>124.8333333333334</v>
      </c>
      <c r="E394" s="21" t="n"/>
      <c r="F394" s="27">
        <f>IFERROR(IF(OR(C394="",D394="",C394=0),"",D394/C394),"")</f>
        <v/>
      </c>
      <c r="G394" s="21">
        <f>IFERROR(INDEX(Users!$A$2:$A$310,MATCH(A394,Users!$B$2:$B$310,0)),"")</f>
        <v/>
      </c>
      <c r="H394" s="21">
        <f>IFERROR(INDEX(Users!$D$2:$D$310,MATCH(A394,Users!$B$2:$B$310,0)),"")</f>
        <v/>
      </c>
      <c r="I394" s="19">
        <f>AND(G394="Service A",H394="Band 3")</f>
        <v/>
      </c>
      <c r="J394" s="33">
        <f>IF(AND(YEAR(B394)=2025,G394="Service B",OR(H394="Band 3",H394="Band 5"),ISNUMBER(F394)),F394,"")</f>
        <v/>
      </c>
    </row>
    <row r="395">
      <c r="A395" s="19" t="inlineStr">
        <is>
          <t>User1049</t>
        </is>
      </c>
      <c r="B395" s="60" t="n">
        <v>45717</v>
      </c>
      <c r="C395" s="21" t="n">
        <v>155.4</v>
      </c>
      <c r="D395" s="21" t="n">
        <v>137.44</v>
      </c>
      <c r="E395" s="21" t="n">
        <v>11.94</v>
      </c>
      <c r="F395" s="27">
        <f>IFERROR(IF(OR(C395="",D395="",C395=0),"",D395/C395),"")</f>
        <v/>
      </c>
      <c r="G395" s="21">
        <f>IFERROR(INDEX(Users!$A$2:$A$310,MATCH(A395,Users!$B$2:$B$310,0)),"")</f>
        <v/>
      </c>
      <c r="H395" s="21">
        <f>IFERROR(INDEX(Users!$D$2:$D$310,MATCH(A395,Users!$B$2:$B$310,0)),"")</f>
        <v/>
      </c>
      <c r="I395" s="19">
        <f>AND(G395="Service A",H395="Band 3")</f>
        <v/>
      </c>
      <c r="J395" s="33">
        <f>IF(AND(YEAR(B395)=2025,G395="Service B",OR(H395="Band 3",H395="Band 5"),ISNUMBER(F395)),F395,"")</f>
        <v/>
      </c>
    </row>
    <row r="396">
      <c r="A396" s="19" t="inlineStr">
        <is>
          <t>User1049</t>
        </is>
      </c>
      <c r="B396" s="60" t="n">
        <v>45748</v>
      </c>
      <c r="C396" s="21" t="n">
        <v>148</v>
      </c>
      <c r="D396" s="21" t="n">
        <v>112.34</v>
      </c>
      <c r="E396" s="21" t="n">
        <v>26.64000000000001</v>
      </c>
      <c r="F396" s="27">
        <f>IFERROR(IF(OR(C396="",D396="",C396=0),"",D396/C396),"")</f>
        <v/>
      </c>
      <c r="G396" s="21">
        <f>IFERROR(INDEX(Users!$A$2:$A$310,MATCH(A396,Users!$B$2:$B$310,0)),"")</f>
        <v/>
      </c>
      <c r="H396" s="21">
        <f>IFERROR(INDEX(Users!$D$2:$D$310,MATCH(A396,Users!$B$2:$B$310,0)),"")</f>
        <v/>
      </c>
      <c r="I396" s="19">
        <f>AND(G396="Service A",H396="Band 3")</f>
        <v/>
      </c>
      <c r="J396" s="33">
        <f>IF(AND(YEAR(B396)=2025,G396="Service B",OR(H396="Band 3",H396="Band 5"),ISNUMBER(F396)),F396,"")</f>
        <v/>
      </c>
    </row>
    <row r="397">
      <c r="A397" s="19" t="inlineStr">
        <is>
          <t>User1049</t>
        </is>
      </c>
      <c r="B397" s="60" t="n">
        <v>45778</v>
      </c>
      <c r="C397" s="21" t="n">
        <v>148</v>
      </c>
      <c r="D397" s="21" t="n">
        <v>88.15333333333334</v>
      </c>
      <c r="E397" s="21" t="n">
        <v>19.57</v>
      </c>
      <c r="F397" s="27">
        <f>IFERROR(IF(OR(C397="",D397="",C397=0),"",D397/C397),"")</f>
        <v/>
      </c>
      <c r="G397" s="21">
        <f>IFERROR(INDEX(Users!$A$2:$A$310,MATCH(A397,Users!$B$2:$B$310,0)),"")</f>
        <v/>
      </c>
      <c r="H397" s="21">
        <f>IFERROR(INDEX(Users!$D$2:$D$310,MATCH(A397,Users!$B$2:$B$310,0)),"")</f>
        <v/>
      </c>
      <c r="I397" s="19">
        <f>AND(G397="Service A",H397="Band 3")</f>
        <v/>
      </c>
      <c r="J397" s="33">
        <f>IF(AND(YEAR(B397)=2025,G397="Service B",OR(H397="Band 3",H397="Band 5"),ISNUMBER(F397)),F397,"")</f>
        <v/>
      </c>
    </row>
    <row r="398">
      <c r="A398" s="19" t="inlineStr">
        <is>
          <t>User1049</t>
        </is>
      </c>
      <c r="B398" s="60" t="n">
        <v>45809</v>
      </c>
      <c r="C398" s="21" t="n">
        <v>155.4</v>
      </c>
      <c r="D398" s="21" t="n">
        <v>148.82</v>
      </c>
      <c r="E398" s="21" t="n">
        <v>42.06999999999999</v>
      </c>
      <c r="F398" s="27">
        <f>IFERROR(IF(OR(C398="",D398="",C398=0),"",D398/C398),"")</f>
        <v/>
      </c>
      <c r="G398" s="21">
        <f>IFERROR(INDEX(Users!$A$2:$A$310,MATCH(A398,Users!$B$2:$B$310,0)),"")</f>
        <v/>
      </c>
      <c r="H398" s="21">
        <f>IFERROR(INDEX(Users!$D$2:$D$310,MATCH(A398,Users!$B$2:$B$310,0)),"")</f>
        <v/>
      </c>
      <c r="I398" s="19">
        <f>AND(G398="Service A",H398="Band 3")</f>
        <v/>
      </c>
      <c r="J398" s="33">
        <f>IF(AND(YEAR(B398)=2025,G398="Service B",OR(H398="Band 3",H398="Band 5"),ISNUMBER(F398)),F398,"")</f>
        <v/>
      </c>
    </row>
    <row r="399">
      <c r="A399" s="19" t="inlineStr">
        <is>
          <t>User1049</t>
        </is>
      </c>
      <c r="B399" s="60" t="n">
        <v>45839</v>
      </c>
      <c r="C399" s="21" t="n">
        <v>140.6</v>
      </c>
      <c r="D399" s="21" t="n">
        <v>114.9066666666667</v>
      </c>
      <c r="E399" s="21" t="n">
        <v>20.49</v>
      </c>
      <c r="F399" s="27">
        <f>IFERROR(IF(OR(C399="",D399="",C399=0),"",D399/C399),"")</f>
        <v/>
      </c>
      <c r="G399" s="21">
        <f>IFERROR(INDEX(Users!$A$2:$A$310,MATCH(A399,Users!$B$2:$B$310,0)),"")</f>
        <v/>
      </c>
      <c r="H399" s="21">
        <f>IFERROR(INDEX(Users!$D$2:$D$310,MATCH(A399,Users!$B$2:$B$310,0)),"")</f>
        <v/>
      </c>
      <c r="I399" s="19">
        <f>AND(G399="Service A",H399="Band 3")</f>
        <v/>
      </c>
      <c r="J399" s="33">
        <f>IF(AND(YEAR(B399)=2025,G399="Service B",OR(H399="Band 3",H399="Band 5"),ISNUMBER(F399)),F399,"")</f>
        <v/>
      </c>
    </row>
    <row r="400">
      <c r="A400" s="19" t="inlineStr">
        <is>
          <t>User1050</t>
        </is>
      </c>
      <c r="B400" s="60" t="n">
        <v>45658</v>
      </c>
      <c r="C400" s="21" t="n">
        <v>162.8</v>
      </c>
      <c r="D400" s="21" t="n">
        <v>144.65</v>
      </c>
      <c r="E400" s="21" t="n">
        <v>83.45</v>
      </c>
      <c r="F400" s="27">
        <f>IFERROR(IF(OR(C400="",D400="",C400=0),"",D400/C400),"")</f>
        <v/>
      </c>
      <c r="G400" s="21">
        <f>IFERROR(INDEX(Users!$A$2:$A$310,MATCH(A400,Users!$B$2:$B$310,0)),"")</f>
        <v/>
      </c>
      <c r="H400" s="21">
        <f>IFERROR(INDEX(Users!$D$2:$D$310,MATCH(A400,Users!$B$2:$B$310,0)),"")</f>
        <v/>
      </c>
      <c r="I400" s="19">
        <f>AND(G400="Service A",H400="Band 3")</f>
        <v/>
      </c>
      <c r="J400" s="33">
        <f>IF(AND(YEAR(B400)=2025,G400="Service B",OR(H400="Band 3",H400="Band 5"),ISNUMBER(F400)),F400,"")</f>
        <v/>
      </c>
    </row>
    <row r="401">
      <c r="A401" s="19" t="inlineStr">
        <is>
          <t>User1050</t>
        </is>
      </c>
      <c r="B401" s="60" t="n">
        <v>45689</v>
      </c>
      <c r="C401" s="21" t="n">
        <v>148</v>
      </c>
      <c r="D401" s="21" t="n">
        <v>124.06</v>
      </c>
      <c r="E401" s="21" t="n">
        <v>86.55999999999999</v>
      </c>
      <c r="F401" s="27">
        <f>IFERROR(IF(OR(C401="",D401="",C401=0),"",D401/C401),"")</f>
        <v/>
      </c>
      <c r="G401" s="21">
        <f>IFERROR(INDEX(Users!$A$2:$A$310,MATCH(A401,Users!$B$2:$B$310,0)),"")</f>
        <v/>
      </c>
      <c r="H401" s="21">
        <f>IFERROR(INDEX(Users!$D$2:$D$310,MATCH(A401,Users!$B$2:$B$310,0)),"")</f>
        <v/>
      </c>
      <c r="I401" s="19">
        <f>AND(G401="Service A",H401="Band 3")</f>
        <v/>
      </c>
      <c r="J401" s="33">
        <f>IF(AND(YEAR(B401)=2025,G401="Service B",OR(H401="Band 3",H401="Band 5"),ISNUMBER(F401)),F401,"")</f>
        <v/>
      </c>
    </row>
    <row r="402">
      <c r="A402" s="19" t="inlineStr">
        <is>
          <t>User1050</t>
        </is>
      </c>
      <c r="B402" s="60" t="n">
        <v>45717</v>
      </c>
      <c r="C402" s="21" t="n">
        <v>155.4</v>
      </c>
      <c r="D402" s="21" t="n">
        <v>154.8033333333333</v>
      </c>
      <c r="E402" s="21" t="n">
        <v>127.22</v>
      </c>
      <c r="F402" s="27">
        <f>IFERROR(IF(OR(C402="",D402="",C402=0),"",D402/C402),"")</f>
        <v/>
      </c>
      <c r="G402" s="21">
        <f>IFERROR(INDEX(Users!$A$2:$A$310,MATCH(A402,Users!$B$2:$B$310,0)),"")</f>
        <v/>
      </c>
      <c r="H402" s="21">
        <f>IFERROR(INDEX(Users!$D$2:$D$310,MATCH(A402,Users!$B$2:$B$310,0)),"")</f>
        <v/>
      </c>
      <c r="I402" s="19">
        <f>AND(G402="Service A",H402="Band 3")</f>
        <v/>
      </c>
      <c r="J402" s="33">
        <f>IF(AND(YEAR(B402)=2025,G402="Service B",OR(H402="Band 3",H402="Band 5"),ISNUMBER(F402)),F402,"")</f>
        <v/>
      </c>
    </row>
    <row r="403">
      <c r="A403" s="19" t="inlineStr">
        <is>
          <t>User1050</t>
        </is>
      </c>
      <c r="B403" s="60" t="n">
        <v>45748</v>
      </c>
      <c r="C403" s="21" t="n">
        <v>148</v>
      </c>
      <c r="D403" s="21" t="n">
        <v>82.11000000000003</v>
      </c>
      <c r="E403" s="21" t="n">
        <v>44.61000000000002</v>
      </c>
      <c r="F403" s="27">
        <f>IFERROR(IF(OR(C403="",D403="",C403=0),"",D403/C403),"")</f>
        <v/>
      </c>
      <c r="G403" s="21">
        <f>IFERROR(INDEX(Users!$A$2:$A$310,MATCH(A403,Users!$B$2:$B$310,0)),"")</f>
        <v/>
      </c>
      <c r="H403" s="21">
        <f>IFERROR(INDEX(Users!$D$2:$D$310,MATCH(A403,Users!$B$2:$B$310,0)),"")</f>
        <v/>
      </c>
      <c r="I403" s="19">
        <f>AND(G403="Service A",H403="Band 3")</f>
        <v/>
      </c>
      <c r="J403" s="33">
        <f>IF(AND(YEAR(B403)=2025,G403="Service B",OR(H403="Band 3",H403="Band 5"),ISNUMBER(F403)),F403,"")</f>
        <v/>
      </c>
    </row>
    <row r="404">
      <c r="A404" s="19" t="inlineStr">
        <is>
          <t>User1050</t>
        </is>
      </c>
      <c r="B404" s="60" t="n">
        <v>45778</v>
      </c>
      <c r="C404" s="21" t="n">
        <v>148</v>
      </c>
      <c r="D404" s="21" t="n">
        <v>120.1766666666666</v>
      </c>
      <c r="E404" s="21" t="n">
        <v>77.75999999999998</v>
      </c>
      <c r="F404" s="27">
        <f>IFERROR(IF(OR(C404="",D404="",C404=0),"",D404/C404),"")</f>
        <v/>
      </c>
      <c r="G404" s="21">
        <f>IFERROR(INDEX(Users!$A$2:$A$310,MATCH(A404,Users!$B$2:$B$310,0)),"")</f>
        <v/>
      </c>
      <c r="H404" s="21">
        <f>IFERROR(INDEX(Users!$D$2:$D$310,MATCH(A404,Users!$B$2:$B$310,0)),"")</f>
        <v/>
      </c>
      <c r="I404" s="19">
        <f>AND(G404="Service A",H404="Band 3")</f>
        <v/>
      </c>
      <c r="J404" s="33">
        <f>IF(AND(YEAR(B404)=2025,G404="Service B",OR(H404="Band 3",H404="Band 5"),ISNUMBER(F404)),F404,"")</f>
        <v/>
      </c>
    </row>
    <row r="405">
      <c r="A405" s="19" t="inlineStr">
        <is>
          <t>User1050</t>
        </is>
      </c>
      <c r="B405" s="60" t="n">
        <v>45809</v>
      </c>
      <c r="C405" s="21" t="n">
        <v>155.4</v>
      </c>
      <c r="D405" s="21" t="n">
        <v>160.26</v>
      </c>
      <c r="E405" s="21" t="n">
        <v>131.51</v>
      </c>
      <c r="F405" s="27">
        <f>IFERROR(IF(OR(C405="",D405="",C405=0),"",D405/C405),"")</f>
        <v/>
      </c>
      <c r="G405" s="21">
        <f>IFERROR(INDEX(Users!$A$2:$A$310,MATCH(A405,Users!$B$2:$B$310,0)),"")</f>
        <v/>
      </c>
      <c r="H405" s="21">
        <f>IFERROR(INDEX(Users!$D$2:$D$310,MATCH(A405,Users!$B$2:$B$310,0)),"")</f>
        <v/>
      </c>
      <c r="I405" s="19">
        <f>AND(G405="Service A",H405="Band 3")</f>
        <v/>
      </c>
      <c r="J405" s="33">
        <f>IF(AND(YEAR(B405)=2025,G405="Service B",OR(H405="Band 3",H405="Band 5"),ISNUMBER(F405)),F405,"")</f>
        <v/>
      </c>
    </row>
    <row r="406">
      <c r="A406" s="19" t="inlineStr">
        <is>
          <t>User1050</t>
        </is>
      </c>
      <c r="B406" s="60" t="n">
        <v>45839</v>
      </c>
      <c r="C406" s="21" t="n">
        <v>170.2</v>
      </c>
      <c r="D406" s="21" t="n">
        <v>83.28</v>
      </c>
      <c r="E406" s="21" t="n">
        <v>53.28</v>
      </c>
      <c r="F406" s="27">
        <f>IFERROR(IF(OR(C406="",D406="",C406=0),"",D406/C406),"")</f>
        <v/>
      </c>
      <c r="G406" s="21">
        <f>IFERROR(INDEX(Users!$A$2:$A$310,MATCH(A406,Users!$B$2:$B$310,0)),"")</f>
        <v/>
      </c>
      <c r="H406" s="21">
        <f>IFERROR(INDEX(Users!$D$2:$D$310,MATCH(A406,Users!$B$2:$B$310,0)),"")</f>
        <v/>
      </c>
      <c r="I406" s="19">
        <f>AND(G406="Service A",H406="Band 3")</f>
        <v/>
      </c>
      <c r="J406" s="33">
        <f>IF(AND(YEAR(B406)=2025,G406="Service B",OR(H406="Band 3",H406="Band 5"),ISNUMBER(F406)),F406,"")</f>
        <v/>
      </c>
    </row>
    <row r="407">
      <c r="A407" s="19" t="inlineStr">
        <is>
          <t>User1050</t>
        </is>
      </c>
      <c r="B407" s="60" t="n">
        <v>45870</v>
      </c>
      <c r="C407" s="21" t="n">
        <v>148</v>
      </c>
      <c r="D407" s="21" t="n">
        <v>100.69</v>
      </c>
      <c r="E407" s="21" t="n">
        <v>84.69000000000001</v>
      </c>
      <c r="F407" s="27">
        <f>IFERROR(IF(OR(C407="",D407="",C407=0),"",D407/C407),"")</f>
        <v/>
      </c>
      <c r="G407" s="21">
        <f>IFERROR(INDEX(Users!$A$2:$A$310,MATCH(A407,Users!$B$2:$B$310,0)),"")</f>
        <v/>
      </c>
      <c r="H407" s="21">
        <f>IFERROR(INDEX(Users!$D$2:$D$310,MATCH(A407,Users!$B$2:$B$310,0)),"")</f>
        <v/>
      </c>
      <c r="I407" s="19">
        <f>AND(G407="Service A",H407="Band 3")</f>
        <v/>
      </c>
      <c r="J407" s="33">
        <f>IF(AND(YEAR(B407)=2025,G407="Service B",OR(H407="Band 3",H407="Band 5"),ISNUMBER(F407)),F407,"")</f>
        <v/>
      </c>
    </row>
    <row r="408">
      <c r="A408" s="19" t="inlineStr">
        <is>
          <t>User1050</t>
        </is>
      </c>
      <c r="B408" s="60" t="n">
        <v>45901</v>
      </c>
      <c r="C408" s="21" t="n">
        <v>162.8</v>
      </c>
      <c r="D408" s="21" t="n">
        <v>164.4466666666667</v>
      </c>
      <c r="E408" s="21" t="n">
        <v>128.53</v>
      </c>
      <c r="F408" s="27">
        <f>IFERROR(IF(OR(C408="",D408="",C408=0),"",D408/C408),"")</f>
        <v/>
      </c>
      <c r="G408" s="21">
        <f>IFERROR(INDEX(Users!$A$2:$A$310,MATCH(A408,Users!$B$2:$B$310,0)),"")</f>
        <v/>
      </c>
      <c r="H408" s="21">
        <f>IFERROR(INDEX(Users!$D$2:$D$310,MATCH(A408,Users!$B$2:$B$310,0)),"")</f>
        <v/>
      </c>
      <c r="I408" s="19">
        <f>AND(G408="Service A",H408="Band 3")</f>
        <v/>
      </c>
      <c r="J408" s="33">
        <f>IF(AND(YEAR(B408)=2025,G408="Service B",OR(H408="Band 3",H408="Band 5"),ISNUMBER(F408)),F408,"")</f>
        <v/>
      </c>
    </row>
    <row r="409">
      <c r="A409" s="19" t="inlineStr">
        <is>
          <t>User1050</t>
        </is>
      </c>
      <c r="B409" s="60" t="n">
        <v>45931</v>
      </c>
      <c r="C409" s="21" t="n">
        <v>170.2</v>
      </c>
      <c r="D409" s="21" t="n">
        <v>147.7066666666666</v>
      </c>
      <c r="E409" s="21" t="n">
        <v>97.53999999999999</v>
      </c>
      <c r="F409" s="27">
        <f>IFERROR(IF(OR(C409="",D409="",C409=0),"",D409/C409),"")</f>
        <v/>
      </c>
      <c r="G409" s="21">
        <f>IFERROR(INDEX(Users!$A$2:$A$310,MATCH(A409,Users!$B$2:$B$310,0)),"")</f>
        <v/>
      </c>
      <c r="H409" s="21">
        <f>IFERROR(INDEX(Users!$D$2:$D$310,MATCH(A409,Users!$B$2:$B$310,0)),"")</f>
        <v/>
      </c>
      <c r="I409" s="19">
        <f>AND(G409="Service A",H409="Band 3")</f>
        <v/>
      </c>
      <c r="J409" s="33">
        <f>IF(AND(YEAR(B409)=2025,G409="Service B",OR(H409="Band 3",H409="Band 5"),ISNUMBER(F409)),F409,"")</f>
        <v/>
      </c>
    </row>
    <row r="410">
      <c r="A410" s="19" t="inlineStr">
        <is>
          <t>User1050</t>
        </is>
      </c>
      <c r="B410" s="60" t="n">
        <v>45962</v>
      </c>
      <c r="C410" s="21" t="n">
        <v>148</v>
      </c>
      <c r="D410" s="21" t="n">
        <v>153.3166666666667</v>
      </c>
      <c r="E410" s="21" t="n">
        <v>119.4</v>
      </c>
      <c r="F410" s="27">
        <f>IFERROR(IF(OR(C410="",D410="",C410=0),"",D410/C410),"")</f>
        <v/>
      </c>
      <c r="G410" s="21">
        <f>IFERROR(INDEX(Users!$A$2:$A$310,MATCH(A410,Users!$B$2:$B$310,0)),"")</f>
        <v/>
      </c>
      <c r="H410" s="21">
        <f>IFERROR(INDEX(Users!$D$2:$D$310,MATCH(A410,Users!$B$2:$B$310,0)),"")</f>
        <v/>
      </c>
      <c r="I410" s="19">
        <f>AND(G410="Service A",H410="Band 3")</f>
        <v/>
      </c>
      <c r="J410" s="33">
        <f>IF(AND(YEAR(B410)=2025,G410="Service B",OR(H410="Band 3",H410="Band 5"),ISNUMBER(F410)),F410,"")</f>
        <v/>
      </c>
    </row>
    <row r="411">
      <c r="A411" s="19" t="inlineStr">
        <is>
          <t>User1050</t>
        </is>
      </c>
      <c r="B411" s="60" t="n">
        <v>45992</v>
      </c>
      <c r="C411" s="21" t="n">
        <v>155.4</v>
      </c>
      <c r="D411" s="21" t="n">
        <v>113.4233333333333</v>
      </c>
      <c r="E411" s="21" t="n">
        <v>84.34</v>
      </c>
      <c r="F411" s="27">
        <f>IFERROR(IF(OR(C411="",D411="",C411=0),"",D411/C411),"")</f>
        <v/>
      </c>
      <c r="G411" s="21">
        <f>IFERROR(INDEX(Users!$A$2:$A$310,MATCH(A411,Users!$B$2:$B$310,0)),"")</f>
        <v/>
      </c>
      <c r="H411" s="21">
        <f>IFERROR(INDEX(Users!$D$2:$D$310,MATCH(A411,Users!$B$2:$B$310,0)),"")</f>
        <v/>
      </c>
      <c r="I411" s="19">
        <f>AND(G411="Service A",H411="Band 3")</f>
        <v/>
      </c>
      <c r="J411" s="33">
        <f>IF(AND(YEAR(B411)=2025,G411="Service B",OR(H411="Band 3",H411="Band 5"),ISNUMBER(F411)),F411,"")</f>
        <v/>
      </c>
    </row>
    <row r="412">
      <c r="A412" s="19" t="inlineStr">
        <is>
          <t>User1050</t>
        </is>
      </c>
      <c r="B412" s="60" t="n">
        <v>46023</v>
      </c>
      <c r="C412" s="21" t="n">
        <v>155.4</v>
      </c>
      <c r="D412" s="21" t="n">
        <v>146.7666666666667</v>
      </c>
      <c r="E412" s="21" t="n">
        <v>91.84999999999999</v>
      </c>
      <c r="F412" s="27">
        <f>IFERROR(IF(OR(C412="",D412="",C412=0),"",D412/C412),"")</f>
        <v/>
      </c>
      <c r="G412" s="21">
        <f>IFERROR(INDEX(Users!$A$2:$A$310,MATCH(A412,Users!$B$2:$B$310,0)),"")</f>
        <v/>
      </c>
      <c r="H412" s="21">
        <f>IFERROR(INDEX(Users!$D$2:$D$310,MATCH(A412,Users!$B$2:$B$310,0)),"")</f>
        <v/>
      </c>
      <c r="I412" s="19">
        <f>AND(G412="Service A",H412="Band 3")</f>
        <v/>
      </c>
      <c r="J412" s="33">
        <f>IF(AND(YEAR(B412)=2025,G412="Service B",OR(H412="Band 3",H412="Band 5"),ISNUMBER(F412)),F412,"")</f>
        <v/>
      </c>
    </row>
    <row r="413">
      <c r="A413" s="19" t="inlineStr">
        <is>
          <t>User1051</t>
        </is>
      </c>
      <c r="B413" s="60" t="n">
        <v>45658</v>
      </c>
      <c r="C413" s="21" t="n">
        <v>162.8</v>
      </c>
      <c r="D413" s="21" t="n">
        <v>164.65</v>
      </c>
      <c r="E413" s="21" t="n">
        <v>66.65000000000001</v>
      </c>
      <c r="F413" s="27">
        <f>IFERROR(IF(OR(C413="",D413="",C413=0),"",D413/C413),"")</f>
        <v/>
      </c>
      <c r="G413" s="21">
        <f>IFERROR(INDEX(Users!$A$2:$A$310,MATCH(A413,Users!$B$2:$B$310,0)),"")</f>
        <v/>
      </c>
      <c r="H413" s="21">
        <f>IFERROR(INDEX(Users!$D$2:$D$310,MATCH(A413,Users!$B$2:$B$310,0)),"")</f>
        <v/>
      </c>
      <c r="I413" s="19">
        <f>AND(G413="Service A",H413="Band 3")</f>
        <v/>
      </c>
      <c r="J413" s="33">
        <f>IF(AND(YEAR(B413)=2025,G413="Service B",OR(H413="Band 3",H413="Band 5"),ISNUMBER(F413)),F413,"")</f>
        <v/>
      </c>
    </row>
    <row r="414">
      <c r="A414" s="19" t="inlineStr">
        <is>
          <t>User1051</t>
        </is>
      </c>
      <c r="B414" s="60" t="n">
        <v>45689</v>
      </c>
      <c r="C414" s="21" t="n">
        <v>148</v>
      </c>
      <c r="D414" s="21" t="n">
        <v>146.4866666666667</v>
      </c>
      <c r="E414" s="21" t="n">
        <v>72.82000000000001</v>
      </c>
      <c r="F414" s="27">
        <f>IFERROR(IF(OR(C414="",D414="",C414=0),"",D414/C414),"")</f>
        <v/>
      </c>
      <c r="G414" s="21">
        <f>IFERROR(INDEX(Users!$A$2:$A$310,MATCH(A414,Users!$B$2:$B$310,0)),"")</f>
        <v/>
      </c>
      <c r="H414" s="21">
        <f>IFERROR(INDEX(Users!$D$2:$D$310,MATCH(A414,Users!$B$2:$B$310,0)),"")</f>
        <v/>
      </c>
      <c r="I414" s="19">
        <f>AND(G414="Service A",H414="Band 3")</f>
        <v/>
      </c>
      <c r="J414" s="33">
        <f>IF(AND(YEAR(B414)=2025,G414="Service B",OR(H414="Band 3",H414="Band 5"),ISNUMBER(F414)),F414,"")</f>
        <v/>
      </c>
    </row>
    <row r="415">
      <c r="A415" s="19" t="inlineStr">
        <is>
          <t>User1051</t>
        </is>
      </c>
      <c r="B415" s="60" t="n">
        <v>45717</v>
      </c>
      <c r="C415" s="21" t="n">
        <v>155.4</v>
      </c>
      <c r="D415" s="21" t="n">
        <v>151.5133333333334</v>
      </c>
      <c r="E415" s="21" t="n">
        <v>73.93000000000002</v>
      </c>
      <c r="F415" s="27">
        <f>IFERROR(IF(OR(C415="",D415="",C415=0),"",D415/C415),"")</f>
        <v/>
      </c>
      <c r="G415" s="21">
        <f>IFERROR(INDEX(Users!$A$2:$A$310,MATCH(A415,Users!$B$2:$B$310,0)),"")</f>
        <v/>
      </c>
      <c r="H415" s="21">
        <f>IFERROR(INDEX(Users!$D$2:$D$310,MATCH(A415,Users!$B$2:$B$310,0)),"")</f>
        <v/>
      </c>
      <c r="I415" s="19">
        <f>AND(G415="Service A",H415="Band 3")</f>
        <v/>
      </c>
      <c r="J415" s="33">
        <f>IF(AND(YEAR(B415)=2025,G415="Service B",OR(H415="Band 3",H415="Band 5"),ISNUMBER(F415)),F415,"")</f>
        <v/>
      </c>
    </row>
    <row r="416">
      <c r="A416" s="19" t="inlineStr">
        <is>
          <t>User1051</t>
        </is>
      </c>
      <c r="B416" s="60" t="n">
        <v>45748</v>
      </c>
      <c r="C416" s="21" t="n">
        <v>148</v>
      </c>
      <c r="D416" s="21" t="n">
        <v>150.4866666666667</v>
      </c>
      <c r="E416" s="21" t="n">
        <v>71.27</v>
      </c>
      <c r="F416" s="27">
        <f>IFERROR(IF(OR(C416="",D416="",C416=0),"",D416/C416),"")</f>
        <v/>
      </c>
      <c r="G416" s="21">
        <f>IFERROR(INDEX(Users!$A$2:$A$310,MATCH(A416,Users!$B$2:$B$310,0)),"")</f>
        <v/>
      </c>
      <c r="H416" s="21">
        <f>IFERROR(INDEX(Users!$D$2:$D$310,MATCH(A416,Users!$B$2:$B$310,0)),"")</f>
        <v/>
      </c>
      <c r="I416" s="19">
        <f>AND(G416="Service A",H416="Band 3")</f>
        <v/>
      </c>
      <c r="J416" s="33">
        <f>IF(AND(YEAR(B416)=2025,G416="Service B",OR(H416="Band 3",H416="Band 5"),ISNUMBER(F416)),F416,"")</f>
        <v/>
      </c>
    </row>
    <row r="417">
      <c r="A417" s="19" t="inlineStr">
        <is>
          <t>User1051</t>
        </is>
      </c>
      <c r="B417" s="60" t="n">
        <v>45778</v>
      </c>
      <c r="C417" s="21" t="n">
        <v>148</v>
      </c>
      <c r="D417" s="21" t="n">
        <v>122.4033333333334</v>
      </c>
      <c r="E417" s="21" t="n">
        <v>75.97000000000004</v>
      </c>
      <c r="F417" s="27">
        <f>IFERROR(IF(OR(C417="",D417="",C417=0),"",D417/C417),"")</f>
        <v/>
      </c>
      <c r="G417" s="21">
        <f>IFERROR(INDEX(Users!$A$2:$A$310,MATCH(A417,Users!$B$2:$B$310,0)),"")</f>
        <v/>
      </c>
      <c r="H417" s="21">
        <f>IFERROR(INDEX(Users!$D$2:$D$310,MATCH(A417,Users!$B$2:$B$310,0)),"")</f>
        <v/>
      </c>
      <c r="I417" s="19">
        <f>AND(G417="Service A",H417="Band 3")</f>
        <v/>
      </c>
      <c r="J417" s="33">
        <f>IF(AND(YEAR(B417)=2025,G417="Service B",OR(H417="Band 3",H417="Band 5"),ISNUMBER(F417)),F417,"")</f>
        <v/>
      </c>
    </row>
    <row r="418">
      <c r="A418" s="19" t="inlineStr">
        <is>
          <t>User1051</t>
        </is>
      </c>
      <c r="B418" s="60" t="n">
        <v>45809</v>
      </c>
      <c r="C418" s="21" t="n">
        <v>155.4</v>
      </c>
      <c r="D418" s="21" t="n">
        <v>155.5333333333333</v>
      </c>
      <c r="E418" s="21" t="n">
        <v>92.90000000000001</v>
      </c>
      <c r="F418" s="27">
        <f>IFERROR(IF(OR(C418="",D418="",C418=0),"",D418/C418),"")</f>
        <v/>
      </c>
      <c r="G418" s="21">
        <f>IFERROR(INDEX(Users!$A$2:$A$310,MATCH(A418,Users!$B$2:$B$310,0)),"")</f>
        <v/>
      </c>
      <c r="H418" s="21">
        <f>IFERROR(INDEX(Users!$D$2:$D$310,MATCH(A418,Users!$B$2:$B$310,0)),"")</f>
        <v/>
      </c>
      <c r="I418" s="19">
        <f>AND(G418="Service A",H418="Band 3")</f>
        <v/>
      </c>
      <c r="J418" s="33">
        <f>IF(AND(YEAR(B418)=2025,G418="Service B",OR(H418="Band 3",H418="Band 5"),ISNUMBER(F418)),F418,"")</f>
        <v/>
      </c>
    </row>
    <row r="419">
      <c r="A419" s="19" t="inlineStr">
        <is>
          <t>User1051</t>
        </is>
      </c>
      <c r="B419" s="60" t="n">
        <v>45839</v>
      </c>
      <c r="C419" s="21" t="n">
        <v>170.2</v>
      </c>
      <c r="D419" s="21" t="n">
        <v>164.8</v>
      </c>
      <c r="E419" s="21" t="n">
        <v>100</v>
      </c>
      <c r="F419" s="27">
        <f>IFERROR(IF(OR(C419="",D419="",C419=0),"",D419/C419),"")</f>
        <v/>
      </c>
      <c r="G419" s="21">
        <f>IFERROR(INDEX(Users!$A$2:$A$310,MATCH(A419,Users!$B$2:$B$310,0)),"")</f>
        <v/>
      </c>
      <c r="H419" s="21">
        <f>IFERROR(INDEX(Users!$D$2:$D$310,MATCH(A419,Users!$B$2:$B$310,0)),"")</f>
        <v/>
      </c>
      <c r="I419" s="19">
        <f>AND(G419="Service A",H419="Band 3")</f>
        <v/>
      </c>
      <c r="J419" s="33">
        <f>IF(AND(YEAR(B419)=2025,G419="Service B",OR(H419="Band 3",H419="Band 5"),ISNUMBER(F419)),F419,"")</f>
        <v/>
      </c>
    </row>
    <row r="420">
      <c r="A420" s="19" t="inlineStr">
        <is>
          <t>User1051</t>
        </is>
      </c>
      <c r="B420" s="60" t="n">
        <v>45870</v>
      </c>
      <c r="C420" s="21" t="n">
        <v>148</v>
      </c>
      <c r="D420" s="21" t="n">
        <v>117.8833333333333</v>
      </c>
      <c r="E420" s="21" t="n">
        <v>73.3</v>
      </c>
      <c r="F420" s="27">
        <f>IFERROR(IF(OR(C420="",D420="",C420=0),"",D420/C420),"")</f>
        <v/>
      </c>
      <c r="G420" s="21">
        <f>IFERROR(INDEX(Users!$A$2:$A$310,MATCH(A420,Users!$B$2:$B$310,0)),"")</f>
        <v/>
      </c>
      <c r="H420" s="21">
        <f>IFERROR(INDEX(Users!$D$2:$D$310,MATCH(A420,Users!$B$2:$B$310,0)),"")</f>
        <v/>
      </c>
      <c r="I420" s="19">
        <f>AND(G420="Service A",H420="Band 3")</f>
        <v/>
      </c>
      <c r="J420" s="33">
        <f>IF(AND(YEAR(B420)=2025,G420="Service B",OR(H420="Band 3",H420="Band 5"),ISNUMBER(F420)),F420,"")</f>
        <v/>
      </c>
    </row>
    <row r="421">
      <c r="A421" s="19" t="inlineStr">
        <is>
          <t>User1051</t>
        </is>
      </c>
      <c r="B421" s="60" t="n">
        <v>45901</v>
      </c>
      <c r="C421" s="21" t="n">
        <v>162.8</v>
      </c>
      <c r="D421" s="21" t="n">
        <v>169.8366666666666</v>
      </c>
      <c r="E421" s="21" t="n">
        <v>107.42</v>
      </c>
      <c r="F421" s="27">
        <f>IFERROR(IF(OR(C421="",D421="",C421=0),"",D421/C421),"")</f>
        <v/>
      </c>
      <c r="G421" s="21">
        <f>IFERROR(INDEX(Users!$A$2:$A$310,MATCH(A421,Users!$B$2:$B$310,0)),"")</f>
        <v/>
      </c>
      <c r="H421" s="21">
        <f>IFERROR(INDEX(Users!$D$2:$D$310,MATCH(A421,Users!$B$2:$B$310,0)),"")</f>
        <v/>
      </c>
      <c r="I421" s="19">
        <f>AND(G421="Service A",H421="Band 3")</f>
        <v/>
      </c>
      <c r="J421" s="33">
        <f>IF(AND(YEAR(B421)=2025,G421="Service B",OR(H421="Band 3",H421="Band 5"),ISNUMBER(F421)),F421,"")</f>
        <v/>
      </c>
    </row>
    <row r="422">
      <c r="A422" s="19" t="inlineStr">
        <is>
          <t>User1051</t>
        </is>
      </c>
      <c r="B422" s="60" t="n">
        <v>45931</v>
      </c>
      <c r="C422" s="21" t="n">
        <v>170.2</v>
      </c>
      <c r="D422" s="21" t="n">
        <v>169.5266666666666</v>
      </c>
      <c r="E422" s="21" t="n">
        <v>103.16</v>
      </c>
      <c r="F422" s="27">
        <f>IFERROR(IF(OR(C422="",D422="",C422=0),"",D422/C422),"")</f>
        <v/>
      </c>
      <c r="G422" s="21">
        <f>IFERROR(INDEX(Users!$A$2:$A$310,MATCH(A422,Users!$B$2:$B$310,0)),"")</f>
        <v/>
      </c>
      <c r="H422" s="21">
        <f>IFERROR(INDEX(Users!$D$2:$D$310,MATCH(A422,Users!$B$2:$B$310,0)),"")</f>
        <v/>
      </c>
      <c r="I422" s="19">
        <f>AND(G422="Service A",H422="Band 3")</f>
        <v/>
      </c>
      <c r="J422" s="33">
        <f>IF(AND(YEAR(B422)=2025,G422="Service B",OR(H422="Band 3",H422="Band 5"),ISNUMBER(F422)),F422,"")</f>
        <v/>
      </c>
    </row>
    <row r="423">
      <c r="A423" s="19" t="inlineStr">
        <is>
          <t>User1051</t>
        </is>
      </c>
      <c r="B423" s="60" t="n">
        <v>45962</v>
      </c>
      <c r="C423" s="21" t="n">
        <v>148</v>
      </c>
      <c r="D423" s="21" t="n">
        <v>135.0633333333333</v>
      </c>
      <c r="E423" s="21" t="n">
        <v>70.03000000000002</v>
      </c>
      <c r="F423" s="27">
        <f>IFERROR(IF(OR(C423="",D423="",C423=0),"",D423/C423),"")</f>
        <v/>
      </c>
      <c r="G423" s="21">
        <f>IFERROR(INDEX(Users!$A$2:$A$310,MATCH(A423,Users!$B$2:$B$310,0)),"")</f>
        <v/>
      </c>
      <c r="H423" s="21">
        <f>IFERROR(INDEX(Users!$D$2:$D$310,MATCH(A423,Users!$B$2:$B$310,0)),"")</f>
        <v/>
      </c>
      <c r="I423" s="19">
        <f>AND(G423="Service A",H423="Band 3")</f>
        <v/>
      </c>
      <c r="J423" s="33">
        <f>IF(AND(YEAR(B423)=2025,G423="Service B",OR(H423="Band 3",H423="Band 5"),ISNUMBER(F423)),F423,"")</f>
        <v/>
      </c>
    </row>
    <row r="424">
      <c r="A424" s="19" t="inlineStr">
        <is>
          <t>User1051</t>
        </is>
      </c>
      <c r="B424" s="60" t="n">
        <v>45992</v>
      </c>
      <c r="C424" s="21" t="n">
        <v>155.4</v>
      </c>
      <c r="D424" s="21" t="n">
        <v>123.57</v>
      </c>
      <c r="E424" s="21" t="n">
        <v>79.52</v>
      </c>
      <c r="F424" s="27">
        <f>IFERROR(IF(OR(C424="",D424="",C424=0),"",D424/C424),"")</f>
        <v/>
      </c>
      <c r="G424" s="21">
        <f>IFERROR(INDEX(Users!$A$2:$A$310,MATCH(A424,Users!$B$2:$B$310,0)),"")</f>
        <v/>
      </c>
      <c r="H424" s="21">
        <f>IFERROR(INDEX(Users!$D$2:$D$310,MATCH(A424,Users!$B$2:$B$310,0)),"")</f>
        <v/>
      </c>
      <c r="I424" s="19">
        <f>AND(G424="Service A",H424="Band 3")</f>
        <v/>
      </c>
      <c r="J424" s="33">
        <f>IF(AND(YEAR(B424)=2025,G424="Service B",OR(H424="Band 3",H424="Band 5"),ISNUMBER(F424)),F424,"")</f>
        <v/>
      </c>
    </row>
    <row r="425">
      <c r="A425" s="19" t="inlineStr">
        <is>
          <t>User1051</t>
        </is>
      </c>
      <c r="B425" s="60" t="n">
        <v>46023</v>
      </c>
      <c r="C425" s="21" t="n">
        <v>155.4</v>
      </c>
      <c r="D425" s="21" t="n">
        <v>124.42</v>
      </c>
      <c r="E425" s="21" t="n">
        <v>60.76999999999999</v>
      </c>
      <c r="F425" s="27">
        <f>IFERROR(IF(OR(C425="",D425="",C425=0),"",D425/C425),"")</f>
        <v/>
      </c>
      <c r="G425" s="21">
        <f>IFERROR(INDEX(Users!$A$2:$A$310,MATCH(A425,Users!$B$2:$B$310,0)),"")</f>
        <v/>
      </c>
      <c r="H425" s="21">
        <f>IFERROR(INDEX(Users!$D$2:$D$310,MATCH(A425,Users!$B$2:$B$310,0)),"")</f>
        <v/>
      </c>
      <c r="I425" s="19">
        <f>AND(G425="Service A",H425="Band 3")</f>
        <v/>
      </c>
      <c r="J425" s="33">
        <f>IF(AND(YEAR(B425)=2025,G425="Service B",OR(H425="Band 3",H425="Band 5"),ISNUMBER(F425)),F425,"")</f>
        <v/>
      </c>
    </row>
    <row r="426">
      <c r="A426" s="19" t="inlineStr">
        <is>
          <t>User1052</t>
        </is>
      </c>
      <c r="B426" s="60" t="n">
        <v>45901</v>
      </c>
      <c r="C426" s="21" t="n">
        <v>51.8</v>
      </c>
      <c r="D426" s="21" t="n">
        <v>15.06666666666667</v>
      </c>
      <c r="E426" s="21" t="n"/>
      <c r="F426" s="27">
        <f>IFERROR(IF(OR(C426="",D426="",C426=0),"",D426/C426),"")</f>
        <v/>
      </c>
      <c r="G426" s="21">
        <f>IFERROR(INDEX(Users!$A$2:$A$310,MATCH(A426,Users!$B$2:$B$310,0)),"")</f>
        <v/>
      </c>
      <c r="H426" s="21">
        <f>IFERROR(INDEX(Users!$D$2:$D$310,MATCH(A426,Users!$B$2:$B$310,0)),"")</f>
        <v/>
      </c>
      <c r="I426" s="19">
        <f>AND(G426="Service A",H426="Band 3")</f>
        <v/>
      </c>
      <c r="J426" s="33">
        <f>IF(AND(YEAR(B426)=2025,G426="Service B",OR(H426="Band 3",H426="Band 5"),ISNUMBER(F426)),F426,"")</f>
        <v/>
      </c>
    </row>
    <row r="427">
      <c r="A427" s="19" t="inlineStr">
        <is>
          <t>User1052</t>
        </is>
      </c>
      <c r="B427" s="60" t="n">
        <v>45931</v>
      </c>
      <c r="C427" s="21" t="n">
        <v>170.2000000000001</v>
      </c>
      <c r="D427" s="21" t="n">
        <v>155.4300000000001</v>
      </c>
      <c r="E427" s="21" t="n">
        <v>0.03</v>
      </c>
      <c r="F427" s="27">
        <f>IFERROR(IF(OR(C427="",D427="",C427=0),"",D427/C427),"")</f>
        <v/>
      </c>
      <c r="G427" s="21">
        <f>IFERROR(INDEX(Users!$A$2:$A$310,MATCH(A427,Users!$B$2:$B$310,0)),"")</f>
        <v/>
      </c>
      <c r="H427" s="21">
        <f>IFERROR(INDEX(Users!$D$2:$D$310,MATCH(A427,Users!$B$2:$B$310,0)),"")</f>
        <v/>
      </c>
      <c r="I427" s="19">
        <f>AND(G427="Service A",H427="Band 3")</f>
        <v/>
      </c>
      <c r="J427" s="33">
        <f>IF(AND(YEAR(B427)=2025,G427="Service B",OR(H427="Band 3",H427="Band 5"),ISNUMBER(F427)),F427,"")</f>
        <v/>
      </c>
    </row>
    <row r="428">
      <c r="A428" s="19" t="inlineStr">
        <is>
          <t>User1052</t>
        </is>
      </c>
      <c r="B428" s="60" t="n">
        <v>45962</v>
      </c>
      <c r="C428" s="21" t="n"/>
      <c r="D428" s="21" t="n"/>
      <c r="E428" s="21" t="n"/>
      <c r="F428" s="27">
        <f>IFERROR(IF(OR(C428="",D428="",C428=0),"",D428/C428),"")</f>
        <v/>
      </c>
      <c r="G428" s="21">
        <f>IFERROR(INDEX(Users!$A$2:$A$310,MATCH(A428,Users!$B$2:$B$310,0)),"")</f>
        <v/>
      </c>
      <c r="H428" s="21">
        <f>IFERROR(INDEX(Users!$D$2:$D$310,MATCH(A428,Users!$B$2:$B$310,0)),"")</f>
        <v/>
      </c>
      <c r="I428" s="19">
        <f>AND(G428="Service A",H428="Band 3")</f>
        <v/>
      </c>
      <c r="J428" s="33">
        <f>IF(AND(YEAR(B428)=2025,G428="Service B",OR(H428="Band 3",H428="Band 5"),ISNUMBER(F428)),F428,"")</f>
        <v/>
      </c>
    </row>
    <row r="429">
      <c r="A429" s="19" t="inlineStr">
        <is>
          <t>User1053</t>
        </is>
      </c>
      <c r="B429" s="60" t="n">
        <v>45658</v>
      </c>
      <c r="C429" s="21" t="n">
        <v>162.8</v>
      </c>
      <c r="D429" s="21" t="n">
        <v>164.05</v>
      </c>
      <c r="E429" s="21" t="n">
        <v>139.05</v>
      </c>
      <c r="F429" s="27">
        <f>IFERROR(IF(OR(C429="",D429="",C429=0),"",D429/C429),"")</f>
        <v/>
      </c>
      <c r="G429" s="21">
        <f>IFERROR(INDEX(Users!$A$2:$A$310,MATCH(A429,Users!$B$2:$B$310,0)),"")</f>
        <v/>
      </c>
      <c r="H429" s="21">
        <f>IFERROR(INDEX(Users!$D$2:$D$310,MATCH(A429,Users!$B$2:$B$310,0)),"")</f>
        <v/>
      </c>
      <c r="I429" s="19">
        <f>AND(G429="Service A",H429="Band 3")</f>
        <v/>
      </c>
      <c r="J429" s="33">
        <f>IF(AND(YEAR(B429)=2025,G429="Service B",OR(H429="Band 3",H429="Band 5"),ISNUMBER(F429)),F429,"")</f>
        <v/>
      </c>
    </row>
    <row r="430">
      <c r="A430" s="19" t="inlineStr">
        <is>
          <t>User1053</t>
        </is>
      </c>
      <c r="B430" s="60" t="n">
        <v>45689</v>
      </c>
      <c r="C430" s="21" t="n">
        <v>148</v>
      </c>
      <c r="D430" s="21" t="n">
        <v>135.67</v>
      </c>
      <c r="E430" s="21" t="n">
        <v>96.67000000000002</v>
      </c>
      <c r="F430" s="27">
        <f>IFERROR(IF(OR(C430="",D430="",C430=0),"",D430/C430),"")</f>
        <v/>
      </c>
      <c r="G430" s="21">
        <f>IFERROR(INDEX(Users!$A$2:$A$310,MATCH(A430,Users!$B$2:$B$310,0)),"")</f>
        <v/>
      </c>
      <c r="H430" s="21">
        <f>IFERROR(INDEX(Users!$D$2:$D$310,MATCH(A430,Users!$B$2:$B$310,0)),"")</f>
        <v/>
      </c>
      <c r="I430" s="19">
        <f>AND(G430="Service A",H430="Band 3")</f>
        <v/>
      </c>
      <c r="J430" s="33">
        <f>IF(AND(YEAR(B430)=2025,G430="Service B",OR(H430="Band 3",H430="Band 5"),ISNUMBER(F430)),F430,"")</f>
        <v/>
      </c>
    </row>
    <row r="431">
      <c r="A431" s="19" t="inlineStr">
        <is>
          <t>User1053</t>
        </is>
      </c>
      <c r="B431" s="60" t="n">
        <v>45717</v>
      </c>
      <c r="C431" s="21" t="n">
        <v>155.4</v>
      </c>
      <c r="D431" s="21" t="n">
        <v>136.1466666666667</v>
      </c>
      <c r="E431" s="21" t="n">
        <v>108.58</v>
      </c>
      <c r="F431" s="27">
        <f>IFERROR(IF(OR(C431="",D431="",C431=0),"",D431/C431),"")</f>
        <v/>
      </c>
      <c r="G431" s="21">
        <f>IFERROR(INDEX(Users!$A$2:$A$310,MATCH(A431,Users!$B$2:$B$310,0)),"")</f>
        <v/>
      </c>
      <c r="H431" s="21">
        <f>IFERROR(INDEX(Users!$D$2:$D$310,MATCH(A431,Users!$B$2:$B$310,0)),"")</f>
        <v/>
      </c>
      <c r="I431" s="19">
        <f>AND(G431="Service A",H431="Band 3")</f>
        <v/>
      </c>
      <c r="J431" s="33">
        <f>IF(AND(YEAR(B431)=2025,G431="Service B",OR(H431="Band 3",H431="Band 5"),ISNUMBER(F431)),F431,"")</f>
        <v/>
      </c>
    </row>
    <row r="432">
      <c r="A432" s="19" t="inlineStr">
        <is>
          <t>User1053</t>
        </is>
      </c>
      <c r="B432" s="60" t="n">
        <v>45748</v>
      </c>
      <c r="C432" s="21" t="n">
        <v>148</v>
      </c>
      <c r="D432" s="21" t="n">
        <v>145.1933333333334</v>
      </c>
      <c r="E432" s="21" t="n">
        <v>118.11</v>
      </c>
      <c r="F432" s="27">
        <f>IFERROR(IF(OR(C432="",D432="",C432=0),"",D432/C432),"")</f>
        <v/>
      </c>
      <c r="G432" s="21">
        <f>IFERROR(INDEX(Users!$A$2:$A$310,MATCH(A432,Users!$B$2:$B$310,0)),"")</f>
        <v/>
      </c>
      <c r="H432" s="21">
        <f>IFERROR(INDEX(Users!$D$2:$D$310,MATCH(A432,Users!$B$2:$B$310,0)),"")</f>
        <v/>
      </c>
      <c r="I432" s="19">
        <f>AND(G432="Service A",H432="Band 3")</f>
        <v/>
      </c>
      <c r="J432" s="33">
        <f>IF(AND(YEAR(B432)=2025,G432="Service B",OR(H432="Band 3",H432="Band 5"),ISNUMBER(F432)),F432,"")</f>
        <v/>
      </c>
    </row>
    <row r="433">
      <c r="A433" s="19" t="inlineStr">
        <is>
          <t>User1053</t>
        </is>
      </c>
      <c r="B433" s="60" t="n">
        <v>45778</v>
      </c>
      <c r="C433" s="21" t="n">
        <v>148</v>
      </c>
      <c r="D433" s="21" t="n">
        <v>132.83</v>
      </c>
      <c r="E433" s="21" t="n">
        <v>110.58</v>
      </c>
      <c r="F433" s="27">
        <f>IFERROR(IF(OR(C433="",D433="",C433=0),"",D433/C433),"")</f>
        <v/>
      </c>
      <c r="G433" s="21">
        <f>IFERROR(INDEX(Users!$A$2:$A$310,MATCH(A433,Users!$B$2:$B$310,0)),"")</f>
        <v/>
      </c>
      <c r="H433" s="21">
        <f>IFERROR(INDEX(Users!$D$2:$D$310,MATCH(A433,Users!$B$2:$B$310,0)),"")</f>
        <v/>
      </c>
      <c r="I433" s="19">
        <f>AND(G433="Service A",H433="Band 3")</f>
        <v/>
      </c>
      <c r="J433" s="33">
        <f>IF(AND(YEAR(B433)=2025,G433="Service B",OR(H433="Band 3",H433="Band 5"),ISNUMBER(F433)),F433,"")</f>
        <v/>
      </c>
    </row>
    <row r="434">
      <c r="A434" s="19" t="inlineStr">
        <is>
          <t>User1053</t>
        </is>
      </c>
      <c r="B434" s="60" t="n">
        <v>45809</v>
      </c>
      <c r="C434" s="21" t="n">
        <v>155.4</v>
      </c>
      <c r="D434" s="21" t="n">
        <v>148.5766666666667</v>
      </c>
      <c r="E434" s="21" t="n">
        <v>107.41</v>
      </c>
      <c r="F434" s="27">
        <f>IFERROR(IF(OR(C434="",D434="",C434=0),"",D434/C434),"")</f>
        <v/>
      </c>
      <c r="G434" s="21">
        <f>IFERROR(INDEX(Users!$A$2:$A$310,MATCH(A434,Users!$B$2:$B$310,0)),"")</f>
        <v/>
      </c>
      <c r="H434" s="21">
        <f>IFERROR(INDEX(Users!$D$2:$D$310,MATCH(A434,Users!$B$2:$B$310,0)),"")</f>
        <v/>
      </c>
      <c r="I434" s="19">
        <f>AND(G434="Service A",H434="Band 3")</f>
        <v/>
      </c>
      <c r="J434" s="33">
        <f>IF(AND(YEAR(B434)=2025,G434="Service B",OR(H434="Band 3",H434="Band 5"),ISNUMBER(F434)),F434,"")</f>
        <v/>
      </c>
    </row>
    <row r="435">
      <c r="A435" s="19" t="inlineStr">
        <is>
          <t>User1053</t>
        </is>
      </c>
      <c r="B435" s="60" t="n">
        <v>45839</v>
      </c>
      <c r="C435" s="21" t="n">
        <v>170.2</v>
      </c>
      <c r="D435" s="21" t="n">
        <v>166.67</v>
      </c>
      <c r="E435" s="21" t="n">
        <v>106.17</v>
      </c>
      <c r="F435" s="27">
        <f>IFERROR(IF(OR(C435="",D435="",C435=0),"",D435/C435),"")</f>
        <v/>
      </c>
      <c r="G435" s="21">
        <f>IFERROR(INDEX(Users!$A$2:$A$310,MATCH(A435,Users!$B$2:$B$310,0)),"")</f>
        <v/>
      </c>
      <c r="H435" s="21">
        <f>IFERROR(INDEX(Users!$D$2:$D$310,MATCH(A435,Users!$B$2:$B$310,0)),"")</f>
        <v/>
      </c>
      <c r="I435" s="19">
        <f>AND(G435="Service A",H435="Band 3")</f>
        <v/>
      </c>
      <c r="J435" s="33">
        <f>IF(AND(YEAR(B435)=2025,G435="Service B",OR(H435="Band 3",H435="Band 5"),ISNUMBER(F435)),F435,"")</f>
        <v/>
      </c>
    </row>
    <row r="436">
      <c r="A436" s="19" t="inlineStr">
        <is>
          <t>User1053</t>
        </is>
      </c>
      <c r="B436" s="60" t="n">
        <v>45870</v>
      </c>
      <c r="C436" s="21" t="n">
        <v>148</v>
      </c>
      <c r="D436" s="21" t="n">
        <v>101.32</v>
      </c>
      <c r="E436" s="21" t="n">
        <v>75.32000000000001</v>
      </c>
      <c r="F436" s="27">
        <f>IFERROR(IF(OR(C436="",D436="",C436=0),"",D436/C436),"")</f>
        <v/>
      </c>
      <c r="G436" s="21">
        <f>IFERROR(INDEX(Users!$A$2:$A$310,MATCH(A436,Users!$B$2:$B$310,0)),"")</f>
        <v/>
      </c>
      <c r="H436" s="21">
        <f>IFERROR(INDEX(Users!$D$2:$D$310,MATCH(A436,Users!$B$2:$B$310,0)),"")</f>
        <v/>
      </c>
      <c r="I436" s="19">
        <f>AND(G436="Service A",H436="Band 3")</f>
        <v/>
      </c>
      <c r="J436" s="33">
        <f>IF(AND(YEAR(B436)=2025,G436="Service B",OR(H436="Band 3",H436="Band 5"),ISNUMBER(F436)),F436,"")</f>
        <v/>
      </c>
    </row>
    <row r="437">
      <c r="A437" s="19" t="inlineStr">
        <is>
          <t>User1053</t>
        </is>
      </c>
      <c r="B437" s="60" t="n">
        <v>45901</v>
      </c>
      <c r="C437" s="21" t="n">
        <v>162.8</v>
      </c>
      <c r="D437" s="21" t="n">
        <v>164.0366666666667</v>
      </c>
      <c r="E437" s="21" t="n">
        <v>106.72</v>
      </c>
      <c r="F437" s="27">
        <f>IFERROR(IF(OR(C437="",D437="",C437=0),"",D437/C437),"")</f>
        <v/>
      </c>
      <c r="G437" s="21">
        <f>IFERROR(INDEX(Users!$A$2:$A$310,MATCH(A437,Users!$B$2:$B$310,0)),"")</f>
        <v/>
      </c>
      <c r="H437" s="21">
        <f>IFERROR(INDEX(Users!$D$2:$D$310,MATCH(A437,Users!$B$2:$B$310,0)),"")</f>
        <v/>
      </c>
      <c r="I437" s="19">
        <f>AND(G437="Service A",H437="Band 3")</f>
        <v/>
      </c>
      <c r="J437" s="33">
        <f>IF(AND(YEAR(B437)=2025,G437="Service B",OR(H437="Band 3",H437="Band 5"),ISNUMBER(F437)),F437,"")</f>
        <v/>
      </c>
    </row>
    <row r="438">
      <c r="A438" s="19" t="inlineStr">
        <is>
          <t>User1053</t>
        </is>
      </c>
      <c r="B438" s="60" t="n">
        <v>45931</v>
      </c>
      <c r="C438" s="21" t="n">
        <v>170.2</v>
      </c>
      <c r="D438" s="21" t="n">
        <v>79.53333333333333</v>
      </c>
      <c r="E438" s="21" t="n">
        <v>53.95</v>
      </c>
      <c r="F438" s="27">
        <f>IFERROR(IF(OR(C438="",D438="",C438=0),"",D438/C438),"")</f>
        <v/>
      </c>
      <c r="G438" s="21">
        <f>IFERROR(INDEX(Users!$A$2:$A$310,MATCH(A438,Users!$B$2:$B$310,0)),"")</f>
        <v/>
      </c>
      <c r="H438" s="21">
        <f>IFERROR(INDEX(Users!$D$2:$D$310,MATCH(A438,Users!$B$2:$B$310,0)),"")</f>
        <v/>
      </c>
      <c r="I438" s="19">
        <f>AND(G438="Service A",H438="Band 3")</f>
        <v/>
      </c>
      <c r="J438" s="33">
        <f>IF(AND(YEAR(B438)=2025,G438="Service B",OR(H438="Band 3",H438="Band 5"),ISNUMBER(F438)),F438,"")</f>
        <v/>
      </c>
    </row>
    <row r="439">
      <c r="A439" s="19" t="inlineStr">
        <is>
          <t>User1053</t>
        </is>
      </c>
      <c r="B439" s="60" t="n">
        <v>45962</v>
      </c>
      <c r="C439" s="21" t="n">
        <v>148</v>
      </c>
      <c r="D439" s="21" t="n">
        <v>140.9066666666667</v>
      </c>
      <c r="E439" s="21" t="n">
        <v>97.98999999999999</v>
      </c>
      <c r="F439" s="27">
        <f>IFERROR(IF(OR(C439="",D439="",C439=0),"",D439/C439),"")</f>
        <v/>
      </c>
      <c r="G439" s="21">
        <f>IFERROR(INDEX(Users!$A$2:$A$310,MATCH(A439,Users!$B$2:$B$310,0)),"")</f>
        <v/>
      </c>
      <c r="H439" s="21">
        <f>IFERROR(INDEX(Users!$D$2:$D$310,MATCH(A439,Users!$B$2:$B$310,0)),"")</f>
        <v/>
      </c>
      <c r="I439" s="19">
        <f>AND(G439="Service A",H439="Band 3")</f>
        <v/>
      </c>
      <c r="J439" s="33">
        <f>IF(AND(YEAR(B439)=2025,G439="Service B",OR(H439="Band 3",H439="Band 5"),ISNUMBER(F439)),F439,"")</f>
        <v/>
      </c>
    </row>
    <row r="440">
      <c r="A440" s="19" t="inlineStr">
        <is>
          <t>User1054</t>
        </is>
      </c>
      <c r="B440" s="60" t="n">
        <v>45658</v>
      </c>
      <c r="C440" s="21" t="n">
        <v>162.8</v>
      </c>
      <c r="D440" s="21" t="n">
        <v>139.8866666666667</v>
      </c>
      <c r="E440" s="21" t="n">
        <v>62.46999999999999</v>
      </c>
      <c r="F440" s="27">
        <f>IFERROR(IF(OR(C440="",D440="",C440=0),"",D440/C440),"")</f>
        <v/>
      </c>
      <c r="G440" s="21">
        <f>IFERROR(INDEX(Users!$A$2:$A$310,MATCH(A440,Users!$B$2:$B$310,0)),"")</f>
        <v/>
      </c>
      <c r="H440" s="21">
        <f>IFERROR(INDEX(Users!$D$2:$D$310,MATCH(A440,Users!$B$2:$B$310,0)),"")</f>
        <v/>
      </c>
      <c r="I440" s="19">
        <f>AND(G440="Service A",H440="Band 3")</f>
        <v/>
      </c>
      <c r="J440" s="33">
        <f>IF(AND(YEAR(B440)=2025,G440="Service B",OR(H440="Band 3",H440="Band 5"),ISNUMBER(F440)),F440,"")</f>
        <v/>
      </c>
    </row>
    <row r="441">
      <c r="A441" s="19" t="inlineStr">
        <is>
          <t>User1054</t>
        </is>
      </c>
      <c r="B441" s="60" t="n">
        <v>45689</v>
      </c>
      <c r="C441" s="21" t="n">
        <v>148</v>
      </c>
      <c r="D441" s="21" t="n">
        <v>150.4733333333333</v>
      </c>
      <c r="E441" s="21" t="n">
        <v>77.64</v>
      </c>
      <c r="F441" s="27">
        <f>IFERROR(IF(OR(C441="",D441="",C441=0),"",D441/C441),"")</f>
        <v/>
      </c>
      <c r="G441" s="21">
        <f>IFERROR(INDEX(Users!$A$2:$A$310,MATCH(A441,Users!$B$2:$B$310,0)),"")</f>
        <v/>
      </c>
      <c r="H441" s="21">
        <f>IFERROR(INDEX(Users!$D$2:$D$310,MATCH(A441,Users!$B$2:$B$310,0)),"")</f>
        <v/>
      </c>
      <c r="I441" s="19">
        <f>AND(G441="Service A",H441="Band 3")</f>
        <v/>
      </c>
      <c r="J441" s="33">
        <f>IF(AND(YEAR(B441)=2025,G441="Service B",OR(H441="Band 3",H441="Band 5"),ISNUMBER(F441)),F441,"")</f>
        <v/>
      </c>
    </row>
    <row r="442">
      <c r="A442" s="19" t="inlineStr">
        <is>
          <t>User1054</t>
        </is>
      </c>
      <c r="B442" s="60" t="n">
        <v>45717</v>
      </c>
      <c r="C442" s="21" t="n">
        <v>155.4</v>
      </c>
      <c r="D442" s="21" t="n">
        <v>150.78</v>
      </c>
      <c r="E442" s="21" t="n">
        <v>80.78</v>
      </c>
      <c r="F442" s="27">
        <f>IFERROR(IF(OR(C442="",D442="",C442=0),"",D442/C442),"")</f>
        <v/>
      </c>
      <c r="G442" s="21">
        <f>IFERROR(INDEX(Users!$A$2:$A$310,MATCH(A442,Users!$B$2:$B$310,0)),"")</f>
        <v/>
      </c>
      <c r="H442" s="21">
        <f>IFERROR(INDEX(Users!$D$2:$D$310,MATCH(A442,Users!$B$2:$B$310,0)),"")</f>
        <v/>
      </c>
      <c r="I442" s="19">
        <f>AND(G442="Service A",H442="Band 3")</f>
        <v/>
      </c>
      <c r="J442" s="33">
        <f>IF(AND(YEAR(B442)=2025,G442="Service B",OR(H442="Band 3",H442="Band 5"),ISNUMBER(F442)),F442,"")</f>
        <v/>
      </c>
    </row>
    <row r="443">
      <c r="A443" s="19" t="inlineStr">
        <is>
          <t>User1054</t>
        </is>
      </c>
      <c r="B443" s="60" t="n">
        <v>45748</v>
      </c>
      <c r="C443" s="21" t="n">
        <v>148</v>
      </c>
      <c r="D443" s="21" t="n">
        <v>144.6</v>
      </c>
      <c r="E443" s="21" t="n">
        <v>91.59999999999999</v>
      </c>
      <c r="F443" s="27">
        <f>IFERROR(IF(OR(C443="",D443="",C443=0),"",D443/C443),"")</f>
        <v/>
      </c>
      <c r="G443" s="21">
        <f>IFERROR(INDEX(Users!$A$2:$A$310,MATCH(A443,Users!$B$2:$B$310,0)),"")</f>
        <v/>
      </c>
      <c r="H443" s="21">
        <f>IFERROR(INDEX(Users!$D$2:$D$310,MATCH(A443,Users!$B$2:$B$310,0)),"")</f>
        <v/>
      </c>
      <c r="I443" s="19">
        <f>AND(G443="Service A",H443="Band 3")</f>
        <v/>
      </c>
      <c r="J443" s="33">
        <f>IF(AND(YEAR(B443)=2025,G443="Service B",OR(H443="Band 3",H443="Band 5"),ISNUMBER(F443)),F443,"")</f>
        <v/>
      </c>
    </row>
    <row r="444">
      <c r="A444" s="19" t="inlineStr">
        <is>
          <t>User1054</t>
        </is>
      </c>
      <c r="B444" s="60" t="n">
        <v>45778</v>
      </c>
      <c r="C444" s="21" t="n">
        <v>148</v>
      </c>
      <c r="D444" s="21" t="n">
        <v>79.94</v>
      </c>
      <c r="E444" s="21" t="n">
        <v>53.94</v>
      </c>
      <c r="F444" s="27">
        <f>IFERROR(IF(OR(C444="",D444="",C444=0),"",D444/C444),"")</f>
        <v/>
      </c>
      <c r="G444" s="21">
        <f>IFERROR(INDEX(Users!$A$2:$A$310,MATCH(A444,Users!$B$2:$B$310,0)),"")</f>
        <v/>
      </c>
      <c r="H444" s="21">
        <f>IFERROR(INDEX(Users!$D$2:$D$310,MATCH(A444,Users!$B$2:$B$310,0)),"")</f>
        <v/>
      </c>
      <c r="I444" s="19">
        <f>AND(G444="Service A",H444="Band 3")</f>
        <v/>
      </c>
      <c r="J444" s="33">
        <f>IF(AND(YEAR(B444)=2025,G444="Service B",OR(H444="Band 3",H444="Band 5"),ISNUMBER(F444)),F444,"")</f>
        <v/>
      </c>
    </row>
    <row r="445">
      <c r="A445" s="19" t="inlineStr">
        <is>
          <t>User1054</t>
        </is>
      </c>
      <c r="B445" s="60" t="n">
        <v>45809</v>
      </c>
      <c r="C445" s="21" t="n">
        <v>155.4</v>
      </c>
      <c r="D445" s="21" t="n">
        <v>108.55</v>
      </c>
      <c r="E445" s="21" t="n">
        <v>64.55</v>
      </c>
      <c r="F445" s="27">
        <f>IFERROR(IF(OR(C445="",D445="",C445=0),"",D445/C445),"")</f>
        <v/>
      </c>
      <c r="G445" s="21">
        <f>IFERROR(INDEX(Users!$A$2:$A$310,MATCH(A445,Users!$B$2:$B$310,0)),"")</f>
        <v/>
      </c>
      <c r="H445" s="21">
        <f>IFERROR(INDEX(Users!$D$2:$D$310,MATCH(A445,Users!$B$2:$B$310,0)),"")</f>
        <v/>
      </c>
      <c r="I445" s="19">
        <f>AND(G445="Service A",H445="Band 3")</f>
        <v/>
      </c>
      <c r="J445" s="33">
        <f>IF(AND(YEAR(B445)=2025,G445="Service B",OR(H445="Band 3",H445="Band 5"),ISNUMBER(F445)),F445,"")</f>
        <v/>
      </c>
    </row>
    <row r="446">
      <c r="A446" s="19" t="inlineStr">
        <is>
          <t>User1054</t>
        </is>
      </c>
      <c r="B446" s="60" t="n">
        <v>45839</v>
      </c>
      <c r="C446" s="21" t="n">
        <v>170.2</v>
      </c>
      <c r="D446" s="21" t="n">
        <v>170.27</v>
      </c>
      <c r="E446" s="21" t="n">
        <v>88.27</v>
      </c>
      <c r="F446" s="27">
        <f>IFERROR(IF(OR(C446="",D446="",C446=0),"",D446/C446),"")</f>
        <v/>
      </c>
      <c r="G446" s="21">
        <f>IFERROR(INDEX(Users!$A$2:$A$310,MATCH(A446,Users!$B$2:$B$310,0)),"")</f>
        <v/>
      </c>
      <c r="H446" s="21">
        <f>IFERROR(INDEX(Users!$D$2:$D$310,MATCH(A446,Users!$B$2:$B$310,0)),"")</f>
        <v/>
      </c>
      <c r="I446" s="19">
        <f>AND(G446="Service A",H446="Band 3")</f>
        <v/>
      </c>
      <c r="J446" s="33">
        <f>IF(AND(YEAR(B446)=2025,G446="Service B",OR(H446="Band 3",H446="Band 5"),ISNUMBER(F446)),F446,"")</f>
        <v/>
      </c>
    </row>
    <row r="447">
      <c r="A447" s="19" t="inlineStr">
        <is>
          <t>User1054</t>
        </is>
      </c>
      <c r="B447" s="60" t="n">
        <v>45870</v>
      </c>
      <c r="C447" s="21" t="n">
        <v>148</v>
      </c>
      <c r="D447" s="21" t="n">
        <v>111.35</v>
      </c>
      <c r="E447" s="21" t="n">
        <v>54.6</v>
      </c>
      <c r="F447" s="27">
        <f>IFERROR(IF(OR(C447="",D447="",C447=0),"",D447/C447),"")</f>
        <v/>
      </c>
      <c r="G447" s="21">
        <f>IFERROR(INDEX(Users!$A$2:$A$310,MATCH(A447,Users!$B$2:$B$310,0)),"")</f>
        <v/>
      </c>
      <c r="H447" s="21">
        <f>IFERROR(INDEX(Users!$D$2:$D$310,MATCH(A447,Users!$B$2:$B$310,0)),"")</f>
        <v/>
      </c>
      <c r="I447" s="19">
        <f>AND(G447="Service A",H447="Band 3")</f>
        <v/>
      </c>
      <c r="J447" s="33">
        <f>IF(AND(YEAR(B447)=2025,G447="Service B",OR(H447="Band 3",H447="Band 5"),ISNUMBER(F447)),F447,"")</f>
        <v/>
      </c>
    </row>
    <row r="448">
      <c r="A448" s="19" t="inlineStr">
        <is>
          <t>User1054</t>
        </is>
      </c>
      <c r="B448" s="60" t="n">
        <v>45901</v>
      </c>
      <c r="C448" s="21" t="n">
        <v>162.8</v>
      </c>
      <c r="D448" s="21" t="n">
        <v>166.4733333333334</v>
      </c>
      <c r="E448" s="21" t="n">
        <v>103.89</v>
      </c>
      <c r="F448" s="27">
        <f>IFERROR(IF(OR(C448="",D448="",C448=0),"",D448/C448),"")</f>
        <v/>
      </c>
      <c r="G448" s="21">
        <f>IFERROR(INDEX(Users!$A$2:$A$310,MATCH(A448,Users!$B$2:$B$310,0)),"")</f>
        <v/>
      </c>
      <c r="H448" s="21">
        <f>IFERROR(INDEX(Users!$D$2:$D$310,MATCH(A448,Users!$B$2:$B$310,0)),"")</f>
        <v/>
      </c>
      <c r="I448" s="19">
        <f>AND(G448="Service A",H448="Band 3")</f>
        <v/>
      </c>
      <c r="J448" s="33">
        <f>IF(AND(YEAR(B448)=2025,G448="Service B",OR(H448="Band 3",H448="Band 5"),ISNUMBER(F448)),F448,"")</f>
        <v/>
      </c>
    </row>
    <row r="449">
      <c r="A449" s="19" t="inlineStr">
        <is>
          <t>User1054</t>
        </is>
      </c>
      <c r="B449" s="60" t="n">
        <v>45931</v>
      </c>
      <c r="C449" s="21" t="n">
        <v>170.2</v>
      </c>
      <c r="D449" s="21" t="n">
        <v>152.79</v>
      </c>
      <c r="E449" s="21" t="n">
        <v>91.29000000000001</v>
      </c>
      <c r="F449" s="27">
        <f>IFERROR(IF(OR(C449="",D449="",C449=0),"",D449/C449),"")</f>
        <v/>
      </c>
      <c r="G449" s="21">
        <f>IFERROR(INDEX(Users!$A$2:$A$310,MATCH(A449,Users!$B$2:$B$310,0)),"")</f>
        <v/>
      </c>
      <c r="H449" s="21">
        <f>IFERROR(INDEX(Users!$D$2:$D$310,MATCH(A449,Users!$B$2:$B$310,0)),"")</f>
        <v/>
      </c>
      <c r="I449" s="19">
        <f>AND(G449="Service A",H449="Band 3")</f>
        <v/>
      </c>
      <c r="J449" s="33">
        <f>IF(AND(YEAR(B449)=2025,G449="Service B",OR(H449="Band 3",H449="Band 5"),ISNUMBER(F449)),F449,"")</f>
        <v/>
      </c>
    </row>
    <row r="450">
      <c r="A450" s="19" t="inlineStr">
        <is>
          <t>User1054</t>
        </is>
      </c>
      <c r="B450" s="60" t="n">
        <v>45962</v>
      </c>
      <c r="C450" s="21" t="n">
        <v>148</v>
      </c>
      <c r="D450" s="21" t="n">
        <v>65.28666666666666</v>
      </c>
      <c r="E450" s="21" t="n">
        <v>40.87</v>
      </c>
      <c r="F450" s="27">
        <f>IFERROR(IF(OR(C450="",D450="",C450=0),"",D450/C450),"")</f>
        <v/>
      </c>
      <c r="G450" s="21">
        <f>IFERROR(INDEX(Users!$A$2:$A$310,MATCH(A450,Users!$B$2:$B$310,0)),"")</f>
        <v/>
      </c>
      <c r="H450" s="21">
        <f>IFERROR(INDEX(Users!$D$2:$D$310,MATCH(A450,Users!$B$2:$B$310,0)),"")</f>
        <v/>
      </c>
      <c r="I450" s="19">
        <f>AND(G450="Service A",H450="Band 3")</f>
        <v/>
      </c>
      <c r="J450" s="33">
        <f>IF(AND(YEAR(B450)=2025,G450="Service B",OR(H450="Band 3",H450="Band 5"),ISNUMBER(F450)),F450,"")</f>
        <v/>
      </c>
    </row>
    <row r="451">
      <c r="A451" s="19" t="inlineStr">
        <is>
          <t>User1054</t>
        </is>
      </c>
      <c r="B451" s="60" t="n">
        <v>45992</v>
      </c>
      <c r="C451" s="21" t="n">
        <v>155.4</v>
      </c>
      <c r="D451" s="21" t="n">
        <v>137.89</v>
      </c>
      <c r="E451" s="21" t="n">
        <v>91.39</v>
      </c>
      <c r="F451" s="27">
        <f>IFERROR(IF(OR(C451="",D451="",C451=0),"",D451/C451),"")</f>
        <v/>
      </c>
      <c r="G451" s="21">
        <f>IFERROR(INDEX(Users!$A$2:$A$310,MATCH(A451,Users!$B$2:$B$310,0)),"")</f>
        <v/>
      </c>
      <c r="H451" s="21">
        <f>IFERROR(INDEX(Users!$D$2:$D$310,MATCH(A451,Users!$B$2:$B$310,0)),"")</f>
        <v/>
      </c>
      <c r="I451" s="19">
        <f>AND(G451="Service A",H451="Band 3")</f>
        <v/>
      </c>
      <c r="J451" s="33">
        <f>IF(AND(YEAR(B451)=2025,G451="Service B",OR(H451="Band 3",H451="Band 5"),ISNUMBER(F451)),F451,"")</f>
        <v/>
      </c>
    </row>
    <row r="452">
      <c r="A452" s="19" t="inlineStr">
        <is>
          <t>User1054</t>
        </is>
      </c>
      <c r="B452" s="60" t="n">
        <v>46023</v>
      </c>
      <c r="C452" s="21" t="n">
        <v>155.4</v>
      </c>
      <c r="D452" s="21" t="n">
        <v>150.67</v>
      </c>
      <c r="E452" s="21" t="n">
        <v>78.42</v>
      </c>
      <c r="F452" s="27">
        <f>IFERROR(IF(OR(C452="",D452="",C452=0),"",D452/C452),"")</f>
        <v/>
      </c>
      <c r="G452" s="21">
        <f>IFERROR(INDEX(Users!$A$2:$A$310,MATCH(A452,Users!$B$2:$B$310,0)),"")</f>
        <v/>
      </c>
      <c r="H452" s="21">
        <f>IFERROR(INDEX(Users!$D$2:$D$310,MATCH(A452,Users!$B$2:$B$310,0)),"")</f>
        <v/>
      </c>
      <c r="I452" s="19">
        <f>AND(G452="Service A",H452="Band 3")</f>
        <v/>
      </c>
      <c r="J452" s="33">
        <f>IF(AND(YEAR(B452)=2025,G452="Service B",OR(H452="Band 3",H452="Band 5"),ISNUMBER(F452)),F452,"")</f>
        <v/>
      </c>
    </row>
    <row r="453">
      <c r="A453" s="19" t="inlineStr">
        <is>
          <t>User1055</t>
        </is>
      </c>
      <c r="B453" s="60" t="n">
        <v>45658</v>
      </c>
      <c r="C453" s="21" t="n">
        <v>162.8</v>
      </c>
      <c r="D453" s="21" t="n">
        <v>135.0700000000001</v>
      </c>
      <c r="E453" s="21" t="n">
        <v>70.82000000000004</v>
      </c>
      <c r="F453" s="27">
        <f>IFERROR(IF(OR(C453="",D453="",C453=0),"",D453/C453),"")</f>
        <v/>
      </c>
      <c r="G453" s="21">
        <f>IFERROR(INDEX(Users!$A$2:$A$310,MATCH(A453,Users!$B$2:$B$310,0)),"")</f>
        <v/>
      </c>
      <c r="H453" s="21">
        <f>IFERROR(INDEX(Users!$D$2:$D$310,MATCH(A453,Users!$B$2:$B$310,0)),"")</f>
        <v/>
      </c>
      <c r="I453" s="19">
        <f>AND(G453="Service A",H453="Band 3")</f>
        <v/>
      </c>
      <c r="J453" s="33">
        <f>IF(AND(YEAR(B453)=2025,G453="Service B",OR(H453="Band 3",H453="Band 5"),ISNUMBER(F453)),F453,"")</f>
        <v/>
      </c>
    </row>
    <row r="454">
      <c r="A454" s="19" t="inlineStr">
        <is>
          <t>User1055</t>
        </is>
      </c>
      <c r="B454" s="60" t="n">
        <v>45689</v>
      </c>
      <c r="C454" s="21" t="n">
        <v>148</v>
      </c>
      <c r="D454" s="21" t="n">
        <v>77.91</v>
      </c>
      <c r="E454" s="21" t="n">
        <v>28.91</v>
      </c>
      <c r="F454" s="27">
        <f>IFERROR(IF(OR(C454="",D454="",C454=0),"",D454/C454),"")</f>
        <v/>
      </c>
      <c r="G454" s="21">
        <f>IFERROR(INDEX(Users!$A$2:$A$310,MATCH(A454,Users!$B$2:$B$310,0)),"")</f>
        <v/>
      </c>
      <c r="H454" s="21">
        <f>IFERROR(INDEX(Users!$D$2:$D$310,MATCH(A454,Users!$B$2:$B$310,0)),"")</f>
        <v/>
      </c>
      <c r="I454" s="19">
        <f>AND(G454="Service A",H454="Band 3")</f>
        <v/>
      </c>
      <c r="J454" s="33">
        <f>IF(AND(YEAR(B454)=2025,G454="Service B",OR(H454="Band 3",H454="Band 5"),ISNUMBER(F454)),F454,"")</f>
        <v/>
      </c>
    </row>
    <row r="455">
      <c r="A455" s="19" t="inlineStr">
        <is>
          <t>User1055</t>
        </is>
      </c>
      <c r="B455" s="60" t="n">
        <v>45717</v>
      </c>
      <c r="C455" s="21" t="n">
        <v>155.4</v>
      </c>
      <c r="D455" s="21" t="n"/>
      <c r="E455" s="21" t="n"/>
      <c r="F455" s="27">
        <f>IFERROR(IF(OR(C455="",D455="",C455=0),"",D455/C455),"")</f>
        <v/>
      </c>
      <c r="G455" s="21">
        <f>IFERROR(INDEX(Users!$A$2:$A$310,MATCH(A455,Users!$B$2:$B$310,0)),"")</f>
        <v/>
      </c>
      <c r="H455" s="21">
        <f>IFERROR(INDEX(Users!$D$2:$D$310,MATCH(A455,Users!$B$2:$B$310,0)),"")</f>
        <v/>
      </c>
      <c r="I455" s="19">
        <f>AND(G455="Service A",H455="Band 3")</f>
        <v/>
      </c>
      <c r="J455" s="33">
        <f>IF(AND(YEAR(B455)=2025,G455="Service B",OR(H455="Band 3",H455="Band 5"),ISNUMBER(F455)),F455,"")</f>
        <v/>
      </c>
    </row>
    <row r="456">
      <c r="A456" s="19" t="inlineStr">
        <is>
          <t>User1055</t>
        </is>
      </c>
      <c r="B456" s="60" t="n">
        <v>45748</v>
      </c>
      <c r="C456" s="21" t="n">
        <v>148</v>
      </c>
      <c r="D456" s="21" t="n"/>
      <c r="E456" s="21" t="n"/>
      <c r="F456" s="27">
        <f>IFERROR(IF(OR(C456="",D456="",C456=0),"",D456/C456),"")</f>
        <v/>
      </c>
      <c r="G456" s="21">
        <f>IFERROR(INDEX(Users!$A$2:$A$310,MATCH(A456,Users!$B$2:$B$310,0)),"")</f>
        <v/>
      </c>
      <c r="H456" s="21">
        <f>IFERROR(INDEX(Users!$D$2:$D$310,MATCH(A456,Users!$B$2:$B$310,0)),"")</f>
        <v/>
      </c>
      <c r="I456" s="19">
        <f>AND(G456="Service A",H456="Band 3")</f>
        <v/>
      </c>
      <c r="J456" s="33">
        <f>IF(AND(YEAR(B456)=2025,G456="Service B",OR(H456="Band 3",H456="Band 5"),ISNUMBER(F456)),F456,"")</f>
        <v/>
      </c>
    </row>
    <row r="457">
      <c r="A457" s="19" t="inlineStr">
        <is>
          <t>User1055</t>
        </is>
      </c>
      <c r="B457" s="60" t="n">
        <v>45778</v>
      </c>
      <c r="C457" s="21" t="n">
        <v>148</v>
      </c>
      <c r="D457" s="21" t="n">
        <v>46</v>
      </c>
      <c r="E457" s="21" t="n"/>
      <c r="F457" s="27">
        <f>IFERROR(IF(OR(C457="",D457="",C457=0),"",D457/C457),"")</f>
        <v/>
      </c>
      <c r="G457" s="21">
        <f>IFERROR(INDEX(Users!$A$2:$A$310,MATCH(A457,Users!$B$2:$B$310,0)),"")</f>
        <v/>
      </c>
      <c r="H457" s="21">
        <f>IFERROR(INDEX(Users!$D$2:$D$310,MATCH(A457,Users!$B$2:$B$310,0)),"")</f>
        <v/>
      </c>
      <c r="I457" s="19">
        <f>AND(G457="Service A",H457="Band 3")</f>
        <v/>
      </c>
      <c r="J457" s="33">
        <f>IF(AND(YEAR(B457)=2025,G457="Service B",OR(H457="Band 3",H457="Band 5"),ISNUMBER(F457)),F457,"")</f>
        <v/>
      </c>
    </row>
    <row r="458">
      <c r="A458" s="19" t="inlineStr">
        <is>
          <t>User1055</t>
        </is>
      </c>
      <c r="B458" s="60" t="n">
        <v>45809</v>
      </c>
      <c r="C458" s="21" t="n">
        <v>155.4</v>
      </c>
      <c r="D458" s="21" t="n">
        <v>110.6433333333333</v>
      </c>
      <c r="E458" s="21" t="n">
        <v>54.56</v>
      </c>
      <c r="F458" s="27">
        <f>IFERROR(IF(OR(C458="",D458="",C458=0),"",D458/C458),"")</f>
        <v/>
      </c>
      <c r="G458" s="21">
        <f>IFERROR(INDEX(Users!$A$2:$A$310,MATCH(A458,Users!$B$2:$B$310,0)),"")</f>
        <v/>
      </c>
      <c r="H458" s="21">
        <f>IFERROR(INDEX(Users!$D$2:$D$310,MATCH(A458,Users!$B$2:$B$310,0)),"")</f>
        <v/>
      </c>
      <c r="I458" s="19">
        <f>AND(G458="Service A",H458="Band 3")</f>
        <v/>
      </c>
      <c r="J458" s="33">
        <f>IF(AND(YEAR(B458)=2025,G458="Service B",OR(H458="Band 3",H458="Band 5"),ISNUMBER(F458)),F458,"")</f>
        <v/>
      </c>
    </row>
    <row r="459">
      <c r="A459" s="19" t="inlineStr">
        <is>
          <t>User1055</t>
        </is>
      </c>
      <c r="B459" s="60" t="n">
        <v>45839</v>
      </c>
      <c r="C459" s="21" t="n">
        <v>170.2</v>
      </c>
      <c r="D459" s="21" t="n">
        <v>169.05</v>
      </c>
      <c r="E459" s="21" t="n">
        <v>105.55</v>
      </c>
      <c r="F459" s="27">
        <f>IFERROR(IF(OR(C459="",D459="",C459=0),"",D459/C459),"")</f>
        <v/>
      </c>
      <c r="G459" s="21">
        <f>IFERROR(INDEX(Users!$A$2:$A$310,MATCH(A459,Users!$B$2:$B$310,0)),"")</f>
        <v/>
      </c>
      <c r="H459" s="21">
        <f>IFERROR(INDEX(Users!$D$2:$D$310,MATCH(A459,Users!$B$2:$B$310,0)),"")</f>
        <v/>
      </c>
      <c r="I459" s="19">
        <f>AND(G459="Service A",H459="Band 3")</f>
        <v/>
      </c>
      <c r="J459" s="33">
        <f>IF(AND(YEAR(B459)=2025,G459="Service B",OR(H459="Band 3",H459="Band 5"),ISNUMBER(F459)),F459,"")</f>
        <v/>
      </c>
    </row>
    <row r="460">
      <c r="A460" s="19" t="inlineStr">
        <is>
          <t>User1055</t>
        </is>
      </c>
      <c r="B460" s="60" t="n">
        <v>45870</v>
      </c>
      <c r="C460" s="21" t="n">
        <v>148</v>
      </c>
      <c r="D460" s="21" t="n">
        <v>68.44666666666666</v>
      </c>
      <c r="E460" s="21" t="n">
        <v>40.77999999999999</v>
      </c>
      <c r="F460" s="27">
        <f>IFERROR(IF(OR(C460="",D460="",C460=0),"",D460/C460),"")</f>
        <v/>
      </c>
      <c r="G460" s="21">
        <f>IFERROR(INDEX(Users!$A$2:$A$310,MATCH(A460,Users!$B$2:$B$310,0)),"")</f>
        <v/>
      </c>
      <c r="H460" s="21">
        <f>IFERROR(INDEX(Users!$D$2:$D$310,MATCH(A460,Users!$B$2:$B$310,0)),"")</f>
        <v/>
      </c>
      <c r="I460" s="19">
        <f>AND(G460="Service A",H460="Band 3")</f>
        <v/>
      </c>
      <c r="J460" s="33">
        <f>IF(AND(YEAR(B460)=2025,G460="Service B",OR(H460="Band 3",H460="Band 5"),ISNUMBER(F460)),F460,"")</f>
        <v/>
      </c>
    </row>
    <row r="461">
      <c r="A461" s="19" t="inlineStr">
        <is>
          <t>User1055</t>
        </is>
      </c>
      <c r="B461" s="60" t="n">
        <v>45901</v>
      </c>
      <c r="C461" s="21" t="n">
        <v>162.8</v>
      </c>
      <c r="D461" s="21" t="n">
        <v>152.6233333333333</v>
      </c>
      <c r="E461" s="21" t="n">
        <v>79.04000000000001</v>
      </c>
      <c r="F461" s="27">
        <f>IFERROR(IF(OR(C461="",D461="",C461=0),"",D461/C461),"")</f>
        <v/>
      </c>
      <c r="G461" s="21">
        <f>IFERROR(INDEX(Users!$A$2:$A$310,MATCH(A461,Users!$B$2:$B$310,0)),"")</f>
        <v/>
      </c>
      <c r="H461" s="21">
        <f>IFERROR(INDEX(Users!$D$2:$D$310,MATCH(A461,Users!$B$2:$B$310,0)),"")</f>
        <v/>
      </c>
      <c r="I461" s="19">
        <f>AND(G461="Service A",H461="Band 3")</f>
        <v/>
      </c>
      <c r="J461" s="33">
        <f>IF(AND(YEAR(B461)=2025,G461="Service B",OR(H461="Band 3",H461="Band 5"),ISNUMBER(F461)),F461,"")</f>
        <v/>
      </c>
    </row>
    <row r="462">
      <c r="A462" s="19" t="inlineStr">
        <is>
          <t>User1055</t>
        </is>
      </c>
      <c r="B462" s="60" t="n">
        <v>45931</v>
      </c>
      <c r="C462" s="21" t="n">
        <v>170.2</v>
      </c>
      <c r="D462" s="21" t="n">
        <v>163.8366666666667</v>
      </c>
      <c r="E462" s="21" t="n">
        <v>88.17</v>
      </c>
      <c r="F462" s="27">
        <f>IFERROR(IF(OR(C462="",D462="",C462=0),"",D462/C462),"")</f>
        <v/>
      </c>
      <c r="G462" s="21">
        <f>IFERROR(INDEX(Users!$A$2:$A$310,MATCH(A462,Users!$B$2:$B$310,0)),"")</f>
        <v/>
      </c>
      <c r="H462" s="21">
        <f>IFERROR(INDEX(Users!$D$2:$D$310,MATCH(A462,Users!$B$2:$B$310,0)),"")</f>
        <v/>
      </c>
      <c r="I462" s="19">
        <f>AND(G462="Service A",H462="Band 3")</f>
        <v/>
      </c>
      <c r="J462" s="33">
        <f>IF(AND(YEAR(B462)=2025,G462="Service B",OR(H462="Band 3",H462="Band 5"),ISNUMBER(F462)),F462,"")</f>
        <v/>
      </c>
    </row>
    <row r="463">
      <c r="A463" s="19" t="inlineStr">
        <is>
          <t>User1055</t>
        </is>
      </c>
      <c r="B463" s="60" t="n">
        <v>45962</v>
      </c>
      <c r="C463" s="21" t="n">
        <v>148</v>
      </c>
      <c r="D463" s="21" t="n">
        <v>106.68</v>
      </c>
      <c r="E463" s="21" t="n">
        <v>47.68000000000001</v>
      </c>
      <c r="F463" s="27">
        <f>IFERROR(IF(OR(C463="",D463="",C463=0),"",D463/C463),"")</f>
        <v/>
      </c>
      <c r="G463" s="21">
        <f>IFERROR(INDEX(Users!$A$2:$A$310,MATCH(A463,Users!$B$2:$B$310,0)),"")</f>
        <v/>
      </c>
      <c r="H463" s="21">
        <f>IFERROR(INDEX(Users!$D$2:$D$310,MATCH(A463,Users!$B$2:$B$310,0)),"")</f>
        <v/>
      </c>
      <c r="I463" s="19">
        <f>AND(G463="Service A",H463="Band 3")</f>
        <v/>
      </c>
      <c r="J463" s="33">
        <f>IF(AND(YEAR(B463)=2025,G463="Service B",OR(H463="Band 3",H463="Band 5"),ISNUMBER(F463)),F463,"")</f>
        <v/>
      </c>
    </row>
    <row r="464">
      <c r="A464" s="19" t="inlineStr">
        <is>
          <t>User1055</t>
        </is>
      </c>
      <c r="B464" s="60" t="n">
        <v>45992</v>
      </c>
      <c r="C464" s="21" t="n">
        <v>155.4</v>
      </c>
      <c r="D464" s="21" t="n"/>
      <c r="E464" s="21" t="n"/>
      <c r="F464" s="27">
        <f>IFERROR(IF(OR(C464="",D464="",C464=0),"",D464/C464),"")</f>
        <v/>
      </c>
      <c r="G464" s="21">
        <f>IFERROR(INDEX(Users!$A$2:$A$310,MATCH(A464,Users!$B$2:$B$310,0)),"")</f>
        <v/>
      </c>
      <c r="H464" s="21">
        <f>IFERROR(INDEX(Users!$D$2:$D$310,MATCH(A464,Users!$B$2:$B$310,0)),"")</f>
        <v/>
      </c>
      <c r="I464" s="19">
        <f>AND(G464="Service A",H464="Band 3")</f>
        <v/>
      </c>
      <c r="J464" s="33">
        <f>IF(AND(YEAR(B464)=2025,G464="Service B",OR(H464="Band 3",H464="Band 5"),ISNUMBER(F464)),F464,"")</f>
        <v/>
      </c>
    </row>
    <row r="465">
      <c r="A465" s="19" t="inlineStr">
        <is>
          <t>User1055</t>
        </is>
      </c>
      <c r="B465" s="60" t="n">
        <v>46023</v>
      </c>
      <c r="C465" s="21" t="n">
        <v>155.4</v>
      </c>
      <c r="D465" s="21" t="n"/>
      <c r="E465" s="21" t="n"/>
      <c r="F465" s="27">
        <f>IFERROR(IF(OR(C465="",D465="",C465=0),"",D465/C465),"")</f>
        <v/>
      </c>
      <c r="G465" s="21">
        <f>IFERROR(INDEX(Users!$A$2:$A$310,MATCH(A465,Users!$B$2:$B$310,0)),"")</f>
        <v/>
      </c>
      <c r="H465" s="21">
        <f>IFERROR(INDEX(Users!$D$2:$D$310,MATCH(A465,Users!$B$2:$B$310,0)),"")</f>
        <v/>
      </c>
      <c r="I465" s="19">
        <f>AND(G465="Service A",H465="Band 3")</f>
        <v/>
      </c>
      <c r="J465" s="33">
        <f>IF(AND(YEAR(B465)=2025,G465="Service B",OR(H465="Band 3",H465="Band 5"),ISNUMBER(F465)),F465,"")</f>
        <v/>
      </c>
    </row>
    <row r="466">
      <c r="A466" s="19" t="inlineStr">
        <is>
          <t>User1057</t>
        </is>
      </c>
      <c r="B466" s="60" t="n">
        <v>45658</v>
      </c>
      <c r="C466" s="21" t="n">
        <v>162.8</v>
      </c>
      <c r="D466" s="21" t="n">
        <v>6.24</v>
      </c>
      <c r="E466" s="21" t="n">
        <v>6.24</v>
      </c>
      <c r="F466" s="27">
        <f>IFERROR(IF(OR(C466="",D466="",C466=0),"",D466/C466),"")</f>
        <v/>
      </c>
      <c r="G466" s="21">
        <f>IFERROR(INDEX(Users!$A$2:$A$310,MATCH(A466,Users!$B$2:$B$310,0)),"")</f>
        <v/>
      </c>
      <c r="H466" s="21">
        <f>IFERROR(INDEX(Users!$D$2:$D$310,MATCH(A466,Users!$B$2:$B$310,0)),"")</f>
        <v/>
      </c>
      <c r="I466" s="19">
        <f>AND(G466="Service A",H466="Band 3")</f>
        <v/>
      </c>
      <c r="J466" s="33">
        <f>IF(AND(YEAR(B466)=2025,G466="Service B",OR(H466="Band 3",H466="Band 5"),ISNUMBER(F466)),F466,"")</f>
        <v/>
      </c>
    </row>
    <row r="467">
      <c r="A467" s="19" t="inlineStr">
        <is>
          <t>User1057</t>
        </is>
      </c>
      <c r="B467" s="60" t="n">
        <v>45689</v>
      </c>
      <c r="C467" s="21" t="n">
        <v>148</v>
      </c>
      <c r="D467" s="21" t="n">
        <v>145.655</v>
      </c>
      <c r="E467" s="21" t="n">
        <v>76.50999999999999</v>
      </c>
      <c r="F467" s="27">
        <f>IFERROR(IF(OR(C467="",D467="",C467=0),"",D467/C467),"")</f>
        <v/>
      </c>
      <c r="G467" s="21">
        <f>IFERROR(INDEX(Users!$A$2:$A$310,MATCH(A467,Users!$B$2:$B$310,0)),"")</f>
        <v/>
      </c>
      <c r="H467" s="21">
        <f>IFERROR(INDEX(Users!$D$2:$D$310,MATCH(A467,Users!$B$2:$B$310,0)),"")</f>
        <v/>
      </c>
      <c r="I467" s="19">
        <f>AND(G467="Service A",H467="Band 3")</f>
        <v/>
      </c>
      <c r="J467" s="33">
        <f>IF(AND(YEAR(B467)=2025,G467="Service B",OR(H467="Band 3",H467="Band 5"),ISNUMBER(F467)),F467,"")</f>
        <v/>
      </c>
    </row>
    <row r="468">
      <c r="A468" s="19" t="inlineStr">
        <is>
          <t>User1057</t>
        </is>
      </c>
      <c r="B468" s="60" t="n">
        <v>45717</v>
      </c>
      <c r="C468" s="21" t="n">
        <v>155.4</v>
      </c>
      <c r="D468" s="21" t="n">
        <v>157.97</v>
      </c>
      <c r="E468" s="21" t="n">
        <v>77.27000000000002</v>
      </c>
      <c r="F468" s="27">
        <f>IFERROR(IF(OR(C468="",D468="",C468=0),"",D468/C468),"")</f>
        <v/>
      </c>
      <c r="G468" s="21">
        <f>IFERROR(INDEX(Users!$A$2:$A$310,MATCH(A468,Users!$B$2:$B$310,0)),"")</f>
        <v/>
      </c>
      <c r="H468" s="21">
        <f>IFERROR(INDEX(Users!$D$2:$D$310,MATCH(A468,Users!$B$2:$B$310,0)),"")</f>
        <v/>
      </c>
      <c r="I468" s="19">
        <f>AND(G468="Service A",H468="Band 3")</f>
        <v/>
      </c>
      <c r="J468" s="33">
        <f>IF(AND(YEAR(B468)=2025,G468="Service B",OR(H468="Band 3",H468="Band 5"),ISNUMBER(F468)),F468,"")</f>
        <v/>
      </c>
    </row>
    <row r="469">
      <c r="A469" s="19" t="inlineStr">
        <is>
          <t>User1057</t>
        </is>
      </c>
      <c r="B469" s="60" t="n">
        <v>45748</v>
      </c>
      <c r="C469" s="21" t="n">
        <v>148</v>
      </c>
      <c r="D469" s="21" t="n">
        <v>126.8733333333333</v>
      </c>
      <c r="E469" s="21" t="n">
        <v>82.09</v>
      </c>
      <c r="F469" s="27">
        <f>IFERROR(IF(OR(C469="",D469="",C469=0),"",D469/C469),"")</f>
        <v/>
      </c>
      <c r="G469" s="21">
        <f>IFERROR(INDEX(Users!$A$2:$A$310,MATCH(A469,Users!$B$2:$B$310,0)),"")</f>
        <v/>
      </c>
      <c r="H469" s="21">
        <f>IFERROR(INDEX(Users!$D$2:$D$310,MATCH(A469,Users!$B$2:$B$310,0)),"")</f>
        <v/>
      </c>
      <c r="I469" s="19">
        <f>AND(G469="Service A",H469="Band 3")</f>
        <v/>
      </c>
      <c r="J469" s="33">
        <f>IF(AND(YEAR(B469)=2025,G469="Service B",OR(H469="Band 3",H469="Band 5"),ISNUMBER(F469)),F469,"")</f>
        <v/>
      </c>
    </row>
    <row r="470">
      <c r="A470" s="19" t="inlineStr">
        <is>
          <t>User1057</t>
        </is>
      </c>
      <c r="B470" s="60" t="n">
        <v>45778</v>
      </c>
      <c r="C470" s="21" t="n">
        <v>148</v>
      </c>
      <c r="D470" s="21" t="n">
        <v>107.2766666666667</v>
      </c>
      <c r="E470" s="21" t="n">
        <v>68.81</v>
      </c>
      <c r="F470" s="27">
        <f>IFERROR(IF(OR(C470="",D470="",C470=0),"",D470/C470),"")</f>
        <v/>
      </c>
      <c r="G470" s="21">
        <f>IFERROR(INDEX(Users!$A$2:$A$310,MATCH(A470,Users!$B$2:$B$310,0)),"")</f>
        <v/>
      </c>
      <c r="H470" s="21">
        <f>IFERROR(INDEX(Users!$D$2:$D$310,MATCH(A470,Users!$B$2:$B$310,0)),"")</f>
        <v/>
      </c>
      <c r="I470" s="19">
        <f>AND(G470="Service A",H470="Band 3")</f>
        <v/>
      </c>
      <c r="J470" s="33">
        <f>IF(AND(YEAR(B470)=2025,G470="Service B",OR(H470="Band 3",H470="Band 5"),ISNUMBER(F470)),F470,"")</f>
        <v/>
      </c>
    </row>
    <row r="471">
      <c r="A471" s="19" t="inlineStr">
        <is>
          <t>User1057</t>
        </is>
      </c>
      <c r="B471" s="60" t="n">
        <v>45809</v>
      </c>
      <c r="C471" s="21" t="n">
        <v>155.4</v>
      </c>
      <c r="D471" s="21" t="n">
        <v>112.7633333333333</v>
      </c>
      <c r="E471" s="21" t="n">
        <v>78.63000000000001</v>
      </c>
      <c r="F471" s="27">
        <f>IFERROR(IF(OR(C471="",D471="",C471=0),"",D471/C471),"")</f>
        <v/>
      </c>
      <c r="G471" s="21">
        <f>IFERROR(INDEX(Users!$A$2:$A$310,MATCH(A471,Users!$B$2:$B$310,0)),"")</f>
        <v/>
      </c>
      <c r="H471" s="21">
        <f>IFERROR(INDEX(Users!$D$2:$D$310,MATCH(A471,Users!$B$2:$B$310,0)),"")</f>
        <v/>
      </c>
      <c r="I471" s="19">
        <f>AND(G471="Service A",H471="Band 3")</f>
        <v/>
      </c>
      <c r="J471" s="33">
        <f>IF(AND(YEAR(B471)=2025,G471="Service B",OR(H471="Band 3",H471="Band 5"),ISNUMBER(F471)),F471,"")</f>
        <v/>
      </c>
    </row>
    <row r="472">
      <c r="A472" s="19" t="inlineStr">
        <is>
          <t>User1057</t>
        </is>
      </c>
      <c r="B472" s="60" t="n">
        <v>45839</v>
      </c>
      <c r="C472" s="21" t="n">
        <v>170.2</v>
      </c>
      <c r="D472" s="21" t="n">
        <v>150.33</v>
      </c>
      <c r="E472" s="21" t="n">
        <v>96.77999999999999</v>
      </c>
      <c r="F472" s="27">
        <f>IFERROR(IF(OR(C472="",D472="",C472=0),"",D472/C472),"")</f>
        <v/>
      </c>
      <c r="G472" s="21">
        <f>IFERROR(INDEX(Users!$A$2:$A$310,MATCH(A472,Users!$B$2:$B$310,0)),"")</f>
        <v/>
      </c>
      <c r="H472" s="21">
        <f>IFERROR(INDEX(Users!$D$2:$D$310,MATCH(A472,Users!$B$2:$B$310,0)),"")</f>
        <v/>
      </c>
      <c r="I472" s="19">
        <f>AND(G472="Service A",H472="Band 3")</f>
        <v/>
      </c>
      <c r="J472" s="33">
        <f>IF(AND(YEAR(B472)=2025,G472="Service B",OR(H472="Band 3",H472="Band 5"),ISNUMBER(F472)),F472,"")</f>
        <v/>
      </c>
    </row>
    <row r="473">
      <c r="A473" s="19" t="inlineStr">
        <is>
          <t>User1057</t>
        </is>
      </c>
      <c r="B473" s="60" t="n">
        <v>45870</v>
      </c>
      <c r="C473" s="21" t="n">
        <v>148</v>
      </c>
      <c r="D473" s="21" t="n">
        <v>140.7166666666667</v>
      </c>
      <c r="E473" s="21" t="n">
        <v>104.2</v>
      </c>
      <c r="F473" s="27">
        <f>IFERROR(IF(OR(C473="",D473="",C473=0),"",D473/C473),"")</f>
        <v/>
      </c>
      <c r="G473" s="21">
        <f>IFERROR(INDEX(Users!$A$2:$A$310,MATCH(A473,Users!$B$2:$B$310,0)),"")</f>
        <v/>
      </c>
      <c r="H473" s="21">
        <f>IFERROR(INDEX(Users!$D$2:$D$310,MATCH(A473,Users!$B$2:$B$310,0)),"")</f>
        <v/>
      </c>
      <c r="I473" s="19">
        <f>AND(G473="Service A",H473="Band 3")</f>
        <v/>
      </c>
      <c r="J473" s="33">
        <f>IF(AND(YEAR(B473)=2025,G473="Service B",OR(H473="Band 3",H473="Band 5"),ISNUMBER(F473)),F473,"")</f>
        <v/>
      </c>
    </row>
    <row r="474">
      <c r="A474" s="19" t="inlineStr">
        <is>
          <t>User1057</t>
        </is>
      </c>
      <c r="B474" s="60" t="n">
        <v>45901</v>
      </c>
      <c r="C474" s="21" t="n">
        <v>162.8</v>
      </c>
      <c r="D474" s="21" t="n">
        <v>176.4533333333333</v>
      </c>
      <c r="E474" s="21" t="n">
        <v>125.47</v>
      </c>
      <c r="F474" s="27">
        <f>IFERROR(IF(OR(C474="",D474="",C474=0),"",D474/C474),"")</f>
        <v/>
      </c>
      <c r="G474" s="21">
        <f>IFERROR(INDEX(Users!$A$2:$A$310,MATCH(A474,Users!$B$2:$B$310,0)),"")</f>
        <v/>
      </c>
      <c r="H474" s="21">
        <f>IFERROR(INDEX(Users!$D$2:$D$310,MATCH(A474,Users!$B$2:$B$310,0)),"")</f>
        <v/>
      </c>
      <c r="I474" s="19">
        <f>AND(G474="Service A",H474="Band 3")</f>
        <v/>
      </c>
      <c r="J474" s="33">
        <f>IF(AND(YEAR(B474)=2025,G474="Service B",OR(H474="Band 3",H474="Band 5"),ISNUMBER(F474)),F474,"")</f>
        <v/>
      </c>
    </row>
    <row r="475">
      <c r="A475" s="19" t="inlineStr">
        <is>
          <t>User1057</t>
        </is>
      </c>
      <c r="B475" s="60" t="n">
        <v>45931</v>
      </c>
      <c r="C475" s="21" t="n">
        <v>170.2</v>
      </c>
      <c r="D475" s="21" t="n">
        <v>177.6366666666667</v>
      </c>
      <c r="E475" s="21" t="n">
        <v>111.57</v>
      </c>
      <c r="F475" s="27">
        <f>IFERROR(IF(OR(C475="",D475="",C475=0),"",D475/C475),"")</f>
        <v/>
      </c>
      <c r="G475" s="21">
        <f>IFERROR(INDEX(Users!$A$2:$A$310,MATCH(A475,Users!$B$2:$B$310,0)),"")</f>
        <v/>
      </c>
      <c r="H475" s="21">
        <f>IFERROR(INDEX(Users!$D$2:$D$310,MATCH(A475,Users!$B$2:$B$310,0)),"")</f>
        <v/>
      </c>
      <c r="I475" s="19">
        <f>AND(G475="Service A",H475="Band 3")</f>
        <v/>
      </c>
      <c r="J475" s="33">
        <f>IF(AND(YEAR(B475)=2025,G475="Service B",OR(H475="Band 3",H475="Band 5"),ISNUMBER(F475)),F475,"")</f>
        <v/>
      </c>
    </row>
    <row r="476">
      <c r="A476" s="19" t="inlineStr">
        <is>
          <t>User1057</t>
        </is>
      </c>
      <c r="B476" s="60" t="n">
        <v>45962</v>
      </c>
      <c r="C476" s="21" t="n">
        <v>148</v>
      </c>
      <c r="D476" s="21" t="n">
        <v>133.8966666666666</v>
      </c>
      <c r="E476" s="21" t="n">
        <v>95.67999999999995</v>
      </c>
      <c r="F476" s="27">
        <f>IFERROR(IF(OR(C476="",D476="",C476=0),"",D476/C476),"")</f>
        <v/>
      </c>
      <c r="G476" s="21">
        <f>IFERROR(INDEX(Users!$A$2:$A$310,MATCH(A476,Users!$B$2:$B$310,0)),"")</f>
        <v/>
      </c>
      <c r="H476" s="21">
        <f>IFERROR(INDEX(Users!$D$2:$D$310,MATCH(A476,Users!$B$2:$B$310,0)),"")</f>
        <v/>
      </c>
      <c r="I476" s="19">
        <f>AND(G476="Service A",H476="Band 3")</f>
        <v/>
      </c>
      <c r="J476" s="33">
        <f>IF(AND(YEAR(B476)=2025,G476="Service B",OR(H476="Band 3",H476="Band 5"),ISNUMBER(F476)),F476,"")</f>
        <v/>
      </c>
    </row>
    <row r="477">
      <c r="A477" s="19" t="inlineStr">
        <is>
          <t>User1057</t>
        </is>
      </c>
      <c r="B477" s="60" t="n">
        <v>45992</v>
      </c>
      <c r="C477" s="21" t="n">
        <v>155.4</v>
      </c>
      <c r="D477" s="21" t="n">
        <v>88.82333333333334</v>
      </c>
      <c r="E477" s="21" t="n">
        <v>65.59</v>
      </c>
      <c r="F477" s="27">
        <f>IFERROR(IF(OR(C477="",D477="",C477=0),"",D477/C477),"")</f>
        <v/>
      </c>
      <c r="G477" s="21">
        <f>IFERROR(INDEX(Users!$A$2:$A$310,MATCH(A477,Users!$B$2:$B$310,0)),"")</f>
        <v/>
      </c>
      <c r="H477" s="21">
        <f>IFERROR(INDEX(Users!$D$2:$D$310,MATCH(A477,Users!$B$2:$B$310,0)),"")</f>
        <v/>
      </c>
      <c r="I477" s="19">
        <f>AND(G477="Service A",H477="Band 3")</f>
        <v/>
      </c>
      <c r="J477" s="33">
        <f>IF(AND(YEAR(B477)=2025,G477="Service B",OR(H477="Band 3",H477="Band 5"),ISNUMBER(F477)),F477,"")</f>
        <v/>
      </c>
    </row>
    <row r="478">
      <c r="A478" s="19" t="inlineStr">
        <is>
          <t>User1057</t>
        </is>
      </c>
      <c r="B478" s="60" t="n">
        <v>46023</v>
      </c>
      <c r="C478" s="21" t="n">
        <v>155.4</v>
      </c>
      <c r="D478" s="21" t="n">
        <v>124.5</v>
      </c>
      <c r="E478" s="21" t="n">
        <v>72.95000000000002</v>
      </c>
      <c r="F478" s="27">
        <f>IFERROR(IF(OR(C478="",D478="",C478=0),"",D478/C478),"")</f>
        <v/>
      </c>
      <c r="G478" s="21">
        <f>IFERROR(INDEX(Users!$A$2:$A$310,MATCH(A478,Users!$B$2:$B$310,0)),"")</f>
        <v/>
      </c>
      <c r="H478" s="21">
        <f>IFERROR(INDEX(Users!$D$2:$D$310,MATCH(A478,Users!$B$2:$B$310,0)),"")</f>
        <v/>
      </c>
      <c r="I478" s="19">
        <f>AND(G478="Service A",H478="Band 3")</f>
        <v/>
      </c>
      <c r="J478" s="33">
        <f>IF(AND(YEAR(B478)=2025,G478="Service B",OR(H478="Band 3",H478="Band 5"),ISNUMBER(F478)),F478,"")</f>
        <v/>
      </c>
    </row>
    <row r="479">
      <c r="A479" s="19" t="inlineStr">
        <is>
          <t>User1058</t>
        </is>
      </c>
      <c r="B479" s="60" t="n">
        <v>45658</v>
      </c>
      <c r="C479" s="21" t="n">
        <v>162.8</v>
      </c>
      <c r="D479" s="21" t="n">
        <v>160.3366666666666</v>
      </c>
      <c r="E479" s="21" t="n">
        <v>88.17</v>
      </c>
      <c r="F479" s="27">
        <f>IFERROR(IF(OR(C479="",D479="",C479=0),"",D479/C479),"")</f>
        <v/>
      </c>
      <c r="G479" s="21">
        <f>IFERROR(INDEX(Users!$A$2:$A$310,MATCH(A479,Users!$B$2:$B$310,0)),"")</f>
        <v/>
      </c>
      <c r="H479" s="21">
        <f>IFERROR(INDEX(Users!$D$2:$D$310,MATCH(A479,Users!$B$2:$B$310,0)),"")</f>
        <v/>
      </c>
      <c r="I479" s="19">
        <f>AND(G479="Service A",H479="Band 3")</f>
        <v/>
      </c>
      <c r="J479" s="33">
        <f>IF(AND(YEAR(B479)=2025,G479="Service B",OR(H479="Band 3",H479="Band 5"),ISNUMBER(F479)),F479,"")</f>
        <v/>
      </c>
    </row>
    <row r="480">
      <c r="A480" s="19" t="inlineStr">
        <is>
          <t>User1058</t>
        </is>
      </c>
      <c r="B480" s="60" t="n">
        <v>45689</v>
      </c>
      <c r="C480" s="21" t="n">
        <v>148</v>
      </c>
      <c r="D480" s="21" t="n">
        <v>143.9966666666667</v>
      </c>
      <c r="E480" s="21" t="n">
        <v>77.13</v>
      </c>
      <c r="F480" s="27">
        <f>IFERROR(IF(OR(C480="",D480="",C480=0),"",D480/C480),"")</f>
        <v/>
      </c>
      <c r="G480" s="21">
        <f>IFERROR(INDEX(Users!$A$2:$A$310,MATCH(A480,Users!$B$2:$B$310,0)),"")</f>
        <v/>
      </c>
      <c r="H480" s="21">
        <f>IFERROR(INDEX(Users!$D$2:$D$310,MATCH(A480,Users!$B$2:$B$310,0)),"")</f>
        <v/>
      </c>
      <c r="I480" s="19">
        <f>AND(G480="Service A",H480="Band 3")</f>
        <v/>
      </c>
      <c r="J480" s="33">
        <f>IF(AND(YEAR(B480)=2025,G480="Service B",OR(H480="Band 3",H480="Band 5"),ISNUMBER(F480)),F480,"")</f>
        <v/>
      </c>
    </row>
    <row r="481">
      <c r="A481" s="19" t="inlineStr">
        <is>
          <t>User1058</t>
        </is>
      </c>
      <c r="B481" s="60" t="n">
        <v>45717</v>
      </c>
      <c r="C481" s="21" t="n">
        <v>155.4</v>
      </c>
      <c r="D481" s="21" t="n">
        <v>164.43</v>
      </c>
      <c r="E481" s="21" t="n">
        <v>94.98</v>
      </c>
      <c r="F481" s="27">
        <f>IFERROR(IF(OR(C481="",D481="",C481=0),"",D481/C481),"")</f>
        <v/>
      </c>
      <c r="G481" s="21">
        <f>IFERROR(INDEX(Users!$A$2:$A$310,MATCH(A481,Users!$B$2:$B$310,0)),"")</f>
        <v/>
      </c>
      <c r="H481" s="21">
        <f>IFERROR(INDEX(Users!$D$2:$D$310,MATCH(A481,Users!$B$2:$B$310,0)),"")</f>
        <v/>
      </c>
      <c r="I481" s="19">
        <f>AND(G481="Service A",H481="Band 3")</f>
        <v/>
      </c>
      <c r="J481" s="33">
        <f>IF(AND(YEAR(B481)=2025,G481="Service B",OR(H481="Band 3",H481="Band 5"),ISNUMBER(F481)),F481,"")</f>
        <v/>
      </c>
    </row>
    <row r="482">
      <c r="A482" s="19" t="inlineStr">
        <is>
          <t>User1058</t>
        </is>
      </c>
      <c r="B482" s="60" t="n">
        <v>45748</v>
      </c>
      <c r="C482" s="21" t="n">
        <v>148</v>
      </c>
      <c r="D482" s="21" t="n">
        <v>97.95333333333332</v>
      </c>
      <c r="E482" s="21" t="n">
        <v>71.17</v>
      </c>
      <c r="F482" s="27">
        <f>IFERROR(IF(OR(C482="",D482="",C482=0),"",D482/C482),"")</f>
        <v/>
      </c>
      <c r="G482" s="21">
        <f>IFERROR(INDEX(Users!$A$2:$A$310,MATCH(A482,Users!$B$2:$B$310,0)),"")</f>
        <v/>
      </c>
      <c r="H482" s="21">
        <f>IFERROR(INDEX(Users!$D$2:$D$310,MATCH(A482,Users!$B$2:$B$310,0)),"")</f>
        <v/>
      </c>
      <c r="I482" s="19">
        <f>AND(G482="Service A",H482="Band 3")</f>
        <v/>
      </c>
      <c r="J482" s="33">
        <f>IF(AND(YEAR(B482)=2025,G482="Service B",OR(H482="Band 3",H482="Band 5"),ISNUMBER(F482)),F482,"")</f>
        <v/>
      </c>
    </row>
    <row r="483">
      <c r="A483" s="19" t="inlineStr">
        <is>
          <t>User1058</t>
        </is>
      </c>
      <c r="B483" s="60" t="n">
        <v>45778</v>
      </c>
      <c r="C483" s="21" t="n">
        <v>148</v>
      </c>
      <c r="D483" s="21" t="n">
        <v>144.8466666666667</v>
      </c>
      <c r="E483" s="21" t="n">
        <v>108.13</v>
      </c>
      <c r="F483" s="27">
        <f>IFERROR(IF(OR(C483="",D483="",C483=0),"",D483/C483),"")</f>
        <v/>
      </c>
      <c r="G483" s="21">
        <f>IFERROR(INDEX(Users!$A$2:$A$310,MATCH(A483,Users!$B$2:$B$310,0)),"")</f>
        <v/>
      </c>
      <c r="H483" s="21">
        <f>IFERROR(INDEX(Users!$D$2:$D$310,MATCH(A483,Users!$B$2:$B$310,0)),"")</f>
        <v/>
      </c>
      <c r="I483" s="19">
        <f>AND(G483="Service A",H483="Band 3")</f>
        <v/>
      </c>
      <c r="J483" s="33">
        <f>IF(AND(YEAR(B483)=2025,G483="Service B",OR(H483="Band 3",H483="Band 5"),ISNUMBER(F483)),F483,"")</f>
        <v/>
      </c>
    </row>
    <row r="484">
      <c r="A484" s="19" t="inlineStr">
        <is>
          <t>User1058</t>
        </is>
      </c>
      <c r="B484" s="60" t="n">
        <v>45809</v>
      </c>
      <c r="C484" s="21" t="n">
        <v>155.4</v>
      </c>
      <c r="D484" s="21" t="n">
        <v>150.9566666666666</v>
      </c>
      <c r="E484" s="21" t="n">
        <v>107.34</v>
      </c>
      <c r="F484" s="27">
        <f>IFERROR(IF(OR(C484="",D484="",C484=0),"",D484/C484),"")</f>
        <v/>
      </c>
      <c r="G484" s="21">
        <f>IFERROR(INDEX(Users!$A$2:$A$310,MATCH(A484,Users!$B$2:$B$310,0)),"")</f>
        <v/>
      </c>
      <c r="H484" s="21">
        <f>IFERROR(INDEX(Users!$D$2:$D$310,MATCH(A484,Users!$B$2:$B$310,0)),"")</f>
        <v/>
      </c>
      <c r="I484" s="19">
        <f>AND(G484="Service A",H484="Band 3")</f>
        <v/>
      </c>
      <c r="J484" s="33">
        <f>IF(AND(YEAR(B484)=2025,G484="Service B",OR(H484="Band 3",H484="Band 5"),ISNUMBER(F484)),F484,"")</f>
        <v/>
      </c>
    </row>
    <row r="485">
      <c r="A485" s="19" t="inlineStr">
        <is>
          <t>User1058</t>
        </is>
      </c>
      <c r="B485" s="60" t="n">
        <v>45839</v>
      </c>
      <c r="C485" s="21" t="n">
        <v>170.2</v>
      </c>
      <c r="D485" s="21" t="n">
        <v>182.5466666666667</v>
      </c>
      <c r="E485" s="21" t="n">
        <v>137.53</v>
      </c>
      <c r="F485" s="27">
        <f>IFERROR(IF(OR(C485="",D485="",C485=0),"",D485/C485),"")</f>
        <v/>
      </c>
      <c r="G485" s="21">
        <f>IFERROR(INDEX(Users!$A$2:$A$310,MATCH(A485,Users!$B$2:$B$310,0)),"")</f>
        <v/>
      </c>
      <c r="H485" s="21">
        <f>IFERROR(INDEX(Users!$D$2:$D$310,MATCH(A485,Users!$B$2:$B$310,0)),"")</f>
        <v/>
      </c>
      <c r="I485" s="19">
        <f>AND(G485="Service A",H485="Band 3")</f>
        <v/>
      </c>
      <c r="J485" s="33">
        <f>IF(AND(YEAR(B485)=2025,G485="Service B",OR(H485="Band 3",H485="Band 5"),ISNUMBER(F485)),F485,"")</f>
        <v/>
      </c>
    </row>
    <row r="486">
      <c r="A486" s="19" t="inlineStr">
        <is>
          <t>User1058</t>
        </is>
      </c>
      <c r="B486" s="60" t="n">
        <v>45870</v>
      </c>
      <c r="C486" s="21" t="n">
        <v>148</v>
      </c>
      <c r="D486" s="21" t="n">
        <v>47.82666666666667</v>
      </c>
      <c r="E486" s="21" t="n">
        <v>38.96</v>
      </c>
      <c r="F486" s="27">
        <f>IFERROR(IF(OR(C486="",D486="",C486=0),"",D486/C486),"")</f>
        <v/>
      </c>
      <c r="G486" s="21">
        <f>IFERROR(INDEX(Users!$A$2:$A$310,MATCH(A486,Users!$B$2:$B$310,0)),"")</f>
        <v/>
      </c>
      <c r="H486" s="21">
        <f>IFERROR(INDEX(Users!$D$2:$D$310,MATCH(A486,Users!$B$2:$B$310,0)),"")</f>
        <v/>
      </c>
      <c r="I486" s="19">
        <f>AND(G486="Service A",H486="Band 3")</f>
        <v/>
      </c>
      <c r="J486" s="33">
        <f>IF(AND(YEAR(B486)=2025,G486="Service B",OR(H486="Band 3",H486="Band 5"),ISNUMBER(F486)),F486,"")</f>
        <v/>
      </c>
    </row>
    <row r="487">
      <c r="A487" s="19" t="inlineStr">
        <is>
          <t>User1058</t>
        </is>
      </c>
      <c r="B487" s="60" t="n">
        <v>45901</v>
      </c>
      <c r="C487" s="21" t="n">
        <v>162.8</v>
      </c>
      <c r="D487" s="21" t="n">
        <v>157.0400000000001</v>
      </c>
      <c r="E487" s="21" t="n">
        <v>124.3900000000001</v>
      </c>
      <c r="F487" s="27">
        <f>IFERROR(IF(OR(C487="",D487="",C487=0),"",D487/C487),"")</f>
        <v/>
      </c>
      <c r="G487" s="21">
        <f>IFERROR(INDEX(Users!$A$2:$A$310,MATCH(A487,Users!$B$2:$B$310,0)),"")</f>
        <v/>
      </c>
      <c r="H487" s="21">
        <f>IFERROR(INDEX(Users!$D$2:$D$310,MATCH(A487,Users!$B$2:$B$310,0)),"")</f>
        <v/>
      </c>
      <c r="I487" s="19">
        <f>AND(G487="Service A",H487="Band 3")</f>
        <v/>
      </c>
      <c r="J487" s="33">
        <f>IF(AND(YEAR(B487)=2025,G487="Service B",OR(H487="Band 3",H487="Band 5"),ISNUMBER(F487)),F487,"")</f>
        <v/>
      </c>
    </row>
    <row r="488">
      <c r="A488" s="19" t="inlineStr">
        <is>
          <t>User1058</t>
        </is>
      </c>
      <c r="B488" s="60" t="n">
        <v>45931</v>
      </c>
      <c r="C488" s="21" t="n">
        <v>22.2</v>
      </c>
      <c r="D488" s="21" t="n">
        <v>18.8</v>
      </c>
      <c r="E488" s="21" t="n">
        <v>14.85</v>
      </c>
      <c r="F488" s="27">
        <f>IFERROR(IF(OR(C488="",D488="",C488=0),"",D488/C488),"")</f>
        <v/>
      </c>
      <c r="G488" s="21">
        <f>IFERROR(INDEX(Users!$A$2:$A$310,MATCH(A488,Users!$B$2:$B$310,0)),"")</f>
        <v/>
      </c>
      <c r="H488" s="21">
        <f>IFERROR(INDEX(Users!$D$2:$D$310,MATCH(A488,Users!$B$2:$B$310,0)),"")</f>
        <v/>
      </c>
      <c r="I488" s="19">
        <f>AND(G488="Service A",H488="Band 3")</f>
        <v/>
      </c>
      <c r="J488" s="33">
        <f>IF(AND(YEAR(B488)=2025,G488="Service B",OR(H488="Band 3",H488="Band 5"),ISNUMBER(F488)),F488,"")</f>
        <v/>
      </c>
    </row>
    <row r="489">
      <c r="A489" s="19" t="inlineStr">
        <is>
          <t>User1059</t>
        </is>
      </c>
      <c r="B489" s="60" t="n">
        <v>45658</v>
      </c>
      <c r="C489" s="21" t="n">
        <v>162.8</v>
      </c>
      <c r="D489" s="21" t="n">
        <v>143.07</v>
      </c>
      <c r="E489" s="21" t="n">
        <v>83.56999999999999</v>
      </c>
      <c r="F489" s="27">
        <f>IFERROR(IF(OR(C489="",D489="",C489=0),"",D489/C489),"")</f>
        <v/>
      </c>
      <c r="G489" s="21">
        <f>IFERROR(INDEX(Users!$A$2:$A$310,MATCH(A489,Users!$B$2:$B$310,0)),"")</f>
        <v/>
      </c>
      <c r="H489" s="21">
        <f>IFERROR(INDEX(Users!$D$2:$D$310,MATCH(A489,Users!$B$2:$B$310,0)),"")</f>
        <v/>
      </c>
      <c r="I489" s="19">
        <f>AND(G489="Service A",H489="Band 3")</f>
        <v/>
      </c>
      <c r="J489" s="33">
        <f>IF(AND(YEAR(B489)=2025,G489="Service B",OR(H489="Band 3",H489="Band 5"),ISNUMBER(F489)),F489,"")</f>
        <v/>
      </c>
    </row>
    <row r="490">
      <c r="A490" s="19" t="inlineStr">
        <is>
          <t>User1059</t>
        </is>
      </c>
      <c r="B490" s="60" t="n">
        <v>45689</v>
      </c>
      <c r="C490" s="21" t="n">
        <v>148</v>
      </c>
      <c r="D490" s="21" t="n">
        <v>147.0966666666667</v>
      </c>
      <c r="E490" s="21" t="n">
        <v>105.43</v>
      </c>
      <c r="F490" s="27">
        <f>IFERROR(IF(OR(C490="",D490="",C490=0),"",D490/C490),"")</f>
        <v/>
      </c>
      <c r="G490" s="21">
        <f>IFERROR(INDEX(Users!$A$2:$A$310,MATCH(A490,Users!$B$2:$B$310,0)),"")</f>
        <v/>
      </c>
      <c r="H490" s="21">
        <f>IFERROR(INDEX(Users!$D$2:$D$310,MATCH(A490,Users!$B$2:$B$310,0)),"")</f>
        <v/>
      </c>
      <c r="I490" s="19">
        <f>AND(G490="Service A",H490="Band 3")</f>
        <v/>
      </c>
      <c r="J490" s="33">
        <f>IF(AND(YEAR(B490)=2025,G490="Service B",OR(H490="Band 3",H490="Band 5"),ISNUMBER(F490)),F490,"")</f>
        <v/>
      </c>
    </row>
    <row r="491">
      <c r="A491" s="19" t="inlineStr">
        <is>
          <t>User1059</t>
        </is>
      </c>
      <c r="B491" s="60" t="n">
        <v>45717</v>
      </c>
      <c r="C491" s="21" t="n">
        <v>155.4</v>
      </c>
      <c r="D491" s="21" t="n">
        <v>122.3166666666667</v>
      </c>
      <c r="E491" s="21" t="n">
        <v>63.9</v>
      </c>
      <c r="F491" s="27">
        <f>IFERROR(IF(OR(C491="",D491="",C491=0),"",D491/C491),"")</f>
        <v/>
      </c>
      <c r="G491" s="21">
        <f>IFERROR(INDEX(Users!$A$2:$A$310,MATCH(A491,Users!$B$2:$B$310,0)),"")</f>
        <v/>
      </c>
      <c r="H491" s="21">
        <f>IFERROR(INDEX(Users!$D$2:$D$310,MATCH(A491,Users!$B$2:$B$310,0)),"")</f>
        <v/>
      </c>
      <c r="I491" s="19">
        <f>AND(G491="Service A",H491="Band 3")</f>
        <v/>
      </c>
      <c r="J491" s="33">
        <f>IF(AND(YEAR(B491)=2025,G491="Service B",OR(H491="Band 3",H491="Band 5"),ISNUMBER(F491)),F491,"")</f>
        <v/>
      </c>
    </row>
    <row r="492">
      <c r="A492" s="19" t="inlineStr">
        <is>
          <t>User1059</t>
        </is>
      </c>
      <c r="B492" s="60" t="n">
        <v>45748</v>
      </c>
      <c r="C492" s="21" t="n">
        <v>148</v>
      </c>
      <c r="D492" s="21" t="n">
        <v>127.0866666666667</v>
      </c>
      <c r="E492" s="21" t="n">
        <v>71.92</v>
      </c>
      <c r="F492" s="27">
        <f>IFERROR(IF(OR(C492="",D492="",C492=0),"",D492/C492),"")</f>
        <v/>
      </c>
      <c r="G492" s="21">
        <f>IFERROR(INDEX(Users!$A$2:$A$310,MATCH(A492,Users!$B$2:$B$310,0)),"")</f>
        <v/>
      </c>
      <c r="H492" s="21">
        <f>IFERROR(INDEX(Users!$D$2:$D$310,MATCH(A492,Users!$B$2:$B$310,0)),"")</f>
        <v/>
      </c>
      <c r="I492" s="19">
        <f>AND(G492="Service A",H492="Band 3")</f>
        <v/>
      </c>
      <c r="J492" s="33">
        <f>IF(AND(YEAR(B492)=2025,G492="Service B",OR(H492="Band 3",H492="Band 5"),ISNUMBER(F492)),F492,"")</f>
        <v/>
      </c>
    </row>
    <row r="493">
      <c r="A493" s="19" t="inlineStr">
        <is>
          <t>User1059</t>
        </is>
      </c>
      <c r="B493" s="60" t="n">
        <v>45778</v>
      </c>
      <c r="C493" s="21" t="n">
        <v>148</v>
      </c>
      <c r="D493" s="21" t="n">
        <v>154.7833333333333</v>
      </c>
      <c r="E493" s="21" t="n">
        <v>92</v>
      </c>
      <c r="F493" s="27">
        <f>IFERROR(IF(OR(C493="",D493="",C493=0),"",D493/C493),"")</f>
        <v/>
      </c>
      <c r="G493" s="21">
        <f>IFERROR(INDEX(Users!$A$2:$A$310,MATCH(A493,Users!$B$2:$B$310,0)),"")</f>
        <v/>
      </c>
      <c r="H493" s="21">
        <f>IFERROR(INDEX(Users!$D$2:$D$310,MATCH(A493,Users!$B$2:$B$310,0)),"")</f>
        <v/>
      </c>
      <c r="I493" s="19">
        <f>AND(G493="Service A",H493="Band 3")</f>
        <v/>
      </c>
      <c r="J493" s="33">
        <f>IF(AND(YEAR(B493)=2025,G493="Service B",OR(H493="Band 3",H493="Band 5"),ISNUMBER(F493)),F493,"")</f>
        <v/>
      </c>
    </row>
    <row r="494">
      <c r="A494" s="19" t="inlineStr">
        <is>
          <t>User1059</t>
        </is>
      </c>
      <c r="B494" s="60" t="n">
        <v>45809</v>
      </c>
      <c r="C494" s="21" t="n">
        <v>155.4</v>
      </c>
      <c r="D494" s="21" t="n">
        <v>145.1833333333333</v>
      </c>
      <c r="E494" s="21" t="n">
        <v>87.60000000000001</v>
      </c>
      <c r="F494" s="27">
        <f>IFERROR(IF(OR(C494="",D494="",C494=0),"",D494/C494),"")</f>
        <v/>
      </c>
      <c r="G494" s="21">
        <f>IFERROR(INDEX(Users!$A$2:$A$310,MATCH(A494,Users!$B$2:$B$310,0)),"")</f>
        <v/>
      </c>
      <c r="H494" s="21">
        <f>IFERROR(INDEX(Users!$D$2:$D$310,MATCH(A494,Users!$B$2:$B$310,0)),"")</f>
        <v/>
      </c>
      <c r="I494" s="19">
        <f>AND(G494="Service A",H494="Band 3")</f>
        <v/>
      </c>
      <c r="J494" s="33">
        <f>IF(AND(YEAR(B494)=2025,G494="Service B",OR(H494="Band 3",H494="Band 5"),ISNUMBER(F494)),F494,"")</f>
        <v/>
      </c>
    </row>
    <row r="495">
      <c r="A495" s="19" t="inlineStr">
        <is>
          <t>User1059</t>
        </is>
      </c>
      <c r="B495" s="60" t="n">
        <v>45839</v>
      </c>
      <c r="C495" s="21" t="n">
        <v>170.2</v>
      </c>
      <c r="D495" s="21" t="n">
        <v>161.27</v>
      </c>
      <c r="E495" s="21" t="n">
        <v>121.27</v>
      </c>
      <c r="F495" s="27">
        <f>IFERROR(IF(OR(C495="",D495="",C495=0),"",D495/C495),"")</f>
        <v/>
      </c>
      <c r="G495" s="21">
        <f>IFERROR(INDEX(Users!$A$2:$A$310,MATCH(A495,Users!$B$2:$B$310,0)),"")</f>
        <v/>
      </c>
      <c r="H495" s="21">
        <f>IFERROR(INDEX(Users!$D$2:$D$310,MATCH(A495,Users!$B$2:$B$310,0)),"")</f>
        <v/>
      </c>
      <c r="I495" s="19">
        <f>AND(G495="Service A",H495="Band 3")</f>
        <v/>
      </c>
      <c r="J495" s="33">
        <f>IF(AND(YEAR(B495)=2025,G495="Service B",OR(H495="Band 3",H495="Band 5"),ISNUMBER(F495)),F495,"")</f>
        <v/>
      </c>
    </row>
    <row r="496">
      <c r="A496" s="19" t="inlineStr">
        <is>
          <t>User1059</t>
        </is>
      </c>
      <c r="B496" s="60" t="n">
        <v>45870</v>
      </c>
      <c r="C496" s="21" t="n">
        <v>148</v>
      </c>
      <c r="D496" s="21" t="n">
        <v>105.5766666666667</v>
      </c>
      <c r="E496" s="21" t="n">
        <v>73.41</v>
      </c>
      <c r="F496" s="27">
        <f>IFERROR(IF(OR(C496="",D496="",C496=0),"",D496/C496),"")</f>
        <v/>
      </c>
      <c r="G496" s="21">
        <f>IFERROR(INDEX(Users!$A$2:$A$310,MATCH(A496,Users!$B$2:$B$310,0)),"")</f>
        <v/>
      </c>
      <c r="H496" s="21">
        <f>IFERROR(INDEX(Users!$D$2:$D$310,MATCH(A496,Users!$B$2:$B$310,0)),"")</f>
        <v/>
      </c>
      <c r="I496" s="19">
        <f>AND(G496="Service A",H496="Band 3")</f>
        <v/>
      </c>
      <c r="J496" s="33">
        <f>IF(AND(YEAR(B496)=2025,G496="Service B",OR(H496="Band 3",H496="Band 5"),ISNUMBER(F496)),F496,"")</f>
        <v/>
      </c>
    </row>
    <row r="497">
      <c r="A497" s="19" t="inlineStr">
        <is>
          <t>User1059</t>
        </is>
      </c>
      <c r="B497" s="60" t="n">
        <v>45901</v>
      </c>
      <c r="C497" s="21" t="n">
        <v>162.8</v>
      </c>
      <c r="D497" s="21" t="n">
        <v>150.74</v>
      </c>
      <c r="E497" s="21" t="n">
        <v>103.79</v>
      </c>
      <c r="F497" s="27">
        <f>IFERROR(IF(OR(C497="",D497="",C497=0),"",D497/C497),"")</f>
        <v/>
      </c>
      <c r="G497" s="21">
        <f>IFERROR(INDEX(Users!$A$2:$A$310,MATCH(A497,Users!$B$2:$B$310,0)),"")</f>
        <v/>
      </c>
      <c r="H497" s="21">
        <f>IFERROR(INDEX(Users!$D$2:$D$310,MATCH(A497,Users!$B$2:$B$310,0)),"")</f>
        <v/>
      </c>
      <c r="I497" s="19">
        <f>AND(G497="Service A",H497="Band 3")</f>
        <v/>
      </c>
      <c r="J497" s="33">
        <f>IF(AND(YEAR(B497)=2025,G497="Service B",OR(H497="Band 3",H497="Band 5"),ISNUMBER(F497)),F497,"")</f>
        <v/>
      </c>
    </row>
    <row r="498">
      <c r="A498" s="19" t="inlineStr">
        <is>
          <t>User1059</t>
        </is>
      </c>
      <c r="B498" s="60" t="n">
        <v>45931</v>
      </c>
      <c r="C498" s="21" t="n">
        <v>170.2</v>
      </c>
      <c r="D498" s="21" t="n"/>
      <c r="E498" s="21" t="n"/>
      <c r="F498" s="27">
        <f>IFERROR(IF(OR(C498="",D498="",C498=0),"",D498/C498),"")</f>
        <v/>
      </c>
      <c r="G498" s="21">
        <f>IFERROR(INDEX(Users!$A$2:$A$310,MATCH(A498,Users!$B$2:$B$310,0)),"")</f>
        <v/>
      </c>
      <c r="H498" s="21">
        <f>IFERROR(INDEX(Users!$D$2:$D$310,MATCH(A498,Users!$B$2:$B$310,0)),"")</f>
        <v/>
      </c>
      <c r="I498" s="19">
        <f>AND(G498="Service A",H498="Band 3")</f>
        <v/>
      </c>
      <c r="J498" s="33">
        <f>IF(AND(YEAR(B498)=2025,G498="Service B",OR(H498="Band 3",H498="Band 5"),ISNUMBER(F498)),F498,"")</f>
        <v/>
      </c>
    </row>
    <row r="499">
      <c r="A499" s="19" t="inlineStr">
        <is>
          <t>User1059</t>
        </is>
      </c>
      <c r="B499" s="60" t="n">
        <v>45962</v>
      </c>
      <c r="C499" s="21" t="n">
        <v>148</v>
      </c>
      <c r="D499" s="21" t="n">
        <v>3.5</v>
      </c>
      <c r="E499" s="21" t="n"/>
      <c r="F499" s="27">
        <f>IFERROR(IF(OR(C499="",D499="",C499=0),"",D499/C499),"")</f>
        <v/>
      </c>
      <c r="G499" s="21">
        <f>IFERROR(INDEX(Users!$A$2:$A$310,MATCH(A499,Users!$B$2:$B$310,0)),"")</f>
        <v/>
      </c>
      <c r="H499" s="21">
        <f>IFERROR(INDEX(Users!$D$2:$D$310,MATCH(A499,Users!$B$2:$B$310,0)),"")</f>
        <v/>
      </c>
      <c r="I499" s="19">
        <f>AND(G499="Service A",H499="Band 3")</f>
        <v/>
      </c>
      <c r="J499" s="33">
        <f>IF(AND(YEAR(B499)=2025,G499="Service B",OR(H499="Band 3",H499="Band 5"),ISNUMBER(F499)),F499,"")</f>
        <v/>
      </c>
    </row>
    <row r="500">
      <c r="A500" s="19" t="inlineStr">
        <is>
          <t>User1059</t>
        </is>
      </c>
      <c r="B500" s="60" t="n">
        <v>45992</v>
      </c>
      <c r="C500" s="21" t="n">
        <v>155.4</v>
      </c>
      <c r="D500" s="21" t="n">
        <v>64.45999999999999</v>
      </c>
      <c r="E500" s="21" t="n">
        <v>15.41</v>
      </c>
      <c r="F500" s="27">
        <f>IFERROR(IF(OR(C500="",D500="",C500=0),"",D500/C500),"")</f>
        <v/>
      </c>
      <c r="G500" s="21">
        <f>IFERROR(INDEX(Users!$A$2:$A$310,MATCH(A500,Users!$B$2:$B$310,0)),"")</f>
        <v/>
      </c>
      <c r="H500" s="21">
        <f>IFERROR(INDEX(Users!$D$2:$D$310,MATCH(A500,Users!$B$2:$B$310,0)),"")</f>
        <v/>
      </c>
      <c r="I500" s="19">
        <f>AND(G500="Service A",H500="Band 3")</f>
        <v/>
      </c>
      <c r="J500" s="33">
        <f>IF(AND(YEAR(B500)=2025,G500="Service B",OR(H500="Band 3",H500="Band 5"),ISNUMBER(F500)),F500,"")</f>
        <v/>
      </c>
    </row>
    <row r="501">
      <c r="A501" s="19" t="inlineStr">
        <is>
          <t>User1059</t>
        </is>
      </c>
      <c r="B501" s="60" t="n">
        <v>46023</v>
      </c>
      <c r="C501" s="21" t="n">
        <v>155.4</v>
      </c>
      <c r="D501" s="21" t="n">
        <v>119.1666666666667</v>
      </c>
      <c r="E501" s="21" t="n">
        <v>90.5</v>
      </c>
      <c r="F501" s="27">
        <f>IFERROR(IF(OR(C501="",D501="",C501=0),"",D501/C501),"")</f>
        <v/>
      </c>
      <c r="G501" s="21">
        <f>IFERROR(INDEX(Users!$A$2:$A$310,MATCH(A501,Users!$B$2:$B$310,0)),"")</f>
        <v/>
      </c>
      <c r="H501" s="21">
        <f>IFERROR(INDEX(Users!$D$2:$D$310,MATCH(A501,Users!$B$2:$B$310,0)),"")</f>
        <v/>
      </c>
      <c r="I501" s="19">
        <f>AND(G501="Service A",H501="Band 3")</f>
        <v/>
      </c>
      <c r="J501" s="33">
        <f>IF(AND(YEAR(B501)=2025,G501="Service B",OR(H501="Band 3",H501="Band 5"),ISNUMBER(F501)),F501,"")</f>
        <v/>
      </c>
    </row>
    <row r="502">
      <c r="A502" s="19" t="inlineStr">
        <is>
          <t>User1060</t>
        </is>
      </c>
      <c r="B502" s="60" t="n">
        <v>45658</v>
      </c>
      <c r="C502" s="21" t="n">
        <v>162.8</v>
      </c>
      <c r="D502" s="21" t="n">
        <v>143.73</v>
      </c>
      <c r="E502" s="21" t="n">
        <v>53.83</v>
      </c>
      <c r="F502" s="27">
        <f>IFERROR(IF(OR(C502="",D502="",C502=0),"",D502/C502),"")</f>
        <v/>
      </c>
      <c r="G502" s="21">
        <f>IFERROR(INDEX(Users!$A$2:$A$310,MATCH(A502,Users!$B$2:$B$310,0)),"")</f>
        <v/>
      </c>
      <c r="H502" s="21">
        <f>IFERROR(INDEX(Users!$D$2:$D$310,MATCH(A502,Users!$B$2:$B$310,0)),"")</f>
        <v/>
      </c>
      <c r="I502" s="19">
        <f>AND(G502="Service A",H502="Band 3")</f>
        <v/>
      </c>
      <c r="J502" s="33">
        <f>IF(AND(YEAR(B502)=2025,G502="Service B",OR(H502="Band 3",H502="Band 5"),ISNUMBER(F502)),F502,"")</f>
        <v/>
      </c>
    </row>
    <row r="503">
      <c r="A503" s="19" t="inlineStr">
        <is>
          <t>User1060</t>
        </is>
      </c>
      <c r="B503" s="60" t="n">
        <v>45689</v>
      </c>
      <c r="C503" s="21" t="n">
        <v>148</v>
      </c>
      <c r="D503" s="21" t="n">
        <v>127.0133333333333</v>
      </c>
      <c r="E503" s="21" t="n">
        <v>64.18000000000001</v>
      </c>
      <c r="F503" s="27">
        <f>IFERROR(IF(OR(C503="",D503="",C503=0),"",D503/C503),"")</f>
        <v/>
      </c>
      <c r="G503" s="21">
        <f>IFERROR(INDEX(Users!$A$2:$A$310,MATCH(A503,Users!$B$2:$B$310,0)),"")</f>
        <v/>
      </c>
      <c r="H503" s="21">
        <f>IFERROR(INDEX(Users!$D$2:$D$310,MATCH(A503,Users!$B$2:$B$310,0)),"")</f>
        <v/>
      </c>
      <c r="I503" s="19">
        <f>AND(G503="Service A",H503="Band 3")</f>
        <v/>
      </c>
      <c r="J503" s="33">
        <f>IF(AND(YEAR(B503)=2025,G503="Service B",OR(H503="Band 3",H503="Band 5"),ISNUMBER(F503)),F503,"")</f>
        <v/>
      </c>
    </row>
    <row r="504">
      <c r="A504" s="19" t="inlineStr">
        <is>
          <t>User1060</t>
        </is>
      </c>
      <c r="B504" s="60" t="n">
        <v>45717</v>
      </c>
      <c r="C504" s="21" t="n">
        <v>155.4</v>
      </c>
      <c r="D504" s="21" t="n">
        <v>141.52</v>
      </c>
      <c r="E504" s="21" t="n">
        <v>98.02000000000001</v>
      </c>
      <c r="F504" s="27">
        <f>IFERROR(IF(OR(C504="",D504="",C504=0),"",D504/C504),"")</f>
        <v/>
      </c>
      <c r="G504" s="21">
        <f>IFERROR(INDEX(Users!$A$2:$A$310,MATCH(A504,Users!$B$2:$B$310,0)),"")</f>
        <v/>
      </c>
      <c r="H504" s="21">
        <f>IFERROR(INDEX(Users!$D$2:$D$310,MATCH(A504,Users!$B$2:$B$310,0)),"")</f>
        <v/>
      </c>
      <c r="I504" s="19">
        <f>AND(G504="Service A",H504="Band 3")</f>
        <v/>
      </c>
      <c r="J504" s="33">
        <f>IF(AND(YEAR(B504)=2025,G504="Service B",OR(H504="Band 3",H504="Band 5"),ISNUMBER(F504)),F504,"")</f>
        <v/>
      </c>
    </row>
    <row r="505">
      <c r="A505" s="19" t="inlineStr">
        <is>
          <t>User1060</t>
        </is>
      </c>
      <c r="B505" s="60" t="n">
        <v>45748</v>
      </c>
      <c r="C505" s="21" t="n">
        <v>148</v>
      </c>
      <c r="D505" s="21" t="n">
        <v>122.0166666666667</v>
      </c>
      <c r="E505" s="21" t="n">
        <v>80.84999999999999</v>
      </c>
      <c r="F505" s="27">
        <f>IFERROR(IF(OR(C505="",D505="",C505=0),"",D505/C505),"")</f>
        <v/>
      </c>
      <c r="G505" s="21">
        <f>IFERROR(INDEX(Users!$A$2:$A$310,MATCH(A505,Users!$B$2:$B$310,0)),"")</f>
        <v/>
      </c>
      <c r="H505" s="21">
        <f>IFERROR(INDEX(Users!$D$2:$D$310,MATCH(A505,Users!$B$2:$B$310,0)),"")</f>
        <v/>
      </c>
      <c r="I505" s="19">
        <f>AND(G505="Service A",H505="Band 3")</f>
        <v/>
      </c>
      <c r="J505" s="33">
        <f>IF(AND(YEAR(B505)=2025,G505="Service B",OR(H505="Band 3",H505="Band 5"),ISNUMBER(F505)),F505,"")</f>
        <v/>
      </c>
    </row>
    <row r="506">
      <c r="A506" s="19" t="inlineStr">
        <is>
          <t>User1060</t>
        </is>
      </c>
      <c r="B506" s="60" t="n">
        <v>45778</v>
      </c>
      <c r="C506" s="21" t="n">
        <v>148</v>
      </c>
      <c r="D506" s="21" t="n">
        <v>120.07</v>
      </c>
      <c r="E506" s="21" t="n">
        <v>50.17</v>
      </c>
      <c r="F506" s="27">
        <f>IFERROR(IF(OR(C506="",D506="",C506=0),"",D506/C506),"")</f>
        <v/>
      </c>
      <c r="G506" s="21">
        <f>IFERROR(INDEX(Users!$A$2:$A$310,MATCH(A506,Users!$B$2:$B$310,0)),"")</f>
        <v/>
      </c>
      <c r="H506" s="21">
        <f>IFERROR(INDEX(Users!$D$2:$D$310,MATCH(A506,Users!$B$2:$B$310,0)),"")</f>
        <v/>
      </c>
      <c r="I506" s="19">
        <f>AND(G506="Service A",H506="Band 3")</f>
        <v/>
      </c>
      <c r="J506" s="33">
        <f>IF(AND(YEAR(B506)=2025,G506="Service B",OR(H506="Band 3",H506="Band 5"),ISNUMBER(F506)),F506,"")</f>
        <v/>
      </c>
    </row>
    <row r="507">
      <c r="A507" s="19" t="inlineStr">
        <is>
          <t>User1060</t>
        </is>
      </c>
      <c r="B507" s="60" t="n">
        <v>45809</v>
      </c>
      <c r="C507" s="21" t="n">
        <v>155.4</v>
      </c>
      <c r="D507" s="21" t="n">
        <v>139.4866666666667</v>
      </c>
      <c r="E507" s="21" t="n">
        <v>71.02</v>
      </c>
      <c r="F507" s="27">
        <f>IFERROR(IF(OR(C507="",D507="",C507=0),"",D507/C507),"")</f>
        <v/>
      </c>
      <c r="G507" s="21">
        <f>IFERROR(INDEX(Users!$A$2:$A$310,MATCH(A507,Users!$B$2:$B$310,0)),"")</f>
        <v/>
      </c>
      <c r="H507" s="21">
        <f>IFERROR(INDEX(Users!$D$2:$D$310,MATCH(A507,Users!$B$2:$B$310,0)),"")</f>
        <v/>
      </c>
      <c r="I507" s="19">
        <f>AND(G507="Service A",H507="Band 3")</f>
        <v/>
      </c>
      <c r="J507" s="33">
        <f>IF(AND(YEAR(B507)=2025,G507="Service B",OR(H507="Band 3",H507="Band 5"),ISNUMBER(F507)),F507,"")</f>
        <v/>
      </c>
    </row>
    <row r="508">
      <c r="A508" s="19" t="inlineStr">
        <is>
          <t>User1060</t>
        </is>
      </c>
      <c r="B508" s="60" t="n">
        <v>45839</v>
      </c>
      <c r="C508" s="21" t="n">
        <v>170.2</v>
      </c>
      <c r="D508" s="21" t="n">
        <v>156.77</v>
      </c>
      <c r="E508" s="21" t="n">
        <v>92.27000000000001</v>
      </c>
      <c r="F508" s="27">
        <f>IFERROR(IF(OR(C508="",D508="",C508=0),"",D508/C508),"")</f>
        <v/>
      </c>
      <c r="G508" s="21">
        <f>IFERROR(INDEX(Users!$A$2:$A$310,MATCH(A508,Users!$B$2:$B$310,0)),"")</f>
        <v/>
      </c>
      <c r="H508" s="21">
        <f>IFERROR(INDEX(Users!$D$2:$D$310,MATCH(A508,Users!$B$2:$B$310,0)),"")</f>
        <v/>
      </c>
      <c r="I508" s="19">
        <f>AND(G508="Service A",H508="Band 3")</f>
        <v/>
      </c>
      <c r="J508" s="33">
        <f>IF(AND(YEAR(B508)=2025,G508="Service B",OR(H508="Band 3",H508="Band 5"),ISNUMBER(F508)),F508,"")</f>
        <v/>
      </c>
    </row>
    <row r="509">
      <c r="A509" s="19" t="inlineStr">
        <is>
          <t>User1060</t>
        </is>
      </c>
      <c r="B509" s="60" t="n">
        <v>45870</v>
      </c>
      <c r="C509" s="21" t="n">
        <v>148</v>
      </c>
      <c r="D509" s="21" t="n">
        <v>65.28999999999999</v>
      </c>
      <c r="E509" s="21" t="n">
        <v>39.94</v>
      </c>
      <c r="F509" s="27">
        <f>IFERROR(IF(OR(C509="",D509="",C509=0),"",D509/C509),"")</f>
        <v/>
      </c>
      <c r="G509" s="21">
        <f>IFERROR(INDEX(Users!$A$2:$A$310,MATCH(A509,Users!$B$2:$B$310,0)),"")</f>
        <v/>
      </c>
      <c r="H509" s="21">
        <f>IFERROR(INDEX(Users!$D$2:$D$310,MATCH(A509,Users!$B$2:$B$310,0)),"")</f>
        <v/>
      </c>
      <c r="I509" s="19">
        <f>AND(G509="Service A",H509="Band 3")</f>
        <v/>
      </c>
      <c r="J509" s="33">
        <f>IF(AND(YEAR(B509)=2025,G509="Service B",OR(H509="Band 3",H509="Band 5"),ISNUMBER(F509)),F509,"")</f>
        <v/>
      </c>
    </row>
    <row r="510">
      <c r="A510" s="19" t="inlineStr">
        <is>
          <t>User1060</t>
        </is>
      </c>
      <c r="B510" s="60" t="n">
        <v>45901</v>
      </c>
      <c r="C510" s="21" t="n">
        <v>162.8</v>
      </c>
      <c r="D510" s="21" t="n">
        <v>165.1066666666667</v>
      </c>
      <c r="E510" s="21" t="n">
        <v>105.44</v>
      </c>
      <c r="F510" s="27">
        <f>IFERROR(IF(OR(C510="",D510="",C510=0),"",D510/C510),"")</f>
        <v/>
      </c>
      <c r="G510" s="21">
        <f>IFERROR(INDEX(Users!$A$2:$A$310,MATCH(A510,Users!$B$2:$B$310,0)),"")</f>
        <v/>
      </c>
      <c r="H510" s="21">
        <f>IFERROR(INDEX(Users!$D$2:$D$310,MATCH(A510,Users!$B$2:$B$310,0)),"")</f>
        <v/>
      </c>
      <c r="I510" s="19">
        <f>AND(G510="Service A",H510="Band 3")</f>
        <v/>
      </c>
      <c r="J510" s="33">
        <f>IF(AND(YEAR(B510)=2025,G510="Service B",OR(H510="Band 3",H510="Band 5"),ISNUMBER(F510)),F510,"")</f>
        <v/>
      </c>
    </row>
    <row r="511">
      <c r="A511" s="19" t="inlineStr">
        <is>
          <t>User1060</t>
        </is>
      </c>
      <c r="B511" s="60" t="n">
        <v>45931</v>
      </c>
      <c r="C511" s="21" t="n">
        <v>170.2</v>
      </c>
      <c r="D511" s="21" t="n">
        <v>160.3833333333333</v>
      </c>
      <c r="E511" s="21" t="n">
        <v>82.25</v>
      </c>
      <c r="F511" s="27">
        <f>IFERROR(IF(OR(C511="",D511="",C511=0),"",D511/C511),"")</f>
        <v/>
      </c>
      <c r="G511" s="21">
        <f>IFERROR(INDEX(Users!$A$2:$A$310,MATCH(A511,Users!$B$2:$B$310,0)),"")</f>
        <v/>
      </c>
      <c r="H511" s="21">
        <f>IFERROR(INDEX(Users!$D$2:$D$310,MATCH(A511,Users!$B$2:$B$310,0)),"")</f>
        <v/>
      </c>
      <c r="I511" s="19">
        <f>AND(G511="Service A",H511="Band 3")</f>
        <v/>
      </c>
      <c r="J511" s="33">
        <f>IF(AND(YEAR(B511)=2025,G511="Service B",OR(H511="Band 3",H511="Band 5"),ISNUMBER(F511)),F511,"")</f>
        <v/>
      </c>
    </row>
    <row r="512">
      <c r="A512" s="19" t="inlineStr">
        <is>
          <t>User1060</t>
        </is>
      </c>
      <c r="B512" s="60" t="n">
        <v>45962</v>
      </c>
      <c r="C512" s="21" t="n">
        <v>148</v>
      </c>
      <c r="D512" s="21" t="n">
        <v>135.4133333333334</v>
      </c>
      <c r="E512" s="21" t="n">
        <v>73.33000000000001</v>
      </c>
      <c r="F512" s="27">
        <f>IFERROR(IF(OR(C512="",D512="",C512=0),"",D512/C512),"")</f>
        <v/>
      </c>
      <c r="G512" s="21">
        <f>IFERROR(INDEX(Users!$A$2:$A$310,MATCH(A512,Users!$B$2:$B$310,0)),"")</f>
        <v/>
      </c>
      <c r="H512" s="21">
        <f>IFERROR(INDEX(Users!$D$2:$D$310,MATCH(A512,Users!$B$2:$B$310,0)),"")</f>
        <v/>
      </c>
      <c r="I512" s="19">
        <f>AND(G512="Service A",H512="Band 3")</f>
        <v/>
      </c>
      <c r="J512" s="33">
        <f>IF(AND(YEAR(B512)=2025,G512="Service B",OR(H512="Band 3",H512="Band 5"),ISNUMBER(F512)),F512,"")</f>
        <v/>
      </c>
    </row>
    <row r="513">
      <c r="A513" s="19" t="inlineStr">
        <is>
          <t>User1060</t>
        </is>
      </c>
      <c r="B513" s="60" t="n">
        <v>45992</v>
      </c>
      <c r="C513" s="21" t="n">
        <v>155.4</v>
      </c>
      <c r="D513" s="21" t="n">
        <v>111.6966666666667</v>
      </c>
      <c r="E513" s="21" t="n">
        <v>56.08</v>
      </c>
      <c r="F513" s="27">
        <f>IFERROR(IF(OR(C513="",D513="",C513=0),"",D513/C513),"")</f>
        <v/>
      </c>
      <c r="G513" s="21">
        <f>IFERROR(INDEX(Users!$A$2:$A$310,MATCH(A513,Users!$B$2:$B$310,0)),"")</f>
        <v/>
      </c>
      <c r="H513" s="21">
        <f>IFERROR(INDEX(Users!$D$2:$D$310,MATCH(A513,Users!$B$2:$B$310,0)),"")</f>
        <v/>
      </c>
      <c r="I513" s="19">
        <f>AND(G513="Service A",H513="Band 3")</f>
        <v/>
      </c>
      <c r="J513" s="33">
        <f>IF(AND(YEAR(B513)=2025,G513="Service B",OR(H513="Band 3",H513="Band 5"),ISNUMBER(F513)),F513,"")</f>
        <v/>
      </c>
    </row>
    <row r="514">
      <c r="A514" s="19" t="inlineStr">
        <is>
          <t>User1060</t>
        </is>
      </c>
      <c r="B514" s="60" t="n">
        <v>46023</v>
      </c>
      <c r="C514" s="21" t="n">
        <v>155.4</v>
      </c>
      <c r="D514" s="21" t="n">
        <v>147.1566666666667</v>
      </c>
      <c r="E514" s="21" t="n">
        <v>78.99000000000001</v>
      </c>
      <c r="F514" s="27">
        <f>IFERROR(IF(OR(C514="",D514="",C514=0),"",D514/C514),"")</f>
        <v/>
      </c>
      <c r="G514" s="21">
        <f>IFERROR(INDEX(Users!$A$2:$A$310,MATCH(A514,Users!$B$2:$B$310,0)),"")</f>
        <v/>
      </c>
      <c r="H514" s="21">
        <f>IFERROR(INDEX(Users!$D$2:$D$310,MATCH(A514,Users!$B$2:$B$310,0)),"")</f>
        <v/>
      </c>
      <c r="I514" s="19">
        <f>AND(G514="Service A",H514="Band 3")</f>
        <v/>
      </c>
      <c r="J514" s="33">
        <f>IF(AND(YEAR(B514)=2025,G514="Service B",OR(H514="Band 3",H514="Band 5"),ISNUMBER(F514)),F514,"")</f>
        <v/>
      </c>
    </row>
    <row r="515">
      <c r="A515" s="19" t="inlineStr">
        <is>
          <t>User1061</t>
        </is>
      </c>
      <c r="B515" s="60" t="n">
        <v>45658</v>
      </c>
      <c r="C515" s="21" t="n">
        <v>162.8</v>
      </c>
      <c r="D515" s="21" t="n">
        <v>156.47</v>
      </c>
      <c r="E515" s="21" t="n">
        <v>31.47</v>
      </c>
      <c r="F515" s="27">
        <f>IFERROR(IF(OR(C515="",D515="",C515=0),"",D515/C515),"")</f>
        <v/>
      </c>
      <c r="G515" s="21">
        <f>IFERROR(INDEX(Users!$A$2:$A$310,MATCH(A515,Users!$B$2:$B$310,0)),"")</f>
        <v/>
      </c>
      <c r="H515" s="21">
        <f>IFERROR(INDEX(Users!$D$2:$D$310,MATCH(A515,Users!$B$2:$B$310,0)),"")</f>
        <v/>
      </c>
      <c r="I515" s="19">
        <f>AND(G515="Service A",H515="Band 3")</f>
        <v/>
      </c>
      <c r="J515" s="33">
        <f>IF(AND(YEAR(B515)=2025,G515="Service B",OR(H515="Band 3",H515="Band 5"),ISNUMBER(F515)),F515,"")</f>
        <v/>
      </c>
    </row>
    <row r="516">
      <c r="A516" s="19" t="inlineStr">
        <is>
          <t>User1061</t>
        </is>
      </c>
      <c r="B516" s="60" t="n">
        <v>45689</v>
      </c>
      <c r="C516" s="21" t="n">
        <v>148</v>
      </c>
      <c r="D516" s="21" t="n">
        <v>154.75</v>
      </c>
      <c r="E516" s="21" t="n">
        <v>57</v>
      </c>
      <c r="F516" s="27">
        <f>IFERROR(IF(OR(C516="",D516="",C516=0),"",D516/C516),"")</f>
        <v/>
      </c>
      <c r="G516" s="21">
        <f>IFERROR(INDEX(Users!$A$2:$A$310,MATCH(A516,Users!$B$2:$B$310,0)),"")</f>
        <v/>
      </c>
      <c r="H516" s="21">
        <f>IFERROR(INDEX(Users!$D$2:$D$310,MATCH(A516,Users!$B$2:$B$310,0)),"")</f>
        <v/>
      </c>
      <c r="I516" s="19">
        <f>AND(G516="Service A",H516="Band 3")</f>
        <v/>
      </c>
      <c r="J516" s="33">
        <f>IF(AND(YEAR(B516)=2025,G516="Service B",OR(H516="Band 3",H516="Band 5"),ISNUMBER(F516)),F516,"")</f>
        <v/>
      </c>
    </row>
    <row r="517">
      <c r="A517" s="19" t="inlineStr">
        <is>
          <t>User1061</t>
        </is>
      </c>
      <c r="B517" s="60" t="n">
        <v>45717</v>
      </c>
      <c r="C517" s="21" t="n">
        <v>155.4</v>
      </c>
      <c r="D517" s="21" t="n">
        <v>151.5733333333333</v>
      </c>
      <c r="E517" s="21" t="n">
        <v>75.74000000000001</v>
      </c>
      <c r="F517" s="27">
        <f>IFERROR(IF(OR(C517="",D517="",C517=0),"",D517/C517),"")</f>
        <v/>
      </c>
      <c r="G517" s="21">
        <f>IFERROR(INDEX(Users!$A$2:$A$310,MATCH(A517,Users!$B$2:$B$310,0)),"")</f>
        <v/>
      </c>
      <c r="H517" s="21">
        <f>IFERROR(INDEX(Users!$D$2:$D$310,MATCH(A517,Users!$B$2:$B$310,0)),"")</f>
        <v/>
      </c>
      <c r="I517" s="19">
        <f>AND(G517="Service A",H517="Band 3")</f>
        <v/>
      </c>
      <c r="J517" s="33">
        <f>IF(AND(YEAR(B517)=2025,G517="Service B",OR(H517="Band 3",H517="Band 5"),ISNUMBER(F517)),F517,"")</f>
        <v/>
      </c>
    </row>
    <row r="518">
      <c r="A518" s="19" t="inlineStr">
        <is>
          <t>User1061</t>
        </is>
      </c>
      <c r="B518" s="60" t="n">
        <v>45748</v>
      </c>
      <c r="C518" s="21" t="n">
        <v>148</v>
      </c>
      <c r="D518" s="21" t="n">
        <v>113.8333333333333</v>
      </c>
      <c r="E518" s="21" t="n">
        <v>65.25</v>
      </c>
      <c r="F518" s="27">
        <f>IFERROR(IF(OR(C518="",D518="",C518=0),"",D518/C518),"")</f>
        <v/>
      </c>
      <c r="G518" s="21">
        <f>IFERROR(INDEX(Users!$A$2:$A$310,MATCH(A518,Users!$B$2:$B$310,0)),"")</f>
        <v/>
      </c>
      <c r="H518" s="21">
        <f>IFERROR(INDEX(Users!$D$2:$D$310,MATCH(A518,Users!$B$2:$B$310,0)),"")</f>
        <v/>
      </c>
      <c r="I518" s="19">
        <f>AND(G518="Service A",H518="Band 3")</f>
        <v/>
      </c>
      <c r="J518" s="33">
        <f>IF(AND(YEAR(B518)=2025,G518="Service B",OR(H518="Band 3",H518="Band 5"),ISNUMBER(F518)),F518,"")</f>
        <v/>
      </c>
    </row>
    <row r="519">
      <c r="A519" s="19" t="inlineStr">
        <is>
          <t>User1061</t>
        </is>
      </c>
      <c r="B519" s="60" t="n">
        <v>45778</v>
      </c>
      <c r="C519" s="21" t="n">
        <v>148</v>
      </c>
      <c r="D519" s="21" t="n">
        <v>140.0033333333333</v>
      </c>
      <c r="E519" s="21" t="n">
        <v>70.42</v>
      </c>
      <c r="F519" s="27">
        <f>IFERROR(IF(OR(C519="",D519="",C519=0),"",D519/C519),"")</f>
        <v/>
      </c>
      <c r="G519" s="21">
        <f>IFERROR(INDEX(Users!$A$2:$A$310,MATCH(A519,Users!$B$2:$B$310,0)),"")</f>
        <v/>
      </c>
      <c r="H519" s="21">
        <f>IFERROR(INDEX(Users!$D$2:$D$310,MATCH(A519,Users!$B$2:$B$310,0)),"")</f>
        <v/>
      </c>
      <c r="I519" s="19">
        <f>AND(G519="Service A",H519="Band 3")</f>
        <v/>
      </c>
      <c r="J519" s="33">
        <f>IF(AND(YEAR(B519)=2025,G519="Service B",OR(H519="Band 3",H519="Band 5"),ISNUMBER(F519)),F519,"")</f>
        <v/>
      </c>
    </row>
    <row r="520">
      <c r="A520" s="19" t="inlineStr">
        <is>
          <t>User1061</t>
        </is>
      </c>
      <c r="B520" s="60" t="n">
        <v>45809</v>
      </c>
      <c r="C520" s="21" t="n">
        <v>155.4</v>
      </c>
      <c r="D520" s="21" t="n">
        <v>141.2833333333333</v>
      </c>
      <c r="E520" s="21" t="n">
        <v>79.95</v>
      </c>
      <c r="F520" s="27">
        <f>IFERROR(IF(OR(C520="",D520="",C520=0),"",D520/C520),"")</f>
        <v/>
      </c>
      <c r="G520" s="21">
        <f>IFERROR(INDEX(Users!$A$2:$A$310,MATCH(A520,Users!$B$2:$B$310,0)),"")</f>
        <v/>
      </c>
      <c r="H520" s="21">
        <f>IFERROR(INDEX(Users!$D$2:$D$310,MATCH(A520,Users!$B$2:$B$310,0)),"")</f>
        <v/>
      </c>
      <c r="I520" s="19">
        <f>AND(G520="Service A",H520="Band 3")</f>
        <v/>
      </c>
      <c r="J520" s="33">
        <f>IF(AND(YEAR(B520)=2025,G520="Service B",OR(H520="Band 3",H520="Band 5"),ISNUMBER(F520)),F520,"")</f>
        <v/>
      </c>
    </row>
    <row r="521">
      <c r="A521" s="19" t="inlineStr">
        <is>
          <t>User1061</t>
        </is>
      </c>
      <c r="B521" s="60" t="n">
        <v>45839</v>
      </c>
      <c r="C521" s="21" t="n">
        <v>170.2</v>
      </c>
      <c r="D521" s="21" t="n">
        <v>139.6533333333333</v>
      </c>
      <c r="E521" s="21" t="n">
        <v>80.07000000000001</v>
      </c>
      <c r="F521" s="27">
        <f>IFERROR(IF(OR(C521="",D521="",C521=0),"",D521/C521),"")</f>
        <v/>
      </c>
      <c r="G521" s="21">
        <f>IFERROR(INDEX(Users!$A$2:$A$310,MATCH(A521,Users!$B$2:$B$310,0)),"")</f>
        <v/>
      </c>
      <c r="H521" s="21">
        <f>IFERROR(INDEX(Users!$D$2:$D$310,MATCH(A521,Users!$B$2:$B$310,0)),"")</f>
        <v/>
      </c>
      <c r="I521" s="19">
        <f>AND(G521="Service A",H521="Band 3")</f>
        <v/>
      </c>
      <c r="J521" s="33">
        <f>IF(AND(YEAR(B521)=2025,G521="Service B",OR(H521="Band 3",H521="Band 5"),ISNUMBER(F521)),F521,"")</f>
        <v/>
      </c>
    </row>
    <row r="522">
      <c r="A522" s="19" t="inlineStr">
        <is>
          <t>User1061</t>
        </is>
      </c>
      <c r="B522" s="60" t="n">
        <v>45870</v>
      </c>
      <c r="C522" s="21" t="n">
        <v>148</v>
      </c>
      <c r="D522" s="21" t="n">
        <v>129.8366666666666</v>
      </c>
      <c r="E522" s="21" t="n">
        <v>96.41999999999997</v>
      </c>
      <c r="F522" s="27">
        <f>IFERROR(IF(OR(C522="",D522="",C522=0),"",D522/C522),"")</f>
        <v/>
      </c>
      <c r="G522" s="21">
        <f>IFERROR(INDEX(Users!$A$2:$A$310,MATCH(A522,Users!$B$2:$B$310,0)),"")</f>
        <v/>
      </c>
      <c r="H522" s="21">
        <f>IFERROR(INDEX(Users!$D$2:$D$310,MATCH(A522,Users!$B$2:$B$310,0)),"")</f>
        <v/>
      </c>
      <c r="I522" s="19">
        <f>AND(G522="Service A",H522="Band 3")</f>
        <v/>
      </c>
      <c r="J522" s="33">
        <f>IF(AND(YEAR(B522)=2025,G522="Service B",OR(H522="Band 3",H522="Band 5"),ISNUMBER(F522)),F522,"")</f>
        <v/>
      </c>
    </row>
    <row r="523">
      <c r="A523" s="19" t="inlineStr">
        <is>
          <t>User1061</t>
        </is>
      </c>
      <c r="B523" s="60" t="n">
        <v>45901</v>
      </c>
      <c r="C523" s="21" t="n">
        <v>162.8</v>
      </c>
      <c r="D523" s="21" t="n">
        <v>138.26</v>
      </c>
      <c r="E523" s="21" t="n">
        <v>109.51</v>
      </c>
      <c r="F523" s="27">
        <f>IFERROR(IF(OR(C523="",D523="",C523=0),"",D523/C523),"")</f>
        <v/>
      </c>
      <c r="G523" s="21">
        <f>IFERROR(INDEX(Users!$A$2:$A$310,MATCH(A523,Users!$B$2:$B$310,0)),"")</f>
        <v/>
      </c>
      <c r="H523" s="21">
        <f>IFERROR(INDEX(Users!$D$2:$D$310,MATCH(A523,Users!$B$2:$B$310,0)),"")</f>
        <v/>
      </c>
      <c r="I523" s="19">
        <f>AND(G523="Service A",H523="Band 3")</f>
        <v/>
      </c>
      <c r="J523" s="33">
        <f>IF(AND(YEAR(B523)=2025,G523="Service B",OR(H523="Band 3",H523="Band 5"),ISNUMBER(F523)),F523,"")</f>
        <v/>
      </c>
    </row>
    <row r="524">
      <c r="A524" s="19" t="inlineStr">
        <is>
          <t>User1061</t>
        </is>
      </c>
      <c r="B524" s="60" t="n">
        <v>45931</v>
      </c>
      <c r="C524" s="21" t="n">
        <v>170.2</v>
      </c>
      <c r="D524" s="21" t="n">
        <v>161.93</v>
      </c>
      <c r="E524" s="21" t="n">
        <v>121.43</v>
      </c>
      <c r="F524" s="27">
        <f>IFERROR(IF(OR(C524="",D524="",C524=0),"",D524/C524),"")</f>
        <v/>
      </c>
      <c r="G524" s="21">
        <f>IFERROR(INDEX(Users!$A$2:$A$310,MATCH(A524,Users!$B$2:$B$310,0)),"")</f>
        <v/>
      </c>
      <c r="H524" s="21">
        <f>IFERROR(INDEX(Users!$D$2:$D$310,MATCH(A524,Users!$B$2:$B$310,0)),"")</f>
        <v/>
      </c>
      <c r="I524" s="19">
        <f>AND(G524="Service A",H524="Band 3")</f>
        <v/>
      </c>
      <c r="J524" s="33">
        <f>IF(AND(YEAR(B524)=2025,G524="Service B",OR(H524="Band 3",H524="Band 5"),ISNUMBER(F524)),F524,"")</f>
        <v/>
      </c>
    </row>
    <row r="525">
      <c r="A525" s="19" t="inlineStr">
        <is>
          <t>User1061</t>
        </is>
      </c>
      <c r="B525" s="60" t="n">
        <v>45962</v>
      </c>
      <c r="C525" s="21" t="n">
        <v>148</v>
      </c>
      <c r="D525" s="21" t="n">
        <v>142.2533333333333</v>
      </c>
      <c r="E525" s="21" t="n">
        <v>115.67</v>
      </c>
      <c r="F525" s="27">
        <f>IFERROR(IF(OR(C525="",D525="",C525=0),"",D525/C525),"")</f>
        <v/>
      </c>
      <c r="G525" s="21">
        <f>IFERROR(INDEX(Users!$A$2:$A$310,MATCH(A525,Users!$B$2:$B$310,0)),"")</f>
        <v/>
      </c>
      <c r="H525" s="21">
        <f>IFERROR(INDEX(Users!$D$2:$D$310,MATCH(A525,Users!$B$2:$B$310,0)),"")</f>
        <v/>
      </c>
      <c r="I525" s="19">
        <f>AND(G525="Service A",H525="Band 3")</f>
        <v/>
      </c>
      <c r="J525" s="33">
        <f>IF(AND(YEAR(B525)=2025,G525="Service B",OR(H525="Band 3",H525="Band 5"),ISNUMBER(F525)),F525,"")</f>
        <v/>
      </c>
    </row>
    <row r="526">
      <c r="A526" s="19" t="inlineStr">
        <is>
          <t>User1061</t>
        </is>
      </c>
      <c r="B526" s="60" t="n">
        <v>45992</v>
      </c>
      <c r="C526" s="21" t="n">
        <v>155.4</v>
      </c>
      <c r="D526" s="21" t="n">
        <v>112.41</v>
      </c>
      <c r="E526" s="21" t="n">
        <v>89.90999999999998</v>
      </c>
      <c r="F526" s="27">
        <f>IFERROR(IF(OR(C526="",D526="",C526=0),"",D526/C526),"")</f>
        <v/>
      </c>
      <c r="G526" s="21">
        <f>IFERROR(INDEX(Users!$A$2:$A$310,MATCH(A526,Users!$B$2:$B$310,0)),"")</f>
        <v/>
      </c>
      <c r="H526" s="21">
        <f>IFERROR(INDEX(Users!$D$2:$D$310,MATCH(A526,Users!$B$2:$B$310,0)),"")</f>
        <v/>
      </c>
      <c r="I526" s="19">
        <f>AND(G526="Service A",H526="Band 3")</f>
        <v/>
      </c>
      <c r="J526" s="33">
        <f>IF(AND(YEAR(B526)=2025,G526="Service B",OR(H526="Band 3",H526="Band 5"),ISNUMBER(F526)),F526,"")</f>
        <v/>
      </c>
    </row>
    <row r="527">
      <c r="A527" s="19" t="inlineStr">
        <is>
          <t>User1061</t>
        </is>
      </c>
      <c r="B527" s="60" t="n">
        <v>46023</v>
      </c>
      <c r="C527" s="21" t="n">
        <v>155.4</v>
      </c>
      <c r="D527" s="21" t="n">
        <v>162.1233333333333</v>
      </c>
      <c r="E527" s="21" t="n">
        <v>102.79</v>
      </c>
      <c r="F527" s="27">
        <f>IFERROR(IF(OR(C527="",D527="",C527=0),"",D527/C527),"")</f>
        <v/>
      </c>
      <c r="G527" s="21">
        <f>IFERROR(INDEX(Users!$A$2:$A$310,MATCH(A527,Users!$B$2:$B$310,0)),"")</f>
        <v/>
      </c>
      <c r="H527" s="21">
        <f>IFERROR(INDEX(Users!$D$2:$D$310,MATCH(A527,Users!$B$2:$B$310,0)),"")</f>
        <v/>
      </c>
      <c r="I527" s="19">
        <f>AND(G527="Service A",H527="Band 3")</f>
        <v/>
      </c>
      <c r="J527" s="33">
        <f>IF(AND(YEAR(B527)=2025,G527="Service B",OR(H527="Band 3",H527="Band 5"),ISNUMBER(F527)),F527,"")</f>
        <v/>
      </c>
    </row>
    <row r="528">
      <c r="A528" s="19" t="inlineStr">
        <is>
          <t>User1062</t>
        </is>
      </c>
      <c r="B528" s="60" t="n">
        <v>45658</v>
      </c>
      <c r="C528" s="21" t="n">
        <v>162.8</v>
      </c>
      <c r="D528" s="21" t="n">
        <v>122.32</v>
      </c>
      <c r="E528" s="21" t="n">
        <v>57.07000000000001</v>
      </c>
      <c r="F528" s="27">
        <f>IFERROR(IF(OR(C528="",D528="",C528=0),"",D528/C528),"")</f>
        <v/>
      </c>
      <c r="G528" s="21">
        <f>IFERROR(INDEX(Users!$A$2:$A$310,MATCH(A528,Users!$B$2:$B$310,0)),"")</f>
        <v/>
      </c>
      <c r="H528" s="21">
        <f>IFERROR(INDEX(Users!$D$2:$D$310,MATCH(A528,Users!$B$2:$B$310,0)),"")</f>
        <v/>
      </c>
      <c r="I528" s="19">
        <f>AND(G528="Service A",H528="Band 3")</f>
        <v/>
      </c>
      <c r="J528" s="33">
        <f>IF(AND(YEAR(B528)=2025,G528="Service B",OR(H528="Band 3",H528="Band 5"),ISNUMBER(F528)),F528,"")</f>
        <v/>
      </c>
    </row>
    <row r="529">
      <c r="A529" s="19" t="inlineStr">
        <is>
          <t>User1062</t>
        </is>
      </c>
      <c r="B529" s="60" t="n">
        <v>45689</v>
      </c>
      <c r="C529" s="21" t="n">
        <v>148</v>
      </c>
      <c r="D529" s="21" t="n">
        <v>144.5833333333333</v>
      </c>
      <c r="E529" s="21" t="n">
        <v>68.5</v>
      </c>
      <c r="F529" s="27">
        <f>IFERROR(IF(OR(C529="",D529="",C529=0),"",D529/C529),"")</f>
        <v/>
      </c>
      <c r="G529" s="21">
        <f>IFERROR(INDEX(Users!$A$2:$A$310,MATCH(A529,Users!$B$2:$B$310,0)),"")</f>
        <v/>
      </c>
      <c r="H529" s="21">
        <f>IFERROR(INDEX(Users!$D$2:$D$310,MATCH(A529,Users!$B$2:$B$310,0)),"")</f>
        <v/>
      </c>
      <c r="I529" s="19">
        <f>AND(G529="Service A",H529="Band 3")</f>
        <v/>
      </c>
      <c r="J529" s="33">
        <f>IF(AND(YEAR(B529)=2025,G529="Service B",OR(H529="Band 3",H529="Band 5"),ISNUMBER(F529)),F529,"")</f>
        <v/>
      </c>
    </row>
    <row r="530">
      <c r="A530" s="19" t="inlineStr">
        <is>
          <t>User1062</t>
        </is>
      </c>
      <c r="B530" s="60" t="n">
        <v>45717</v>
      </c>
      <c r="C530" s="21" t="n">
        <v>155.4</v>
      </c>
      <c r="D530" s="21" t="n">
        <v>163.5133333333333</v>
      </c>
      <c r="E530" s="21" t="n">
        <v>98.68000000000001</v>
      </c>
      <c r="F530" s="27">
        <f>IFERROR(IF(OR(C530="",D530="",C530=0),"",D530/C530),"")</f>
        <v/>
      </c>
      <c r="G530" s="21">
        <f>IFERROR(INDEX(Users!$A$2:$A$310,MATCH(A530,Users!$B$2:$B$310,0)),"")</f>
        <v/>
      </c>
      <c r="H530" s="21">
        <f>IFERROR(INDEX(Users!$D$2:$D$310,MATCH(A530,Users!$B$2:$B$310,0)),"")</f>
        <v/>
      </c>
      <c r="I530" s="19">
        <f>AND(G530="Service A",H530="Band 3")</f>
        <v/>
      </c>
      <c r="J530" s="33">
        <f>IF(AND(YEAR(B530)=2025,G530="Service B",OR(H530="Band 3",H530="Band 5"),ISNUMBER(F530)),F530,"")</f>
        <v/>
      </c>
    </row>
    <row r="531">
      <c r="A531" s="19" t="inlineStr">
        <is>
          <t>User1062</t>
        </is>
      </c>
      <c r="B531" s="60" t="n">
        <v>45748</v>
      </c>
      <c r="C531" s="21" t="n">
        <v>148</v>
      </c>
      <c r="D531" s="21" t="n">
        <v>139.7133333333333</v>
      </c>
      <c r="E531" s="21" t="n">
        <v>80.63</v>
      </c>
      <c r="F531" s="27">
        <f>IFERROR(IF(OR(C531="",D531="",C531=0),"",D531/C531),"")</f>
        <v/>
      </c>
      <c r="G531" s="21">
        <f>IFERROR(INDEX(Users!$A$2:$A$310,MATCH(A531,Users!$B$2:$B$310,0)),"")</f>
        <v/>
      </c>
      <c r="H531" s="21">
        <f>IFERROR(INDEX(Users!$D$2:$D$310,MATCH(A531,Users!$B$2:$B$310,0)),"")</f>
        <v/>
      </c>
      <c r="I531" s="19">
        <f>AND(G531="Service A",H531="Band 3")</f>
        <v/>
      </c>
      <c r="J531" s="33">
        <f>IF(AND(YEAR(B531)=2025,G531="Service B",OR(H531="Band 3",H531="Band 5"),ISNUMBER(F531)),F531,"")</f>
        <v/>
      </c>
    </row>
    <row r="532">
      <c r="A532" s="19" t="inlineStr">
        <is>
          <t>User1062</t>
        </is>
      </c>
      <c r="B532" s="60" t="n">
        <v>45778</v>
      </c>
      <c r="C532" s="21" t="n">
        <v>148</v>
      </c>
      <c r="D532" s="21" t="n">
        <v>126.93</v>
      </c>
      <c r="E532" s="21" t="n">
        <v>85.17999999999999</v>
      </c>
      <c r="F532" s="27">
        <f>IFERROR(IF(OR(C532="",D532="",C532=0),"",D532/C532),"")</f>
        <v/>
      </c>
      <c r="G532" s="21">
        <f>IFERROR(INDEX(Users!$A$2:$A$310,MATCH(A532,Users!$B$2:$B$310,0)),"")</f>
        <v/>
      </c>
      <c r="H532" s="21">
        <f>IFERROR(INDEX(Users!$D$2:$D$310,MATCH(A532,Users!$B$2:$B$310,0)),"")</f>
        <v/>
      </c>
      <c r="I532" s="19">
        <f>AND(G532="Service A",H532="Band 3")</f>
        <v/>
      </c>
      <c r="J532" s="33">
        <f>IF(AND(YEAR(B532)=2025,G532="Service B",OR(H532="Band 3",H532="Band 5"),ISNUMBER(F532)),F532,"")</f>
        <v/>
      </c>
    </row>
    <row r="533">
      <c r="A533" s="19" t="inlineStr">
        <is>
          <t>User1062</t>
        </is>
      </c>
      <c r="B533" s="60" t="n">
        <v>45809</v>
      </c>
      <c r="C533" s="21" t="n">
        <v>155.4</v>
      </c>
      <c r="D533" s="21" t="n">
        <v>113.7366666666667</v>
      </c>
      <c r="E533" s="21" t="n">
        <v>74.06999999999999</v>
      </c>
      <c r="F533" s="27">
        <f>IFERROR(IF(OR(C533="",D533="",C533=0),"",D533/C533),"")</f>
        <v/>
      </c>
      <c r="G533" s="21">
        <f>IFERROR(INDEX(Users!$A$2:$A$310,MATCH(A533,Users!$B$2:$B$310,0)),"")</f>
        <v/>
      </c>
      <c r="H533" s="21">
        <f>IFERROR(INDEX(Users!$D$2:$D$310,MATCH(A533,Users!$B$2:$B$310,0)),"")</f>
        <v/>
      </c>
      <c r="I533" s="19">
        <f>AND(G533="Service A",H533="Band 3")</f>
        <v/>
      </c>
      <c r="J533" s="33">
        <f>IF(AND(YEAR(B533)=2025,G533="Service B",OR(H533="Band 3",H533="Band 5"),ISNUMBER(F533)),F533,"")</f>
        <v/>
      </c>
    </row>
    <row r="534">
      <c r="A534" s="19" t="inlineStr">
        <is>
          <t>User1062</t>
        </is>
      </c>
      <c r="B534" s="60" t="n">
        <v>45839</v>
      </c>
      <c r="C534" s="21" t="n">
        <v>170.2</v>
      </c>
      <c r="D534" s="21" t="n">
        <v>180.3933333333333</v>
      </c>
      <c r="E534" s="21" t="n">
        <v>106.81</v>
      </c>
      <c r="F534" s="27">
        <f>IFERROR(IF(OR(C534="",D534="",C534=0),"",D534/C534),"")</f>
        <v/>
      </c>
      <c r="G534" s="21">
        <f>IFERROR(INDEX(Users!$A$2:$A$310,MATCH(A534,Users!$B$2:$B$310,0)),"")</f>
        <v/>
      </c>
      <c r="H534" s="21">
        <f>IFERROR(INDEX(Users!$D$2:$D$310,MATCH(A534,Users!$B$2:$B$310,0)),"")</f>
        <v/>
      </c>
      <c r="I534" s="19">
        <f>AND(G534="Service A",H534="Band 3")</f>
        <v/>
      </c>
      <c r="J534" s="33">
        <f>IF(AND(YEAR(B534)=2025,G534="Service B",OR(H534="Band 3",H534="Band 5"),ISNUMBER(F534)),F534,"")</f>
        <v/>
      </c>
    </row>
    <row r="535">
      <c r="A535" s="19" t="inlineStr">
        <is>
          <t>User1062</t>
        </is>
      </c>
      <c r="B535" s="60" t="n">
        <v>45870</v>
      </c>
      <c r="C535" s="21" t="n">
        <v>148</v>
      </c>
      <c r="D535" s="21" t="n">
        <v>29.90000000000001</v>
      </c>
      <c r="E535" s="21" t="n">
        <v>17.40000000000001</v>
      </c>
      <c r="F535" s="27">
        <f>IFERROR(IF(OR(C535="",D535="",C535=0),"",D535/C535),"")</f>
        <v/>
      </c>
      <c r="G535" s="21">
        <f>IFERROR(INDEX(Users!$A$2:$A$310,MATCH(A535,Users!$B$2:$B$310,0)),"")</f>
        <v/>
      </c>
      <c r="H535" s="21">
        <f>IFERROR(INDEX(Users!$D$2:$D$310,MATCH(A535,Users!$B$2:$B$310,0)),"")</f>
        <v/>
      </c>
      <c r="I535" s="19">
        <f>AND(G535="Service A",H535="Band 3")</f>
        <v/>
      </c>
      <c r="J535" s="33">
        <f>IF(AND(YEAR(B535)=2025,G535="Service B",OR(H535="Band 3",H535="Band 5"),ISNUMBER(F535)),F535,"")</f>
        <v/>
      </c>
    </row>
    <row r="536">
      <c r="A536" s="19" t="inlineStr">
        <is>
          <t>User1062</t>
        </is>
      </c>
      <c r="B536" s="60" t="n">
        <v>45901</v>
      </c>
      <c r="C536" s="21" t="n">
        <v>74</v>
      </c>
      <c r="D536" s="21" t="n">
        <v>77.81999999999998</v>
      </c>
      <c r="E536" s="21" t="n">
        <v>53.56999999999998</v>
      </c>
      <c r="F536" s="27">
        <f>IFERROR(IF(OR(C536="",D536="",C536=0),"",D536/C536),"")</f>
        <v/>
      </c>
      <c r="G536" s="21">
        <f>IFERROR(INDEX(Users!$A$2:$A$310,MATCH(A536,Users!$B$2:$B$310,0)),"")</f>
        <v/>
      </c>
      <c r="H536" s="21">
        <f>IFERROR(INDEX(Users!$D$2:$D$310,MATCH(A536,Users!$B$2:$B$310,0)),"")</f>
        <v/>
      </c>
      <c r="I536" s="19">
        <f>AND(G536="Service A",H536="Band 3")</f>
        <v/>
      </c>
      <c r="J536" s="33">
        <f>IF(AND(YEAR(B536)=2025,G536="Service B",OR(H536="Band 3",H536="Band 5"),ISNUMBER(F536)),F536,"")</f>
        <v/>
      </c>
    </row>
    <row r="537">
      <c r="A537" s="19" t="inlineStr">
        <is>
          <t>User1063</t>
        </is>
      </c>
      <c r="B537" s="60" t="n">
        <v>45658</v>
      </c>
      <c r="C537" s="21" t="n">
        <v>140.8</v>
      </c>
      <c r="D537" s="21" t="n">
        <v>104.9966666666667</v>
      </c>
      <c r="E537" s="21" t="n">
        <v>69.33000000000001</v>
      </c>
      <c r="F537" s="27">
        <f>IFERROR(IF(OR(C537="",D537="",C537=0),"",D537/C537),"")</f>
        <v/>
      </c>
      <c r="G537" s="21">
        <f>IFERROR(INDEX(Users!$A$2:$A$310,MATCH(A537,Users!$B$2:$B$310,0)),"")</f>
        <v/>
      </c>
      <c r="H537" s="21">
        <f>IFERROR(INDEX(Users!$D$2:$D$310,MATCH(A537,Users!$B$2:$B$310,0)),"")</f>
        <v/>
      </c>
      <c r="I537" s="19">
        <f>AND(G537="Service A",H537="Band 3")</f>
        <v/>
      </c>
      <c r="J537" s="33">
        <f>IF(AND(YEAR(B537)=2025,G537="Service B",OR(H537="Band 3",H537="Band 5"),ISNUMBER(F537)),F537,"")</f>
        <v/>
      </c>
    </row>
    <row r="538">
      <c r="A538" s="19" t="inlineStr">
        <is>
          <t>User1063</t>
        </is>
      </c>
      <c r="B538" s="60" t="n">
        <v>45689</v>
      </c>
      <c r="C538" s="21" t="n">
        <v>128</v>
      </c>
      <c r="D538" s="21" t="n">
        <v>131.9066666666667</v>
      </c>
      <c r="E538" s="21" t="n">
        <v>78.23999999999999</v>
      </c>
      <c r="F538" s="27">
        <f>IFERROR(IF(OR(C538="",D538="",C538=0),"",D538/C538),"")</f>
        <v/>
      </c>
      <c r="G538" s="21">
        <f>IFERROR(INDEX(Users!$A$2:$A$310,MATCH(A538,Users!$B$2:$B$310,0)),"")</f>
        <v/>
      </c>
      <c r="H538" s="21">
        <f>IFERROR(INDEX(Users!$D$2:$D$310,MATCH(A538,Users!$B$2:$B$310,0)),"")</f>
        <v/>
      </c>
      <c r="I538" s="19">
        <f>AND(G538="Service A",H538="Band 3")</f>
        <v/>
      </c>
      <c r="J538" s="33">
        <f>IF(AND(YEAR(B538)=2025,G538="Service B",OR(H538="Band 3",H538="Band 5"),ISNUMBER(F538)),F538,"")</f>
        <v/>
      </c>
    </row>
    <row r="539">
      <c r="A539" s="19" t="inlineStr">
        <is>
          <t>User1063</t>
        </is>
      </c>
      <c r="B539" s="60" t="n">
        <v>45717</v>
      </c>
      <c r="C539" s="21" t="n">
        <v>134.4</v>
      </c>
      <c r="D539" s="21" t="n">
        <v>129.5066666666667</v>
      </c>
      <c r="E539" s="21" t="n">
        <v>81.09</v>
      </c>
      <c r="F539" s="27">
        <f>IFERROR(IF(OR(C539="",D539="",C539=0),"",D539/C539),"")</f>
        <v/>
      </c>
      <c r="G539" s="21">
        <f>IFERROR(INDEX(Users!$A$2:$A$310,MATCH(A539,Users!$B$2:$B$310,0)),"")</f>
        <v/>
      </c>
      <c r="H539" s="21">
        <f>IFERROR(INDEX(Users!$D$2:$D$310,MATCH(A539,Users!$B$2:$B$310,0)),"")</f>
        <v/>
      </c>
      <c r="I539" s="19">
        <f>AND(G539="Service A",H539="Band 3")</f>
        <v/>
      </c>
      <c r="J539" s="33">
        <f>IF(AND(YEAR(B539)=2025,G539="Service B",OR(H539="Band 3",H539="Band 5"),ISNUMBER(F539)),F539,"")</f>
        <v/>
      </c>
    </row>
    <row r="540">
      <c r="A540" s="19" t="inlineStr">
        <is>
          <t>User1063</t>
        </is>
      </c>
      <c r="B540" s="60" t="n">
        <v>45748</v>
      </c>
      <c r="C540" s="21" t="n">
        <v>128</v>
      </c>
      <c r="D540" s="21" t="n">
        <v>119.3366666666667</v>
      </c>
      <c r="E540" s="21" t="n">
        <v>85.42</v>
      </c>
      <c r="F540" s="27">
        <f>IFERROR(IF(OR(C540="",D540="",C540=0),"",D540/C540),"")</f>
        <v/>
      </c>
      <c r="G540" s="21">
        <f>IFERROR(INDEX(Users!$A$2:$A$310,MATCH(A540,Users!$B$2:$B$310,0)),"")</f>
        <v/>
      </c>
      <c r="H540" s="21">
        <f>IFERROR(INDEX(Users!$D$2:$D$310,MATCH(A540,Users!$B$2:$B$310,0)),"")</f>
        <v/>
      </c>
      <c r="I540" s="19">
        <f>AND(G540="Service A",H540="Band 3")</f>
        <v/>
      </c>
      <c r="J540" s="33">
        <f>IF(AND(YEAR(B540)=2025,G540="Service B",OR(H540="Band 3",H540="Band 5"),ISNUMBER(F540)),F540,"")</f>
        <v/>
      </c>
    </row>
    <row r="541">
      <c r="A541" s="19" t="inlineStr">
        <is>
          <t>User1063</t>
        </is>
      </c>
      <c r="B541" s="60" t="n">
        <v>45778</v>
      </c>
      <c r="C541" s="21" t="n">
        <v>128</v>
      </c>
      <c r="D541" s="21" t="n">
        <v>87.07666666666667</v>
      </c>
      <c r="E541" s="21" t="n">
        <v>59.41</v>
      </c>
      <c r="F541" s="27">
        <f>IFERROR(IF(OR(C541="",D541="",C541=0),"",D541/C541),"")</f>
        <v/>
      </c>
      <c r="G541" s="21">
        <f>IFERROR(INDEX(Users!$A$2:$A$310,MATCH(A541,Users!$B$2:$B$310,0)),"")</f>
        <v/>
      </c>
      <c r="H541" s="21">
        <f>IFERROR(INDEX(Users!$D$2:$D$310,MATCH(A541,Users!$B$2:$B$310,0)),"")</f>
        <v/>
      </c>
      <c r="I541" s="19">
        <f>AND(G541="Service A",H541="Band 3")</f>
        <v/>
      </c>
      <c r="J541" s="33">
        <f>IF(AND(YEAR(B541)=2025,G541="Service B",OR(H541="Band 3",H541="Band 5"),ISNUMBER(F541)),F541,"")</f>
        <v/>
      </c>
    </row>
    <row r="542">
      <c r="A542" s="19" t="inlineStr">
        <is>
          <t>User1063</t>
        </is>
      </c>
      <c r="B542" s="60" t="n">
        <v>45809</v>
      </c>
      <c r="C542" s="21" t="n">
        <v>134.4</v>
      </c>
      <c r="D542" s="21" t="n">
        <v>124.7466666666667</v>
      </c>
      <c r="E542" s="21" t="n">
        <v>103.33</v>
      </c>
      <c r="F542" s="27">
        <f>IFERROR(IF(OR(C542="",D542="",C542=0),"",D542/C542),"")</f>
        <v/>
      </c>
      <c r="G542" s="21">
        <f>IFERROR(INDEX(Users!$A$2:$A$310,MATCH(A542,Users!$B$2:$B$310,0)),"")</f>
        <v/>
      </c>
      <c r="H542" s="21">
        <f>IFERROR(INDEX(Users!$D$2:$D$310,MATCH(A542,Users!$B$2:$B$310,0)),"")</f>
        <v/>
      </c>
      <c r="I542" s="19">
        <f>AND(G542="Service A",H542="Band 3")</f>
        <v/>
      </c>
      <c r="J542" s="33">
        <f>IF(AND(YEAR(B542)=2025,G542="Service B",OR(H542="Band 3",H542="Band 5"),ISNUMBER(F542)),F542,"")</f>
        <v/>
      </c>
    </row>
    <row r="543">
      <c r="A543" s="19" t="inlineStr">
        <is>
          <t>User1063</t>
        </is>
      </c>
      <c r="B543" s="60" t="n">
        <v>45839</v>
      </c>
      <c r="C543" s="21" t="n">
        <v>147.2</v>
      </c>
      <c r="D543" s="21" t="n">
        <v>123.0866666666667</v>
      </c>
      <c r="E543" s="21" t="n">
        <v>81.42</v>
      </c>
      <c r="F543" s="27">
        <f>IFERROR(IF(OR(C543="",D543="",C543=0),"",D543/C543),"")</f>
        <v/>
      </c>
      <c r="G543" s="21">
        <f>IFERROR(INDEX(Users!$A$2:$A$310,MATCH(A543,Users!$B$2:$B$310,0)),"")</f>
        <v/>
      </c>
      <c r="H543" s="21">
        <f>IFERROR(INDEX(Users!$D$2:$D$310,MATCH(A543,Users!$B$2:$B$310,0)),"")</f>
        <v/>
      </c>
      <c r="I543" s="19">
        <f>AND(G543="Service A",H543="Band 3")</f>
        <v/>
      </c>
      <c r="J543" s="33">
        <f>IF(AND(YEAR(B543)=2025,G543="Service B",OR(H543="Band 3",H543="Band 5"),ISNUMBER(F543)),F543,"")</f>
        <v/>
      </c>
    </row>
    <row r="544">
      <c r="A544" s="19" t="inlineStr">
        <is>
          <t>User1063</t>
        </is>
      </c>
      <c r="B544" s="60" t="n">
        <v>45870</v>
      </c>
      <c r="C544" s="21" t="n">
        <v>128</v>
      </c>
      <c r="D544" s="21" t="n">
        <v>117.0866666666667</v>
      </c>
      <c r="E544" s="21" t="n">
        <v>84.42</v>
      </c>
      <c r="F544" s="27">
        <f>IFERROR(IF(OR(C544="",D544="",C544=0),"",D544/C544),"")</f>
        <v/>
      </c>
      <c r="G544" s="21">
        <f>IFERROR(INDEX(Users!$A$2:$A$310,MATCH(A544,Users!$B$2:$B$310,0)),"")</f>
        <v/>
      </c>
      <c r="H544" s="21">
        <f>IFERROR(INDEX(Users!$D$2:$D$310,MATCH(A544,Users!$B$2:$B$310,0)),"")</f>
        <v/>
      </c>
      <c r="I544" s="19">
        <f>AND(G544="Service A",H544="Band 3")</f>
        <v/>
      </c>
      <c r="J544" s="33">
        <f>IF(AND(YEAR(B544)=2025,G544="Service B",OR(H544="Band 3",H544="Band 5"),ISNUMBER(F544)),F544,"")</f>
        <v/>
      </c>
    </row>
    <row r="545">
      <c r="A545" s="19" t="inlineStr">
        <is>
          <t>User1063</t>
        </is>
      </c>
      <c r="B545" s="60" t="n">
        <v>45901</v>
      </c>
      <c r="C545" s="21" t="n">
        <v>140.8</v>
      </c>
      <c r="D545" s="21" t="n">
        <v>103.16</v>
      </c>
      <c r="E545" s="21" t="n">
        <v>73.91</v>
      </c>
      <c r="F545" s="27">
        <f>IFERROR(IF(OR(C545="",D545="",C545=0),"",D545/C545),"")</f>
        <v/>
      </c>
      <c r="G545" s="21">
        <f>IFERROR(INDEX(Users!$A$2:$A$310,MATCH(A545,Users!$B$2:$B$310,0)),"")</f>
        <v/>
      </c>
      <c r="H545" s="21">
        <f>IFERROR(INDEX(Users!$D$2:$D$310,MATCH(A545,Users!$B$2:$B$310,0)),"")</f>
        <v/>
      </c>
      <c r="I545" s="19">
        <f>AND(G545="Service A",H545="Band 3")</f>
        <v/>
      </c>
      <c r="J545" s="33">
        <f>IF(AND(YEAR(B545)=2025,G545="Service B",OR(H545="Band 3",H545="Band 5"),ISNUMBER(F545)),F545,"")</f>
        <v/>
      </c>
    </row>
    <row r="546">
      <c r="A546" s="19" t="inlineStr">
        <is>
          <t>User1063</t>
        </is>
      </c>
      <c r="B546" s="60" t="n">
        <v>45931</v>
      </c>
      <c r="C546" s="21" t="n">
        <v>147.2</v>
      </c>
      <c r="D546" s="21" t="n">
        <v>140.2433333333333</v>
      </c>
      <c r="E546" s="21" t="n">
        <v>107.66</v>
      </c>
      <c r="F546" s="27">
        <f>IFERROR(IF(OR(C546="",D546="",C546=0),"",D546/C546),"")</f>
        <v/>
      </c>
      <c r="G546" s="21">
        <f>IFERROR(INDEX(Users!$A$2:$A$310,MATCH(A546,Users!$B$2:$B$310,0)),"")</f>
        <v/>
      </c>
      <c r="H546" s="21">
        <f>IFERROR(INDEX(Users!$D$2:$D$310,MATCH(A546,Users!$B$2:$B$310,0)),"")</f>
        <v/>
      </c>
      <c r="I546" s="19">
        <f>AND(G546="Service A",H546="Band 3")</f>
        <v/>
      </c>
      <c r="J546" s="33">
        <f>IF(AND(YEAR(B546)=2025,G546="Service B",OR(H546="Band 3",H546="Band 5"),ISNUMBER(F546)),F546,"")</f>
        <v/>
      </c>
    </row>
    <row r="547">
      <c r="A547" s="19" t="inlineStr">
        <is>
          <t>User1063</t>
        </is>
      </c>
      <c r="B547" s="60" t="n">
        <v>45962</v>
      </c>
      <c r="C547" s="21" t="n">
        <v>128</v>
      </c>
      <c r="D547" s="21" t="n">
        <v>128.0033333333333</v>
      </c>
      <c r="E547" s="21" t="n">
        <v>105.42</v>
      </c>
      <c r="F547" s="27">
        <f>IFERROR(IF(OR(C547="",D547="",C547=0),"",D547/C547),"")</f>
        <v/>
      </c>
      <c r="G547" s="21">
        <f>IFERROR(INDEX(Users!$A$2:$A$310,MATCH(A547,Users!$B$2:$B$310,0)),"")</f>
        <v/>
      </c>
      <c r="H547" s="21">
        <f>IFERROR(INDEX(Users!$D$2:$D$310,MATCH(A547,Users!$B$2:$B$310,0)),"")</f>
        <v/>
      </c>
      <c r="I547" s="19">
        <f>AND(G547="Service A",H547="Band 3")</f>
        <v/>
      </c>
      <c r="J547" s="33">
        <f>IF(AND(YEAR(B547)=2025,G547="Service B",OR(H547="Band 3",H547="Band 5"),ISNUMBER(F547)),F547,"")</f>
        <v/>
      </c>
    </row>
    <row r="548">
      <c r="A548" s="19" t="inlineStr">
        <is>
          <t>User1063</t>
        </is>
      </c>
      <c r="B548" s="60" t="n">
        <v>45992</v>
      </c>
      <c r="C548" s="21" t="n">
        <v>134.4</v>
      </c>
      <c r="D548" s="21" t="n">
        <v>106.0833333333333</v>
      </c>
      <c r="E548" s="21" t="n">
        <v>80.25</v>
      </c>
      <c r="F548" s="27">
        <f>IFERROR(IF(OR(C548="",D548="",C548=0),"",D548/C548),"")</f>
        <v/>
      </c>
      <c r="G548" s="21">
        <f>IFERROR(INDEX(Users!$A$2:$A$310,MATCH(A548,Users!$B$2:$B$310,0)),"")</f>
        <v/>
      </c>
      <c r="H548" s="21">
        <f>IFERROR(INDEX(Users!$D$2:$D$310,MATCH(A548,Users!$B$2:$B$310,0)),"")</f>
        <v/>
      </c>
      <c r="I548" s="19">
        <f>AND(G548="Service A",H548="Band 3")</f>
        <v/>
      </c>
      <c r="J548" s="33">
        <f>IF(AND(YEAR(B548)=2025,G548="Service B",OR(H548="Band 3",H548="Band 5"),ISNUMBER(F548)),F548,"")</f>
        <v/>
      </c>
    </row>
    <row r="549">
      <c r="A549" s="19" t="inlineStr">
        <is>
          <t>User1063</t>
        </is>
      </c>
      <c r="B549" s="60" t="n">
        <v>46023</v>
      </c>
      <c r="C549" s="21" t="n">
        <v>134.4</v>
      </c>
      <c r="D549" s="21" t="n">
        <v>129.4166666666667</v>
      </c>
      <c r="E549" s="21" t="n">
        <v>99.25</v>
      </c>
      <c r="F549" s="27">
        <f>IFERROR(IF(OR(C549="",D549="",C549=0),"",D549/C549),"")</f>
        <v/>
      </c>
      <c r="G549" s="21">
        <f>IFERROR(INDEX(Users!$A$2:$A$310,MATCH(A549,Users!$B$2:$B$310,0)),"")</f>
        <v/>
      </c>
      <c r="H549" s="21">
        <f>IFERROR(INDEX(Users!$D$2:$D$310,MATCH(A549,Users!$B$2:$B$310,0)),"")</f>
        <v/>
      </c>
      <c r="I549" s="19">
        <f>AND(G549="Service A",H549="Band 3")</f>
        <v/>
      </c>
      <c r="J549" s="33">
        <f>IF(AND(YEAR(B549)=2025,G549="Service B",OR(H549="Band 3",H549="Band 5"),ISNUMBER(F549)),F549,"")</f>
        <v/>
      </c>
    </row>
    <row r="550">
      <c r="A550" s="19" t="inlineStr">
        <is>
          <t>User1064</t>
        </is>
      </c>
      <c r="B550" s="60" t="n">
        <v>45689</v>
      </c>
      <c r="C550" s="21" t="n">
        <v>37</v>
      </c>
      <c r="D550" s="21" t="n"/>
      <c r="E550" s="21" t="n"/>
      <c r="F550" s="27">
        <f>IFERROR(IF(OR(C550="",D550="",C550=0),"",D550/C550),"")</f>
        <v/>
      </c>
      <c r="G550" s="21">
        <f>IFERROR(INDEX(Users!$A$2:$A$310,MATCH(A550,Users!$B$2:$B$310,0)),"")</f>
        <v/>
      </c>
      <c r="H550" s="21">
        <f>IFERROR(INDEX(Users!$D$2:$D$310,MATCH(A550,Users!$B$2:$B$310,0)),"")</f>
        <v/>
      </c>
      <c r="I550" s="19">
        <f>AND(G550="Service A",H550="Band 3")</f>
        <v/>
      </c>
      <c r="J550" s="33">
        <f>IF(AND(YEAR(B550)=2025,G550="Service B",OR(H550="Band 3",H550="Band 5"),ISNUMBER(F550)),F550,"")</f>
        <v/>
      </c>
    </row>
    <row r="551">
      <c r="A551" s="19" t="inlineStr">
        <is>
          <t>User1064</t>
        </is>
      </c>
      <c r="B551" s="60" t="n">
        <v>45717</v>
      </c>
      <c r="C551" s="21" t="n">
        <v>155.4000000000001</v>
      </c>
      <c r="D551" s="21" t="n"/>
      <c r="E551" s="21" t="n"/>
      <c r="F551" s="27">
        <f>IFERROR(IF(OR(C551="",D551="",C551=0),"",D551/C551),"")</f>
        <v/>
      </c>
      <c r="G551" s="21">
        <f>IFERROR(INDEX(Users!$A$2:$A$310,MATCH(A551,Users!$B$2:$B$310,0)),"")</f>
        <v/>
      </c>
      <c r="H551" s="21">
        <f>IFERROR(INDEX(Users!$D$2:$D$310,MATCH(A551,Users!$B$2:$B$310,0)),"")</f>
        <v/>
      </c>
      <c r="I551" s="19">
        <f>AND(G551="Service A",H551="Band 3")</f>
        <v/>
      </c>
      <c r="J551" s="33">
        <f>IF(AND(YEAR(B551)=2025,G551="Service B",OR(H551="Band 3",H551="Band 5"),ISNUMBER(F551)),F551,"")</f>
        <v/>
      </c>
    </row>
    <row r="552">
      <c r="A552" s="19" t="inlineStr">
        <is>
          <t>User1064</t>
        </is>
      </c>
      <c r="B552" s="60" t="n">
        <v>45748</v>
      </c>
      <c r="C552" s="21" t="n">
        <v>148.0000000000001</v>
      </c>
      <c r="D552" s="21" t="n">
        <v>52.17666666666667</v>
      </c>
      <c r="E552" s="21" t="n">
        <v>4.26</v>
      </c>
      <c r="F552" s="27">
        <f>IFERROR(IF(OR(C552="",D552="",C552=0),"",D552/C552),"")</f>
        <v/>
      </c>
      <c r="G552" s="21">
        <f>IFERROR(INDEX(Users!$A$2:$A$310,MATCH(A552,Users!$B$2:$B$310,0)),"")</f>
        <v/>
      </c>
      <c r="H552" s="21">
        <f>IFERROR(INDEX(Users!$D$2:$D$310,MATCH(A552,Users!$B$2:$B$310,0)),"")</f>
        <v/>
      </c>
      <c r="I552" s="19">
        <f>AND(G552="Service A",H552="Band 3")</f>
        <v/>
      </c>
      <c r="J552" s="33">
        <f>IF(AND(YEAR(B552)=2025,G552="Service B",OR(H552="Band 3",H552="Band 5"),ISNUMBER(F552)),F552,"")</f>
        <v/>
      </c>
    </row>
    <row r="553">
      <c r="A553" s="19" t="inlineStr">
        <is>
          <t>User1064</t>
        </is>
      </c>
      <c r="B553" s="60" t="n">
        <v>45778</v>
      </c>
      <c r="C553" s="21" t="n">
        <v>148.0000000000001</v>
      </c>
      <c r="D553" s="21" t="n">
        <v>114.56</v>
      </c>
      <c r="E553" s="21" t="n">
        <v>10.41</v>
      </c>
      <c r="F553" s="27">
        <f>IFERROR(IF(OR(C553="",D553="",C553=0),"",D553/C553),"")</f>
        <v/>
      </c>
      <c r="G553" s="21">
        <f>IFERROR(INDEX(Users!$A$2:$A$310,MATCH(A553,Users!$B$2:$B$310,0)),"")</f>
        <v/>
      </c>
      <c r="H553" s="21">
        <f>IFERROR(INDEX(Users!$D$2:$D$310,MATCH(A553,Users!$B$2:$B$310,0)),"")</f>
        <v/>
      </c>
      <c r="I553" s="19">
        <f>AND(G553="Service A",H553="Band 3")</f>
        <v/>
      </c>
      <c r="J553" s="33">
        <f>IF(AND(YEAR(B553)=2025,G553="Service B",OR(H553="Band 3",H553="Band 5"),ISNUMBER(F553)),F553,"")</f>
        <v/>
      </c>
    </row>
    <row r="554">
      <c r="A554" s="19" t="inlineStr">
        <is>
          <t>User1064</t>
        </is>
      </c>
      <c r="B554" s="60" t="n">
        <v>45809</v>
      </c>
      <c r="C554" s="21" t="n">
        <v>155.4000000000001</v>
      </c>
      <c r="D554" s="21" t="n">
        <v>148.4933333333333</v>
      </c>
      <c r="E554" s="21" t="n">
        <v>17.36</v>
      </c>
      <c r="F554" s="27">
        <f>IFERROR(IF(OR(C554="",D554="",C554=0),"",D554/C554),"")</f>
        <v/>
      </c>
      <c r="G554" s="21">
        <f>IFERROR(INDEX(Users!$A$2:$A$310,MATCH(A554,Users!$B$2:$B$310,0)),"")</f>
        <v/>
      </c>
      <c r="H554" s="21">
        <f>IFERROR(INDEX(Users!$D$2:$D$310,MATCH(A554,Users!$B$2:$B$310,0)),"")</f>
        <v/>
      </c>
      <c r="I554" s="19">
        <f>AND(G554="Service A",H554="Band 3")</f>
        <v/>
      </c>
      <c r="J554" s="33">
        <f>IF(AND(YEAR(B554)=2025,G554="Service B",OR(H554="Band 3",H554="Band 5"),ISNUMBER(F554)),F554,"")</f>
        <v/>
      </c>
    </row>
    <row r="555">
      <c r="A555" s="19" t="inlineStr">
        <is>
          <t>User1064</t>
        </is>
      </c>
      <c r="B555" s="60" t="n">
        <v>45839</v>
      </c>
      <c r="C555" s="21" t="n">
        <v>170.2000000000001</v>
      </c>
      <c r="D555" s="21" t="n">
        <v>86.02333333333334</v>
      </c>
      <c r="E555" s="21" t="n">
        <v>17.94</v>
      </c>
      <c r="F555" s="27">
        <f>IFERROR(IF(OR(C555="",D555="",C555=0),"",D555/C555),"")</f>
        <v/>
      </c>
      <c r="G555" s="21">
        <f>IFERROR(INDEX(Users!$A$2:$A$310,MATCH(A555,Users!$B$2:$B$310,0)),"")</f>
        <v/>
      </c>
      <c r="H555" s="21">
        <f>IFERROR(INDEX(Users!$D$2:$D$310,MATCH(A555,Users!$B$2:$B$310,0)),"")</f>
        <v/>
      </c>
      <c r="I555" s="19">
        <f>AND(G555="Service A",H555="Band 3")</f>
        <v/>
      </c>
      <c r="J555" s="33">
        <f>IF(AND(YEAR(B555)=2025,G555="Service B",OR(H555="Band 3",H555="Band 5"),ISNUMBER(F555)),F555,"")</f>
        <v/>
      </c>
    </row>
    <row r="556">
      <c r="A556" s="19" t="inlineStr">
        <is>
          <t>User1064</t>
        </is>
      </c>
      <c r="B556" s="60" t="n">
        <v>45870</v>
      </c>
      <c r="C556" s="21" t="n">
        <v>148.0000000000001</v>
      </c>
      <c r="D556" s="21" t="n">
        <v>112.6066666666667</v>
      </c>
      <c r="E556" s="21" t="n">
        <v>39.19000000000001</v>
      </c>
      <c r="F556" s="27">
        <f>IFERROR(IF(OR(C556="",D556="",C556=0),"",D556/C556),"")</f>
        <v/>
      </c>
      <c r="G556" s="21">
        <f>IFERROR(INDEX(Users!$A$2:$A$310,MATCH(A556,Users!$B$2:$B$310,0)),"")</f>
        <v/>
      </c>
      <c r="H556" s="21">
        <f>IFERROR(INDEX(Users!$D$2:$D$310,MATCH(A556,Users!$B$2:$B$310,0)),"")</f>
        <v/>
      </c>
      <c r="I556" s="19">
        <f>AND(G556="Service A",H556="Band 3")</f>
        <v/>
      </c>
      <c r="J556" s="33">
        <f>IF(AND(YEAR(B556)=2025,G556="Service B",OR(H556="Band 3",H556="Band 5"),ISNUMBER(F556)),F556,"")</f>
        <v/>
      </c>
    </row>
    <row r="557">
      <c r="A557" s="19" t="inlineStr">
        <is>
          <t>User1064</t>
        </is>
      </c>
      <c r="B557" s="60" t="n">
        <v>45901</v>
      </c>
      <c r="C557" s="21" t="n">
        <v>162.8000000000001</v>
      </c>
      <c r="D557" s="21" t="n">
        <v>165.09</v>
      </c>
      <c r="E557" s="21" t="n">
        <v>64.64000000000001</v>
      </c>
      <c r="F557" s="27">
        <f>IFERROR(IF(OR(C557="",D557="",C557=0),"",D557/C557),"")</f>
        <v/>
      </c>
      <c r="G557" s="21">
        <f>IFERROR(INDEX(Users!$A$2:$A$310,MATCH(A557,Users!$B$2:$B$310,0)),"")</f>
        <v/>
      </c>
      <c r="H557" s="21">
        <f>IFERROR(INDEX(Users!$D$2:$D$310,MATCH(A557,Users!$B$2:$B$310,0)),"")</f>
        <v/>
      </c>
      <c r="I557" s="19">
        <f>AND(G557="Service A",H557="Band 3")</f>
        <v/>
      </c>
      <c r="J557" s="33">
        <f>IF(AND(YEAR(B557)=2025,G557="Service B",OR(H557="Band 3",H557="Band 5"),ISNUMBER(F557)),F557,"")</f>
        <v/>
      </c>
    </row>
    <row r="558">
      <c r="A558" s="19" t="inlineStr">
        <is>
          <t>User1064</t>
        </is>
      </c>
      <c r="B558" s="60" t="n">
        <v>45931</v>
      </c>
      <c r="C558" s="21" t="n">
        <v>170.2000000000001</v>
      </c>
      <c r="D558" s="21" t="n">
        <v>115.41</v>
      </c>
      <c r="E558" s="21" t="n">
        <v>45.81</v>
      </c>
      <c r="F558" s="27">
        <f>IFERROR(IF(OR(C558="",D558="",C558=0),"",D558/C558),"")</f>
        <v/>
      </c>
      <c r="G558" s="21">
        <f>IFERROR(INDEX(Users!$A$2:$A$310,MATCH(A558,Users!$B$2:$B$310,0)),"")</f>
        <v/>
      </c>
      <c r="H558" s="21">
        <f>IFERROR(INDEX(Users!$D$2:$D$310,MATCH(A558,Users!$B$2:$B$310,0)),"")</f>
        <v/>
      </c>
      <c r="I558" s="19">
        <f>AND(G558="Service A",H558="Band 3")</f>
        <v/>
      </c>
      <c r="J558" s="33">
        <f>IF(AND(YEAR(B558)=2025,G558="Service B",OR(H558="Band 3",H558="Band 5"),ISNUMBER(F558)),F558,"")</f>
        <v/>
      </c>
    </row>
    <row r="559">
      <c r="A559" s="19" t="inlineStr">
        <is>
          <t>User1064</t>
        </is>
      </c>
      <c r="B559" s="60" t="n">
        <v>45962</v>
      </c>
      <c r="C559" s="21" t="n">
        <v>148.0000000000001</v>
      </c>
      <c r="D559" s="21" t="n">
        <v>135.93</v>
      </c>
      <c r="E559" s="21" t="n">
        <v>73.47999999999999</v>
      </c>
      <c r="F559" s="27">
        <f>IFERROR(IF(OR(C559="",D559="",C559=0),"",D559/C559),"")</f>
        <v/>
      </c>
      <c r="G559" s="21">
        <f>IFERROR(INDEX(Users!$A$2:$A$310,MATCH(A559,Users!$B$2:$B$310,0)),"")</f>
        <v/>
      </c>
      <c r="H559" s="21">
        <f>IFERROR(INDEX(Users!$D$2:$D$310,MATCH(A559,Users!$B$2:$B$310,0)),"")</f>
        <v/>
      </c>
      <c r="I559" s="19">
        <f>AND(G559="Service A",H559="Band 3")</f>
        <v/>
      </c>
      <c r="J559" s="33">
        <f>IF(AND(YEAR(B559)=2025,G559="Service B",OR(H559="Band 3",H559="Band 5"),ISNUMBER(F559)),F559,"")</f>
        <v/>
      </c>
    </row>
    <row r="560">
      <c r="A560" s="19" t="inlineStr">
        <is>
          <t>User1064</t>
        </is>
      </c>
      <c r="B560" s="60" t="n">
        <v>45992</v>
      </c>
      <c r="C560" s="21" t="n">
        <v>155.4000000000001</v>
      </c>
      <c r="D560" s="21" t="n">
        <v>110.8333333333333</v>
      </c>
      <c r="E560" s="21" t="n">
        <v>49.00000000000001</v>
      </c>
      <c r="F560" s="27">
        <f>IFERROR(IF(OR(C560="",D560="",C560=0),"",D560/C560),"")</f>
        <v/>
      </c>
      <c r="G560" s="21">
        <f>IFERROR(INDEX(Users!$A$2:$A$310,MATCH(A560,Users!$B$2:$B$310,0)),"")</f>
        <v/>
      </c>
      <c r="H560" s="21">
        <f>IFERROR(INDEX(Users!$D$2:$D$310,MATCH(A560,Users!$B$2:$B$310,0)),"")</f>
        <v/>
      </c>
      <c r="I560" s="19">
        <f>AND(G560="Service A",H560="Band 3")</f>
        <v/>
      </c>
      <c r="J560" s="33">
        <f>IF(AND(YEAR(B560)=2025,G560="Service B",OR(H560="Band 3",H560="Band 5"),ISNUMBER(F560)),F560,"")</f>
        <v/>
      </c>
    </row>
    <row r="561">
      <c r="A561" s="19" t="inlineStr">
        <is>
          <t>User1064</t>
        </is>
      </c>
      <c r="B561" s="60" t="n">
        <v>46023</v>
      </c>
      <c r="C561" s="21" t="n">
        <v>155.4000000000001</v>
      </c>
      <c r="D561" s="21" t="n">
        <v>153.52</v>
      </c>
      <c r="E561" s="21" t="n">
        <v>77.56999999999999</v>
      </c>
      <c r="F561" s="27">
        <f>IFERROR(IF(OR(C561="",D561="",C561=0),"",D561/C561),"")</f>
        <v/>
      </c>
      <c r="G561" s="21">
        <f>IFERROR(INDEX(Users!$A$2:$A$310,MATCH(A561,Users!$B$2:$B$310,0)),"")</f>
        <v/>
      </c>
      <c r="H561" s="21">
        <f>IFERROR(INDEX(Users!$D$2:$D$310,MATCH(A561,Users!$B$2:$B$310,0)),"")</f>
        <v/>
      </c>
      <c r="I561" s="19">
        <f>AND(G561="Service A",H561="Band 3")</f>
        <v/>
      </c>
      <c r="J561" s="33">
        <f>IF(AND(YEAR(B561)=2025,G561="Service B",OR(H561="Band 3",H561="Band 5"),ISNUMBER(F561)),F561,"")</f>
        <v/>
      </c>
    </row>
    <row r="562">
      <c r="A562" s="19" t="inlineStr">
        <is>
          <t>User1066</t>
        </is>
      </c>
      <c r="B562" s="60" t="n">
        <v>45658</v>
      </c>
      <c r="C562" s="21" t="n">
        <v>162.8</v>
      </c>
      <c r="D562" s="21" t="n">
        <v>161.6841666666667</v>
      </c>
      <c r="E562" s="21" t="n">
        <v>80.24000000000001</v>
      </c>
      <c r="F562" s="27">
        <f>IFERROR(IF(OR(C562="",D562="",C562=0),"",D562/C562),"")</f>
        <v/>
      </c>
      <c r="G562" s="21">
        <f>IFERROR(INDEX(Users!$A$2:$A$310,MATCH(A562,Users!$B$2:$B$310,0)),"")</f>
        <v/>
      </c>
      <c r="H562" s="21">
        <f>IFERROR(INDEX(Users!$D$2:$D$310,MATCH(A562,Users!$B$2:$B$310,0)),"")</f>
        <v/>
      </c>
      <c r="I562" s="19">
        <f>AND(G562="Service A",H562="Band 3")</f>
        <v/>
      </c>
      <c r="J562" s="33">
        <f>IF(AND(YEAR(B562)=2025,G562="Service B",OR(H562="Band 3",H562="Band 5"),ISNUMBER(F562)),F562,"")</f>
        <v/>
      </c>
    </row>
    <row r="563">
      <c r="A563" s="19" t="inlineStr">
        <is>
          <t>User1066</t>
        </is>
      </c>
      <c r="B563" s="60" t="n">
        <v>45689</v>
      </c>
      <c r="C563" s="21" t="n">
        <v>148</v>
      </c>
      <c r="D563" s="21" t="n">
        <v>156.6083333333333</v>
      </c>
      <c r="E563" s="21" t="n">
        <v>82.62</v>
      </c>
      <c r="F563" s="27">
        <f>IFERROR(IF(OR(C563="",D563="",C563=0),"",D563/C563),"")</f>
        <v/>
      </c>
      <c r="G563" s="21">
        <f>IFERROR(INDEX(Users!$A$2:$A$310,MATCH(A563,Users!$B$2:$B$310,0)),"")</f>
        <v/>
      </c>
      <c r="H563" s="21">
        <f>IFERROR(INDEX(Users!$D$2:$D$310,MATCH(A563,Users!$B$2:$B$310,0)),"")</f>
        <v/>
      </c>
      <c r="I563" s="19">
        <f>AND(G563="Service A",H563="Band 3")</f>
        <v/>
      </c>
      <c r="J563" s="33">
        <f>IF(AND(YEAR(B563)=2025,G563="Service B",OR(H563="Band 3",H563="Band 5"),ISNUMBER(F563)),F563,"")</f>
        <v/>
      </c>
    </row>
    <row r="564">
      <c r="A564" s="19" t="inlineStr">
        <is>
          <t>User1066</t>
        </is>
      </c>
      <c r="B564" s="60" t="n">
        <v>45717</v>
      </c>
      <c r="C564" s="21" t="n">
        <v>155.4</v>
      </c>
      <c r="D564" s="21" t="n">
        <v>159.8655555555556</v>
      </c>
      <c r="E564" s="21" t="n">
        <v>77.05000000000001</v>
      </c>
      <c r="F564" s="27">
        <f>IFERROR(IF(OR(C564="",D564="",C564=0),"",D564/C564),"")</f>
        <v/>
      </c>
      <c r="G564" s="21">
        <f>IFERROR(INDEX(Users!$A$2:$A$310,MATCH(A564,Users!$B$2:$B$310,0)),"")</f>
        <v/>
      </c>
      <c r="H564" s="21">
        <f>IFERROR(INDEX(Users!$D$2:$D$310,MATCH(A564,Users!$B$2:$B$310,0)),"")</f>
        <v/>
      </c>
      <c r="I564" s="19">
        <f>AND(G564="Service A",H564="Band 3")</f>
        <v/>
      </c>
      <c r="J564" s="33">
        <f>IF(AND(YEAR(B564)=2025,G564="Service B",OR(H564="Band 3",H564="Band 5"),ISNUMBER(F564)),F564,"")</f>
        <v/>
      </c>
    </row>
    <row r="565">
      <c r="A565" s="19" t="inlineStr">
        <is>
          <t>User1066</t>
        </is>
      </c>
      <c r="B565" s="60" t="n">
        <v>45748</v>
      </c>
      <c r="C565" s="21" t="n">
        <v>148</v>
      </c>
      <c r="D565" s="21" t="n"/>
      <c r="E565" s="21" t="n"/>
      <c r="F565" s="27">
        <f>IFERROR(IF(OR(C565="",D565="",C565=0),"",D565/C565),"")</f>
        <v/>
      </c>
      <c r="G565" s="21">
        <f>IFERROR(INDEX(Users!$A$2:$A$310,MATCH(A565,Users!$B$2:$B$310,0)),"")</f>
        <v/>
      </c>
      <c r="H565" s="21">
        <f>IFERROR(INDEX(Users!$D$2:$D$310,MATCH(A565,Users!$B$2:$B$310,0)),"")</f>
        <v/>
      </c>
      <c r="I565" s="19">
        <f>AND(G565="Service A",H565="Band 3")</f>
        <v/>
      </c>
      <c r="J565" s="33">
        <f>IF(AND(YEAR(B565)=2025,G565="Service B",OR(H565="Band 3",H565="Band 5"),ISNUMBER(F565)),F565,"")</f>
        <v/>
      </c>
    </row>
    <row r="566">
      <c r="A566" s="19" t="inlineStr">
        <is>
          <t>User1066</t>
        </is>
      </c>
      <c r="B566" s="60" t="n">
        <v>45778</v>
      </c>
      <c r="C566" s="21" t="n">
        <v>148</v>
      </c>
      <c r="D566" s="21" t="n">
        <v>127.1105555555555</v>
      </c>
      <c r="E566" s="21" t="n">
        <v>55.25</v>
      </c>
      <c r="F566" s="27">
        <f>IFERROR(IF(OR(C566="",D566="",C566=0),"",D566/C566),"")</f>
        <v/>
      </c>
      <c r="G566" s="21">
        <f>IFERROR(INDEX(Users!$A$2:$A$310,MATCH(A566,Users!$B$2:$B$310,0)),"")</f>
        <v/>
      </c>
      <c r="H566" s="21">
        <f>IFERROR(INDEX(Users!$D$2:$D$310,MATCH(A566,Users!$B$2:$B$310,0)),"")</f>
        <v/>
      </c>
      <c r="I566" s="19">
        <f>AND(G566="Service A",H566="Band 3")</f>
        <v/>
      </c>
      <c r="J566" s="33">
        <f>IF(AND(YEAR(B566)=2025,G566="Service B",OR(H566="Band 3",H566="Band 5"),ISNUMBER(F566)),F566,"")</f>
        <v/>
      </c>
    </row>
    <row r="567">
      <c r="A567" s="19" t="inlineStr">
        <is>
          <t>User1066</t>
        </is>
      </c>
      <c r="B567" s="60" t="n">
        <v>45809</v>
      </c>
      <c r="C567" s="21" t="n">
        <v>155.4</v>
      </c>
      <c r="D567" s="21" t="n">
        <v>167.6261111111111</v>
      </c>
      <c r="E567" s="21" t="n">
        <v>84.76000000000001</v>
      </c>
      <c r="F567" s="27">
        <f>IFERROR(IF(OR(C567="",D567="",C567=0),"",D567/C567),"")</f>
        <v/>
      </c>
      <c r="G567" s="21">
        <f>IFERROR(INDEX(Users!$A$2:$A$310,MATCH(A567,Users!$B$2:$B$310,0)),"")</f>
        <v/>
      </c>
      <c r="H567" s="21">
        <f>IFERROR(INDEX(Users!$D$2:$D$310,MATCH(A567,Users!$B$2:$B$310,0)),"")</f>
        <v/>
      </c>
      <c r="I567" s="19">
        <f>AND(G567="Service A",H567="Band 3")</f>
        <v/>
      </c>
      <c r="J567" s="33">
        <f>IF(AND(YEAR(B567)=2025,G567="Service B",OR(H567="Band 3",H567="Band 5"),ISNUMBER(F567)),F567,"")</f>
        <v/>
      </c>
    </row>
    <row r="568">
      <c r="A568" s="19" t="inlineStr">
        <is>
          <t>User1066</t>
        </is>
      </c>
      <c r="B568" s="60" t="n">
        <v>45839</v>
      </c>
      <c r="C568" s="21" t="n">
        <v>170.2</v>
      </c>
      <c r="D568" s="21" t="n">
        <v>164.4563888888889</v>
      </c>
      <c r="E568" s="21" t="n">
        <v>89.79000000000001</v>
      </c>
      <c r="F568" s="27">
        <f>IFERROR(IF(OR(C568="",D568="",C568=0),"",D568/C568),"")</f>
        <v/>
      </c>
      <c r="G568" s="21">
        <f>IFERROR(INDEX(Users!$A$2:$A$310,MATCH(A568,Users!$B$2:$B$310,0)),"")</f>
        <v/>
      </c>
      <c r="H568" s="21">
        <f>IFERROR(INDEX(Users!$D$2:$D$310,MATCH(A568,Users!$B$2:$B$310,0)),"")</f>
        <v/>
      </c>
      <c r="I568" s="19">
        <f>AND(G568="Service A",H568="Band 3")</f>
        <v/>
      </c>
      <c r="J568" s="33">
        <f>IF(AND(YEAR(B568)=2025,G568="Service B",OR(H568="Band 3",H568="Band 5"),ISNUMBER(F568)),F568,"")</f>
        <v/>
      </c>
    </row>
    <row r="569">
      <c r="A569" s="19" t="inlineStr">
        <is>
          <t>User1066</t>
        </is>
      </c>
      <c r="B569" s="60" t="n">
        <v>45870</v>
      </c>
      <c r="C569" s="21" t="n">
        <v>148</v>
      </c>
      <c r="D569" s="21" t="n">
        <v>144.1291666666667</v>
      </c>
      <c r="E569" s="21" t="n">
        <v>80.01000000000001</v>
      </c>
      <c r="F569" s="27">
        <f>IFERROR(IF(OR(C569="",D569="",C569=0),"",D569/C569),"")</f>
        <v/>
      </c>
      <c r="G569" s="21">
        <f>IFERROR(INDEX(Users!$A$2:$A$310,MATCH(A569,Users!$B$2:$B$310,0)),"")</f>
        <v/>
      </c>
      <c r="H569" s="21">
        <f>IFERROR(INDEX(Users!$D$2:$D$310,MATCH(A569,Users!$B$2:$B$310,0)),"")</f>
        <v/>
      </c>
      <c r="I569" s="19">
        <f>AND(G569="Service A",H569="Band 3")</f>
        <v/>
      </c>
      <c r="J569" s="33">
        <f>IF(AND(YEAR(B569)=2025,G569="Service B",OR(H569="Band 3",H569="Band 5"),ISNUMBER(F569)),F569,"")</f>
        <v/>
      </c>
    </row>
    <row r="570">
      <c r="A570" s="19" t="inlineStr">
        <is>
          <t>User1066</t>
        </is>
      </c>
      <c r="B570" s="60" t="n">
        <v>45901</v>
      </c>
      <c r="C570" s="21" t="n">
        <v>162.8</v>
      </c>
      <c r="D570" s="21" t="n">
        <v>140.6222222222222</v>
      </c>
      <c r="E570" s="21" t="n">
        <v>74.06</v>
      </c>
      <c r="F570" s="27">
        <f>IFERROR(IF(OR(C570="",D570="",C570=0),"",D570/C570),"")</f>
        <v/>
      </c>
      <c r="G570" s="21">
        <f>IFERROR(INDEX(Users!$A$2:$A$310,MATCH(A570,Users!$B$2:$B$310,0)),"")</f>
        <v/>
      </c>
      <c r="H570" s="21">
        <f>IFERROR(INDEX(Users!$D$2:$D$310,MATCH(A570,Users!$B$2:$B$310,0)),"")</f>
        <v/>
      </c>
      <c r="I570" s="19">
        <f>AND(G570="Service A",H570="Band 3")</f>
        <v/>
      </c>
      <c r="J570" s="33">
        <f>IF(AND(YEAR(B570)=2025,G570="Service B",OR(H570="Band 3",H570="Band 5"),ISNUMBER(F570)),F570,"")</f>
        <v/>
      </c>
    </row>
    <row r="571">
      <c r="A571" s="19" t="inlineStr">
        <is>
          <t>User1066</t>
        </is>
      </c>
      <c r="B571" s="60" t="n">
        <v>45931</v>
      </c>
      <c r="C571" s="21" t="n">
        <v>170.2</v>
      </c>
      <c r="D571" s="21" t="n">
        <v>140.9119444444444</v>
      </c>
      <c r="E571" s="21" t="n">
        <v>84.97</v>
      </c>
      <c r="F571" s="27">
        <f>IFERROR(IF(OR(C571="",D571="",C571=0),"",D571/C571),"")</f>
        <v/>
      </c>
      <c r="G571" s="21">
        <f>IFERROR(INDEX(Users!$A$2:$A$310,MATCH(A571,Users!$B$2:$B$310,0)),"")</f>
        <v/>
      </c>
      <c r="H571" s="21">
        <f>IFERROR(INDEX(Users!$D$2:$D$310,MATCH(A571,Users!$B$2:$B$310,0)),"")</f>
        <v/>
      </c>
      <c r="I571" s="19">
        <f>AND(G571="Service A",H571="Band 3")</f>
        <v/>
      </c>
      <c r="J571" s="33">
        <f>IF(AND(YEAR(B571)=2025,G571="Service B",OR(H571="Band 3",H571="Band 5"),ISNUMBER(F571)),F571,"")</f>
        <v/>
      </c>
    </row>
    <row r="572">
      <c r="A572" s="19" t="inlineStr">
        <is>
          <t>User1066</t>
        </is>
      </c>
      <c r="B572" s="60" t="n">
        <v>45962</v>
      </c>
      <c r="C572" s="21" t="n">
        <v>148</v>
      </c>
      <c r="D572" s="21" t="n">
        <v>154.9733333333333</v>
      </c>
      <c r="E572" s="21" t="n">
        <v>88.88999999999999</v>
      </c>
      <c r="F572" s="27">
        <f>IFERROR(IF(OR(C572="",D572="",C572=0),"",D572/C572),"")</f>
        <v/>
      </c>
      <c r="G572" s="21">
        <f>IFERROR(INDEX(Users!$A$2:$A$310,MATCH(A572,Users!$B$2:$B$310,0)),"")</f>
        <v/>
      </c>
      <c r="H572" s="21">
        <f>IFERROR(INDEX(Users!$D$2:$D$310,MATCH(A572,Users!$B$2:$B$310,0)),"")</f>
        <v/>
      </c>
      <c r="I572" s="19">
        <f>AND(G572="Service A",H572="Band 3")</f>
        <v/>
      </c>
      <c r="J572" s="33">
        <f>IF(AND(YEAR(B572)=2025,G572="Service B",OR(H572="Band 3",H572="Band 5"),ISNUMBER(F572)),F572,"")</f>
        <v/>
      </c>
    </row>
    <row r="573">
      <c r="A573" s="19" t="inlineStr">
        <is>
          <t>User1066</t>
        </is>
      </c>
      <c r="B573" s="60" t="n">
        <v>45992</v>
      </c>
      <c r="C573" s="21" t="n">
        <v>155.4</v>
      </c>
      <c r="D573" s="21" t="n">
        <v>123.5675</v>
      </c>
      <c r="E573" s="21" t="n">
        <v>66.51000000000001</v>
      </c>
      <c r="F573" s="27">
        <f>IFERROR(IF(OR(C573="",D573="",C573=0),"",D573/C573),"")</f>
        <v/>
      </c>
      <c r="G573" s="21">
        <f>IFERROR(INDEX(Users!$A$2:$A$310,MATCH(A573,Users!$B$2:$B$310,0)),"")</f>
        <v/>
      </c>
      <c r="H573" s="21">
        <f>IFERROR(INDEX(Users!$D$2:$D$310,MATCH(A573,Users!$B$2:$B$310,0)),"")</f>
        <v/>
      </c>
      <c r="I573" s="19">
        <f>AND(G573="Service A",H573="Band 3")</f>
        <v/>
      </c>
      <c r="J573" s="33">
        <f>IF(AND(YEAR(B573)=2025,G573="Service B",OR(H573="Band 3",H573="Band 5"),ISNUMBER(F573)),F573,"")</f>
        <v/>
      </c>
    </row>
    <row r="574">
      <c r="A574" s="19" t="inlineStr">
        <is>
          <t>User1066</t>
        </is>
      </c>
      <c r="B574" s="60" t="n">
        <v>46023</v>
      </c>
      <c r="C574" s="21" t="n">
        <v>155.4</v>
      </c>
      <c r="D574" s="21" t="n">
        <v>93.99416666666667</v>
      </c>
      <c r="E574" s="21" t="n">
        <v>39.17</v>
      </c>
      <c r="F574" s="27">
        <f>IFERROR(IF(OR(C574="",D574="",C574=0),"",D574/C574),"")</f>
        <v/>
      </c>
      <c r="G574" s="21">
        <f>IFERROR(INDEX(Users!$A$2:$A$310,MATCH(A574,Users!$B$2:$B$310,0)),"")</f>
        <v/>
      </c>
      <c r="H574" s="21">
        <f>IFERROR(INDEX(Users!$D$2:$D$310,MATCH(A574,Users!$B$2:$B$310,0)),"")</f>
        <v/>
      </c>
      <c r="I574" s="19">
        <f>AND(G574="Service A",H574="Band 3")</f>
        <v/>
      </c>
      <c r="J574" s="33">
        <f>IF(AND(YEAR(B574)=2025,G574="Service B",OR(H574="Band 3",H574="Band 5"),ISNUMBER(F574)),F574,"")</f>
        <v/>
      </c>
    </row>
    <row r="575">
      <c r="A575" s="19" t="inlineStr">
        <is>
          <t>User1067</t>
        </is>
      </c>
      <c r="B575" s="60" t="n">
        <v>45658</v>
      </c>
      <c r="C575" s="21" t="n">
        <v>162.8</v>
      </c>
      <c r="D575" s="21" t="n">
        <v>193.8399999999999</v>
      </c>
      <c r="E575" s="21" t="n">
        <v>145.5899999999999</v>
      </c>
      <c r="F575" s="27">
        <f>IFERROR(IF(OR(C575="",D575="",C575=0),"",D575/C575),"")</f>
        <v/>
      </c>
      <c r="G575" s="21">
        <f>IFERROR(INDEX(Users!$A$2:$A$310,MATCH(A575,Users!$B$2:$B$310,0)),"")</f>
        <v/>
      </c>
      <c r="H575" s="21">
        <f>IFERROR(INDEX(Users!$D$2:$D$310,MATCH(A575,Users!$B$2:$B$310,0)),"")</f>
        <v/>
      </c>
      <c r="I575" s="19">
        <f>AND(G575="Service A",H575="Band 3")</f>
        <v/>
      </c>
      <c r="J575" s="33">
        <f>IF(AND(YEAR(B575)=2025,G575="Service B",OR(H575="Band 3",H575="Band 5"),ISNUMBER(F575)),F575,"")</f>
        <v/>
      </c>
    </row>
    <row r="576">
      <c r="A576" s="19" t="inlineStr">
        <is>
          <t>User1067</t>
        </is>
      </c>
      <c r="B576" s="60" t="n">
        <v>45689</v>
      </c>
      <c r="C576" s="21" t="n">
        <v>148</v>
      </c>
      <c r="D576" s="21" t="n">
        <v>128.77</v>
      </c>
      <c r="E576" s="21" t="n">
        <v>85.52000000000001</v>
      </c>
      <c r="F576" s="27">
        <f>IFERROR(IF(OR(C576="",D576="",C576=0),"",D576/C576),"")</f>
        <v/>
      </c>
      <c r="G576" s="21">
        <f>IFERROR(INDEX(Users!$A$2:$A$310,MATCH(A576,Users!$B$2:$B$310,0)),"")</f>
        <v/>
      </c>
      <c r="H576" s="21">
        <f>IFERROR(INDEX(Users!$D$2:$D$310,MATCH(A576,Users!$B$2:$B$310,0)),"")</f>
        <v/>
      </c>
      <c r="I576" s="19">
        <f>AND(G576="Service A",H576="Band 3")</f>
        <v/>
      </c>
      <c r="J576" s="33">
        <f>IF(AND(YEAR(B576)=2025,G576="Service B",OR(H576="Band 3",H576="Band 5"),ISNUMBER(F576)),F576,"")</f>
        <v/>
      </c>
    </row>
    <row r="577">
      <c r="A577" s="19" t="inlineStr">
        <is>
          <t>User1067</t>
        </is>
      </c>
      <c r="B577" s="60" t="n">
        <v>45717</v>
      </c>
      <c r="C577" s="21" t="n">
        <v>155.4</v>
      </c>
      <c r="D577" s="21" t="n">
        <v>187.4333333333333</v>
      </c>
      <c r="E577" s="21" t="n">
        <v>108.85</v>
      </c>
      <c r="F577" s="27">
        <f>IFERROR(IF(OR(C577="",D577="",C577=0),"",D577/C577),"")</f>
        <v/>
      </c>
      <c r="G577" s="21">
        <f>IFERROR(INDEX(Users!$A$2:$A$310,MATCH(A577,Users!$B$2:$B$310,0)),"")</f>
        <v/>
      </c>
      <c r="H577" s="21">
        <f>IFERROR(INDEX(Users!$D$2:$D$310,MATCH(A577,Users!$B$2:$B$310,0)),"")</f>
        <v/>
      </c>
      <c r="I577" s="19">
        <f>AND(G577="Service A",H577="Band 3")</f>
        <v/>
      </c>
      <c r="J577" s="33">
        <f>IF(AND(YEAR(B577)=2025,G577="Service B",OR(H577="Band 3",H577="Band 5"),ISNUMBER(F577)),F577,"")</f>
        <v/>
      </c>
    </row>
    <row r="578">
      <c r="A578" s="19" t="inlineStr">
        <is>
          <t>User1067</t>
        </is>
      </c>
      <c r="B578" s="60" t="n">
        <v>45748</v>
      </c>
      <c r="C578" s="21" t="n">
        <v>148</v>
      </c>
      <c r="D578" s="21" t="n">
        <v>127.2066666666667</v>
      </c>
      <c r="E578" s="21" t="n">
        <v>80.29000000000001</v>
      </c>
      <c r="F578" s="27">
        <f>IFERROR(IF(OR(C578="",D578="",C578=0),"",D578/C578),"")</f>
        <v/>
      </c>
      <c r="G578" s="21">
        <f>IFERROR(INDEX(Users!$A$2:$A$310,MATCH(A578,Users!$B$2:$B$310,0)),"")</f>
        <v/>
      </c>
      <c r="H578" s="21">
        <f>IFERROR(INDEX(Users!$D$2:$D$310,MATCH(A578,Users!$B$2:$B$310,0)),"")</f>
        <v/>
      </c>
      <c r="I578" s="19">
        <f>AND(G578="Service A",H578="Band 3")</f>
        <v/>
      </c>
      <c r="J578" s="33">
        <f>IF(AND(YEAR(B578)=2025,G578="Service B",OR(H578="Band 3",H578="Band 5"),ISNUMBER(F578)),F578,"")</f>
        <v/>
      </c>
    </row>
    <row r="579">
      <c r="A579" s="19" t="inlineStr">
        <is>
          <t>User1067</t>
        </is>
      </c>
      <c r="B579" s="60" t="n">
        <v>45778</v>
      </c>
      <c r="C579" s="21" t="n">
        <v>148</v>
      </c>
      <c r="D579" s="21" t="n">
        <v>129.72</v>
      </c>
      <c r="E579" s="21" t="n">
        <v>81.72</v>
      </c>
      <c r="F579" s="27">
        <f>IFERROR(IF(OR(C579="",D579="",C579=0),"",D579/C579),"")</f>
        <v/>
      </c>
      <c r="G579" s="21">
        <f>IFERROR(INDEX(Users!$A$2:$A$310,MATCH(A579,Users!$B$2:$B$310,0)),"")</f>
        <v/>
      </c>
      <c r="H579" s="21">
        <f>IFERROR(INDEX(Users!$D$2:$D$310,MATCH(A579,Users!$B$2:$B$310,0)),"")</f>
        <v/>
      </c>
      <c r="I579" s="19">
        <f>AND(G579="Service A",H579="Band 3")</f>
        <v/>
      </c>
      <c r="J579" s="33">
        <f>IF(AND(YEAR(B579)=2025,G579="Service B",OR(H579="Band 3",H579="Band 5"),ISNUMBER(F579)),F579,"")</f>
        <v/>
      </c>
    </row>
    <row r="580">
      <c r="A580" s="19" t="inlineStr">
        <is>
          <t>User1067</t>
        </is>
      </c>
      <c r="B580" s="60" t="n">
        <v>45809</v>
      </c>
      <c r="C580" s="21" t="n">
        <v>155.4</v>
      </c>
      <c r="D580" s="21" t="n">
        <v>141.5766666666667</v>
      </c>
      <c r="E580" s="21" t="n">
        <v>97.16</v>
      </c>
      <c r="F580" s="27">
        <f>IFERROR(IF(OR(C580="",D580="",C580=0),"",D580/C580),"")</f>
        <v/>
      </c>
      <c r="G580" s="21">
        <f>IFERROR(INDEX(Users!$A$2:$A$310,MATCH(A580,Users!$B$2:$B$310,0)),"")</f>
        <v/>
      </c>
      <c r="H580" s="21">
        <f>IFERROR(INDEX(Users!$D$2:$D$310,MATCH(A580,Users!$B$2:$B$310,0)),"")</f>
        <v/>
      </c>
      <c r="I580" s="19">
        <f>AND(G580="Service A",H580="Band 3")</f>
        <v/>
      </c>
      <c r="J580" s="33">
        <f>IF(AND(YEAR(B580)=2025,G580="Service B",OR(H580="Band 3",H580="Band 5"),ISNUMBER(F580)),F580,"")</f>
        <v/>
      </c>
    </row>
    <row r="581">
      <c r="A581" s="19" t="inlineStr">
        <is>
          <t>User1067</t>
        </is>
      </c>
      <c r="B581" s="60" t="n">
        <v>45839</v>
      </c>
      <c r="C581" s="21" t="n">
        <v>170.2</v>
      </c>
      <c r="D581" s="21" t="n">
        <v>185.6333333333334</v>
      </c>
      <c r="E581" s="21" t="n">
        <v>144.8</v>
      </c>
      <c r="F581" s="27">
        <f>IFERROR(IF(OR(C581="",D581="",C581=0),"",D581/C581),"")</f>
        <v/>
      </c>
      <c r="G581" s="21">
        <f>IFERROR(INDEX(Users!$A$2:$A$310,MATCH(A581,Users!$B$2:$B$310,0)),"")</f>
        <v/>
      </c>
      <c r="H581" s="21">
        <f>IFERROR(INDEX(Users!$D$2:$D$310,MATCH(A581,Users!$B$2:$B$310,0)),"")</f>
        <v/>
      </c>
      <c r="I581" s="19">
        <f>AND(G581="Service A",H581="Band 3")</f>
        <v/>
      </c>
      <c r="J581" s="33">
        <f>IF(AND(YEAR(B581)=2025,G581="Service B",OR(H581="Band 3",H581="Band 5"),ISNUMBER(F581)),F581,"")</f>
        <v/>
      </c>
    </row>
    <row r="582">
      <c r="A582" s="19" t="inlineStr">
        <is>
          <t>User1067</t>
        </is>
      </c>
      <c r="B582" s="60" t="n">
        <v>45870</v>
      </c>
      <c r="C582" s="21" t="n">
        <v>148</v>
      </c>
      <c r="D582" s="21" t="n">
        <v>2.5</v>
      </c>
      <c r="E582" s="21" t="n">
        <v>2.5</v>
      </c>
      <c r="F582" s="27">
        <f>IFERROR(IF(OR(C582="",D582="",C582=0),"",D582/C582),"")</f>
        <v/>
      </c>
      <c r="G582" s="21">
        <f>IFERROR(INDEX(Users!$A$2:$A$310,MATCH(A582,Users!$B$2:$B$310,0)),"")</f>
        <v/>
      </c>
      <c r="H582" s="21">
        <f>IFERROR(INDEX(Users!$D$2:$D$310,MATCH(A582,Users!$B$2:$B$310,0)),"")</f>
        <v/>
      </c>
      <c r="I582" s="19">
        <f>AND(G582="Service A",H582="Band 3")</f>
        <v/>
      </c>
      <c r="J582" s="33">
        <f>IF(AND(YEAR(B582)=2025,G582="Service B",OR(H582="Band 3",H582="Band 5"),ISNUMBER(F582)),F582,"")</f>
        <v/>
      </c>
    </row>
    <row r="583">
      <c r="A583" s="19" t="inlineStr">
        <is>
          <t>User1067</t>
        </is>
      </c>
      <c r="B583" s="60" t="n">
        <v>45901</v>
      </c>
      <c r="C583" s="21" t="n">
        <v>162.8</v>
      </c>
      <c r="D583" s="21" t="n">
        <v>197.6166666666667</v>
      </c>
      <c r="E583" s="21" t="n">
        <v>107.45</v>
      </c>
      <c r="F583" s="27">
        <f>IFERROR(IF(OR(C583="",D583="",C583=0),"",D583/C583),"")</f>
        <v/>
      </c>
      <c r="G583" s="21">
        <f>IFERROR(INDEX(Users!$A$2:$A$310,MATCH(A583,Users!$B$2:$B$310,0)),"")</f>
        <v/>
      </c>
      <c r="H583" s="21">
        <f>IFERROR(INDEX(Users!$D$2:$D$310,MATCH(A583,Users!$B$2:$B$310,0)),"")</f>
        <v/>
      </c>
      <c r="I583" s="19">
        <f>AND(G583="Service A",H583="Band 3")</f>
        <v/>
      </c>
      <c r="J583" s="33">
        <f>IF(AND(YEAR(B583)=2025,G583="Service B",OR(H583="Band 3",H583="Band 5"),ISNUMBER(F583)),F583,"")</f>
        <v/>
      </c>
    </row>
    <row r="584">
      <c r="A584" s="19" t="inlineStr">
        <is>
          <t>User1067</t>
        </is>
      </c>
      <c r="B584" s="60" t="n">
        <v>45931</v>
      </c>
      <c r="C584" s="21" t="n">
        <v>170.2</v>
      </c>
      <c r="D584" s="21" t="n">
        <v>190.3066666666667</v>
      </c>
      <c r="E584" s="21" t="n">
        <v>119.64</v>
      </c>
      <c r="F584" s="27">
        <f>IFERROR(IF(OR(C584="",D584="",C584=0),"",D584/C584),"")</f>
        <v/>
      </c>
      <c r="G584" s="21">
        <f>IFERROR(INDEX(Users!$A$2:$A$310,MATCH(A584,Users!$B$2:$B$310,0)),"")</f>
        <v/>
      </c>
      <c r="H584" s="21">
        <f>IFERROR(INDEX(Users!$D$2:$D$310,MATCH(A584,Users!$B$2:$B$310,0)),"")</f>
        <v/>
      </c>
      <c r="I584" s="19">
        <f>AND(G584="Service A",H584="Band 3")</f>
        <v/>
      </c>
      <c r="J584" s="33">
        <f>IF(AND(YEAR(B584)=2025,G584="Service B",OR(H584="Band 3",H584="Band 5"),ISNUMBER(F584)),F584,"")</f>
        <v/>
      </c>
    </row>
    <row r="585">
      <c r="A585" s="19" t="inlineStr">
        <is>
          <t>User1067</t>
        </is>
      </c>
      <c r="B585" s="60" t="n">
        <v>45962</v>
      </c>
      <c r="C585" s="21" t="n">
        <v>148</v>
      </c>
      <c r="D585" s="21" t="n">
        <v>170.0066666666667</v>
      </c>
      <c r="E585" s="21" t="n">
        <v>109.59</v>
      </c>
      <c r="F585" s="27">
        <f>IFERROR(IF(OR(C585="",D585="",C585=0),"",D585/C585),"")</f>
        <v/>
      </c>
      <c r="G585" s="21">
        <f>IFERROR(INDEX(Users!$A$2:$A$310,MATCH(A585,Users!$B$2:$B$310,0)),"")</f>
        <v/>
      </c>
      <c r="H585" s="21">
        <f>IFERROR(INDEX(Users!$D$2:$D$310,MATCH(A585,Users!$B$2:$B$310,0)),"")</f>
        <v/>
      </c>
      <c r="I585" s="19">
        <f>AND(G585="Service A",H585="Band 3")</f>
        <v/>
      </c>
      <c r="J585" s="33">
        <f>IF(AND(YEAR(B585)=2025,G585="Service B",OR(H585="Band 3",H585="Band 5"),ISNUMBER(F585)),F585,"")</f>
        <v/>
      </c>
    </row>
    <row r="586">
      <c r="A586" s="19" t="inlineStr">
        <is>
          <t>User1067</t>
        </is>
      </c>
      <c r="B586" s="60" t="n">
        <v>45992</v>
      </c>
      <c r="C586" s="21" t="n">
        <v>155.4</v>
      </c>
      <c r="D586" s="21" t="n">
        <v>140.9233333333333</v>
      </c>
      <c r="E586" s="21" t="n">
        <v>87.83999999999999</v>
      </c>
      <c r="F586" s="27">
        <f>IFERROR(IF(OR(C586="",D586="",C586=0),"",D586/C586),"")</f>
        <v/>
      </c>
      <c r="G586" s="21">
        <f>IFERROR(INDEX(Users!$A$2:$A$310,MATCH(A586,Users!$B$2:$B$310,0)),"")</f>
        <v/>
      </c>
      <c r="H586" s="21">
        <f>IFERROR(INDEX(Users!$D$2:$D$310,MATCH(A586,Users!$B$2:$B$310,0)),"")</f>
        <v/>
      </c>
      <c r="I586" s="19">
        <f>AND(G586="Service A",H586="Band 3")</f>
        <v/>
      </c>
      <c r="J586" s="33">
        <f>IF(AND(YEAR(B586)=2025,G586="Service B",OR(H586="Band 3",H586="Band 5"),ISNUMBER(F586)),F586,"")</f>
        <v/>
      </c>
    </row>
    <row r="587">
      <c r="A587" s="19" t="inlineStr">
        <is>
          <t>User1067</t>
        </is>
      </c>
      <c r="B587" s="60" t="n">
        <v>46023</v>
      </c>
      <c r="C587" s="21" t="n">
        <v>155.4</v>
      </c>
      <c r="D587" s="21" t="n">
        <v>157.99</v>
      </c>
      <c r="E587" s="21" t="n">
        <v>96.98999999999999</v>
      </c>
      <c r="F587" s="27">
        <f>IFERROR(IF(OR(C587="",D587="",C587=0),"",D587/C587),"")</f>
        <v/>
      </c>
      <c r="G587" s="21">
        <f>IFERROR(INDEX(Users!$A$2:$A$310,MATCH(A587,Users!$B$2:$B$310,0)),"")</f>
        <v/>
      </c>
      <c r="H587" s="21">
        <f>IFERROR(INDEX(Users!$D$2:$D$310,MATCH(A587,Users!$B$2:$B$310,0)),"")</f>
        <v/>
      </c>
      <c r="I587" s="19">
        <f>AND(G587="Service A",H587="Band 3")</f>
        <v/>
      </c>
      <c r="J587" s="33">
        <f>IF(AND(YEAR(B587)=2025,G587="Service B",OR(H587="Band 3",H587="Band 5"),ISNUMBER(F587)),F587,"")</f>
        <v/>
      </c>
    </row>
    <row r="588">
      <c r="A588" s="19" t="inlineStr">
        <is>
          <t>User1068</t>
        </is>
      </c>
      <c r="B588" s="60" t="n">
        <v>45658</v>
      </c>
      <c r="C588" s="21" t="n">
        <v>162.8</v>
      </c>
      <c r="D588" s="21" t="n">
        <v>110.65</v>
      </c>
      <c r="E588" s="21" t="n">
        <v>87.15000000000001</v>
      </c>
      <c r="F588" s="27">
        <f>IFERROR(IF(OR(C588="",D588="",C588=0),"",D588/C588),"")</f>
        <v/>
      </c>
      <c r="G588" s="21">
        <f>IFERROR(INDEX(Users!$A$2:$A$310,MATCH(A588,Users!$B$2:$B$310,0)),"")</f>
        <v/>
      </c>
      <c r="H588" s="21">
        <f>IFERROR(INDEX(Users!$D$2:$D$310,MATCH(A588,Users!$B$2:$B$310,0)),"")</f>
        <v/>
      </c>
      <c r="I588" s="19">
        <f>AND(G588="Service A",H588="Band 3")</f>
        <v/>
      </c>
      <c r="J588" s="33">
        <f>IF(AND(YEAR(B588)=2025,G588="Service B",OR(H588="Band 3",H588="Band 5"),ISNUMBER(F588)),F588,"")</f>
        <v/>
      </c>
    </row>
    <row r="589">
      <c r="A589" s="19" t="inlineStr">
        <is>
          <t>User1068</t>
        </is>
      </c>
      <c r="B589" s="60" t="n">
        <v>45689</v>
      </c>
      <c r="C589" s="21" t="n">
        <v>148</v>
      </c>
      <c r="D589" s="21" t="n">
        <v>129.2233333333333</v>
      </c>
      <c r="E589" s="21" t="n">
        <v>111.14</v>
      </c>
      <c r="F589" s="27">
        <f>IFERROR(IF(OR(C589="",D589="",C589=0),"",D589/C589),"")</f>
        <v/>
      </c>
      <c r="G589" s="21">
        <f>IFERROR(INDEX(Users!$A$2:$A$310,MATCH(A589,Users!$B$2:$B$310,0)),"")</f>
        <v/>
      </c>
      <c r="H589" s="21">
        <f>IFERROR(INDEX(Users!$D$2:$D$310,MATCH(A589,Users!$B$2:$B$310,0)),"")</f>
        <v/>
      </c>
      <c r="I589" s="19">
        <f>AND(G589="Service A",H589="Band 3")</f>
        <v/>
      </c>
      <c r="J589" s="33">
        <f>IF(AND(YEAR(B589)=2025,G589="Service B",OR(H589="Band 3",H589="Band 5"),ISNUMBER(F589)),F589,"")</f>
        <v/>
      </c>
    </row>
    <row r="590">
      <c r="A590" s="19" t="inlineStr">
        <is>
          <t>User1068</t>
        </is>
      </c>
      <c r="B590" s="60" t="n">
        <v>45717</v>
      </c>
      <c r="C590" s="21" t="n">
        <v>155.4</v>
      </c>
      <c r="D590" s="21" t="n">
        <v>136.2466666666667</v>
      </c>
      <c r="E590" s="21" t="n">
        <v>96.83</v>
      </c>
      <c r="F590" s="27">
        <f>IFERROR(IF(OR(C590="",D590="",C590=0),"",D590/C590),"")</f>
        <v/>
      </c>
      <c r="G590" s="21">
        <f>IFERROR(INDEX(Users!$A$2:$A$310,MATCH(A590,Users!$B$2:$B$310,0)),"")</f>
        <v/>
      </c>
      <c r="H590" s="21">
        <f>IFERROR(INDEX(Users!$D$2:$D$310,MATCH(A590,Users!$B$2:$B$310,0)),"")</f>
        <v/>
      </c>
      <c r="I590" s="19">
        <f>AND(G590="Service A",H590="Band 3")</f>
        <v/>
      </c>
      <c r="J590" s="33">
        <f>IF(AND(YEAR(B590)=2025,G590="Service B",OR(H590="Band 3",H590="Band 5"),ISNUMBER(F590)),F590,"")</f>
        <v/>
      </c>
    </row>
    <row r="591">
      <c r="A591" s="19" t="inlineStr">
        <is>
          <t>User1068</t>
        </is>
      </c>
      <c r="B591" s="60" t="n">
        <v>45748</v>
      </c>
      <c r="C591" s="21" t="n">
        <v>148</v>
      </c>
      <c r="D591" s="21" t="n">
        <v>139.4366666666667</v>
      </c>
      <c r="E591" s="21" t="n">
        <v>112.27</v>
      </c>
      <c r="F591" s="27">
        <f>IFERROR(IF(OR(C591="",D591="",C591=0),"",D591/C591),"")</f>
        <v/>
      </c>
      <c r="G591" s="21">
        <f>IFERROR(INDEX(Users!$A$2:$A$310,MATCH(A591,Users!$B$2:$B$310,0)),"")</f>
        <v/>
      </c>
      <c r="H591" s="21">
        <f>IFERROR(INDEX(Users!$D$2:$D$310,MATCH(A591,Users!$B$2:$B$310,0)),"")</f>
        <v/>
      </c>
      <c r="I591" s="19">
        <f>AND(G591="Service A",H591="Band 3")</f>
        <v/>
      </c>
      <c r="J591" s="33">
        <f>IF(AND(YEAR(B591)=2025,G591="Service B",OR(H591="Band 3",H591="Band 5"),ISNUMBER(F591)),F591,"")</f>
        <v/>
      </c>
    </row>
    <row r="592">
      <c r="A592" s="19" t="inlineStr">
        <is>
          <t>User1068</t>
        </is>
      </c>
      <c r="B592" s="60" t="n">
        <v>45778</v>
      </c>
      <c r="C592" s="21" t="n">
        <v>148</v>
      </c>
      <c r="D592" s="21" t="n">
        <v>123.2266666666667</v>
      </c>
      <c r="E592" s="21" t="n">
        <v>100.31</v>
      </c>
      <c r="F592" s="27">
        <f>IFERROR(IF(OR(C592="",D592="",C592=0),"",D592/C592),"")</f>
        <v/>
      </c>
      <c r="G592" s="21">
        <f>IFERROR(INDEX(Users!$A$2:$A$310,MATCH(A592,Users!$B$2:$B$310,0)),"")</f>
        <v/>
      </c>
      <c r="H592" s="21">
        <f>IFERROR(INDEX(Users!$D$2:$D$310,MATCH(A592,Users!$B$2:$B$310,0)),"")</f>
        <v/>
      </c>
      <c r="I592" s="19">
        <f>AND(G592="Service A",H592="Band 3")</f>
        <v/>
      </c>
      <c r="J592" s="33">
        <f>IF(AND(YEAR(B592)=2025,G592="Service B",OR(H592="Band 3",H592="Band 5"),ISNUMBER(F592)),F592,"")</f>
        <v/>
      </c>
    </row>
    <row r="593">
      <c r="A593" s="19" t="inlineStr">
        <is>
          <t>User1068</t>
        </is>
      </c>
      <c r="B593" s="60" t="n">
        <v>45809</v>
      </c>
      <c r="C593" s="21" t="n">
        <v>155.4</v>
      </c>
      <c r="D593" s="21" t="n">
        <v>108.09</v>
      </c>
      <c r="E593" s="21" t="n">
        <v>86.09</v>
      </c>
      <c r="F593" s="27">
        <f>IFERROR(IF(OR(C593="",D593="",C593=0),"",D593/C593),"")</f>
        <v/>
      </c>
      <c r="G593" s="21">
        <f>IFERROR(INDEX(Users!$A$2:$A$310,MATCH(A593,Users!$B$2:$B$310,0)),"")</f>
        <v/>
      </c>
      <c r="H593" s="21">
        <f>IFERROR(INDEX(Users!$D$2:$D$310,MATCH(A593,Users!$B$2:$B$310,0)),"")</f>
        <v/>
      </c>
      <c r="I593" s="19">
        <f>AND(G593="Service A",H593="Band 3")</f>
        <v/>
      </c>
      <c r="J593" s="33">
        <f>IF(AND(YEAR(B593)=2025,G593="Service B",OR(H593="Band 3",H593="Band 5"),ISNUMBER(F593)),F593,"")</f>
        <v/>
      </c>
    </row>
    <row r="594">
      <c r="A594" s="19" t="inlineStr">
        <is>
          <t>User1068</t>
        </is>
      </c>
      <c r="B594" s="60" t="n">
        <v>45839</v>
      </c>
      <c r="C594" s="21" t="n">
        <v>170.2</v>
      </c>
      <c r="D594" s="21" t="n">
        <v>158.3866666666666</v>
      </c>
      <c r="E594" s="21" t="n">
        <v>126.97</v>
      </c>
      <c r="F594" s="27">
        <f>IFERROR(IF(OR(C594="",D594="",C594=0),"",D594/C594),"")</f>
        <v/>
      </c>
      <c r="G594" s="21">
        <f>IFERROR(INDEX(Users!$A$2:$A$310,MATCH(A594,Users!$B$2:$B$310,0)),"")</f>
        <v/>
      </c>
      <c r="H594" s="21">
        <f>IFERROR(INDEX(Users!$D$2:$D$310,MATCH(A594,Users!$B$2:$B$310,0)),"")</f>
        <v/>
      </c>
      <c r="I594" s="19">
        <f>AND(G594="Service A",H594="Band 3")</f>
        <v/>
      </c>
      <c r="J594" s="33">
        <f>IF(AND(YEAR(B594)=2025,G594="Service B",OR(H594="Band 3",H594="Band 5"),ISNUMBER(F594)),F594,"")</f>
        <v/>
      </c>
    </row>
    <row r="595">
      <c r="A595" s="19" t="inlineStr">
        <is>
          <t>User1068</t>
        </is>
      </c>
      <c r="B595" s="60" t="n">
        <v>45870</v>
      </c>
      <c r="C595" s="21" t="n">
        <v>148</v>
      </c>
      <c r="D595" s="21" t="n">
        <v>140.0833333333333</v>
      </c>
      <c r="E595" s="21" t="n">
        <v>124.25</v>
      </c>
      <c r="F595" s="27">
        <f>IFERROR(IF(OR(C595="",D595="",C595=0),"",D595/C595),"")</f>
        <v/>
      </c>
      <c r="G595" s="21">
        <f>IFERROR(INDEX(Users!$A$2:$A$310,MATCH(A595,Users!$B$2:$B$310,0)),"")</f>
        <v/>
      </c>
      <c r="H595" s="21">
        <f>IFERROR(INDEX(Users!$D$2:$D$310,MATCH(A595,Users!$B$2:$B$310,0)),"")</f>
        <v/>
      </c>
      <c r="I595" s="19">
        <f>AND(G595="Service A",H595="Band 3")</f>
        <v/>
      </c>
      <c r="J595" s="33">
        <f>IF(AND(YEAR(B595)=2025,G595="Service B",OR(H595="Band 3",H595="Band 5"),ISNUMBER(F595)),F595,"")</f>
        <v/>
      </c>
    </row>
    <row r="596">
      <c r="A596" s="19" t="inlineStr">
        <is>
          <t>User1068</t>
        </is>
      </c>
      <c r="B596" s="60" t="n">
        <v>45901</v>
      </c>
      <c r="C596" s="21" t="n">
        <v>162.8</v>
      </c>
      <c r="D596" s="21" t="n">
        <v>175.1933333333334</v>
      </c>
      <c r="E596" s="21" t="n">
        <v>149.61</v>
      </c>
      <c r="F596" s="27">
        <f>IFERROR(IF(OR(C596="",D596="",C596=0),"",D596/C596),"")</f>
        <v/>
      </c>
      <c r="G596" s="21">
        <f>IFERROR(INDEX(Users!$A$2:$A$310,MATCH(A596,Users!$B$2:$B$310,0)),"")</f>
        <v/>
      </c>
      <c r="H596" s="21">
        <f>IFERROR(INDEX(Users!$D$2:$D$310,MATCH(A596,Users!$B$2:$B$310,0)),"")</f>
        <v/>
      </c>
      <c r="I596" s="19">
        <f>AND(G596="Service A",H596="Band 3")</f>
        <v/>
      </c>
      <c r="J596" s="33">
        <f>IF(AND(YEAR(B596)=2025,G596="Service B",OR(H596="Band 3",H596="Band 5"),ISNUMBER(F596)),F596,"")</f>
        <v/>
      </c>
    </row>
    <row r="597">
      <c r="A597" s="19" t="inlineStr">
        <is>
          <t>User1068</t>
        </is>
      </c>
      <c r="B597" s="60" t="n">
        <v>45931</v>
      </c>
      <c r="C597" s="21" t="n">
        <v>170.2</v>
      </c>
      <c r="D597" s="21" t="n">
        <v>148.3366666666667</v>
      </c>
      <c r="E597" s="21" t="n">
        <v>106.67</v>
      </c>
      <c r="F597" s="27">
        <f>IFERROR(IF(OR(C597="",D597="",C597=0),"",D597/C597),"")</f>
        <v/>
      </c>
      <c r="G597" s="21">
        <f>IFERROR(INDEX(Users!$A$2:$A$310,MATCH(A597,Users!$B$2:$B$310,0)),"")</f>
        <v/>
      </c>
      <c r="H597" s="21">
        <f>IFERROR(INDEX(Users!$D$2:$D$310,MATCH(A597,Users!$B$2:$B$310,0)),"")</f>
        <v/>
      </c>
      <c r="I597" s="19">
        <f>AND(G597="Service A",H597="Band 3")</f>
        <v/>
      </c>
      <c r="J597" s="33">
        <f>IF(AND(YEAR(B597)=2025,G597="Service B",OR(H597="Band 3",H597="Band 5"),ISNUMBER(F597)),F597,"")</f>
        <v/>
      </c>
    </row>
    <row r="598">
      <c r="A598" s="19" t="inlineStr">
        <is>
          <t>User1068</t>
        </is>
      </c>
      <c r="B598" s="60" t="n">
        <v>45962</v>
      </c>
      <c r="C598" s="21" t="n">
        <v>148</v>
      </c>
      <c r="D598" s="21" t="n">
        <v>134.9833333333333</v>
      </c>
      <c r="E598" s="21" t="n">
        <v>124.15</v>
      </c>
      <c r="F598" s="27">
        <f>IFERROR(IF(OR(C598="",D598="",C598=0),"",D598/C598),"")</f>
        <v/>
      </c>
      <c r="G598" s="21">
        <f>IFERROR(INDEX(Users!$A$2:$A$310,MATCH(A598,Users!$B$2:$B$310,0)),"")</f>
        <v/>
      </c>
      <c r="H598" s="21">
        <f>IFERROR(INDEX(Users!$D$2:$D$310,MATCH(A598,Users!$B$2:$B$310,0)),"")</f>
        <v/>
      </c>
      <c r="I598" s="19">
        <f>AND(G598="Service A",H598="Band 3")</f>
        <v/>
      </c>
      <c r="J598" s="33">
        <f>IF(AND(YEAR(B598)=2025,G598="Service B",OR(H598="Band 3",H598="Band 5"),ISNUMBER(F598)),F598,"")</f>
        <v/>
      </c>
    </row>
    <row r="599">
      <c r="A599" s="19" t="inlineStr">
        <is>
          <t>User1068</t>
        </is>
      </c>
      <c r="B599" s="60" t="n">
        <v>45992</v>
      </c>
      <c r="C599" s="21" t="n">
        <v>155.4</v>
      </c>
      <c r="D599" s="21" t="n">
        <v>84.92333333333335</v>
      </c>
      <c r="E599" s="21" t="n">
        <v>64.84</v>
      </c>
      <c r="F599" s="27">
        <f>IFERROR(IF(OR(C599="",D599="",C599=0),"",D599/C599),"")</f>
        <v/>
      </c>
      <c r="G599" s="21">
        <f>IFERROR(INDEX(Users!$A$2:$A$310,MATCH(A599,Users!$B$2:$B$310,0)),"")</f>
        <v/>
      </c>
      <c r="H599" s="21">
        <f>IFERROR(INDEX(Users!$D$2:$D$310,MATCH(A599,Users!$B$2:$B$310,0)),"")</f>
        <v/>
      </c>
      <c r="I599" s="19">
        <f>AND(G599="Service A",H599="Band 3")</f>
        <v/>
      </c>
      <c r="J599" s="33">
        <f>IF(AND(YEAR(B599)=2025,G599="Service B",OR(H599="Band 3",H599="Band 5"),ISNUMBER(F599)),F599,"")</f>
        <v/>
      </c>
    </row>
    <row r="600">
      <c r="A600" s="19" t="inlineStr">
        <is>
          <t>User1068</t>
        </is>
      </c>
      <c r="B600" s="60" t="n">
        <v>46023</v>
      </c>
      <c r="C600" s="21" t="n">
        <v>155.4</v>
      </c>
      <c r="D600" s="21" t="n">
        <v>125.2566666666667</v>
      </c>
      <c r="E600" s="21" t="n">
        <v>106.09</v>
      </c>
      <c r="F600" s="27">
        <f>IFERROR(IF(OR(C600="",D600="",C600=0),"",D600/C600),"")</f>
        <v/>
      </c>
      <c r="G600" s="21">
        <f>IFERROR(INDEX(Users!$A$2:$A$310,MATCH(A600,Users!$B$2:$B$310,0)),"")</f>
        <v/>
      </c>
      <c r="H600" s="21">
        <f>IFERROR(INDEX(Users!$D$2:$D$310,MATCH(A600,Users!$B$2:$B$310,0)),"")</f>
        <v/>
      </c>
      <c r="I600" s="19">
        <f>AND(G600="Service A",H600="Band 3")</f>
        <v/>
      </c>
      <c r="J600" s="33">
        <f>IF(AND(YEAR(B600)=2025,G600="Service B",OR(H600="Band 3",H600="Band 5"),ISNUMBER(F600)),F600,"")</f>
        <v/>
      </c>
    </row>
    <row r="601">
      <c r="A601" s="19" t="inlineStr">
        <is>
          <t>User1069</t>
        </is>
      </c>
      <c r="B601" s="60" t="n">
        <v>45658</v>
      </c>
      <c r="C601" s="21" t="n">
        <v>130.24</v>
      </c>
      <c r="D601" s="21" t="n">
        <v>132.17</v>
      </c>
      <c r="E601" s="21" t="n">
        <v>39.92000000000005</v>
      </c>
      <c r="F601" s="27">
        <f>IFERROR(IF(OR(C601="",D601="",C601=0),"",D601/C601),"")</f>
        <v/>
      </c>
      <c r="G601" s="21">
        <f>IFERROR(INDEX(Users!$A$2:$A$310,MATCH(A601,Users!$B$2:$B$310,0)),"")</f>
        <v/>
      </c>
      <c r="H601" s="21">
        <f>IFERROR(INDEX(Users!$D$2:$D$310,MATCH(A601,Users!$B$2:$B$310,0)),"")</f>
        <v/>
      </c>
      <c r="I601" s="19">
        <f>AND(G601="Service A",H601="Band 3")</f>
        <v/>
      </c>
      <c r="J601" s="33">
        <f>IF(AND(YEAR(B601)=2025,G601="Service B",OR(H601="Band 3",H601="Band 5"),ISNUMBER(F601)),F601,"")</f>
        <v/>
      </c>
    </row>
    <row r="602">
      <c r="A602" s="19" t="inlineStr">
        <is>
          <t>User1069</t>
        </is>
      </c>
      <c r="B602" s="60" t="n">
        <v>45689</v>
      </c>
      <c r="C602" s="21" t="n">
        <v>88.80000000000001</v>
      </c>
      <c r="D602" s="21" t="n">
        <v>58.38</v>
      </c>
      <c r="E602" s="21" t="n">
        <v>7.38</v>
      </c>
      <c r="F602" s="27">
        <f>IFERROR(IF(OR(C602="",D602="",C602=0),"",D602/C602),"")</f>
        <v/>
      </c>
      <c r="G602" s="21">
        <f>IFERROR(INDEX(Users!$A$2:$A$310,MATCH(A602,Users!$B$2:$B$310,0)),"")</f>
        <v/>
      </c>
      <c r="H602" s="21">
        <f>IFERROR(INDEX(Users!$D$2:$D$310,MATCH(A602,Users!$B$2:$B$310,0)),"")</f>
        <v/>
      </c>
      <c r="I602" s="19">
        <f>AND(G602="Service A",H602="Band 3")</f>
        <v/>
      </c>
      <c r="J602" s="33">
        <f>IF(AND(YEAR(B602)=2025,G602="Service B",OR(H602="Band 3",H602="Band 5"),ISNUMBER(F602)),F602,"")</f>
        <v/>
      </c>
    </row>
    <row r="603">
      <c r="A603" s="19" t="inlineStr">
        <is>
          <t>User1070</t>
        </is>
      </c>
      <c r="B603" s="60" t="n">
        <v>45658</v>
      </c>
      <c r="C603" s="21" t="n">
        <v>162.8</v>
      </c>
      <c r="D603" s="21" t="n">
        <v>162</v>
      </c>
      <c r="E603" s="21" t="n">
        <v>10.45</v>
      </c>
      <c r="F603" s="27">
        <f>IFERROR(IF(OR(C603="",D603="",C603=0),"",D603/C603),"")</f>
        <v/>
      </c>
      <c r="G603" s="21">
        <f>IFERROR(INDEX(Users!$A$2:$A$310,MATCH(A603,Users!$B$2:$B$310,0)),"")</f>
        <v/>
      </c>
      <c r="H603" s="21">
        <f>IFERROR(INDEX(Users!$D$2:$D$310,MATCH(A603,Users!$B$2:$B$310,0)),"")</f>
        <v/>
      </c>
      <c r="I603" s="19">
        <f>AND(G603="Service A",H603="Band 3")</f>
        <v/>
      </c>
      <c r="J603" s="33">
        <f>IF(AND(YEAR(B603)=2025,G603="Service B",OR(H603="Band 3",H603="Band 5"),ISNUMBER(F603)),F603,"")</f>
        <v/>
      </c>
    </row>
    <row r="604">
      <c r="A604" s="19" t="inlineStr">
        <is>
          <t>User1070</t>
        </is>
      </c>
      <c r="B604" s="60" t="n">
        <v>45689</v>
      </c>
      <c r="C604" s="21" t="n">
        <v>148</v>
      </c>
      <c r="D604" s="21" t="n">
        <v>146.0533333333333</v>
      </c>
      <c r="E604" s="21" t="n">
        <v>32.77</v>
      </c>
      <c r="F604" s="27">
        <f>IFERROR(IF(OR(C604="",D604="",C604=0),"",D604/C604),"")</f>
        <v/>
      </c>
      <c r="G604" s="21">
        <f>IFERROR(INDEX(Users!$A$2:$A$310,MATCH(A604,Users!$B$2:$B$310,0)),"")</f>
        <v/>
      </c>
      <c r="H604" s="21">
        <f>IFERROR(INDEX(Users!$D$2:$D$310,MATCH(A604,Users!$B$2:$B$310,0)),"")</f>
        <v/>
      </c>
      <c r="I604" s="19">
        <f>AND(G604="Service A",H604="Band 3")</f>
        <v/>
      </c>
      <c r="J604" s="33">
        <f>IF(AND(YEAR(B604)=2025,G604="Service B",OR(H604="Band 3",H604="Band 5"),ISNUMBER(F604)),F604,"")</f>
        <v/>
      </c>
    </row>
    <row r="605">
      <c r="A605" s="19" t="inlineStr">
        <is>
          <t>User1070</t>
        </is>
      </c>
      <c r="B605" s="60" t="n">
        <v>45717</v>
      </c>
      <c r="C605" s="21" t="n">
        <v>155.4</v>
      </c>
      <c r="D605" s="21" t="n">
        <v>147.7422222222222</v>
      </c>
      <c r="E605" s="21" t="n">
        <v>46.89999999999999</v>
      </c>
      <c r="F605" s="27">
        <f>IFERROR(IF(OR(C605="",D605="",C605=0),"",D605/C605),"")</f>
        <v/>
      </c>
      <c r="G605" s="21">
        <f>IFERROR(INDEX(Users!$A$2:$A$310,MATCH(A605,Users!$B$2:$B$310,0)),"")</f>
        <v/>
      </c>
      <c r="H605" s="21">
        <f>IFERROR(INDEX(Users!$D$2:$D$310,MATCH(A605,Users!$B$2:$B$310,0)),"")</f>
        <v/>
      </c>
      <c r="I605" s="19">
        <f>AND(G605="Service A",H605="Band 3")</f>
        <v/>
      </c>
      <c r="J605" s="33">
        <f>IF(AND(YEAR(B605)=2025,G605="Service B",OR(H605="Band 3",H605="Band 5"),ISNUMBER(F605)),F605,"")</f>
        <v/>
      </c>
    </row>
    <row r="606">
      <c r="A606" s="19" t="inlineStr">
        <is>
          <t>User1070</t>
        </is>
      </c>
      <c r="B606" s="60" t="n">
        <v>45748</v>
      </c>
      <c r="C606" s="21" t="n">
        <v>148</v>
      </c>
      <c r="D606" s="21" t="n">
        <v>128.3766666666667</v>
      </c>
      <c r="E606" s="21" t="n">
        <v>55.96000000000001</v>
      </c>
      <c r="F606" s="27">
        <f>IFERROR(IF(OR(C606="",D606="",C606=0),"",D606/C606),"")</f>
        <v/>
      </c>
      <c r="G606" s="21">
        <f>IFERROR(INDEX(Users!$A$2:$A$310,MATCH(A606,Users!$B$2:$B$310,0)),"")</f>
        <v/>
      </c>
      <c r="H606" s="21">
        <f>IFERROR(INDEX(Users!$D$2:$D$310,MATCH(A606,Users!$B$2:$B$310,0)),"")</f>
        <v/>
      </c>
      <c r="I606" s="19">
        <f>AND(G606="Service A",H606="Band 3")</f>
        <v/>
      </c>
      <c r="J606" s="33">
        <f>IF(AND(YEAR(B606)=2025,G606="Service B",OR(H606="Band 3",H606="Band 5"),ISNUMBER(F606)),F606,"")</f>
        <v/>
      </c>
    </row>
    <row r="607">
      <c r="A607" s="19" t="inlineStr">
        <is>
          <t>User1070</t>
        </is>
      </c>
      <c r="B607" s="60" t="n">
        <v>45778</v>
      </c>
      <c r="C607" s="21" t="n">
        <v>148</v>
      </c>
      <c r="D607" s="21" t="n">
        <v>85.57666666666665</v>
      </c>
      <c r="E607" s="21" t="n">
        <v>35.66</v>
      </c>
      <c r="F607" s="27">
        <f>IFERROR(IF(OR(C607="",D607="",C607=0),"",D607/C607),"")</f>
        <v/>
      </c>
      <c r="G607" s="21">
        <f>IFERROR(INDEX(Users!$A$2:$A$310,MATCH(A607,Users!$B$2:$B$310,0)),"")</f>
        <v/>
      </c>
      <c r="H607" s="21">
        <f>IFERROR(INDEX(Users!$D$2:$D$310,MATCH(A607,Users!$B$2:$B$310,0)),"")</f>
        <v/>
      </c>
      <c r="I607" s="19">
        <f>AND(G607="Service A",H607="Band 3")</f>
        <v/>
      </c>
      <c r="J607" s="33">
        <f>IF(AND(YEAR(B607)=2025,G607="Service B",OR(H607="Band 3",H607="Band 5"),ISNUMBER(F607)),F607,"")</f>
        <v/>
      </c>
    </row>
    <row r="608">
      <c r="A608" s="19" t="inlineStr">
        <is>
          <t>User1070</t>
        </is>
      </c>
      <c r="B608" s="60" t="n">
        <v>45809</v>
      </c>
      <c r="C608" s="21" t="n">
        <v>155.4</v>
      </c>
      <c r="D608" s="21" t="n">
        <v>142.5966666666667</v>
      </c>
      <c r="E608" s="21" t="n">
        <v>76.48000000000002</v>
      </c>
      <c r="F608" s="27">
        <f>IFERROR(IF(OR(C608="",D608="",C608=0),"",D608/C608),"")</f>
        <v/>
      </c>
      <c r="G608" s="21">
        <f>IFERROR(INDEX(Users!$A$2:$A$310,MATCH(A608,Users!$B$2:$B$310,0)),"")</f>
        <v/>
      </c>
      <c r="H608" s="21">
        <f>IFERROR(INDEX(Users!$D$2:$D$310,MATCH(A608,Users!$B$2:$B$310,0)),"")</f>
        <v/>
      </c>
      <c r="I608" s="19">
        <f>AND(G608="Service A",H608="Band 3")</f>
        <v/>
      </c>
      <c r="J608" s="33">
        <f>IF(AND(YEAR(B608)=2025,G608="Service B",OR(H608="Band 3",H608="Band 5"),ISNUMBER(F608)),F608,"")</f>
        <v/>
      </c>
    </row>
    <row r="609">
      <c r="A609" s="19" t="inlineStr">
        <is>
          <t>User1070</t>
        </is>
      </c>
      <c r="B609" s="60" t="n">
        <v>45839</v>
      </c>
      <c r="C609" s="21" t="n">
        <v>170.2</v>
      </c>
      <c r="D609" s="21" t="n">
        <v>181.98</v>
      </c>
      <c r="E609" s="21" t="n">
        <v>115.08</v>
      </c>
      <c r="F609" s="27">
        <f>IFERROR(IF(OR(C609="",D609="",C609=0),"",D609/C609),"")</f>
        <v/>
      </c>
      <c r="G609" s="21">
        <f>IFERROR(INDEX(Users!$A$2:$A$310,MATCH(A609,Users!$B$2:$B$310,0)),"")</f>
        <v/>
      </c>
      <c r="H609" s="21">
        <f>IFERROR(INDEX(Users!$D$2:$D$310,MATCH(A609,Users!$B$2:$B$310,0)),"")</f>
        <v/>
      </c>
      <c r="I609" s="19">
        <f>AND(G609="Service A",H609="Band 3")</f>
        <v/>
      </c>
      <c r="J609" s="33">
        <f>IF(AND(YEAR(B609)=2025,G609="Service B",OR(H609="Band 3",H609="Band 5"),ISNUMBER(F609)),F609,"")</f>
        <v/>
      </c>
    </row>
    <row r="610">
      <c r="A610" s="19" t="inlineStr">
        <is>
          <t>User1070</t>
        </is>
      </c>
      <c r="B610" s="60" t="n">
        <v>45870</v>
      </c>
      <c r="C610" s="21" t="n">
        <v>148</v>
      </c>
      <c r="D610" s="21" t="n">
        <v>119.3566666666667</v>
      </c>
      <c r="E610" s="21" t="n">
        <v>82.74000000000001</v>
      </c>
      <c r="F610" s="27">
        <f>IFERROR(IF(OR(C610="",D610="",C610=0),"",D610/C610),"")</f>
        <v/>
      </c>
      <c r="G610" s="21">
        <f>IFERROR(INDEX(Users!$A$2:$A$310,MATCH(A610,Users!$B$2:$B$310,0)),"")</f>
        <v/>
      </c>
      <c r="H610" s="21">
        <f>IFERROR(INDEX(Users!$D$2:$D$310,MATCH(A610,Users!$B$2:$B$310,0)),"")</f>
        <v/>
      </c>
      <c r="I610" s="19">
        <f>AND(G610="Service A",H610="Band 3")</f>
        <v/>
      </c>
      <c r="J610" s="33">
        <f>IF(AND(YEAR(B610)=2025,G610="Service B",OR(H610="Band 3",H610="Band 5"),ISNUMBER(F610)),F610,"")</f>
        <v/>
      </c>
    </row>
    <row r="611">
      <c r="A611" s="19" t="inlineStr">
        <is>
          <t>User1070</t>
        </is>
      </c>
      <c r="B611" s="60" t="n">
        <v>45901</v>
      </c>
      <c r="C611" s="21" t="n">
        <v>162.8</v>
      </c>
      <c r="D611" s="21" t="n">
        <v>122.11</v>
      </c>
      <c r="E611" s="21" t="n">
        <v>73.61000000000001</v>
      </c>
      <c r="F611" s="27">
        <f>IFERROR(IF(OR(C611="",D611="",C611=0),"",D611/C611),"")</f>
        <v/>
      </c>
      <c r="G611" s="21">
        <f>IFERROR(INDEX(Users!$A$2:$A$310,MATCH(A611,Users!$B$2:$B$310,0)),"")</f>
        <v/>
      </c>
      <c r="H611" s="21">
        <f>IFERROR(INDEX(Users!$D$2:$D$310,MATCH(A611,Users!$B$2:$B$310,0)),"")</f>
        <v/>
      </c>
      <c r="I611" s="19">
        <f>AND(G611="Service A",H611="Band 3")</f>
        <v/>
      </c>
      <c r="J611" s="33">
        <f>IF(AND(YEAR(B611)=2025,G611="Service B",OR(H611="Band 3",H611="Band 5"),ISNUMBER(F611)),F611,"")</f>
        <v/>
      </c>
    </row>
    <row r="612">
      <c r="A612" s="19" t="inlineStr">
        <is>
          <t>User1070</t>
        </is>
      </c>
      <c r="B612" s="60" t="n">
        <v>45931</v>
      </c>
      <c r="C612" s="21" t="n">
        <v>170.2</v>
      </c>
      <c r="D612" s="21" t="n">
        <v>149.66</v>
      </c>
      <c r="E612" s="21" t="n">
        <v>97.21000000000001</v>
      </c>
      <c r="F612" s="27">
        <f>IFERROR(IF(OR(C612="",D612="",C612=0),"",D612/C612),"")</f>
        <v/>
      </c>
      <c r="G612" s="21">
        <f>IFERROR(INDEX(Users!$A$2:$A$310,MATCH(A612,Users!$B$2:$B$310,0)),"")</f>
        <v/>
      </c>
      <c r="H612" s="21">
        <f>IFERROR(INDEX(Users!$D$2:$D$310,MATCH(A612,Users!$B$2:$B$310,0)),"")</f>
        <v/>
      </c>
      <c r="I612" s="19">
        <f>AND(G612="Service A",H612="Band 3")</f>
        <v/>
      </c>
      <c r="J612" s="33">
        <f>IF(AND(YEAR(B612)=2025,G612="Service B",OR(H612="Band 3",H612="Band 5"),ISNUMBER(F612)),F612,"")</f>
        <v/>
      </c>
    </row>
    <row r="613">
      <c r="A613" s="19" t="inlineStr">
        <is>
          <t>User1070</t>
        </is>
      </c>
      <c r="B613" s="60" t="n">
        <v>45962</v>
      </c>
      <c r="C613" s="21" t="n">
        <v>148</v>
      </c>
      <c r="D613" s="21" t="n">
        <v>154.07</v>
      </c>
      <c r="E613" s="21" t="n">
        <v>93.82000000000001</v>
      </c>
      <c r="F613" s="27">
        <f>IFERROR(IF(OR(C613="",D613="",C613=0),"",D613/C613),"")</f>
        <v/>
      </c>
      <c r="G613" s="21">
        <f>IFERROR(INDEX(Users!$A$2:$A$310,MATCH(A613,Users!$B$2:$B$310,0)),"")</f>
        <v/>
      </c>
      <c r="H613" s="21">
        <f>IFERROR(INDEX(Users!$D$2:$D$310,MATCH(A613,Users!$B$2:$B$310,0)),"")</f>
        <v/>
      </c>
      <c r="I613" s="19">
        <f>AND(G613="Service A",H613="Band 3")</f>
        <v/>
      </c>
      <c r="J613" s="33">
        <f>IF(AND(YEAR(B613)=2025,G613="Service B",OR(H613="Band 3",H613="Band 5"),ISNUMBER(F613)),F613,"")</f>
        <v/>
      </c>
    </row>
    <row r="614">
      <c r="A614" s="19" t="inlineStr">
        <is>
          <t>User1070</t>
        </is>
      </c>
      <c r="B614" s="60" t="n">
        <v>45992</v>
      </c>
      <c r="C614" s="21" t="n">
        <v>155.4</v>
      </c>
      <c r="D614" s="21" t="n">
        <v>181.6633333333333</v>
      </c>
      <c r="E614" s="21" t="n">
        <v>124.58</v>
      </c>
      <c r="F614" s="27">
        <f>IFERROR(IF(OR(C614="",D614="",C614=0),"",D614/C614),"")</f>
        <v/>
      </c>
      <c r="G614" s="21">
        <f>IFERROR(INDEX(Users!$A$2:$A$310,MATCH(A614,Users!$B$2:$B$310,0)),"")</f>
        <v/>
      </c>
      <c r="H614" s="21">
        <f>IFERROR(INDEX(Users!$D$2:$D$310,MATCH(A614,Users!$B$2:$B$310,0)),"")</f>
        <v/>
      </c>
      <c r="I614" s="19">
        <f>AND(G614="Service A",H614="Band 3")</f>
        <v/>
      </c>
      <c r="J614" s="33">
        <f>IF(AND(YEAR(B614)=2025,G614="Service B",OR(H614="Band 3",H614="Band 5"),ISNUMBER(F614)),F614,"")</f>
        <v/>
      </c>
    </row>
    <row r="615">
      <c r="A615" s="19" t="inlineStr">
        <is>
          <t>User1070</t>
        </is>
      </c>
      <c r="B615" s="60" t="n">
        <v>46023</v>
      </c>
      <c r="C615" s="21" t="n">
        <v>155.4</v>
      </c>
      <c r="D615" s="21" t="n">
        <v>180.5508333333333</v>
      </c>
      <c r="E615" s="21" t="n">
        <v>120.53</v>
      </c>
      <c r="F615" s="27">
        <f>IFERROR(IF(OR(C615="",D615="",C615=0),"",D615/C615),"")</f>
        <v/>
      </c>
      <c r="G615" s="21">
        <f>IFERROR(INDEX(Users!$A$2:$A$310,MATCH(A615,Users!$B$2:$B$310,0)),"")</f>
        <v/>
      </c>
      <c r="H615" s="21">
        <f>IFERROR(INDEX(Users!$D$2:$D$310,MATCH(A615,Users!$B$2:$B$310,0)),"")</f>
        <v/>
      </c>
      <c r="I615" s="19">
        <f>AND(G615="Service A",H615="Band 3")</f>
        <v/>
      </c>
      <c r="J615" s="33">
        <f>IF(AND(YEAR(B615)=2025,G615="Service B",OR(H615="Band 3",H615="Band 5"),ISNUMBER(F615)),F615,"")</f>
        <v/>
      </c>
    </row>
    <row r="616">
      <c r="A616" s="19" t="inlineStr">
        <is>
          <t>User1071</t>
        </is>
      </c>
      <c r="B616" s="60" t="n">
        <v>45658</v>
      </c>
      <c r="C616" s="21" t="n">
        <v>162.8</v>
      </c>
      <c r="D616" s="21" t="n">
        <v>141.42</v>
      </c>
      <c r="E616" s="21" t="n">
        <v>95.92000000000002</v>
      </c>
      <c r="F616" s="27">
        <f>IFERROR(IF(OR(C616="",D616="",C616=0),"",D616/C616),"")</f>
        <v/>
      </c>
      <c r="G616" s="21">
        <f>IFERROR(INDEX(Users!$A$2:$A$310,MATCH(A616,Users!$B$2:$B$310,0)),"")</f>
        <v/>
      </c>
      <c r="H616" s="21">
        <f>IFERROR(INDEX(Users!$D$2:$D$310,MATCH(A616,Users!$B$2:$B$310,0)),"")</f>
        <v/>
      </c>
      <c r="I616" s="19">
        <f>AND(G616="Service A",H616="Band 3")</f>
        <v/>
      </c>
      <c r="J616" s="33">
        <f>IF(AND(YEAR(B616)=2025,G616="Service B",OR(H616="Band 3",H616="Band 5"),ISNUMBER(F616)),F616,"")</f>
        <v/>
      </c>
    </row>
    <row r="617">
      <c r="A617" s="19" t="inlineStr">
        <is>
          <t>User1071</t>
        </is>
      </c>
      <c r="B617" s="60" t="n">
        <v>45689</v>
      </c>
      <c r="C617" s="21" t="n">
        <v>148</v>
      </c>
      <c r="D617" s="21" t="n">
        <v>119.57</v>
      </c>
      <c r="E617" s="21" t="n">
        <v>88.81999999999999</v>
      </c>
      <c r="F617" s="27">
        <f>IFERROR(IF(OR(C617="",D617="",C617=0),"",D617/C617),"")</f>
        <v/>
      </c>
      <c r="G617" s="21">
        <f>IFERROR(INDEX(Users!$A$2:$A$310,MATCH(A617,Users!$B$2:$B$310,0)),"")</f>
        <v/>
      </c>
      <c r="H617" s="21">
        <f>IFERROR(INDEX(Users!$D$2:$D$310,MATCH(A617,Users!$B$2:$B$310,0)),"")</f>
        <v/>
      </c>
      <c r="I617" s="19">
        <f>AND(G617="Service A",H617="Band 3")</f>
        <v/>
      </c>
      <c r="J617" s="33">
        <f>IF(AND(YEAR(B617)=2025,G617="Service B",OR(H617="Band 3",H617="Band 5"),ISNUMBER(F617)),F617,"")</f>
        <v/>
      </c>
    </row>
    <row r="618">
      <c r="A618" s="19" t="inlineStr">
        <is>
          <t>User1071</t>
        </is>
      </c>
      <c r="B618" s="60" t="n">
        <v>45717</v>
      </c>
      <c r="C618" s="21" t="n">
        <v>155.4</v>
      </c>
      <c r="D618" s="21" t="n">
        <v>133.8266666666667</v>
      </c>
      <c r="E618" s="21" t="n">
        <v>69.91</v>
      </c>
      <c r="F618" s="27">
        <f>IFERROR(IF(OR(C618="",D618="",C618=0),"",D618/C618),"")</f>
        <v/>
      </c>
      <c r="G618" s="21">
        <f>IFERROR(INDEX(Users!$A$2:$A$310,MATCH(A618,Users!$B$2:$B$310,0)),"")</f>
        <v/>
      </c>
      <c r="H618" s="21">
        <f>IFERROR(INDEX(Users!$D$2:$D$310,MATCH(A618,Users!$B$2:$B$310,0)),"")</f>
        <v/>
      </c>
      <c r="I618" s="19">
        <f>AND(G618="Service A",H618="Band 3")</f>
        <v/>
      </c>
      <c r="J618" s="33">
        <f>IF(AND(YEAR(B618)=2025,G618="Service B",OR(H618="Band 3",H618="Band 5"),ISNUMBER(F618)),F618,"")</f>
        <v/>
      </c>
    </row>
    <row r="619">
      <c r="A619" s="19" t="inlineStr">
        <is>
          <t>User1071</t>
        </is>
      </c>
      <c r="B619" s="60" t="n">
        <v>45748</v>
      </c>
      <c r="C619" s="21" t="n">
        <v>148</v>
      </c>
      <c r="D619" s="21" t="n">
        <v>122.8966666666666</v>
      </c>
      <c r="E619" s="21" t="n">
        <v>71.72999999999999</v>
      </c>
      <c r="F619" s="27">
        <f>IFERROR(IF(OR(C619="",D619="",C619=0),"",D619/C619),"")</f>
        <v/>
      </c>
      <c r="G619" s="21">
        <f>IFERROR(INDEX(Users!$A$2:$A$310,MATCH(A619,Users!$B$2:$B$310,0)),"")</f>
        <v/>
      </c>
      <c r="H619" s="21">
        <f>IFERROR(INDEX(Users!$D$2:$D$310,MATCH(A619,Users!$B$2:$B$310,0)),"")</f>
        <v/>
      </c>
      <c r="I619" s="19">
        <f>AND(G619="Service A",H619="Band 3")</f>
        <v/>
      </c>
      <c r="J619" s="33">
        <f>IF(AND(YEAR(B619)=2025,G619="Service B",OR(H619="Band 3",H619="Band 5"),ISNUMBER(F619)),F619,"")</f>
        <v/>
      </c>
    </row>
    <row r="620">
      <c r="A620" s="19" t="inlineStr">
        <is>
          <t>User1071</t>
        </is>
      </c>
      <c r="B620" s="60" t="n">
        <v>45778</v>
      </c>
      <c r="C620" s="21" t="n">
        <v>148</v>
      </c>
      <c r="D620" s="21" t="n">
        <v>117.0066666666667</v>
      </c>
      <c r="E620" s="21" t="n">
        <v>82.84</v>
      </c>
      <c r="F620" s="27">
        <f>IFERROR(IF(OR(C620="",D620="",C620=0),"",D620/C620),"")</f>
        <v/>
      </c>
      <c r="G620" s="21">
        <f>IFERROR(INDEX(Users!$A$2:$A$310,MATCH(A620,Users!$B$2:$B$310,0)),"")</f>
        <v/>
      </c>
      <c r="H620" s="21">
        <f>IFERROR(INDEX(Users!$D$2:$D$310,MATCH(A620,Users!$B$2:$B$310,0)),"")</f>
        <v/>
      </c>
      <c r="I620" s="19">
        <f>AND(G620="Service A",H620="Band 3")</f>
        <v/>
      </c>
      <c r="J620" s="33">
        <f>IF(AND(YEAR(B620)=2025,G620="Service B",OR(H620="Band 3",H620="Band 5"),ISNUMBER(F620)),F620,"")</f>
        <v/>
      </c>
    </row>
    <row r="621">
      <c r="A621" s="19" t="inlineStr">
        <is>
          <t>User1071</t>
        </is>
      </c>
      <c r="B621" s="60" t="n">
        <v>45809</v>
      </c>
      <c r="C621" s="21" t="n">
        <v>155.4</v>
      </c>
      <c r="D621" s="21" t="n">
        <v>103.59</v>
      </c>
      <c r="E621" s="21" t="n">
        <v>68.09</v>
      </c>
      <c r="F621" s="27">
        <f>IFERROR(IF(OR(C621="",D621="",C621=0),"",D621/C621),"")</f>
        <v/>
      </c>
      <c r="G621" s="21">
        <f>IFERROR(INDEX(Users!$A$2:$A$310,MATCH(A621,Users!$B$2:$B$310,0)),"")</f>
        <v/>
      </c>
      <c r="H621" s="21">
        <f>IFERROR(INDEX(Users!$D$2:$D$310,MATCH(A621,Users!$B$2:$B$310,0)),"")</f>
        <v/>
      </c>
      <c r="I621" s="19">
        <f>AND(G621="Service A",H621="Band 3")</f>
        <v/>
      </c>
      <c r="J621" s="33">
        <f>IF(AND(YEAR(B621)=2025,G621="Service B",OR(H621="Band 3",H621="Band 5"),ISNUMBER(F621)),F621,"")</f>
        <v/>
      </c>
    </row>
    <row r="622">
      <c r="A622" s="19" t="inlineStr">
        <is>
          <t>User1071</t>
        </is>
      </c>
      <c r="B622" s="60" t="n">
        <v>45839</v>
      </c>
      <c r="C622" s="21" t="n">
        <v>170.2</v>
      </c>
      <c r="D622" s="21" t="n">
        <v>166.4333333333333</v>
      </c>
      <c r="E622" s="21" t="n">
        <v>130.1</v>
      </c>
      <c r="F622" s="27">
        <f>IFERROR(IF(OR(C622="",D622="",C622=0),"",D622/C622),"")</f>
        <v/>
      </c>
      <c r="G622" s="21">
        <f>IFERROR(INDEX(Users!$A$2:$A$310,MATCH(A622,Users!$B$2:$B$310,0)),"")</f>
        <v/>
      </c>
      <c r="H622" s="21">
        <f>IFERROR(INDEX(Users!$D$2:$D$310,MATCH(A622,Users!$B$2:$B$310,0)),"")</f>
        <v/>
      </c>
      <c r="I622" s="19">
        <f>AND(G622="Service A",H622="Band 3")</f>
        <v/>
      </c>
      <c r="J622" s="33">
        <f>IF(AND(YEAR(B622)=2025,G622="Service B",OR(H622="Band 3",H622="Band 5"),ISNUMBER(F622)),F622,"")</f>
        <v/>
      </c>
    </row>
    <row r="623">
      <c r="A623" s="19" t="inlineStr">
        <is>
          <t>User1071</t>
        </is>
      </c>
      <c r="B623" s="60" t="n">
        <v>45870</v>
      </c>
      <c r="C623" s="21" t="n">
        <v>148</v>
      </c>
      <c r="D623" s="21" t="n">
        <v>122.09</v>
      </c>
      <c r="E623" s="21" t="n">
        <v>100.59</v>
      </c>
      <c r="F623" s="27">
        <f>IFERROR(IF(OR(C623="",D623="",C623=0),"",D623/C623),"")</f>
        <v/>
      </c>
      <c r="G623" s="21">
        <f>IFERROR(INDEX(Users!$A$2:$A$310,MATCH(A623,Users!$B$2:$B$310,0)),"")</f>
        <v/>
      </c>
      <c r="H623" s="21">
        <f>IFERROR(INDEX(Users!$D$2:$D$310,MATCH(A623,Users!$B$2:$B$310,0)),"")</f>
        <v/>
      </c>
      <c r="I623" s="19">
        <f>AND(G623="Service A",H623="Band 3")</f>
        <v/>
      </c>
      <c r="J623" s="33">
        <f>IF(AND(YEAR(B623)=2025,G623="Service B",OR(H623="Band 3",H623="Band 5"),ISNUMBER(F623)),F623,"")</f>
        <v/>
      </c>
    </row>
    <row r="624">
      <c r="A624" s="19" t="inlineStr">
        <is>
          <t>User1071</t>
        </is>
      </c>
      <c r="B624" s="60" t="n">
        <v>45901</v>
      </c>
      <c r="C624" s="21" t="n">
        <v>162.8</v>
      </c>
      <c r="D624" s="21" t="n">
        <v>127</v>
      </c>
      <c r="E624" s="21" t="n">
        <v>102</v>
      </c>
      <c r="F624" s="27">
        <f>IFERROR(IF(OR(C624="",D624="",C624=0),"",D624/C624),"")</f>
        <v/>
      </c>
      <c r="G624" s="21">
        <f>IFERROR(INDEX(Users!$A$2:$A$310,MATCH(A624,Users!$B$2:$B$310,0)),"")</f>
        <v/>
      </c>
      <c r="H624" s="21">
        <f>IFERROR(INDEX(Users!$D$2:$D$310,MATCH(A624,Users!$B$2:$B$310,0)),"")</f>
        <v/>
      </c>
      <c r="I624" s="19">
        <f>AND(G624="Service A",H624="Band 3")</f>
        <v/>
      </c>
      <c r="J624" s="33">
        <f>IF(AND(YEAR(B624)=2025,G624="Service B",OR(H624="Band 3",H624="Band 5"),ISNUMBER(F624)),F624,"")</f>
        <v/>
      </c>
    </row>
    <row r="625">
      <c r="A625" s="19" t="inlineStr">
        <is>
          <t>User1071</t>
        </is>
      </c>
      <c r="B625" s="60" t="n">
        <v>45931</v>
      </c>
      <c r="C625" s="21" t="n">
        <v>170.2</v>
      </c>
      <c r="D625" s="21" t="n">
        <v>143.66</v>
      </c>
      <c r="E625" s="21" t="n">
        <v>108.91</v>
      </c>
      <c r="F625" s="27">
        <f>IFERROR(IF(OR(C625="",D625="",C625=0),"",D625/C625),"")</f>
        <v/>
      </c>
      <c r="G625" s="21">
        <f>IFERROR(INDEX(Users!$A$2:$A$310,MATCH(A625,Users!$B$2:$B$310,0)),"")</f>
        <v/>
      </c>
      <c r="H625" s="21">
        <f>IFERROR(INDEX(Users!$D$2:$D$310,MATCH(A625,Users!$B$2:$B$310,0)),"")</f>
        <v/>
      </c>
      <c r="I625" s="19">
        <f>AND(G625="Service A",H625="Band 3")</f>
        <v/>
      </c>
      <c r="J625" s="33">
        <f>IF(AND(YEAR(B625)=2025,G625="Service B",OR(H625="Band 3",H625="Band 5"),ISNUMBER(F625)),F625,"")</f>
        <v/>
      </c>
    </row>
    <row r="626">
      <c r="A626" s="19" t="inlineStr">
        <is>
          <t>User1071</t>
        </is>
      </c>
      <c r="B626" s="60" t="n">
        <v>45962</v>
      </c>
      <c r="C626" s="21" t="n">
        <v>148</v>
      </c>
      <c r="D626" s="21" t="n">
        <v>131.99</v>
      </c>
      <c r="E626" s="21" t="n">
        <v>95.74000000000001</v>
      </c>
      <c r="F626" s="27">
        <f>IFERROR(IF(OR(C626="",D626="",C626=0),"",D626/C626),"")</f>
        <v/>
      </c>
      <c r="G626" s="21">
        <f>IFERROR(INDEX(Users!$A$2:$A$310,MATCH(A626,Users!$B$2:$B$310,0)),"")</f>
        <v/>
      </c>
      <c r="H626" s="21">
        <f>IFERROR(INDEX(Users!$D$2:$D$310,MATCH(A626,Users!$B$2:$B$310,0)),"")</f>
        <v/>
      </c>
      <c r="I626" s="19">
        <f>AND(G626="Service A",H626="Band 3")</f>
        <v/>
      </c>
      <c r="J626" s="33">
        <f>IF(AND(YEAR(B626)=2025,G626="Service B",OR(H626="Band 3",H626="Band 5"),ISNUMBER(F626)),F626,"")</f>
        <v/>
      </c>
    </row>
    <row r="627">
      <c r="A627" s="19" t="inlineStr">
        <is>
          <t>User1071</t>
        </is>
      </c>
      <c r="B627" s="60" t="n">
        <v>45992</v>
      </c>
      <c r="C627" s="21" t="n">
        <v>155.4</v>
      </c>
      <c r="D627" s="21" t="n">
        <v>99.16666666666666</v>
      </c>
      <c r="E627" s="21" t="n">
        <v>60</v>
      </c>
      <c r="F627" s="27">
        <f>IFERROR(IF(OR(C627="",D627="",C627=0),"",D627/C627),"")</f>
        <v/>
      </c>
      <c r="G627" s="21">
        <f>IFERROR(INDEX(Users!$A$2:$A$310,MATCH(A627,Users!$B$2:$B$310,0)),"")</f>
        <v/>
      </c>
      <c r="H627" s="21">
        <f>IFERROR(INDEX(Users!$D$2:$D$310,MATCH(A627,Users!$B$2:$B$310,0)),"")</f>
        <v/>
      </c>
      <c r="I627" s="19">
        <f>AND(G627="Service A",H627="Band 3")</f>
        <v/>
      </c>
      <c r="J627" s="33">
        <f>IF(AND(YEAR(B627)=2025,G627="Service B",OR(H627="Band 3",H627="Band 5"),ISNUMBER(F627)),F627,"")</f>
        <v/>
      </c>
    </row>
    <row r="628">
      <c r="A628" s="19" t="inlineStr">
        <is>
          <t>User1071</t>
        </is>
      </c>
      <c r="B628" s="60" t="n">
        <v>46023</v>
      </c>
      <c r="C628" s="21" t="n">
        <v>155.4</v>
      </c>
      <c r="D628" s="21" t="n">
        <v>137</v>
      </c>
      <c r="E628" s="21" t="n">
        <v>88.75</v>
      </c>
      <c r="F628" s="27">
        <f>IFERROR(IF(OR(C628="",D628="",C628=0),"",D628/C628),"")</f>
        <v/>
      </c>
      <c r="G628" s="21">
        <f>IFERROR(INDEX(Users!$A$2:$A$310,MATCH(A628,Users!$B$2:$B$310,0)),"")</f>
        <v/>
      </c>
      <c r="H628" s="21">
        <f>IFERROR(INDEX(Users!$D$2:$D$310,MATCH(A628,Users!$B$2:$B$310,0)),"")</f>
        <v/>
      </c>
      <c r="I628" s="19">
        <f>AND(G628="Service A",H628="Band 3")</f>
        <v/>
      </c>
      <c r="J628" s="33">
        <f>IF(AND(YEAR(B628)=2025,G628="Service B",OR(H628="Band 3",H628="Band 5"),ISNUMBER(F628)),F628,"")</f>
        <v/>
      </c>
    </row>
    <row r="629">
      <c r="A629" s="19" t="inlineStr">
        <is>
          <t>User1072</t>
        </is>
      </c>
      <c r="B629" s="60" t="n">
        <v>45658</v>
      </c>
      <c r="C629" s="21" t="n">
        <v>162.8</v>
      </c>
      <c r="D629" s="21" t="n">
        <v>164.6</v>
      </c>
      <c r="E629" s="21" t="n">
        <v>145.35</v>
      </c>
      <c r="F629" s="27">
        <f>IFERROR(IF(OR(C629="",D629="",C629=0),"",D629/C629),"")</f>
        <v/>
      </c>
      <c r="G629" s="21">
        <f>IFERROR(INDEX(Users!$A$2:$A$310,MATCH(A629,Users!$B$2:$B$310,0)),"")</f>
        <v/>
      </c>
      <c r="H629" s="21">
        <f>IFERROR(INDEX(Users!$D$2:$D$310,MATCH(A629,Users!$B$2:$B$310,0)),"")</f>
        <v/>
      </c>
      <c r="I629" s="19">
        <f>AND(G629="Service A",H629="Band 3")</f>
        <v/>
      </c>
      <c r="J629" s="33">
        <f>IF(AND(YEAR(B629)=2025,G629="Service B",OR(H629="Band 3",H629="Band 5"),ISNUMBER(F629)),F629,"")</f>
        <v/>
      </c>
    </row>
    <row r="630">
      <c r="A630" s="19" t="inlineStr">
        <is>
          <t>User1072</t>
        </is>
      </c>
      <c r="B630" s="60" t="n">
        <v>45689</v>
      </c>
      <c r="C630" s="21" t="n">
        <v>148</v>
      </c>
      <c r="D630" s="21" t="n">
        <v>128.1566666666667</v>
      </c>
      <c r="E630" s="21" t="n">
        <v>89.73999999999999</v>
      </c>
      <c r="F630" s="27">
        <f>IFERROR(IF(OR(C630="",D630="",C630=0),"",D630/C630),"")</f>
        <v/>
      </c>
      <c r="G630" s="21">
        <f>IFERROR(INDEX(Users!$A$2:$A$310,MATCH(A630,Users!$B$2:$B$310,0)),"")</f>
        <v/>
      </c>
      <c r="H630" s="21">
        <f>IFERROR(INDEX(Users!$D$2:$D$310,MATCH(A630,Users!$B$2:$B$310,0)),"")</f>
        <v/>
      </c>
      <c r="I630" s="19">
        <f>AND(G630="Service A",H630="Band 3")</f>
        <v/>
      </c>
      <c r="J630" s="33">
        <f>IF(AND(YEAR(B630)=2025,G630="Service B",OR(H630="Band 3",H630="Band 5"),ISNUMBER(F630)),F630,"")</f>
        <v/>
      </c>
    </row>
    <row r="631">
      <c r="A631" s="19" t="inlineStr">
        <is>
          <t>User1072</t>
        </is>
      </c>
      <c r="B631" s="60" t="n">
        <v>45717</v>
      </c>
      <c r="C631" s="21" t="n">
        <v>155.4</v>
      </c>
      <c r="D631" s="21" t="n">
        <v>152.8533333333333</v>
      </c>
      <c r="E631" s="21" t="n">
        <v>121.97</v>
      </c>
      <c r="F631" s="27">
        <f>IFERROR(IF(OR(C631="",D631="",C631=0),"",D631/C631),"")</f>
        <v/>
      </c>
      <c r="G631" s="21">
        <f>IFERROR(INDEX(Users!$A$2:$A$310,MATCH(A631,Users!$B$2:$B$310,0)),"")</f>
        <v/>
      </c>
      <c r="H631" s="21">
        <f>IFERROR(INDEX(Users!$D$2:$D$310,MATCH(A631,Users!$B$2:$B$310,0)),"")</f>
        <v/>
      </c>
      <c r="I631" s="19">
        <f>AND(G631="Service A",H631="Band 3")</f>
        <v/>
      </c>
      <c r="J631" s="33">
        <f>IF(AND(YEAR(B631)=2025,G631="Service B",OR(H631="Band 3",H631="Band 5"),ISNUMBER(F631)),F631,"")</f>
        <v/>
      </c>
    </row>
    <row r="632">
      <c r="A632" s="19" t="inlineStr">
        <is>
          <t>User1072</t>
        </is>
      </c>
      <c r="B632" s="60" t="n">
        <v>45748</v>
      </c>
      <c r="C632" s="21" t="n">
        <v>148</v>
      </c>
      <c r="D632" s="21" t="n">
        <v>121.18</v>
      </c>
      <c r="E632" s="21" t="n">
        <v>95.58000000000001</v>
      </c>
      <c r="F632" s="27">
        <f>IFERROR(IF(OR(C632="",D632="",C632=0),"",D632/C632),"")</f>
        <v/>
      </c>
      <c r="G632" s="21">
        <f>IFERROR(INDEX(Users!$A$2:$A$310,MATCH(A632,Users!$B$2:$B$310,0)),"")</f>
        <v/>
      </c>
      <c r="H632" s="21">
        <f>IFERROR(INDEX(Users!$D$2:$D$310,MATCH(A632,Users!$B$2:$B$310,0)),"")</f>
        <v/>
      </c>
      <c r="I632" s="19">
        <f>AND(G632="Service A",H632="Band 3")</f>
        <v/>
      </c>
      <c r="J632" s="33">
        <f>IF(AND(YEAR(B632)=2025,G632="Service B",OR(H632="Band 3",H632="Band 5"),ISNUMBER(F632)),F632,"")</f>
        <v/>
      </c>
    </row>
    <row r="633">
      <c r="A633" s="19" t="inlineStr">
        <is>
          <t>User1072</t>
        </is>
      </c>
      <c r="B633" s="60" t="n">
        <v>45778</v>
      </c>
      <c r="C633" s="21" t="n">
        <v>148</v>
      </c>
      <c r="D633" s="21" t="n">
        <v>142.8166666666667</v>
      </c>
      <c r="E633" s="21" t="n">
        <v>108.4</v>
      </c>
      <c r="F633" s="27">
        <f>IFERROR(IF(OR(C633="",D633="",C633=0),"",D633/C633),"")</f>
        <v/>
      </c>
      <c r="G633" s="21">
        <f>IFERROR(INDEX(Users!$A$2:$A$310,MATCH(A633,Users!$B$2:$B$310,0)),"")</f>
        <v/>
      </c>
      <c r="H633" s="21">
        <f>IFERROR(INDEX(Users!$D$2:$D$310,MATCH(A633,Users!$B$2:$B$310,0)),"")</f>
        <v/>
      </c>
      <c r="I633" s="19">
        <f>AND(G633="Service A",H633="Band 3")</f>
        <v/>
      </c>
      <c r="J633" s="33">
        <f>IF(AND(YEAR(B633)=2025,G633="Service B",OR(H633="Band 3",H633="Band 5"),ISNUMBER(F633)),F633,"")</f>
        <v/>
      </c>
    </row>
    <row r="634">
      <c r="A634" s="19" t="inlineStr">
        <is>
          <t>User1072</t>
        </is>
      </c>
      <c r="B634" s="60" t="n">
        <v>45809</v>
      </c>
      <c r="C634" s="21" t="n">
        <v>155.4</v>
      </c>
      <c r="D634" s="21" t="n">
        <v>110.43</v>
      </c>
      <c r="E634" s="21" t="n">
        <v>97.38</v>
      </c>
      <c r="F634" s="27">
        <f>IFERROR(IF(OR(C634="",D634="",C634=0),"",D634/C634),"")</f>
        <v/>
      </c>
      <c r="G634" s="21">
        <f>IFERROR(INDEX(Users!$A$2:$A$310,MATCH(A634,Users!$B$2:$B$310,0)),"")</f>
        <v/>
      </c>
      <c r="H634" s="21">
        <f>IFERROR(INDEX(Users!$D$2:$D$310,MATCH(A634,Users!$B$2:$B$310,0)),"")</f>
        <v/>
      </c>
      <c r="I634" s="19">
        <f>AND(G634="Service A",H634="Band 3")</f>
        <v/>
      </c>
      <c r="J634" s="33">
        <f>IF(AND(YEAR(B634)=2025,G634="Service B",OR(H634="Band 3",H634="Band 5"),ISNUMBER(F634)),F634,"")</f>
        <v/>
      </c>
    </row>
    <row r="635">
      <c r="A635" s="19" t="inlineStr">
        <is>
          <t>User1072</t>
        </is>
      </c>
      <c r="B635" s="60" t="n">
        <v>45839</v>
      </c>
      <c r="C635" s="21" t="n">
        <v>170.2</v>
      </c>
      <c r="D635" s="21" t="n">
        <v>139.18</v>
      </c>
      <c r="E635" s="21" t="n">
        <v>116.13</v>
      </c>
      <c r="F635" s="27">
        <f>IFERROR(IF(OR(C635="",D635="",C635=0),"",D635/C635),"")</f>
        <v/>
      </c>
      <c r="G635" s="21">
        <f>IFERROR(INDEX(Users!$A$2:$A$310,MATCH(A635,Users!$B$2:$B$310,0)),"")</f>
        <v/>
      </c>
      <c r="H635" s="21">
        <f>IFERROR(INDEX(Users!$D$2:$D$310,MATCH(A635,Users!$B$2:$B$310,0)),"")</f>
        <v/>
      </c>
      <c r="I635" s="19">
        <f>AND(G635="Service A",H635="Band 3")</f>
        <v/>
      </c>
      <c r="J635" s="33">
        <f>IF(AND(YEAR(B635)=2025,G635="Service B",OR(H635="Band 3",H635="Band 5"),ISNUMBER(F635)),F635,"")</f>
        <v/>
      </c>
    </row>
    <row r="636">
      <c r="A636" s="19" t="inlineStr">
        <is>
          <t>User1072</t>
        </is>
      </c>
      <c r="B636" s="60" t="n">
        <v>45870</v>
      </c>
      <c r="C636" s="21" t="n">
        <v>148</v>
      </c>
      <c r="D636" s="21" t="n">
        <v>82.34666666666666</v>
      </c>
      <c r="E636" s="21" t="n">
        <v>65.93000000000001</v>
      </c>
      <c r="F636" s="27">
        <f>IFERROR(IF(OR(C636="",D636="",C636=0),"",D636/C636),"")</f>
        <v/>
      </c>
      <c r="G636" s="21">
        <f>IFERROR(INDEX(Users!$A$2:$A$310,MATCH(A636,Users!$B$2:$B$310,0)),"")</f>
        <v/>
      </c>
      <c r="H636" s="21">
        <f>IFERROR(INDEX(Users!$D$2:$D$310,MATCH(A636,Users!$B$2:$B$310,0)),"")</f>
        <v/>
      </c>
      <c r="I636" s="19">
        <f>AND(G636="Service A",H636="Band 3")</f>
        <v/>
      </c>
      <c r="J636" s="33">
        <f>IF(AND(YEAR(B636)=2025,G636="Service B",OR(H636="Band 3",H636="Band 5"),ISNUMBER(F636)),F636,"")</f>
        <v/>
      </c>
    </row>
    <row r="637">
      <c r="A637" s="19" t="inlineStr">
        <is>
          <t>User1072</t>
        </is>
      </c>
      <c r="B637" s="60" t="n">
        <v>45901</v>
      </c>
      <c r="C637" s="21" t="n">
        <v>162.8</v>
      </c>
      <c r="D637" s="21" t="n">
        <v>13.25333333333333</v>
      </c>
      <c r="E637" s="21" t="n">
        <v>6.92</v>
      </c>
      <c r="F637" s="27">
        <f>IFERROR(IF(OR(C637="",D637="",C637=0),"",D637/C637),"")</f>
        <v/>
      </c>
      <c r="G637" s="21">
        <f>IFERROR(INDEX(Users!$A$2:$A$310,MATCH(A637,Users!$B$2:$B$310,0)),"")</f>
        <v/>
      </c>
      <c r="H637" s="21">
        <f>IFERROR(INDEX(Users!$D$2:$D$310,MATCH(A637,Users!$B$2:$B$310,0)),"")</f>
        <v/>
      </c>
      <c r="I637" s="19">
        <f>AND(G637="Service A",H637="Band 3")</f>
        <v/>
      </c>
      <c r="J637" s="33">
        <f>IF(AND(YEAR(B637)=2025,G637="Service B",OR(H637="Band 3",H637="Band 5"),ISNUMBER(F637)),F637,"")</f>
        <v/>
      </c>
    </row>
    <row r="638">
      <c r="A638" s="19" t="inlineStr">
        <is>
          <t>User1072</t>
        </is>
      </c>
      <c r="B638" s="60" t="n">
        <v>45931</v>
      </c>
      <c r="C638" s="21" t="n">
        <v>170.2</v>
      </c>
      <c r="D638" s="21" t="n">
        <v>98.66666666666666</v>
      </c>
      <c r="E638" s="21" t="n">
        <v>78.25</v>
      </c>
      <c r="F638" s="27">
        <f>IFERROR(IF(OR(C638="",D638="",C638=0),"",D638/C638),"")</f>
        <v/>
      </c>
      <c r="G638" s="21">
        <f>IFERROR(INDEX(Users!$A$2:$A$310,MATCH(A638,Users!$B$2:$B$310,0)),"")</f>
        <v/>
      </c>
      <c r="H638" s="21">
        <f>IFERROR(INDEX(Users!$D$2:$D$310,MATCH(A638,Users!$B$2:$B$310,0)),"")</f>
        <v/>
      </c>
      <c r="I638" s="19">
        <f>AND(G638="Service A",H638="Band 3")</f>
        <v/>
      </c>
      <c r="J638" s="33">
        <f>IF(AND(YEAR(B638)=2025,G638="Service B",OR(H638="Band 3",H638="Band 5"),ISNUMBER(F638)),F638,"")</f>
        <v/>
      </c>
    </row>
    <row r="639">
      <c r="A639" s="19" t="inlineStr">
        <is>
          <t>User1072</t>
        </is>
      </c>
      <c r="B639" s="60" t="n">
        <v>45962</v>
      </c>
      <c r="C639" s="21" t="n">
        <v>148</v>
      </c>
      <c r="D639" s="21" t="n">
        <v>108.4</v>
      </c>
      <c r="E639" s="21" t="n">
        <v>78.14999999999999</v>
      </c>
      <c r="F639" s="27">
        <f>IFERROR(IF(OR(C639="",D639="",C639=0),"",D639/C639),"")</f>
        <v/>
      </c>
      <c r="G639" s="21">
        <f>IFERROR(INDEX(Users!$A$2:$A$310,MATCH(A639,Users!$B$2:$B$310,0)),"")</f>
        <v/>
      </c>
      <c r="H639" s="21">
        <f>IFERROR(INDEX(Users!$D$2:$D$310,MATCH(A639,Users!$B$2:$B$310,0)),"")</f>
        <v/>
      </c>
      <c r="I639" s="19">
        <f>AND(G639="Service A",H639="Band 3")</f>
        <v/>
      </c>
      <c r="J639" s="33">
        <f>IF(AND(YEAR(B639)=2025,G639="Service B",OR(H639="Band 3",H639="Band 5"),ISNUMBER(F639)),F639,"")</f>
        <v/>
      </c>
    </row>
    <row r="640">
      <c r="A640" s="19" t="inlineStr">
        <is>
          <t>User1072</t>
        </is>
      </c>
      <c r="B640" s="60" t="n">
        <v>45992</v>
      </c>
      <c r="C640" s="21" t="n">
        <v>155.4</v>
      </c>
      <c r="D640" s="21" t="n">
        <v>103.9966666666667</v>
      </c>
      <c r="E640" s="21" t="n">
        <v>78.83</v>
      </c>
      <c r="F640" s="27">
        <f>IFERROR(IF(OR(C640="",D640="",C640=0),"",D640/C640),"")</f>
        <v/>
      </c>
      <c r="G640" s="21">
        <f>IFERROR(INDEX(Users!$A$2:$A$310,MATCH(A640,Users!$B$2:$B$310,0)),"")</f>
        <v/>
      </c>
      <c r="H640" s="21">
        <f>IFERROR(INDEX(Users!$D$2:$D$310,MATCH(A640,Users!$B$2:$B$310,0)),"")</f>
        <v/>
      </c>
      <c r="I640" s="19">
        <f>AND(G640="Service A",H640="Band 3")</f>
        <v/>
      </c>
      <c r="J640" s="33">
        <f>IF(AND(YEAR(B640)=2025,G640="Service B",OR(H640="Band 3",H640="Band 5"),ISNUMBER(F640)),F640,"")</f>
        <v/>
      </c>
    </row>
    <row r="641">
      <c r="A641" s="19" t="inlineStr">
        <is>
          <t>User1072</t>
        </is>
      </c>
      <c r="B641" s="60" t="n">
        <v>46023</v>
      </c>
      <c r="C641" s="21" t="n">
        <v>155.4</v>
      </c>
      <c r="D641" s="21" t="n">
        <v>145.32</v>
      </c>
      <c r="E641" s="21" t="n">
        <v>110.82</v>
      </c>
      <c r="F641" s="27">
        <f>IFERROR(IF(OR(C641="",D641="",C641=0),"",D641/C641),"")</f>
        <v/>
      </c>
      <c r="G641" s="21">
        <f>IFERROR(INDEX(Users!$A$2:$A$310,MATCH(A641,Users!$B$2:$B$310,0)),"")</f>
        <v/>
      </c>
      <c r="H641" s="21">
        <f>IFERROR(INDEX(Users!$D$2:$D$310,MATCH(A641,Users!$B$2:$B$310,0)),"")</f>
        <v/>
      </c>
      <c r="I641" s="19">
        <f>AND(G641="Service A",H641="Band 3")</f>
        <v/>
      </c>
      <c r="J641" s="33">
        <f>IF(AND(YEAR(B641)=2025,G641="Service B",OR(H641="Band 3",H641="Band 5"),ISNUMBER(F641)),F641,"")</f>
        <v/>
      </c>
    </row>
    <row r="642">
      <c r="A642" s="19" t="inlineStr">
        <is>
          <t>User1073</t>
        </is>
      </c>
      <c r="B642" s="60" t="n">
        <v>45658</v>
      </c>
      <c r="C642" s="21" t="n">
        <v>162.8</v>
      </c>
      <c r="D642" s="21" t="n">
        <v>148.1433333333333</v>
      </c>
      <c r="E642" s="21" t="n">
        <v>114.36</v>
      </c>
      <c r="F642" s="27">
        <f>IFERROR(IF(OR(C642="",D642="",C642=0),"",D642/C642),"")</f>
        <v/>
      </c>
      <c r="G642" s="21">
        <f>IFERROR(INDEX(Users!$A$2:$A$310,MATCH(A642,Users!$B$2:$B$310,0)),"")</f>
        <v/>
      </c>
      <c r="H642" s="21">
        <f>IFERROR(INDEX(Users!$D$2:$D$310,MATCH(A642,Users!$B$2:$B$310,0)),"")</f>
        <v/>
      </c>
      <c r="I642" s="19">
        <f>AND(G642="Service A",H642="Band 3")</f>
        <v/>
      </c>
      <c r="J642" s="33">
        <f>IF(AND(YEAR(B642)=2025,G642="Service B",OR(H642="Band 3",H642="Band 5"),ISNUMBER(F642)),F642,"")</f>
        <v/>
      </c>
    </row>
    <row r="643">
      <c r="A643" s="19" t="inlineStr">
        <is>
          <t>User1073</t>
        </is>
      </c>
      <c r="B643" s="60" t="n">
        <v>45689</v>
      </c>
      <c r="C643" s="21" t="n">
        <v>148</v>
      </c>
      <c r="D643" s="21" t="n">
        <v>139.8733333333333</v>
      </c>
      <c r="E643" s="21" t="n">
        <v>117.64</v>
      </c>
      <c r="F643" s="27">
        <f>IFERROR(IF(OR(C643="",D643="",C643=0),"",D643/C643),"")</f>
        <v/>
      </c>
      <c r="G643" s="21">
        <f>IFERROR(INDEX(Users!$A$2:$A$310,MATCH(A643,Users!$B$2:$B$310,0)),"")</f>
        <v/>
      </c>
      <c r="H643" s="21">
        <f>IFERROR(INDEX(Users!$D$2:$D$310,MATCH(A643,Users!$B$2:$B$310,0)),"")</f>
        <v/>
      </c>
      <c r="I643" s="19">
        <f>AND(G643="Service A",H643="Band 3")</f>
        <v/>
      </c>
      <c r="J643" s="33">
        <f>IF(AND(YEAR(B643)=2025,G643="Service B",OR(H643="Band 3",H643="Band 5"),ISNUMBER(F643)),F643,"")</f>
        <v/>
      </c>
    </row>
    <row r="644">
      <c r="A644" s="19" t="inlineStr">
        <is>
          <t>User1073</t>
        </is>
      </c>
      <c r="B644" s="60" t="n">
        <v>45717</v>
      </c>
      <c r="C644" s="21" t="n">
        <v>155.4</v>
      </c>
      <c r="D644" s="21" t="n">
        <v>158.92</v>
      </c>
      <c r="E644" s="21" t="n">
        <v>117.42</v>
      </c>
      <c r="F644" s="27">
        <f>IFERROR(IF(OR(C644="",D644="",C644=0),"",D644/C644),"")</f>
        <v/>
      </c>
      <c r="G644" s="21">
        <f>IFERROR(INDEX(Users!$A$2:$A$310,MATCH(A644,Users!$B$2:$B$310,0)),"")</f>
        <v/>
      </c>
      <c r="H644" s="21">
        <f>IFERROR(INDEX(Users!$D$2:$D$310,MATCH(A644,Users!$B$2:$B$310,0)),"")</f>
        <v/>
      </c>
      <c r="I644" s="19">
        <f>AND(G644="Service A",H644="Band 3")</f>
        <v/>
      </c>
      <c r="J644" s="33">
        <f>IF(AND(YEAR(B644)=2025,G644="Service B",OR(H644="Band 3",H644="Band 5"),ISNUMBER(F644)),F644,"")</f>
        <v/>
      </c>
    </row>
    <row r="645">
      <c r="A645" s="19" t="inlineStr">
        <is>
          <t>User1073</t>
        </is>
      </c>
      <c r="B645" s="60" t="n">
        <v>45748</v>
      </c>
      <c r="C645" s="21" t="n">
        <v>148</v>
      </c>
      <c r="D645" s="21" t="n">
        <v>131.7</v>
      </c>
      <c r="E645" s="21" t="n">
        <v>82.40000000000001</v>
      </c>
      <c r="F645" s="27">
        <f>IFERROR(IF(OR(C645="",D645="",C645=0),"",D645/C645),"")</f>
        <v/>
      </c>
      <c r="G645" s="21">
        <f>IFERROR(INDEX(Users!$A$2:$A$310,MATCH(A645,Users!$B$2:$B$310,0)),"")</f>
        <v/>
      </c>
      <c r="H645" s="21">
        <f>IFERROR(INDEX(Users!$D$2:$D$310,MATCH(A645,Users!$B$2:$B$310,0)),"")</f>
        <v/>
      </c>
      <c r="I645" s="19">
        <f>AND(G645="Service A",H645="Band 3")</f>
        <v/>
      </c>
      <c r="J645" s="33">
        <f>IF(AND(YEAR(B645)=2025,G645="Service B",OR(H645="Band 3",H645="Band 5"),ISNUMBER(F645)),F645,"")</f>
        <v/>
      </c>
    </row>
    <row r="646">
      <c r="A646" s="19" t="inlineStr">
        <is>
          <t>User1073</t>
        </is>
      </c>
      <c r="B646" s="60" t="n">
        <v>45778</v>
      </c>
      <c r="C646" s="21" t="n">
        <v>148</v>
      </c>
      <c r="D646" s="21" t="n">
        <v>132.6633333333333</v>
      </c>
      <c r="E646" s="21" t="n">
        <v>95.53</v>
      </c>
      <c r="F646" s="27">
        <f>IFERROR(IF(OR(C646="",D646="",C646=0),"",D646/C646),"")</f>
        <v/>
      </c>
      <c r="G646" s="21">
        <f>IFERROR(INDEX(Users!$A$2:$A$310,MATCH(A646,Users!$B$2:$B$310,0)),"")</f>
        <v/>
      </c>
      <c r="H646" s="21">
        <f>IFERROR(INDEX(Users!$D$2:$D$310,MATCH(A646,Users!$B$2:$B$310,0)),"")</f>
        <v/>
      </c>
      <c r="I646" s="19">
        <f>AND(G646="Service A",H646="Band 3")</f>
        <v/>
      </c>
      <c r="J646" s="33">
        <f>IF(AND(YEAR(B646)=2025,G646="Service B",OR(H646="Band 3",H646="Band 5"),ISNUMBER(F646)),F646,"")</f>
        <v/>
      </c>
    </row>
    <row r="647">
      <c r="A647" s="19" t="inlineStr">
        <is>
          <t>User1073</t>
        </is>
      </c>
      <c r="B647" s="60" t="n">
        <v>45809</v>
      </c>
      <c r="C647" s="21" t="n">
        <v>155.4</v>
      </c>
      <c r="D647" s="21" t="n">
        <v>148.6533333333333</v>
      </c>
      <c r="E647" s="21" t="n">
        <v>108.92</v>
      </c>
      <c r="F647" s="27">
        <f>IFERROR(IF(OR(C647="",D647="",C647=0),"",D647/C647),"")</f>
        <v/>
      </c>
      <c r="G647" s="21">
        <f>IFERROR(INDEX(Users!$A$2:$A$310,MATCH(A647,Users!$B$2:$B$310,0)),"")</f>
        <v/>
      </c>
      <c r="H647" s="21">
        <f>IFERROR(INDEX(Users!$D$2:$D$310,MATCH(A647,Users!$B$2:$B$310,0)),"")</f>
        <v/>
      </c>
      <c r="I647" s="19">
        <f>AND(G647="Service A",H647="Band 3")</f>
        <v/>
      </c>
      <c r="J647" s="33">
        <f>IF(AND(YEAR(B647)=2025,G647="Service B",OR(H647="Band 3",H647="Band 5"),ISNUMBER(F647)),F647,"")</f>
        <v/>
      </c>
    </row>
    <row r="648">
      <c r="A648" s="19" t="inlineStr">
        <is>
          <t>User1073</t>
        </is>
      </c>
      <c r="B648" s="60" t="n">
        <v>45839</v>
      </c>
      <c r="C648" s="21" t="n">
        <v>170.2</v>
      </c>
      <c r="D648" s="21" t="n">
        <v>155.83</v>
      </c>
      <c r="E648" s="21" t="n">
        <v>104.83</v>
      </c>
      <c r="F648" s="27">
        <f>IFERROR(IF(OR(C648="",D648="",C648=0),"",D648/C648),"")</f>
        <v/>
      </c>
      <c r="G648" s="21">
        <f>IFERROR(INDEX(Users!$A$2:$A$310,MATCH(A648,Users!$B$2:$B$310,0)),"")</f>
        <v/>
      </c>
      <c r="H648" s="21">
        <f>IFERROR(INDEX(Users!$D$2:$D$310,MATCH(A648,Users!$B$2:$B$310,0)),"")</f>
        <v/>
      </c>
      <c r="I648" s="19">
        <f>AND(G648="Service A",H648="Band 3")</f>
        <v/>
      </c>
      <c r="J648" s="33">
        <f>IF(AND(YEAR(B648)=2025,G648="Service B",OR(H648="Band 3",H648="Band 5"),ISNUMBER(F648)),F648,"")</f>
        <v/>
      </c>
    </row>
    <row r="649">
      <c r="A649" s="19" t="inlineStr">
        <is>
          <t>User1073</t>
        </is>
      </c>
      <c r="B649" s="60" t="n">
        <v>45870</v>
      </c>
      <c r="C649" s="21" t="n">
        <v>148</v>
      </c>
      <c r="D649" s="21" t="n">
        <v>138</v>
      </c>
      <c r="E649" s="21" t="n">
        <v>99</v>
      </c>
      <c r="F649" s="27">
        <f>IFERROR(IF(OR(C649="",D649="",C649=0),"",D649/C649),"")</f>
        <v/>
      </c>
      <c r="G649" s="21">
        <f>IFERROR(INDEX(Users!$A$2:$A$310,MATCH(A649,Users!$B$2:$B$310,0)),"")</f>
        <v/>
      </c>
      <c r="H649" s="21">
        <f>IFERROR(INDEX(Users!$D$2:$D$310,MATCH(A649,Users!$B$2:$B$310,0)),"")</f>
        <v/>
      </c>
      <c r="I649" s="19">
        <f>AND(G649="Service A",H649="Band 3")</f>
        <v/>
      </c>
      <c r="J649" s="33">
        <f>IF(AND(YEAR(B649)=2025,G649="Service B",OR(H649="Band 3",H649="Band 5"),ISNUMBER(F649)),F649,"")</f>
        <v/>
      </c>
    </row>
    <row r="650">
      <c r="A650" s="19" t="inlineStr">
        <is>
          <t>User1073</t>
        </is>
      </c>
      <c r="B650" s="60" t="n">
        <v>45901</v>
      </c>
      <c r="C650" s="21" t="n">
        <v>162.8</v>
      </c>
      <c r="D650" s="21" t="n">
        <v>114.5</v>
      </c>
      <c r="E650" s="21" t="n">
        <v>70</v>
      </c>
      <c r="F650" s="27">
        <f>IFERROR(IF(OR(C650="",D650="",C650=0),"",D650/C650),"")</f>
        <v/>
      </c>
      <c r="G650" s="21">
        <f>IFERROR(INDEX(Users!$A$2:$A$310,MATCH(A650,Users!$B$2:$B$310,0)),"")</f>
        <v/>
      </c>
      <c r="H650" s="21">
        <f>IFERROR(INDEX(Users!$D$2:$D$310,MATCH(A650,Users!$B$2:$B$310,0)),"")</f>
        <v/>
      </c>
      <c r="I650" s="19">
        <f>AND(G650="Service A",H650="Band 3")</f>
        <v/>
      </c>
      <c r="J650" s="33">
        <f>IF(AND(YEAR(B650)=2025,G650="Service B",OR(H650="Band 3",H650="Band 5"),ISNUMBER(F650)),F650,"")</f>
        <v/>
      </c>
    </row>
    <row r="651">
      <c r="A651" s="19" t="inlineStr">
        <is>
          <t>User1073</t>
        </is>
      </c>
      <c r="B651" s="60" t="n">
        <v>45931</v>
      </c>
      <c r="C651" s="21" t="n">
        <v>170.2</v>
      </c>
      <c r="D651" s="21" t="n">
        <v>154.7</v>
      </c>
      <c r="E651" s="21" t="n">
        <v>93.90000000000001</v>
      </c>
      <c r="F651" s="27">
        <f>IFERROR(IF(OR(C651="",D651="",C651=0),"",D651/C651),"")</f>
        <v/>
      </c>
      <c r="G651" s="21">
        <f>IFERROR(INDEX(Users!$A$2:$A$310,MATCH(A651,Users!$B$2:$B$310,0)),"")</f>
        <v/>
      </c>
      <c r="H651" s="21">
        <f>IFERROR(INDEX(Users!$D$2:$D$310,MATCH(A651,Users!$B$2:$B$310,0)),"")</f>
        <v/>
      </c>
      <c r="I651" s="19">
        <f>AND(G651="Service A",H651="Band 3")</f>
        <v/>
      </c>
      <c r="J651" s="33">
        <f>IF(AND(YEAR(B651)=2025,G651="Service B",OR(H651="Band 3",H651="Band 5"),ISNUMBER(F651)),F651,"")</f>
        <v/>
      </c>
    </row>
    <row r="652">
      <c r="A652" s="19" t="inlineStr">
        <is>
          <t>User1073</t>
        </is>
      </c>
      <c r="B652" s="60" t="n">
        <v>45962</v>
      </c>
      <c r="C652" s="21" t="n">
        <v>148</v>
      </c>
      <c r="D652" s="21" t="n">
        <v>145.45</v>
      </c>
      <c r="E652" s="21" t="n">
        <v>109.05</v>
      </c>
      <c r="F652" s="27">
        <f>IFERROR(IF(OR(C652="",D652="",C652=0),"",D652/C652),"")</f>
        <v/>
      </c>
      <c r="G652" s="21">
        <f>IFERROR(INDEX(Users!$A$2:$A$310,MATCH(A652,Users!$B$2:$B$310,0)),"")</f>
        <v/>
      </c>
      <c r="H652" s="21">
        <f>IFERROR(INDEX(Users!$D$2:$D$310,MATCH(A652,Users!$B$2:$B$310,0)),"")</f>
        <v/>
      </c>
      <c r="I652" s="19">
        <f>AND(G652="Service A",H652="Band 3")</f>
        <v/>
      </c>
      <c r="J652" s="33">
        <f>IF(AND(YEAR(B652)=2025,G652="Service B",OR(H652="Band 3",H652="Band 5"),ISNUMBER(F652)),F652,"")</f>
        <v/>
      </c>
    </row>
    <row r="653">
      <c r="A653" s="19" t="inlineStr">
        <is>
          <t>User1073</t>
        </is>
      </c>
      <c r="B653" s="60" t="n">
        <v>45992</v>
      </c>
      <c r="C653" s="21" t="n">
        <v>155.4</v>
      </c>
      <c r="D653" s="21" t="n">
        <v>94.81999999999999</v>
      </c>
      <c r="E653" s="21" t="n">
        <v>62.52</v>
      </c>
      <c r="F653" s="27">
        <f>IFERROR(IF(OR(C653="",D653="",C653=0),"",D653/C653),"")</f>
        <v/>
      </c>
      <c r="G653" s="21">
        <f>IFERROR(INDEX(Users!$A$2:$A$310,MATCH(A653,Users!$B$2:$B$310,0)),"")</f>
        <v/>
      </c>
      <c r="H653" s="21">
        <f>IFERROR(INDEX(Users!$D$2:$D$310,MATCH(A653,Users!$B$2:$B$310,0)),"")</f>
        <v/>
      </c>
      <c r="I653" s="19">
        <f>AND(G653="Service A",H653="Band 3")</f>
        <v/>
      </c>
      <c r="J653" s="33">
        <f>IF(AND(YEAR(B653)=2025,G653="Service B",OR(H653="Band 3",H653="Band 5"),ISNUMBER(F653)),F653,"")</f>
        <v/>
      </c>
    </row>
    <row r="654">
      <c r="A654" s="19" t="inlineStr">
        <is>
          <t>User1073</t>
        </is>
      </c>
      <c r="B654" s="60" t="n">
        <v>46023</v>
      </c>
      <c r="C654" s="21" t="n">
        <v>155.4</v>
      </c>
      <c r="D654" s="21" t="n">
        <v>151.4</v>
      </c>
      <c r="E654" s="21" t="n">
        <v>109.5</v>
      </c>
      <c r="F654" s="27">
        <f>IFERROR(IF(OR(C654="",D654="",C654=0),"",D654/C654),"")</f>
        <v/>
      </c>
      <c r="G654" s="21">
        <f>IFERROR(INDEX(Users!$A$2:$A$310,MATCH(A654,Users!$B$2:$B$310,0)),"")</f>
        <v/>
      </c>
      <c r="H654" s="21">
        <f>IFERROR(INDEX(Users!$D$2:$D$310,MATCH(A654,Users!$B$2:$B$310,0)),"")</f>
        <v/>
      </c>
      <c r="I654" s="19">
        <f>AND(G654="Service A",H654="Band 3")</f>
        <v/>
      </c>
      <c r="J654" s="33">
        <f>IF(AND(YEAR(B654)=2025,G654="Service B",OR(H654="Band 3",H654="Band 5"),ISNUMBER(F654)),F654,"")</f>
        <v/>
      </c>
    </row>
    <row r="655">
      <c r="A655" s="19" t="inlineStr">
        <is>
          <t>User1074</t>
        </is>
      </c>
      <c r="B655" s="60" t="n">
        <v>45717</v>
      </c>
      <c r="C655" s="21" t="n">
        <v>155.4000000000001</v>
      </c>
      <c r="D655" s="21" t="n">
        <v>70.87638888888888</v>
      </c>
      <c r="E655" s="21" t="n">
        <v>0.68</v>
      </c>
      <c r="F655" s="27">
        <f>IFERROR(IF(OR(C655="",D655="",C655=0),"",D655/C655),"")</f>
        <v/>
      </c>
      <c r="G655" s="21">
        <f>IFERROR(INDEX(Users!$A$2:$A$310,MATCH(A655,Users!$B$2:$B$310,0)),"")</f>
        <v/>
      </c>
      <c r="H655" s="21">
        <f>IFERROR(INDEX(Users!$D$2:$D$310,MATCH(A655,Users!$B$2:$B$310,0)),"")</f>
        <v/>
      </c>
      <c r="I655" s="19">
        <f>AND(G655="Service A",H655="Band 3")</f>
        <v/>
      </c>
      <c r="J655" s="33">
        <f>IF(AND(YEAR(B655)=2025,G655="Service B",OR(H655="Band 3",H655="Band 5"),ISNUMBER(F655)),F655,"")</f>
        <v/>
      </c>
    </row>
    <row r="656">
      <c r="A656" s="19" t="inlineStr">
        <is>
          <t>User1074</t>
        </is>
      </c>
      <c r="B656" s="60" t="n">
        <v>45748</v>
      </c>
      <c r="C656" s="21" t="n">
        <v>148.0000000000001</v>
      </c>
      <c r="D656" s="21" t="n">
        <v>126.0133333333334</v>
      </c>
      <c r="E656" s="21" t="n">
        <v>2.68</v>
      </c>
      <c r="F656" s="27">
        <f>IFERROR(IF(OR(C656="",D656="",C656=0),"",D656/C656),"")</f>
        <v/>
      </c>
      <c r="G656" s="21">
        <f>IFERROR(INDEX(Users!$A$2:$A$310,MATCH(A656,Users!$B$2:$B$310,0)),"")</f>
        <v/>
      </c>
      <c r="H656" s="21">
        <f>IFERROR(INDEX(Users!$D$2:$D$310,MATCH(A656,Users!$B$2:$B$310,0)),"")</f>
        <v/>
      </c>
      <c r="I656" s="19">
        <f>AND(G656="Service A",H656="Band 3")</f>
        <v/>
      </c>
      <c r="J656" s="33">
        <f>IF(AND(YEAR(B656)=2025,G656="Service B",OR(H656="Band 3",H656="Band 5"),ISNUMBER(F656)),F656,"")</f>
        <v/>
      </c>
    </row>
    <row r="657">
      <c r="A657" s="19" t="inlineStr">
        <is>
          <t>User1074</t>
        </is>
      </c>
      <c r="B657" s="60" t="n">
        <v>45778</v>
      </c>
      <c r="C657" s="21" t="n">
        <v>148.0000000000001</v>
      </c>
      <c r="D657" s="21" t="n">
        <v>135.5933333333334</v>
      </c>
      <c r="E657" s="21" t="n">
        <v>24.66</v>
      </c>
      <c r="F657" s="27">
        <f>IFERROR(IF(OR(C657="",D657="",C657=0),"",D657/C657),"")</f>
        <v/>
      </c>
      <c r="G657" s="21">
        <f>IFERROR(INDEX(Users!$A$2:$A$310,MATCH(A657,Users!$B$2:$B$310,0)),"")</f>
        <v/>
      </c>
      <c r="H657" s="21">
        <f>IFERROR(INDEX(Users!$D$2:$D$310,MATCH(A657,Users!$B$2:$B$310,0)),"")</f>
        <v/>
      </c>
      <c r="I657" s="19">
        <f>AND(G657="Service A",H657="Band 3")</f>
        <v/>
      </c>
      <c r="J657" s="33">
        <f>IF(AND(YEAR(B657)=2025,G657="Service B",OR(H657="Band 3",H657="Band 5"),ISNUMBER(F657)),F657,"")</f>
        <v/>
      </c>
    </row>
    <row r="658">
      <c r="A658" s="19" t="inlineStr">
        <is>
          <t>User1074</t>
        </is>
      </c>
      <c r="B658" s="60" t="n">
        <v>45809</v>
      </c>
      <c r="C658" s="21" t="n">
        <v>155.4000000000001</v>
      </c>
      <c r="D658" s="21" t="n">
        <v>120.2</v>
      </c>
      <c r="E658" s="21" t="n">
        <v>33.8</v>
      </c>
      <c r="F658" s="27">
        <f>IFERROR(IF(OR(C658="",D658="",C658=0),"",D658/C658),"")</f>
        <v/>
      </c>
      <c r="G658" s="21">
        <f>IFERROR(INDEX(Users!$A$2:$A$310,MATCH(A658,Users!$B$2:$B$310,0)),"")</f>
        <v/>
      </c>
      <c r="H658" s="21">
        <f>IFERROR(INDEX(Users!$D$2:$D$310,MATCH(A658,Users!$B$2:$B$310,0)),"")</f>
        <v/>
      </c>
      <c r="I658" s="19">
        <f>AND(G658="Service A",H658="Band 3")</f>
        <v/>
      </c>
      <c r="J658" s="33">
        <f>IF(AND(YEAR(B658)=2025,G658="Service B",OR(H658="Band 3",H658="Band 5"),ISNUMBER(F658)),F658,"")</f>
        <v/>
      </c>
    </row>
    <row r="659">
      <c r="A659" s="19" t="inlineStr">
        <is>
          <t>User1074</t>
        </is>
      </c>
      <c r="B659" s="60" t="n">
        <v>45839</v>
      </c>
      <c r="C659" s="21" t="n">
        <v>170.2000000000001</v>
      </c>
      <c r="D659" s="21" t="n">
        <v>149.9733333333333</v>
      </c>
      <c r="E659" s="21" t="n">
        <v>73.38999999999999</v>
      </c>
      <c r="F659" s="27">
        <f>IFERROR(IF(OR(C659="",D659="",C659=0),"",D659/C659),"")</f>
        <v/>
      </c>
      <c r="G659" s="21">
        <f>IFERROR(INDEX(Users!$A$2:$A$310,MATCH(A659,Users!$B$2:$B$310,0)),"")</f>
        <v/>
      </c>
      <c r="H659" s="21">
        <f>IFERROR(INDEX(Users!$D$2:$D$310,MATCH(A659,Users!$B$2:$B$310,0)),"")</f>
        <v/>
      </c>
      <c r="I659" s="19">
        <f>AND(G659="Service A",H659="Band 3")</f>
        <v/>
      </c>
      <c r="J659" s="33">
        <f>IF(AND(YEAR(B659)=2025,G659="Service B",OR(H659="Band 3",H659="Band 5"),ISNUMBER(F659)),F659,"")</f>
        <v/>
      </c>
    </row>
    <row r="660">
      <c r="A660" s="19" t="inlineStr">
        <is>
          <t>User1074</t>
        </is>
      </c>
      <c r="B660" s="60" t="n">
        <v>45870</v>
      </c>
      <c r="C660" s="21" t="n">
        <v>148.0000000000001</v>
      </c>
      <c r="D660" s="21" t="n">
        <v>73.69666666666666</v>
      </c>
      <c r="E660" s="21" t="n">
        <v>33.28</v>
      </c>
      <c r="F660" s="27">
        <f>IFERROR(IF(OR(C660="",D660="",C660=0),"",D660/C660),"")</f>
        <v/>
      </c>
      <c r="G660" s="21">
        <f>IFERROR(INDEX(Users!$A$2:$A$310,MATCH(A660,Users!$B$2:$B$310,0)),"")</f>
        <v/>
      </c>
      <c r="H660" s="21">
        <f>IFERROR(INDEX(Users!$D$2:$D$310,MATCH(A660,Users!$B$2:$B$310,0)),"")</f>
        <v/>
      </c>
      <c r="I660" s="19">
        <f>AND(G660="Service A",H660="Band 3")</f>
        <v/>
      </c>
      <c r="J660" s="33">
        <f>IF(AND(YEAR(B660)=2025,G660="Service B",OR(H660="Band 3",H660="Band 5"),ISNUMBER(F660)),F660,"")</f>
        <v/>
      </c>
    </row>
    <row r="661">
      <c r="A661" s="19" t="inlineStr">
        <is>
          <t>User1074</t>
        </is>
      </c>
      <c r="B661" s="60" t="n">
        <v>45901</v>
      </c>
      <c r="C661" s="21" t="n">
        <v>162.8000000000001</v>
      </c>
      <c r="D661" s="21" t="n">
        <v>144.19</v>
      </c>
      <c r="E661" s="21" t="n">
        <v>53.19</v>
      </c>
      <c r="F661" s="27">
        <f>IFERROR(IF(OR(C661="",D661="",C661=0),"",D661/C661),"")</f>
        <v/>
      </c>
      <c r="G661" s="21">
        <f>IFERROR(INDEX(Users!$A$2:$A$310,MATCH(A661,Users!$B$2:$B$310,0)),"")</f>
        <v/>
      </c>
      <c r="H661" s="21">
        <f>IFERROR(INDEX(Users!$D$2:$D$310,MATCH(A661,Users!$B$2:$B$310,0)),"")</f>
        <v/>
      </c>
      <c r="I661" s="19">
        <f>AND(G661="Service A",H661="Band 3")</f>
        <v/>
      </c>
      <c r="J661" s="33">
        <f>IF(AND(YEAR(B661)=2025,G661="Service B",OR(H661="Band 3",H661="Band 5"),ISNUMBER(F661)),F661,"")</f>
        <v/>
      </c>
    </row>
    <row r="662">
      <c r="A662" s="19" t="inlineStr">
        <is>
          <t>User1074</t>
        </is>
      </c>
      <c r="B662" s="60" t="n">
        <v>45931</v>
      </c>
      <c r="C662" s="21" t="n">
        <v>170.2000000000001</v>
      </c>
      <c r="D662" s="21" t="n">
        <v>78.35333333333334</v>
      </c>
      <c r="E662" s="21" t="n">
        <v>37.52</v>
      </c>
      <c r="F662" s="27">
        <f>IFERROR(IF(OR(C662="",D662="",C662=0),"",D662/C662),"")</f>
        <v/>
      </c>
      <c r="G662" s="21">
        <f>IFERROR(INDEX(Users!$A$2:$A$310,MATCH(A662,Users!$B$2:$B$310,0)),"")</f>
        <v/>
      </c>
      <c r="H662" s="21">
        <f>IFERROR(INDEX(Users!$D$2:$D$310,MATCH(A662,Users!$B$2:$B$310,0)),"")</f>
        <v/>
      </c>
      <c r="I662" s="19">
        <f>AND(G662="Service A",H662="Band 3")</f>
        <v/>
      </c>
      <c r="J662" s="33">
        <f>IF(AND(YEAR(B662)=2025,G662="Service B",OR(H662="Band 3",H662="Band 5"),ISNUMBER(F662)),F662,"")</f>
        <v/>
      </c>
    </row>
    <row r="663">
      <c r="A663" s="19" t="inlineStr">
        <is>
          <t>User1074</t>
        </is>
      </c>
      <c r="B663" s="60" t="n">
        <v>45962</v>
      </c>
      <c r="C663" s="21" t="n">
        <v>148.0000000000001</v>
      </c>
      <c r="D663" s="21" t="n">
        <v>96.07333333333332</v>
      </c>
      <c r="E663" s="21" t="n">
        <v>52.19</v>
      </c>
      <c r="F663" s="27">
        <f>IFERROR(IF(OR(C663="",D663="",C663=0),"",D663/C663),"")</f>
        <v/>
      </c>
      <c r="G663" s="21">
        <f>IFERROR(INDEX(Users!$A$2:$A$310,MATCH(A663,Users!$B$2:$B$310,0)),"")</f>
        <v/>
      </c>
      <c r="H663" s="21">
        <f>IFERROR(INDEX(Users!$D$2:$D$310,MATCH(A663,Users!$B$2:$B$310,0)),"")</f>
        <v/>
      </c>
      <c r="I663" s="19">
        <f>AND(G663="Service A",H663="Band 3")</f>
        <v/>
      </c>
      <c r="J663" s="33">
        <f>IF(AND(YEAR(B663)=2025,G663="Service B",OR(H663="Band 3",H663="Band 5"),ISNUMBER(F663)),F663,"")</f>
        <v/>
      </c>
    </row>
    <row r="664">
      <c r="A664" s="19" t="inlineStr">
        <is>
          <t>User1074</t>
        </is>
      </c>
      <c r="B664" s="60" t="n">
        <v>45992</v>
      </c>
      <c r="C664" s="21" t="n">
        <v>155.4000000000001</v>
      </c>
      <c r="D664" s="21" t="n">
        <v>115.4</v>
      </c>
      <c r="E664" s="21" t="n">
        <v>68.14999999999999</v>
      </c>
      <c r="F664" s="27">
        <f>IFERROR(IF(OR(C664="",D664="",C664=0),"",D664/C664),"")</f>
        <v/>
      </c>
      <c r="G664" s="21">
        <f>IFERROR(INDEX(Users!$A$2:$A$310,MATCH(A664,Users!$B$2:$B$310,0)),"")</f>
        <v/>
      </c>
      <c r="H664" s="21">
        <f>IFERROR(INDEX(Users!$D$2:$D$310,MATCH(A664,Users!$B$2:$B$310,0)),"")</f>
        <v/>
      </c>
      <c r="I664" s="19">
        <f>AND(G664="Service A",H664="Band 3")</f>
        <v/>
      </c>
      <c r="J664" s="33">
        <f>IF(AND(YEAR(B664)=2025,G664="Service B",OR(H664="Band 3",H664="Band 5"),ISNUMBER(F664)),F664,"")</f>
        <v/>
      </c>
    </row>
    <row r="665">
      <c r="A665" s="19" t="inlineStr">
        <is>
          <t>User1074</t>
        </is>
      </c>
      <c r="B665" s="60" t="n">
        <v>46023</v>
      </c>
      <c r="C665" s="21" t="n">
        <v>155.4000000000001</v>
      </c>
      <c r="D665" s="21" t="n">
        <v>25.76333333333334</v>
      </c>
      <c r="E665" s="21" t="n">
        <v>9.93</v>
      </c>
      <c r="F665" s="27">
        <f>IFERROR(IF(OR(C665="",D665="",C665=0),"",D665/C665),"")</f>
        <v/>
      </c>
      <c r="G665" s="21">
        <f>IFERROR(INDEX(Users!$A$2:$A$310,MATCH(A665,Users!$B$2:$B$310,0)),"")</f>
        <v/>
      </c>
      <c r="H665" s="21">
        <f>IFERROR(INDEX(Users!$D$2:$D$310,MATCH(A665,Users!$B$2:$B$310,0)),"")</f>
        <v/>
      </c>
      <c r="I665" s="19">
        <f>AND(G665="Service A",H665="Band 3")</f>
        <v/>
      </c>
      <c r="J665" s="33">
        <f>IF(AND(YEAR(B665)=2025,G665="Service B",OR(H665="Band 3",H665="Band 5"),ISNUMBER(F665)),F665,"")</f>
        <v/>
      </c>
    </row>
    <row r="666">
      <c r="A666" s="19" t="inlineStr">
        <is>
          <t>User1075</t>
        </is>
      </c>
      <c r="B666" s="60" t="n">
        <v>45689</v>
      </c>
      <c r="C666" s="21" t="n">
        <v>37</v>
      </c>
      <c r="D666" s="21" t="n">
        <v>37.4</v>
      </c>
      <c r="E666" s="21" t="n"/>
      <c r="F666" s="27">
        <f>IFERROR(IF(OR(C666="",D666="",C666=0),"",D666/C666),"")</f>
        <v/>
      </c>
      <c r="G666" s="21">
        <f>IFERROR(INDEX(Users!$A$2:$A$310,MATCH(A666,Users!$B$2:$B$310,0)),"")</f>
        <v/>
      </c>
      <c r="H666" s="21">
        <f>IFERROR(INDEX(Users!$D$2:$D$310,MATCH(A666,Users!$B$2:$B$310,0)),"")</f>
        <v/>
      </c>
      <c r="I666" s="19">
        <f>AND(G666="Service A",H666="Band 3")</f>
        <v/>
      </c>
      <c r="J666" s="33">
        <f>IF(AND(YEAR(B666)=2025,G666="Service B",OR(H666="Band 3",H666="Band 5"),ISNUMBER(F666)),F666,"")</f>
        <v/>
      </c>
    </row>
    <row r="667">
      <c r="A667" s="19" t="inlineStr">
        <is>
          <t>User1075</t>
        </is>
      </c>
      <c r="B667" s="60" t="n">
        <v>45717</v>
      </c>
      <c r="C667" s="21" t="n">
        <v>155.4000000000001</v>
      </c>
      <c r="D667" s="21" t="n">
        <v>149.4166666666667</v>
      </c>
      <c r="E667" s="21" t="n"/>
      <c r="F667" s="27">
        <f>IFERROR(IF(OR(C667="",D667="",C667=0),"",D667/C667),"")</f>
        <v/>
      </c>
      <c r="G667" s="21">
        <f>IFERROR(INDEX(Users!$A$2:$A$310,MATCH(A667,Users!$B$2:$B$310,0)),"")</f>
        <v/>
      </c>
      <c r="H667" s="21">
        <f>IFERROR(INDEX(Users!$D$2:$D$310,MATCH(A667,Users!$B$2:$B$310,0)),"")</f>
        <v/>
      </c>
      <c r="I667" s="19">
        <f>AND(G667="Service A",H667="Band 3")</f>
        <v/>
      </c>
      <c r="J667" s="33">
        <f>IF(AND(YEAR(B667)=2025,G667="Service B",OR(H667="Band 3",H667="Band 5"),ISNUMBER(F667)),F667,"")</f>
        <v/>
      </c>
    </row>
    <row r="668">
      <c r="A668" s="19" t="inlineStr">
        <is>
          <t>User1075</t>
        </is>
      </c>
      <c r="B668" s="60" t="n">
        <v>45748</v>
      </c>
      <c r="C668" s="21" t="n">
        <v>148.0000000000001</v>
      </c>
      <c r="D668" s="21" t="n">
        <v>144.5466666666667</v>
      </c>
      <c r="E668" s="21" t="n">
        <v>12.58</v>
      </c>
      <c r="F668" s="27">
        <f>IFERROR(IF(OR(C668="",D668="",C668=0),"",D668/C668),"")</f>
        <v/>
      </c>
      <c r="G668" s="21">
        <f>IFERROR(INDEX(Users!$A$2:$A$310,MATCH(A668,Users!$B$2:$B$310,0)),"")</f>
        <v/>
      </c>
      <c r="H668" s="21">
        <f>IFERROR(INDEX(Users!$D$2:$D$310,MATCH(A668,Users!$B$2:$B$310,0)),"")</f>
        <v/>
      </c>
      <c r="I668" s="19">
        <f>AND(G668="Service A",H668="Band 3")</f>
        <v/>
      </c>
      <c r="J668" s="33">
        <f>IF(AND(YEAR(B668)=2025,G668="Service B",OR(H668="Band 3",H668="Band 5"),ISNUMBER(F668)),F668,"")</f>
        <v/>
      </c>
    </row>
    <row r="669">
      <c r="A669" s="19" t="inlineStr">
        <is>
          <t>User1075</t>
        </is>
      </c>
      <c r="B669" s="60" t="n">
        <v>45778</v>
      </c>
      <c r="C669" s="21" t="n">
        <v>148.0000000000001</v>
      </c>
      <c r="D669" s="21" t="n">
        <v>141.8166666666667</v>
      </c>
      <c r="E669" s="21" t="n">
        <v>76.14999999999998</v>
      </c>
      <c r="F669" s="27">
        <f>IFERROR(IF(OR(C669="",D669="",C669=0),"",D669/C669),"")</f>
        <v/>
      </c>
      <c r="G669" s="21">
        <f>IFERROR(INDEX(Users!$A$2:$A$310,MATCH(A669,Users!$B$2:$B$310,0)),"")</f>
        <v/>
      </c>
      <c r="H669" s="21">
        <f>IFERROR(INDEX(Users!$D$2:$D$310,MATCH(A669,Users!$B$2:$B$310,0)),"")</f>
        <v/>
      </c>
      <c r="I669" s="19">
        <f>AND(G669="Service A",H669="Band 3")</f>
        <v/>
      </c>
      <c r="J669" s="33">
        <f>IF(AND(YEAR(B669)=2025,G669="Service B",OR(H669="Band 3",H669="Band 5"),ISNUMBER(F669)),F669,"")</f>
        <v/>
      </c>
    </row>
    <row r="670">
      <c r="A670" s="19" t="inlineStr">
        <is>
          <t>User1075</t>
        </is>
      </c>
      <c r="B670" s="60" t="n">
        <v>45809</v>
      </c>
      <c r="C670" s="21" t="n">
        <v>155.4000000000001</v>
      </c>
      <c r="D670" s="21" t="n">
        <v>157.6933333333333</v>
      </c>
      <c r="E670" s="21" t="n">
        <v>107.36</v>
      </c>
      <c r="F670" s="27">
        <f>IFERROR(IF(OR(C670="",D670="",C670=0),"",D670/C670),"")</f>
        <v/>
      </c>
      <c r="G670" s="21">
        <f>IFERROR(INDEX(Users!$A$2:$A$310,MATCH(A670,Users!$B$2:$B$310,0)),"")</f>
        <v/>
      </c>
      <c r="H670" s="21">
        <f>IFERROR(INDEX(Users!$D$2:$D$310,MATCH(A670,Users!$B$2:$B$310,0)),"")</f>
        <v/>
      </c>
      <c r="I670" s="19">
        <f>AND(G670="Service A",H670="Band 3")</f>
        <v/>
      </c>
      <c r="J670" s="33">
        <f>IF(AND(YEAR(B670)=2025,G670="Service B",OR(H670="Band 3",H670="Band 5"),ISNUMBER(F670)),F670,"")</f>
        <v/>
      </c>
    </row>
    <row r="671">
      <c r="A671" s="19" t="inlineStr">
        <is>
          <t>User1075</t>
        </is>
      </c>
      <c r="B671" s="60" t="n">
        <v>45839</v>
      </c>
      <c r="C671" s="21" t="n">
        <v>170.2000000000001</v>
      </c>
      <c r="D671" s="21" t="n">
        <v>158.0333333333334</v>
      </c>
      <c r="E671" s="21" t="n">
        <v>101.2</v>
      </c>
      <c r="F671" s="27">
        <f>IFERROR(IF(OR(C671="",D671="",C671=0),"",D671/C671),"")</f>
        <v/>
      </c>
      <c r="G671" s="21">
        <f>IFERROR(INDEX(Users!$A$2:$A$310,MATCH(A671,Users!$B$2:$B$310,0)),"")</f>
        <v/>
      </c>
      <c r="H671" s="21">
        <f>IFERROR(INDEX(Users!$D$2:$D$310,MATCH(A671,Users!$B$2:$B$310,0)),"")</f>
        <v/>
      </c>
      <c r="I671" s="19">
        <f>AND(G671="Service A",H671="Band 3")</f>
        <v/>
      </c>
      <c r="J671" s="33">
        <f>IF(AND(YEAR(B671)=2025,G671="Service B",OR(H671="Band 3",H671="Band 5"),ISNUMBER(F671)),F671,"")</f>
        <v/>
      </c>
    </row>
    <row r="672">
      <c r="A672" s="19" t="inlineStr">
        <is>
          <t>User1075</t>
        </is>
      </c>
      <c r="B672" s="60" t="n">
        <v>45870</v>
      </c>
      <c r="C672" s="21" t="n">
        <v>148.0000000000001</v>
      </c>
      <c r="D672" s="21" t="n">
        <v>97.90333333333331</v>
      </c>
      <c r="E672" s="21" t="n">
        <v>71.06999999999998</v>
      </c>
      <c r="F672" s="27">
        <f>IFERROR(IF(OR(C672="",D672="",C672=0),"",D672/C672),"")</f>
        <v/>
      </c>
      <c r="G672" s="21">
        <f>IFERROR(INDEX(Users!$A$2:$A$310,MATCH(A672,Users!$B$2:$B$310,0)),"")</f>
        <v/>
      </c>
      <c r="H672" s="21">
        <f>IFERROR(INDEX(Users!$D$2:$D$310,MATCH(A672,Users!$B$2:$B$310,0)),"")</f>
        <v/>
      </c>
      <c r="I672" s="19">
        <f>AND(G672="Service A",H672="Band 3")</f>
        <v/>
      </c>
      <c r="J672" s="33">
        <f>IF(AND(YEAR(B672)=2025,G672="Service B",OR(H672="Band 3",H672="Band 5"),ISNUMBER(F672)),F672,"")</f>
        <v/>
      </c>
    </row>
    <row r="673">
      <c r="A673" s="19" t="inlineStr">
        <is>
          <t>User1075</t>
        </is>
      </c>
      <c r="B673" s="60" t="n">
        <v>45901</v>
      </c>
      <c r="C673" s="21" t="n">
        <v>162.8000000000001</v>
      </c>
      <c r="D673" s="21" t="n">
        <v>147.01</v>
      </c>
      <c r="E673" s="21" t="n">
        <v>103.26</v>
      </c>
      <c r="F673" s="27">
        <f>IFERROR(IF(OR(C673="",D673="",C673=0),"",D673/C673),"")</f>
        <v/>
      </c>
      <c r="G673" s="21">
        <f>IFERROR(INDEX(Users!$A$2:$A$310,MATCH(A673,Users!$B$2:$B$310,0)),"")</f>
        <v/>
      </c>
      <c r="H673" s="21">
        <f>IFERROR(INDEX(Users!$D$2:$D$310,MATCH(A673,Users!$B$2:$B$310,0)),"")</f>
        <v/>
      </c>
      <c r="I673" s="19">
        <f>AND(G673="Service A",H673="Band 3")</f>
        <v/>
      </c>
      <c r="J673" s="33">
        <f>IF(AND(YEAR(B673)=2025,G673="Service B",OR(H673="Band 3",H673="Band 5"),ISNUMBER(F673)),F673,"")</f>
        <v/>
      </c>
    </row>
    <row r="674">
      <c r="A674" s="19" t="inlineStr">
        <is>
          <t>User1075</t>
        </is>
      </c>
      <c r="B674" s="60" t="n">
        <v>45931</v>
      </c>
      <c r="C674" s="21" t="n">
        <v>170.2000000000001</v>
      </c>
      <c r="D674" s="21" t="n">
        <v>165.9433333333333</v>
      </c>
      <c r="E674" s="21" t="n">
        <v>107.11</v>
      </c>
      <c r="F674" s="27">
        <f>IFERROR(IF(OR(C674="",D674="",C674=0),"",D674/C674),"")</f>
        <v/>
      </c>
      <c r="G674" s="21">
        <f>IFERROR(INDEX(Users!$A$2:$A$310,MATCH(A674,Users!$B$2:$B$310,0)),"")</f>
        <v/>
      </c>
      <c r="H674" s="21">
        <f>IFERROR(INDEX(Users!$D$2:$D$310,MATCH(A674,Users!$B$2:$B$310,0)),"")</f>
        <v/>
      </c>
      <c r="I674" s="19">
        <f>AND(G674="Service A",H674="Band 3")</f>
        <v/>
      </c>
      <c r="J674" s="33">
        <f>IF(AND(YEAR(B674)=2025,G674="Service B",OR(H674="Band 3",H674="Band 5"),ISNUMBER(F674)),F674,"")</f>
        <v/>
      </c>
    </row>
    <row r="675">
      <c r="A675" s="19" t="inlineStr">
        <is>
          <t>User1075</t>
        </is>
      </c>
      <c r="B675" s="60" t="n">
        <v>45962</v>
      </c>
      <c r="C675" s="21" t="n">
        <v>148.0000000000001</v>
      </c>
      <c r="D675" s="21" t="n">
        <v>150.33</v>
      </c>
      <c r="E675" s="21" t="n">
        <v>98.82999999999998</v>
      </c>
      <c r="F675" s="27">
        <f>IFERROR(IF(OR(C675="",D675="",C675=0),"",D675/C675),"")</f>
        <v/>
      </c>
      <c r="G675" s="21">
        <f>IFERROR(INDEX(Users!$A$2:$A$310,MATCH(A675,Users!$B$2:$B$310,0)),"")</f>
        <v/>
      </c>
      <c r="H675" s="21">
        <f>IFERROR(INDEX(Users!$D$2:$D$310,MATCH(A675,Users!$B$2:$B$310,0)),"")</f>
        <v/>
      </c>
      <c r="I675" s="19">
        <f>AND(G675="Service A",H675="Band 3")</f>
        <v/>
      </c>
      <c r="J675" s="33">
        <f>IF(AND(YEAR(B675)=2025,G675="Service B",OR(H675="Band 3",H675="Band 5"),ISNUMBER(F675)),F675,"")</f>
        <v/>
      </c>
    </row>
    <row r="676">
      <c r="A676" s="19" t="inlineStr">
        <is>
          <t>User1075</t>
        </is>
      </c>
      <c r="B676" s="60" t="n">
        <v>45992</v>
      </c>
      <c r="C676" s="21" t="n">
        <v>155.4000000000001</v>
      </c>
      <c r="D676" s="21" t="n">
        <v>96.34666666666666</v>
      </c>
      <c r="E676" s="21" t="n">
        <v>60.92999999999999</v>
      </c>
      <c r="F676" s="27">
        <f>IFERROR(IF(OR(C676="",D676="",C676=0),"",D676/C676),"")</f>
        <v/>
      </c>
      <c r="G676" s="21">
        <f>IFERROR(INDEX(Users!$A$2:$A$310,MATCH(A676,Users!$B$2:$B$310,0)),"")</f>
        <v/>
      </c>
      <c r="H676" s="21">
        <f>IFERROR(INDEX(Users!$D$2:$D$310,MATCH(A676,Users!$B$2:$B$310,0)),"")</f>
        <v/>
      </c>
      <c r="I676" s="19">
        <f>AND(G676="Service A",H676="Band 3")</f>
        <v/>
      </c>
      <c r="J676" s="33">
        <f>IF(AND(YEAR(B676)=2025,G676="Service B",OR(H676="Band 3",H676="Band 5"),ISNUMBER(F676)),F676,"")</f>
        <v/>
      </c>
    </row>
    <row r="677">
      <c r="A677" s="19" t="inlineStr">
        <is>
          <t>User1075</t>
        </is>
      </c>
      <c r="B677" s="60" t="n">
        <v>46023</v>
      </c>
      <c r="C677" s="21" t="n">
        <v>155.4000000000001</v>
      </c>
      <c r="D677" s="21" t="n">
        <v>149.8333333333333</v>
      </c>
      <c r="E677" s="21" t="n">
        <v>88.24999999999999</v>
      </c>
      <c r="F677" s="27">
        <f>IFERROR(IF(OR(C677="",D677="",C677=0),"",D677/C677),"")</f>
        <v/>
      </c>
      <c r="G677" s="21">
        <f>IFERROR(INDEX(Users!$A$2:$A$310,MATCH(A677,Users!$B$2:$B$310,0)),"")</f>
        <v/>
      </c>
      <c r="H677" s="21">
        <f>IFERROR(INDEX(Users!$D$2:$D$310,MATCH(A677,Users!$B$2:$B$310,0)),"")</f>
        <v/>
      </c>
      <c r="I677" s="19">
        <f>AND(G677="Service A",H677="Band 3")</f>
        <v/>
      </c>
      <c r="J677" s="33">
        <f>IF(AND(YEAR(B677)=2025,G677="Service B",OR(H677="Band 3",H677="Band 5"),ISNUMBER(F677)),F677,"")</f>
        <v/>
      </c>
    </row>
    <row r="678">
      <c r="A678" s="19" t="inlineStr">
        <is>
          <t>User1076</t>
        </is>
      </c>
      <c r="B678" s="60" t="n">
        <v>45658</v>
      </c>
      <c r="C678" s="21" t="n">
        <v>162.8</v>
      </c>
      <c r="D678" s="21" t="n">
        <v>163.7533333333334</v>
      </c>
      <c r="E678" s="21" t="n">
        <v>154.42</v>
      </c>
      <c r="F678" s="27">
        <f>IFERROR(IF(OR(C678="",D678="",C678=0),"",D678/C678),"")</f>
        <v/>
      </c>
      <c r="G678" s="21">
        <f>IFERROR(INDEX(Users!$A$2:$A$310,MATCH(A678,Users!$B$2:$B$310,0)),"")</f>
        <v/>
      </c>
      <c r="H678" s="21">
        <f>IFERROR(INDEX(Users!$D$2:$D$310,MATCH(A678,Users!$B$2:$B$310,0)),"")</f>
        <v/>
      </c>
      <c r="I678" s="19">
        <f>AND(G678="Service A",H678="Band 3")</f>
        <v/>
      </c>
      <c r="J678" s="33">
        <f>IF(AND(YEAR(B678)=2025,G678="Service B",OR(H678="Band 3",H678="Band 5"),ISNUMBER(F678)),F678,"")</f>
        <v/>
      </c>
    </row>
    <row r="679">
      <c r="A679" s="19" t="inlineStr">
        <is>
          <t>User1076</t>
        </is>
      </c>
      <c r="B679" s="60" t="n">
        <v>45689</v>
      </c>
      <c r="C679" s="21" t="n">
        <v>148</v>
      </c>
      <c r="D679" s="21" t="n">
        <v>148.08</v>
      </c>
      <c r="E679" s="21" t="n">
        <v>118.83</v>
      </c>
      <c r="F679" s="27">
        <f>IFERROR(IF(OR(C679="",D679="",C679=0),"",D679/C679),"")</f>
        <v/>
      </c>
      <c r="G679" s="21">
        <f>IFERROR(INDEX(Users!$A$2:$A$310,MATCH(A679,Users!$B$2:$B$310,0)),"")</f>
        <v/>
      </c>
      <c r="H679" s="21">
        <f>IFERROR(INDEX(Users!$D$2:$D$310,MATCH(A679,Users!$B$2:$B$310,0)),"")</f>
        <v/>
      </c>
      <c r="I679" s="19">
        <f>AND(G679="Service A",H679="Band 3")</f>
        <v/>
      </c>
      <c r="J679" s="33">
        <f>IF(AND(YEAR(B679)=2025,G679="Service B",OR(H679="Band 3",H679="Band 5"),ISNUMBER(F679)),F679,"")</f>
        <v/>
      </c>
    </row>
    <row r="680">
      <c r="A680" s="19" t="inlineStr">
        <is>
          <t>User1076</t>
        </is>
      </c>
      <c r="B680" s="60" t="n">
        <v>45717</v>
      </c>
      <c r="C680" s="21" t="n">
        <v>155.4</v>
      </c>
      <c r="D680" s="21" t="n">
        <v>126.1633333333333</v>
      </c>
      <c r="E680" s="21" t="n">
        <v>117.83</v>
      </c>
      <c r="F680" s="27">
        <f>IFERROR(IF(OR(C680="",D680="",C680=0),"",D680/C680),"")</f>
        <v/>
      </c>
      <c r="G680" s="21">
        <f>IFERROR(INDEX(Users!$A$2:$A$310,MATCH(A680,Users!$B$2:$B$310,0)),"")</f>
        <v/>
      </c>
      <c r="H680" s="21">
        <f>IFERROR(INDEX(Users!$D$2:$D$310,MATCH(A680,Users!$B$2:$B$310,0)),"")</f>
        <v/>
      </c>
      <c r="I680" s="19">
        <f>AND(G680="Service A",H680="Band 3")</f>
        <v/>
      </c>
      <c r="J680" s="33">
        <f>IF(AND(YEAR(B680)=2025,G680="Service B",OR(H680="Band 3",H680="Band 5"),ISNUMBER(F680)),F680,"")</f>
        <v/>
      </c>
    </row>
    <row r="681">
      <c r="A681" s="19" t="inlineStr">
        <is>
          <t>User1076</t>
        </is>
      </c>
      <c r="B681" s="60" t="n">
        <v>45748</v>
      </c>
      <c r="C681" s="21" t="n">
        <v>148</v>
      </c>
      <c r="D681" s="21" t="n">
        <v>87.5</v>
      </c>
      <c r="E681" s="21" t="n">
        <v>75</v>
      </c>
      <c r="F681" s="27">
        <f>IFERROR(IF(OR(C681="",D681="",C681=0),"",D681/C681),"")</f>
        <v/>
      </c>
      <c r="G681" s="21">
        <f>IFERROR(INDEX(Users!$A$2:$A$310,MATCH(A681,Users!$B$2:$B$310,0)),"")</f>
        <v/>
      </c>
      <c r="H681" s="21">
        <f>IFERROR(INDEX(Users!$D$2:$D$310,MATCH(A681,Users!$B$2:$B$310,0)),"")</f>
        <v/>
      </c>
      <c r="I681" s="19">
        <f>AND(G681="Service A",H681="Band 3")</f>
        <v/>
      </c>
      <c r="J681" s="33">
        <f>IF(AND(YEAR(B681)=2025,G681="Service B",OR(H681="Band 3",H681="Band 5"),ISNUMBER(F681)),F681,"")</f>
        <v/>
      </c>
    </row>
    <row r="682">
      <c r="A682" s="19" t="inlineStr">
        <is>
          <t>User1076</t>
        </is>
      </c>
      <c r="B682" s="60" t="n">
        <v>45778</v>
      </c>
      <c r="C682" s="21" t="n">
        <v>148</v>
      </c>
      <c r="D682" s="21" t="n">
        <v>79</v>
      </c>
      <c r="E682" s="21" t="n">
        <v>62.25</v>
      </c>
      <c r="F682" s="27">
        <f>IFERROR(IF(OR(C682="",D682="",C682=0),"",D682/C682),"")</f>
        <v/>
      </c>
      <c r="G682" s="21">
        <f>IFERROR(INDEX(Users!$A$2:$A$310,MATCH(A682,Users!$B$2:$B$310,0)),"")</f>
        <v/>
      </c>
      <c r="H682" s="21">
        <f>IFERROR(INDEX(Users!$D$2:$D$310,MATCH(A682,Users!$B$2:$B$310,0)),"")</f>
        <v/>
      </c>
      <c r="I682" s="19">
        <f>AND(G682="Service A",H682="Band 3")</f>
        <v/>
      </c>
      <c r="J682" s="33">
        <f>IF(AND(YEAR(B682)=2025,G682="Service B",OR(H682="Band 3",H682="Band 5"),ISNUMBER(F682)),F682,"")</f>
        <v/>
      </c>
    </row>
    <row r="683">
      <c r="A683" s="19" t="inlineStr">
        <is>
          <t>User1076</t>
        </is>
      </c>
      <c r="B683" s="60" t="n">
        <v>45809</v>
      </c>
      <c r="C683" s="21" t="n">
        <v>155.4</v>
      </c>
      <c r="D683" s="21" t="n">
        <v>153.58</v>
      </c>
      <c r="E683" s="21" t="n">
        <v>142.83</v>
      </c>
      <c r="F683" s="27">
        <f>IFERROR(IF(OR(C683="",D683="",C683=0),"",D683/C683),"")</f>
        <v/>
      </c>
      <c r="G683" s="21">
        <f>IFERROR(INDEX(Users!$A$2:$A$310,MATCH(A683,Users!$B$2:$B$310,0)),"")</f>
        <v/>
      </c>
      <c r="H683" s="21">
        <f>IFERROR(INDEX(Users!$D$2:$D$310,MATCH(A683,Users!$B$2:$B$310,0)),"")</f>
        <v/>
      </c>
      <c r="I683" s="19">
        <f>AND(G683="Service A",H683="Band 3")</f>
        <v/>
      </c>
      <c r="J683" s="33">
        <f>IF(AND(YEAR(B683)=2025,G683="Service B",OR(H683="Band 3",H683="Band 5"),ISNUMBER(F683)),F683,"")</f>
        <v/>
      </c>
    </row>
    <row r="684">
      <c r="A684" s="19" t="inlineStr">
        <is>
          <t>User1076</t>
        </is>
      </c>
      <c r="B684" s="60" t="n">
        <v>45839</v>
      </c>
      <c r="C684" s="21" t="n">
        <v>170.2</v>
      </c>
      <c r="D684" s="21" t="n">
        <v>167.83</v>
      </c>
      <c r="E684" s="21" t="n">
        <v>151.33</v>
      </c>
      <c r="F684" s="27">
        <f>IFERROR(IF(OR(C684="",D684="",C684=0),"",D684/C684),"")</f>
        <v/>
      </c>
      <c r="G684" s="21">
        <f>IFERROR(INDEX(Users!$A$2:$A$310,MATCH(A684,Users!$B$2:$B$310,0)),"")</f>
        <v/>
      </c>
      <c r="H684" s="21">
        <f>IFERROR(INDEX(Users!$D$2:$D$310,MATCH(A684,Users!$B$2:$B$310,0)),"")</f>
        <v/>
      </c>
      <c r="I684" s="19">
        <f>AND(G684="Service A",H684="Band 3")</f>
        <v/>
      </c>
      <c r="J684" s="33">
        <f>IF(AND(YEAR(B684)=2025,G684="Service B",OR(H684="Band 3",H684="Band 5"),ISNUMBER(F684)),F684,"")</f>
        <v/>
      </c>
    </row>
    <row r="685">
      <c r="A685" s="19" t="inlineStr">
        <is>
          <t>User1076</t>
        </is>
      </c>
      <c r="B685" s="60" t="n">
        <v>45870</v>
      </c>
      <c r="C685" s="21" t="n">
        <v>148</v>
      </c>
      <c r="D685" s="21" t="n">
        <v>123.3366666666667</v>
      </c>
      <c r="E685" s="21" t="n">
        <v>118.17</v>
      </c>
      <c r="F685" s="27">
        <f>IFERROR(IF(OR(C685="",D685="",C685=0),"",D685/C685),"")</f>
        <v/>
      </c>
      <c r="G685" s="21">
        <f>IFERROR(INDEX(Users!$A$2:$A$310,MATCH(A685,Users!$B$2:$B$310,0)),"")</f>
        <v/>
      </c>
      <c r="H685" s="21">
        <f>IFERROR(INDEX(Users!$D$2:$D$310,MATCH(A685,Users!$B$2:$B$310,0)),"")</f>
        <v/>
      </c>
      <c r="I685" s="19">
        <f>AND(G685="Service A",H685="Band 3")</f>
        <v/>
      </c>
      <c r="J685" s="33">
        <f>IF(AND(YEAR(B685)=2025,G685="Service B",OR(H685="Band 3",H685="Band 5"),ISNUMBER(F685)),F685,"")</f>
        <v/>
      </c>
    </row>
    <row r="686">
      <c r="A686" s="19" t="inlineStr">
        <is>
          <t>User1076</t>
        </is>
      </c>
      <c r="B686" s="60" t="n">
        <v>45901</v>
      </c>
      <c r="C686" s="21" t="n">
        <v>162.8</v>
      </c>
      <c r="D686" s="21" t="n">
        <v>164.16</v>
      </c>
      <c r="E686" s="21" t="n">
        <v>152.91</v>
      </c>
      <c r="F686" s="27">
        <f>IFERROR(IF(OR(C686="",D686="",C686=0),"",D686/C686),"")</f>
        <v/>
      </c>
      <c r="G686" s="21">
        <f>IFERROR(INDEX(Users!$A$2:$A$310,MATCH(A686,Users!$B$2:$B$310,0)),"")</f>
        <v/>
      </c>
      <c r="H686" s="21">
        <f>IFERROR(INDEX(Users!$D$2:$D$310,MATCH(A686,Users!$B$2:$B$310,0)),"")</f>
        <v/>
      </c>
      <c r="I686" s="19">
        <f>AND(G686="Service A",H686="Band 3")</f>
        <v/>
      </c>
      <c r="J686" s="33">
        <f>IF(AND(YEAR(B686)=2025,G686="Service B",OR(H686="Band 3",H686="Band 5"),ISNUMBER(F686)),F686,"")</f>
        <v/>
      </c>
    </row>
    <row r="687">
      <c r="A687" s="19" t="inlineStr">
        <is>
          <t>User1076</t>
        </is>
      </c>
      <c r="B687" s="60" t="n">
        <v>45931</v>
      </c>
      <c r="C687" s="21" t="n">
        <v>170.2</v>
      </c>
      <c r="D687" s="21" t="n">
        <v>148.9133333333333</v>
      </c>
      <c r="E687" s="21" t="n">
        <v>137.83</v>
      </c>
      <c r="F687" s="27">
        <f>IFERROR(IF(OR(C687="",D687="",C687=0),"",D687/C687),"")</f>
        <v/>
      </c>
      <c r="G687" s="21">
        <f>IFERROR(INDEX(Users!$A$2:$A$310,MATCH(A687,Users!$B$2:$B$310,0)),"")</f>
        <v/>
      </c>
      <c r="H687" s="21">
        <f>IFERROR(INDEX(Users!$D$2:$D$310,MATCH(A687,Users!$B$2:$B$310,0)),"")</f>
        <v/>
      </c>
      <c r="I687" s="19">
        <f>AND(G687="Service A",H687="Band 3")</f>
        <v/>
      </c>
      <c r="J687" s="33">
        <f>IF(AND(YEAR(B687)=2025,G687="Service B",OR(H687="Band 3",H687="Band 5"),ISNUMBER(F687)),F687,"")</f>
        <v/>
      </c>
    </row>
    <row r="688">
      <c r="A688" s="19" t="inlineStr">
        <is>
          <t>User1076</t>
        </is>
      </c>
      <c r="B688" s="60" t="n">
        <v>45962</v>
      </c>
      <c r="C688" s="21" t="n">
        <v>148</v>
      </c>
      <c r="D688" s="21" t="n">
        <v>111.91</v>
      </c>
      <c r="E688" s="21" t="n">
        <v>105.41</v>
      </c>
      <c r="F688" s="27">
        <f>IFERROR(IF(OR(C688="",D688="",C688=0),"",D688/C688),"")</f>
        <v/>
      </c>
      <c r="G688" s="21">
        <f>IFERROR(INDEX(Users!$A$2:$A$310,MATCH(A688,Users!$B$2:$B$310,0)),"")</f>
        <v/>
      </c>
      <c r="H688" s="21">
        <f>IFERROR(INDEX(Users!$D$2:$D$310,MATCH(A688,Users!$B$2:$B$310,0)),"")</f>
        <v/>
      </c>
      <c r="I688" s="19">
        <f>AND(G688="Service A",H688="Band 3")</f>
        <v/>
      </c>
      <c r="J688" s="33">
        <f>IF(AND(YEAR(B688)=2025,G688="Service B",OR(H688="Band 3",H688="Band 5"),ISNUMBER(F688)),F688,"")</f>
        <v/>
      </c>
    </row>
    <row r="689">
      <c r="A689" s="19" t="inlineStr">
        <is>
          <t>User1076</t>
        </is>
      </c>
      <c r="B689" s="60" t="n">
        <v>45992</v>
      </c>
      <c r="C689" s="21" t="n">
        <v>155.4</v>
      </c>
      <c r="D689" s="21" t="n">
        <v>150</v>
      </c>
      <c r="E689" s="21" t="n">
        <v>143.75</v>
      </c>
      <c r="F689" s="27">
        <f>IFERROR(IF(OR(C689="",D689="",C689=0),"",D689/C689),"")</f>
        <v/>
      </c>
      <c r="G689" s="21">
        <f>IFERROR(INDEX(Users!$A$2:$A$310,MATCH(A689,Users!$B$2:$B$310,0)),"")</f>
        <v/>
      </c>
      <c r="H689" s="21">
        <f>IFERROR(INDEX(Users!$D$2:$D$310,MATCH(A689,Users!$B$2:$B$310,0)),"")</f>
        <v/>
      </c>
      <c r="I689" s="19">
        <f>AND(G689="Service A",H689="Band 3")</f>
        <v/>
      </c>
      <c r="J689" s="33">
        <f>IF(AND(YEAR(B689)=2025,G689="Service B",OR(H689="Band 3",H689="Band 5"),ISNUMBER(F689)),F689,"")</f>
        <v/>
      </c>
    </row>
    <row r="690">
      <c r="A690" s="19" t="inlineStr">
        <is>
          <t>User1076</t>
        </is>
      </c>
      <c r="B690" s="60" t="n">
        <v>46023</v>
      </c>
      <c r="C690" s="21" t="n">
        <v>155.4</v>
      </c>
      <c r="D690" s="21" t="n">
        <v>53.25</v>
      </c>
      <c r="E690" s="21" t="n">
        <v>44.5</v>
      </c>
      <c r="F690" s="27">
        <f>IFERROR(IF(OR(C690="",D690="",C690=0),"",D690/C690),"")</f>
        <v/>
      </c>
      <c r="G690" s="21">
        <f>IFERROR(INDEX(Users!$A$2:$A$310,MATCH(A690,Users!$B$2:$B$310,0)),"")</f>
        <v/>
      </c>
      <c r="H690" s="21">
        <f>IFERROR(INDEX(Users!$D$2:$D$310,MATCH(A690,Users!$B$2:$B$310,0)),"")</f>
        <v/>
      </c>
      <c r="I690" s="19">
        <f>AND(G690="Service A",H690="Band 3")</f>
        <v/>
      </c>
      <c r="J690" s="33">
        <f>IF(AND(YEAR(B690)=2025,G690="Service B",OR(H690="Band 3",H690="Band 5"),ISNUMBER(F690)),F690,"")</f>
        <v/>
      </c>
    </row>
    <row r="691">
      <c r="A691" s="19" t="inlineStr">
        <is>
          <t>User1077</t>
        </is>
      </c>
      <c r="B691" s="60" t="n">
        <v>45658</v>
      </c>
      <c r="C691" s="21" t="n">
        <v>162.8</v>
      </c>
      <c r="D691" s="21" t="n">
        <v>152.2466666666667</v>
      </c>
      <c r="E691" s="21" t="n">
        <v>12.58</v>
      </c>
      <c r="F691" s="27">
        <f>IFERROR(IF(OR(C691="",D691="",C691=0),"",D691/C691),"")</f>
        <v/>
      </c>
      <c r="G691" s="21">
        <f>IFERROR(INDEX(Users!$A$2:$A$310,MATCH(A691,Users!$B$2:$B$310,0)),"")</f>
        <v/>
      </c>
      <c r="H691" s="21">
        <f>IFERROR(INDEX(Users!$D$2:$D$310,MATCH(A691,Users!$B$2:$B$310,0)),"")</f>
        <v/>
      </c>
      <c r="I691" s="19">
        <f>AND(G691="Service A",H691="Band 3")</f>
        <v/>
      </c>
      <c r="J691" s="33">
        <f>IF(AND(YEAR(B691)=2025,G691="Service B",OR(H691="Band 3",H691="Band 5"),ISNUMBER(F691)),F691,"")</f>
        <v/>
      </c>
    </row>
    <row r="692">
      <c r="A692" s="19" t="inlineStr">
        <is>
          <t>User1077</t>
        </is>
      </c>
      <c r="B692" s="60" t="n">
        <v>45689</v>
      </c>
      <c r="C692" s="21" t="n">
        <v>148</v>
      </c>
      <c r="D692" s="21" t="n">
        <v>137.4966666666667</v>
      </c>
      <c r="E692" s="21" t="n">
        <v>27.32999999999999</v>
      </c>
      <c r="F692" s="27">
        <f>IFERROR(IF(OR(C692="",D692="",C692=0),"",D692/C692),"")</f>
        <v/>
      </c>
      <c r="G692" s="21">
        <f>IFERROR(INDEX(Users!$A$2:$A$310,MATCH(A692,Users!$B$2:$B$310,0)),"")</f>
        <v/>
      </c>
      <c r="H692" s="21">
        <f>IFERROR(INDEX(Users!$D$2:$D$310,MATCH(A692,Users!$B$2:$B$310,0)),"")</f>
        <v/>
      </c>
      <c r="I692" s="19">
        <f>AND(G692="Service A",H692="Band 3")</f>
        <v/>
      </c>
      <c r="J692" s="33">
        <f>IF(AND(YEAR(B692)=2025,G692="Service B",OR(H692="Band 3",H692="Band 5"),ISNUMBER(F692)),F692,"")</f>
        <v/>
      </c>
    </row>
    <row r="693">
      <c r="A693" s="19" t="inlineStr">
        <is>
          <t>User1077</t>
        </is>
      </c>
      <c r="B693" s="60" t="n">
        <v>45717</v>
      </c>
      <c r="C693" s="21" t="n">
        <v>155.4</v>
      </c>
      <c r="D693" s="21" t="n">
        <v>158.7566666666667</v>
      </c>
      <c r="E693" s="21" t="n">
        <v>61.58999999999999</v>
      </c>
      <c r="F693" s="27">
        <f>IFERROR(IF(OR(C693="",D693="",C693=0),"",D693/C693),"")</f>
        <v/>
      </c>
      <c r="G693" s="21">
        <f>IFERROR(INDEX(Users!$A$2:$A$310,MATCH(A693,Users!$B$2:$B$310,0)),"")</f>
        <v/>
      </c>
      <c r="H693" s="21">
        <f>IFERROR(INDEX(Users!$D$2:$D$310,MATCH(A693,Users!$B$2:$B$310,0)),"")</f>
        <v/>
      </c>
      <c r="I693" s="19">
        <f>AND(G693="Service A",H693="Band 3")</f>
        <v/>
      </c>
      <c r="J693" s="33">
        <f>IF(AND(YEAR(B693)=2025,G693="Service B",OR(H693="Band 3",H693="Band 5"),ISNUMBER(F693)),F693,"")</f>
        <v/>
      </c>
    </row>
    <row r="694">
      <c r="A694" s="19" t="inlineStr">
        <is>
          <t>User1077</t>
        </is>
      </c>
      <c r="B694" s="60" t="n">
        <v>45748</v>
      </c>
      <c r="C694" s="21" t="n">
        <v>148</v>
      </c>
      <c r="D694" s="21" t="n">
        <v>155.4733333333333</v>
      </c>
      <c r="E694" s="21" t="n">
        <v>60.88999999999999</v>
      </c>
      <c r="F694" s="27">
        <f>IFERROR(IF(OR(C694="",D694="",C694=0),"",D694/C694),"")</f>
        <v/>
      </c>
      <c r="G694" s="21">
        <f>IFERROR(INDEX(Users!$A$2:$A$310,MATCH(A694,Users!$B$2:$B$310,0)),"")</f>
        <v/>
      </c>
      <c r="H694" s="21">
        <f>IFERROR(INDEX(Users!$D$2:$D$310,MATCH(A694,Users!$B$2:$B$310,0)),"")</f>
        <v/>
      </c>
      <c r="I694" s="19">
        <f>AND(G694="Service A",H694="Band 3")</f>
        <v/>
      </c>
      <c r="J694" s="33">
        <f>IF(AND(YEAR(B694)=2025,G694="Service B",OR(H694="Band 3",H694="Band 5"),ISNUMBER(F694)),F694,"")</f>
        <v/>
      </c>
    </row>
    <row r="695">
      <c r="A695" s="19" t="inlineStr">
        <is>
          <t>User1077</t>
        </is>
      </c>
      <c r="B695" s="60" t="n">
        <v>45778</v>
      </c>
      <c r="C695" s="21" t="n">
        <v>148</v>
      </c>
      <c r="D695" s="21" t="n">
        <v>131.64</v>
      </c>
      <c r="E695" s="21" t="n">
        <v>45.13999999999999</v>
      </c>
      <c r="F695" s="27">
        <f>IFERROR(IF(OR(C695="",D695="",C695=0),"",D695/C695),"")</f>
        <v/>
      </c>
      <c r="G695" s="21">
        <f>IFERROR(INDEX(Users!$A$2:$A$310,MATCH(A695,Users!$B$2:$B$310,0)),"")</f>
        <v/>
      </c>
      <c r="H695" s="21">
        <f>IFERROR(INDEX(Users!$D$2:$D$310,MATCH(A695,Users!$B$2:$B$310,0)),"")</f>
        <v/>
      </c>
      <c r="I695" s="19">
        <f>AND(G695="Service A",H695="Band 3")</f>
        <v/>
      </c>
      <c r="J695" s="33">
        <f>IF(AND(YEAR(B695)=2025,G695="Service B",OR(H695="Band 3",H695="Band 5"),ISNUMBER(F695)),F695,"")</f>
        <v/>
      </c>
    </row>
    <row r="696">
      <c r="A696" s="19" t="inlineStr">
        <is>
          <t>User1077</t>
        </is>
      </c>
      <c r="B696" s="60" t="n">
        <v>45809</v>
      </c>
      <c r="C696" s="21" t="n">
        <v>155.4</v>
      </c>
      <c r="D696" s="21" t="n">
        <v>119.34</v>
      </c>
      <c r="E696" s="21" t="n">
        <v>54.34000000000001</v>
      </c>
      <c r="F696" s="27">
        <f>IFERROR(IF(OR(C696="",D696="",C696=0),"",D696/C696),"")</f>
        <v/>
      </c>
      <c r="G696" s="21">
        <f>IFERROR(INDEX(Users!$A$2:$A$310,MATCH(A696,Users!$B$2:$B$310,0)),"")</f>
        <v/>
      </c>
      <c r="H696" s="21">
        <f>IFERROR(INDEX(Users!$D$2:$D$310,MATCH(A696,Users!$B$2:$B$310,0)),"")</f>
        <v/>
      </c>
      <c r="I696" s="19">
        <f>AND(G696="Service A",H696="Band 3")</f>
        <v/>
      </c>
      <c r="J696" s="33">
        <f>IF(AND(YEAR(B696)=2025,G696="Service B",OR(H696="Band 3",H696="Band 5"),ISNUMBER(F696)),F696,"")</f>
        <v/>
      </c>
    </row>
    <row r="697">
      <c r="A697" s="19" t="inlineStr">
        <is>
          <t>User1077</t>
        </is>
      </c>
      <c r="B697" s="60" t="n">
        <v>45839</v>
      </c>
      <c r="C697" s="21" t="n">
        <v>170.2</v>
      </c>
      <c r="D697" s="21" t="n">
        <v>139.9766666666667</v>
      </c>
      <c r="E697" s="21" t="n">
        <v>85.30999999999999</v>
      </c>
      <c r="F697" s="27">
        <f>IFERROR(IF(OR(C697="",D697="",C697=0),"",D697/C697),"")</f>
        <v/>
      </c>
      <c r="G697" s="21">
        <f>IFERROR(INDEX(Users!$A$2:$A$310,MATCH(A697,Users!$B$2:$B$310,0)),"")</f>
        <v/>
      </c>
      <c r="H697" s="21">
        <f>IFERROR(INDEX(Users!$D$2:$D$310,MATCH(A697,Users!$B$2:$B$310,0)),"")</f>
        <v/>
      </c>
      <c r="I697" s="19">
        <f>AND(G697="Service A",H697="Band 3")</f>
        <v/>
      </c>
      <c r="J697" s="33">
        <f>IF(AND(YEAR(B697)=2025,G697="Service B",OR(H697="Band 3",H697="Band 5"),ISNUMBER(F697)),F697,"")</f>
        <v/>
      </c>
    </row>
    <row r="698">
      <c r="A698" s="19" t="inlineStr">
        <is>
          <t>User1077</t>
        </is>
      </c>
      <c r="B698" s="60" t="n">
        <v>45870</v>
      </c>
      <c r="C698" s="21" t="n">
        <v>148</v>
      </c>
      <c r="D698" s="21" t="n">
        <v>160.97</v>
      </c>
      <c r="E698" s="21" t="n">
        <v>94.72</v>
      </c>
      <c r="F698" s="27">
        <f>IFERROR(IF(OR(C698="",D698="",C698=0),"",D698/C698),"")</f>
        <v/>
      </c>
      <c r="G698" s="21">
        <f>IFERROR(INDEX(Users!$A$2:$A$310,MATCH(A698,Users!$B$2:$B$310,0)),"")</f>
        <v/>
      </c>
      <c r="H698" s="21">
        <f>IFERROR(INDEX(Users!$D$2:$D$310,MATCH(A698,Users!$B$2:$B$310,0)),"")</f>
        <v/>
      </c>
      <c r="I698" s="19">
        <f>AND(G698="Service A",H698="Band 3")</f>
        <v/>
      </c>
      <c r="J698" s="33">
        <f>IF(AND(YEAR(B698)=2025,G698="Service B",OR(H698="Band 3",H698="Band 5"),ISNUMBER(F698)),F698,"")</f>
        <v/>
      </c>
    </row>
    <row r="699">
      <c r="A699" s="19" t="inlineStr">
        <is>
          <t>User1077</t>
        </is>
      </c>
      <c r="B699" s="60" t="n">
        <v>45901</v>
      </c>
      <c r="C699" s="21" t="n">
        <v>162.8</v>
      </c>
      <c r="D699" s="21" t="n">
        <v>115.3766666666667</v>
      </c>
      <c r="E699" s="21" t="n">
        <v>62.20999999999999</v>
      </c>
      <c r="F699" s="27">
        <f>IFERROR(IF(OR(C699="",D699="",C699=0),"",D699/C699),"")</f>
        <v/>
      </c>
      <c r="G699" s="21">
        <f>IFERROR(INDEX(Users!$A$2:$A$310,MATCH(A699,Users!$B$2:$B$310,0)),"")</f>
        <v/>
      </c>
      <c r="H699" s="21">
        <f>IFERROR(INDEX(Users!$D$2:$D$310,MATCH(A699,Users!$B$2:$B$310,0)),"")</f>
        <v/>
      </c>
      <c r="I699" s="19">
        <f>AND(G699="Service A",H699="Band 3")</f>
        <v/>
      </c>
      <c r="J699" s="33">
        <f>IF(AND(YEAR(B699)=2025,G699="Service B",OR(H699="Band 3",H699="Band 5"),ISNUMBER(F699)),F699,"")</f>
        <v/>
      </c>
    </row>
    <row r="700">
      <c r="A700" s="19" t="inlineStr">
        <is>
          <t>User1077</t>
        </is>
      </c>
      <c r="B700" s="60" t="n">
        <v>45931</v>
      </c>
      <c r="C700" s="21" t="n">
        <v>170.2</v>
      </c>
      <c r="D700" s="21" t="n">
        <v>184.01</v>
      </c>
      <c r="E700" s="21" t="n">
        <v>129.26</v>
      </c>
      <c r="F700" s="27">
        <f>IFERROR(IF(OR(C700="",D700="",C700=0),"",D700/C700),"")</f>
        <v/>
      </c>
      <c r="G700" s="21">
        <f>IFERROR(INDEX(Users!$A$2:$A$310,MATCH(A700,Users!$B$2:$B$310,0)),"")</f>
        <v/>
      </c>
      <c r="H700" s="21">
        <f>IFERROR(INDEX(Users!$D$2:$D$310,MATCH(A700,Users!$B$2:$B$310,0)),"")</f>
        <v/>
      </c>
      <c r="I700" s="19">
        <f>AND(G700="Service A",H700="Band 3")</f>
        <v/>
      </c>
      <c r="J700" s="33">
        <f>IF(AND(YEAR(B700)=2025,G700="Service B",OR(H700="Band 3",H700="Band 5"),ISNUMBER(F700)),F700,"")</f>
        <v/>
      </c>
    </row>
    <row r="701">
      <c r="A701" s="19" t="inlineStr">
        <is>
          <t>User1077</t>
        </is>
      </c>
      <c r="B701" s="60" t="n">
        <v>45962</v>
      </c>
      <c r="C701" s="21" t="n">
        <v>148</v>
      </c>
      <c r="D701" s="21" t="n">
        <v>115.87</v>
      </c>
      <c r="E701" s="21" t="n">
        <v>80.12</v>
      </c>
      <c r="F701" s="27">
        <f>IFERROR(IF(OR(C701="",D701="",C701=0),"",D701/C701),"")</f>
        <v/>
      </c>
      <c r="G701" s="21">
        <f>IFERROR(INDEX(Users!$A$2:$A$310,MATCH(A701,Users!$B$2:$B$310,0)),"")</f>
        <v/>
      </c>
      <c r="H701" s="21">
        <f>IFERROR(INDEX(Users!$D$2:$D$310,MATCH(A701,Users!$B$2:$B$310,0)),"")</f>
        <v/>
      </c>
      <c r="I701" s="19">
        <f>AND(G701="Service A",H701="Band 3")</f>
        <v/>
      </c>
      <c r="J701" s="33">
        <f>IF(AND(YEAR(B701)=2025,G701="Service B",OR(H701="Band 3",H701="Band 5"),ISNUMBER(F701)),F701,"")</f>
        <v/>
      </c>
    </row>
    <row r="702">
      <c r="A702" s="19" t="inlineStr">
        <is>
          <t>User1077</t>
        </is>
      </c>
      <c r="B702" s="60" t="n">
        <v>45992</v>
      </c>
      <c r="C702" s="21" t="n">
        <v>155.4</v>
      </c>
      <c r="D702" s="21" t="n">
        <v>145.4633333333333</v>
      </c>
      <c r="E702" s="21" t="n">
        <v>91.13</v>
      </c>
      <c r="F702" s="27">
        <f>IFERROR(IF(OR(C702="",D702="",C702=0),"",D702/C702),"")</f>
        <v/>
      </c>
      <c r="G702" s="21">
        <f>IFERROR(INDEX(Users!$A$2:$A$310,MATCH(A702,Users!$B$2:$B$310,0)),"")</f>
        <v/>
      </c>
      <c r="H702" s="21">
        <f>IFERROR(INDEX(Users!$D$2:$D$310,MATCH(A702,Users!$B$2:$B$310,0)),"")</f>
        <v/>
      </c>
      <c r="I702" s="19">
        <f>AND(G702="Service A",H702="Band 3")</f>
        <v/>
      </c>
      <c r="J702" s="33">
        <f>IF(AND(YEAR(B702)=2025,G702="Service B",OR(H702="Band 3",H702="Band 5"),ISNUMBER(F702)),F702,"")</f>
        <v/>
      </c>
    </row>
    <row r="703">
      <c r="A703" s="19" t="inlineStr">
        <is>
          <t>User1077</t>
        </is>
      </c>
      <c r="B703" s="60" t="n">
        <v>46023</v>
      </c>
      <c r="C703" s="21" t="n">
        <v>155.4</v>
      </c>
      <c r="D703" s="21" t="n">
        <v>119.2833333333333</v>
      </c>
      <c r="E703" s="21" t="n">
        <v>77.39999999999998</v>
      </c>
      <c r="F703" s="27">
        <f>IFERROR(IF(OR(C703="",D703="",C703=0),"",D703/C703),"")</f>
        <v/>
      </c>
      <c r="G703" s="21">
        <f>IFERROR(INDEX(Users!$A$2:$A$310,MATCH(A703,Users!$B$2:$B$310,0)),"")</f>
        <v/>
      </c>
      <c r="H703" s="21">
        <f>IFERROR(INDEX(Users!$D$2:$D$310,MATCH(A703,Users!$B$2:$B$310,0)),"")</f>
        <v/>
      </c>
      <c r="I703" s="19">
        <f>AND(G703="Service A",H703="Band 3")</f>
        <v/>
      </c>
      <c r="J703" s="33">
        <f>IF(AND(YEAR(B703)=2025,G703="Service B",OR(H703="Band 3",H703="Band 5"),ISNUMBER(F703)),F703,"")</f>
        <v/>
      </c>
    </row>
    <row r="704">
      <c r="A704" s="19" t="inlineStr">
        <is>
          <t>User1078</t>
        </is>
      </c>
      <c r="B704" s="60" t="n">
        <v>45658</v>
      </c>
      <c r="C704" s="21" t="n">
        <v>162.8</v>
      </c>
      <c r="D704" s="21" t="n">
        <v>130.5</v>
      </c>
      <c r="E704" s="21" t="n">
        <v>85.75</v>
      </c>
      <c r="F704" s="27">
        <f>IFERROR(IF(OR(C704="",D704="",C704=0),"",D704/C704),"")</f>
        <v/>
      </c>
      <c r="G704" s="21">
        <f>IFERROR(INDEX(Users!$A$2:$A$310,MATCH(A704,Users!$B$2:$B$310,0)),"")</f>
        <v/>
      </c>
      <c r="H704" s="21">
        <f>IFERROR(INDEX(Users!$D$2:$D$310,MATCH(A704,Users!$B$2:$B$310,0)),"")</f>
        <v/>
      </c>
      <c r="I704" s="19">
        <f>AND(G704="Service A",H704="Band 3")</f>
        <v/>
      </c>
      <c r="J704" s="33">
        <f>IF(AND(YEAR(B704)=2025,G704="Service B",OR(H704="Band 3",H704="Band 5"),ISNUMBER(F704)),F704,"")</f>
        <v/>
      </c>
    </row>
    <row r="705">
      <c r="A705" s="19" t="inlineStr">
        <is>
          <t>User1078</t>
        </is>
      </c>
      <c r="B705" s="60" t="n">
        <v>45689</v>
      </c>
      <c r="C705" s="21" t="n">
        <v>148</v>
      </c>
      <c r="D705" s="21" t="n">
        <v>151.4766666666667</v>
      </c>
      <c r="E705" s="21" t="n">
        <v>92.31</v>
      </c>
      <c r="F705" s="27">
        <f>IFERROR(IF(OR(C705="",D705="",C705=0),"",D705/C705),"")</f>
        <v/>
      </c>
      <c r="G705" s="21">
        <f>IFERROR(INDEX(Users!$A$2:$A$310,MATCH(A705,Users!$B$2:$B$310,0)),"")</f>
        <v/>
      </c>
      <c r="H705" s="21">
        <f>IFERROR(INDEX(Users!$D$2:$D$310,MATCH(A705,Users!$B$2:$B$310,0)),"")</f>
        <v/>
      </c>
      <c r="I705" s="19">
        <f>AND(G705="Service A",H705="Band 3")</f>
        <v/>
      </c>
      <c r="J705" s="33">
        <f>IF(AND(YEAR(B705)=2025,G705="Service B",OR(H705="Band 3",H705="Band 5"),ISNUMBER(F705)),F705,"")</f>
        <v/>
      </c>
    </row>
    <row r="706">
      <c r="A706" s="19" t="inlineStr">
        <is>
          <t>User1078</t>
        </is>
      </c>
      <c r="B706" s="60" t="n">
        <v>45717</v>
      </c>
      <c r="C706" s="21" t="n">
        <v>155.4</v>
      </c>
      <c r="D706" s="21" t="n">
        <v>150.3533333333333</v>
      </c>
      <c r="E706" s="21" t="n">
        <v>89.02</v>
      </c>
      <c r="F706" s="27">
        <f>IFERROR(IF(OR(C706="",D706="",C706=0),"",D706/C706),"")</f>
        <v/>
      </c>
      <c r="G706" s="21">
        <f>IFERROR(INDEX(Users!$A$2:$A$310,MATCH(A706,Users!$B$2:$B$310,0)),"")</f>
        <v/>
      </c>
      <c r="H706" s="21">
        <f>IFERROR(INDEX(Users!$D$2:$D$310,MATCH(A706,Users!$B$2:$B$310,0)),"")</f>
        <v/>
      </c>
      <c r="I706" s="19">
        <f>AND(G706="Service A",H706="Band 3")</f>
        <v/>
      </c>
      <c r="J706" s="33">
        <f>IF(AND(YEAR(B706)=2025,G706="Service B",OR(H706="Band 3",H706="Band 5"),ISNUMBER(F706)),F706,"")</f>
        <v/>
      </c>
    </row>
    <row r="707">
      <c r="A707" s="19" t="inlineStr">
        <is>
          <t>User1078</t>
        </is>
      </c>
      <c r="B707" s="60" t="n">
        <v>45748</v>
      </c>
      <c r="C707" s="21" t="n">
        <v>148</v>
      </c>
      <c r="D707" s="21" t="n">
        <v>78.2</v>
      </c>
      <c r="E707" s="21" t="n">
        <v>48.2</v>
      </c>
      <c r="F707" s="27">
        <f>IFERROR(IF(OR(C707="",D707="",C707=0),"",D707/C707),"")</f>
        <v/>
      </c>
      <c r="G707" s="21">
        <f>IFERROR(INDEX(Users!$A$2:$A$310,MATCH(A707,Users!$B$2:$B$310,0)),"")</f>
        <v/>
      </c>
      <c r="H707" s="21">
        <f>IFERROR(INDEX(Users!$D$2:$D$310,MATCH(A707,Users!$B$2:$B$310,0)),"")</f>
        <v/>
      </c>
      <c r="I707" s="19">
        <f>AND(G707="Service A",H707="Band 3")</f>
        <v/>
      </c>
      <c r="J707" s="33">
        <f>IF(AND(YEAR(B707)=2025,G707="Service B",OR(H707="Band 3",H707="Band 5"),ISNUMBER(F707)),F707,"")</f>
        <v/>
      </c>
    </row>
    <row r="708">
      <c r="A708" s="19" t="inlineStr">
        <is>
          <t>User1078</t>
        </is>
      </c>
      <c r="B708" s="60" t="n">
        <v>45778</v>
      </c>
      <c r="C708" s="21" t="n">
        <v>148</v>
      </c>
      <c r="D708" s="21" t="n">
        <v>150.4033333333333</v>
      </c>
      <c r="E708" s="21" t="n">
        <v>99.31999999999999</v>
      </c>
      <c r="F708" s="27">
        <f>IFERROR(IF(OR(C708="",D708="",C708=0),"",D708/C708),"")</f>
        <v/>
      </c>
      <c r="G708" s="21">
        <f>IFERROR(INDEX(Users!$A$2:$A$310,MATCH(A708,Users!$B$2:$B$310,0)),"")</f>
        <v/>
      </c>
      <c r="H708" s="21">
        <f>IFERROR(INDEX(Users!$D$2:$D$310,MATCH(A708,Users!$B$2:$B$310,0)),"")</f>
        <v/>
      </c>
      <c r="I708" s="19">
        <f>AND(G708="Service A",H708="Band 3")</f>
        <v/>
      </c>
      <c r="J708" s="33">
        <f>IF(AND(YEAR(B708)=2025,G708="Service B",OR(H708="Band 3",H708="Band 5"),ISNUMBER(F708)),F708,"")</f>
        <v/>
      </c>
    </row>
    <row r="709">
      <c r="A709" s="19" t="inlineStr">
        <is>
          <t>User1078</t>
        </is>
      </c>
      <c r="B709" s="60" t="n">
        <v>45809</v>
      </c>
      <c r="C709" s="21" t="n">
        <v>155.4</v>
      </c>
      <c r="D709" s="21" t="n">
        <v>145.2</v>
      </c>
      <c r="E709" s="21" t="n">
        <v>85.2</v>
      </c>
      <c r="F709" s="27">
        <f>IFERROR(IF(OR(C709="",D709="",C709=0),"",D709/C709),"")</f>
        <v/>
      </c>
      <c r="G709" s="21">
        <f>IFERROR(INDEX(Users!$A$2:$A$310,MATCH(A709,Users!$B$2:$B$310,0)),"")</f>
        <v/>
      </c>
      <c r="H709" s="21">
        <f>IFERROR(INDEX(Users!$D$2:$D$310,MATCH(A709,Users!$B$2:$B$310,0)),"")</f>
        <v/>
      </c>
      <c r="I709" s="19">
        <f>AND(G709="Service A",H709="Band 3")</f>
        <v/>
      </c>
      <c r="J709" s="33">
        <f>IF(AND(YEAR(B709)=2025,G709="Service B",OR(H709="Band 3",H709="Band 5"),ISNUMBER(F709)),F709,"")</f>
        <v/>
      </c>
    </row>
    <row r="710">
      <c r="A710" s="19" t="inlineStr">
        <is>
          <t>User1078</t>
        </is>
      </c>
      <c r="B710" s="60" t="n">
        <v>45839</v>
      </c>
      <c r="C710" s="21" t="n">
        <v>170.2</v>
      </c>
      <c r="D710" s="21" t="n">
        <v>156.79</v>
      </c>
      <c r="E710" s="21" t="n">
        <v>94.29000000000001</v>
      </c>
      <c r="F710" s="27">
        <f>IFERROR(IF(OR(C710="",D710="",C710=0),"",D710/C710),"")</f>
        <v/>
      </c>
      <c r="G710" s="21">
        <f>IFERROR(INDEX(Users!$A$2:$A$310,MATCH(A710,Users!$B$2:$B$310,0)),"")</f>
        <v/>
      </c>
      <c r="H710" s="21">
        <f>IFERROR(INDEX(Users!$D$2:$D$310,MATCH(A710,Users!$B$2:$B$310,0)),"")</f>
        <v/>
      </c>
      <c r="I710" s="19">
        <f>AND(G710="Service A",H710="Band 3")</f>
        <v/>
      </c>
      <c r="J710" s="33">
        <f>IF(AND(YEAR(B710)=2025,G710="Service B",OR(H710="Band 3",H710="Band 5"),ISNUMBER(F710)),F710,"")</f>
        <v/>
      </c>
    </row>
    <row r="711">
      <c r="A711" s="19" t="inlineStr">
        <is>
          <t>User1078</t>
        </is>
      </c>
      <c r="B711" s="60" t="n">
        <v>45870</v>
      </c>
      <c r="C711" s="21" t="n">
        <v>148</v>
      </c>
      <c r="D711" s="21" t="n">
        <v>63.26000000000001</v>
      </c>
      <c r="E711" s="21" t="n">
        <v>47.51000000000001</v>
      </c>
      <c r="F711" s="27">
        <f>IFERROR(IF(OR(C711="",D711="",C711=0),"",D711/C711),"")</f>
        <v/>
      </c>
      <c r="G711" s="21">
        <f>IFERROR(INDEX(Users!$A$2:$A$310,MATCH(A711,Users!$B$2:$B$310,0)),"")</f>
        <v/>
      </c>
      <c r="H711" s="21">
        <f>IFERROR(INDEX(Users!$D$2:$D$310,MATCH(A711,Users!$B$2:$B$310,0)),"")</f>
        <v/>
      </c>
      <c r="I711" s="19">
        <f>AND(G711="Service A",H711="Band 3")</f>
        <v/>
      </c>
      <c r="J711" s="33">
        <f>IF(AND(YEAR(B711)=2025,G711="Service B",OR(H711="Band 3",H711="Band 5"),ISNUMBER(F711)),F711,"")</f>
        <v/>
      </c>
    </row>
    <row r="712">
      <c r="A712" s="19" t="inlineStr">
        <is>
          <t>User1078</t>
        </is>
      </c>
      <c r="B712" s="60" t="n">
        <v>45901</v>
      </c>
      <c r="C712" s="21" t="n">
        <v>162.8</v>
      </c>
      <c r="D712" s="21" t="n">
        <v>162.64</v>
      </c>
      <c r="E712" s="21" t="n">
        <v>115.74</v>
      </c>
      <c r="F712" s="27">
        <f>IFERROR(IF(OR(C712="",D712="",C712=0),"",D712/C712),"")</f>
        <v/>
      </c>
      <c r="G712" s="21">
        <f>IFERROR(INDEX(Users!$A$2:$A$310,MATCH(A712,Users!$B$2:$B$310,0)),"")</f>
        <v/>
      </c>
      <c r="H712" s="21">
        <f>IFERROR(INDEX(Users!$D$2:$D$310,MATCH(A712,Users!$B$2:$B$310,0)),"")</f>
        <v/>
      </c>
      <c r="I712" s="19">
        <f>AND(G712="Service A",H712="Band 3")</f>
        <v/>
      </c>
      <c r="J712" s="33">
        <f>IF(AND(YEAR(B712)=2025,G712="Service B",OR(H712="Band 3",H712="Band 5"),ISNUMBER(F712)),F712,"")</f>
        <v/>
      </c>
    </row>
    <row r="713">
      <c r="A713" s="19" t="inlineStr">
        <is>
          <t>User1078</t>
        </is>
      </c>
      <c r="B713" s="60" t="n">
        <v>45931</v>
      </c>
      <c r="C713" s="21" t="n">
        <v>170.2</v>
      </c>
      <c r="D713" s="21" t="n">
        <v>140.7433333333333</v>
      </c>
      <c r="E713" s="21" t="n">
        <v>106.91</v>
      </c>
      <c r="F713" s="27">
        <f>IFERROR(IF(OR(C713="",D713="",C713=0),"",D713/C713),"")</f>
        <v/>
      </c>
      <c r="G713" s="21">
        <f>IFERROR(INDEX(Users!$A$2:$A$310,MATCH(A713,Users!$B$2:$B$310,0)),"")</f>
        <v/>
      </c>
      <c r="H713" s="21">
        <f>IFERROR(INDEX(Users!$D$2:$D$310,MATCH(A713,Users!$B$2:$B$310,0)),"")</f>
        <v/>
      </c>
      <c r="I713" s="19">
        <f>AND(G713="Service A",H713="Band 3")</f>
        <v/>
      </c>
      <c r="J713" s="33">
        <f>IF(AND(YEAR(B713)=2025,G713="Service B",OR(H713="Band 3",H713="Band 5"),ISNUMBER(F713)),F713,"")</f>
        <v/>
      </c>
    </row>
    <row r="714">
      <c r="A714" s="19" t="inlineStr">
        <is>
          <t>User1078</t>
        </is>
      </c>
      <c r="B714" s="60" t="n">
        <v>45962</v>
      </c>
      <c r="C714" s="21" t="n">
        <v>148</v>
      </c>
      <c r="D714" s="21" t="n">
        <v>145.69</v>
      </c>
      <c r="E714" s="21" t="n">
        <v>109.94</v>
      </c>
      <c r="F714" s="27">
        <f>IFERROR(IF(OR(C714="",D714="",C714=0),"",D714/C714),"")</f>
        <v/>
      </c>
      <c r="G714" s="21">
        <f>IFERROR(INDEX(Users!$A$2:$A$310,MATCH(A714,Users!$B$2:$B$310,0)),"")</f>
        <v/>
      </c>
      <c r="H714" s="21">
        <f>IFERROR(INDEX(Users!$D$2:$D$310,MATCH(A714,Users!$B$2:$B$310,0)),"")</f>
        <v/>
      </c>
      <c r="I714" s="19">
        <f>AND(G714="Service A",H714="Band 3")</f>
        <v/>
      </c>
      <c r="J714" s="33">
        <f>IF(AND(YEAR(B714)=2025,G714="Service B",OR(H714="Band 3",H714="Band 5"),ISNUMBER(F714)),F714,"")</f>
        <v/>
      </c>
    </row>
    <row r="715">
      <c r="A715" s="19" t="inlineStr">
        <is>
          <t>User1078</t>
        </is>
      </c>
      <c r="B715" s="60" t="n">
        <v>45992</v>
      </c>
      <c r="C715" s="21" t="n">
        <v>155.4</v>
      </c>
      <c r="D715" s="21" t="n">
        <v>109.19</v>
      </c>
      <c r="E715" s="21" t="n">
        <v>81.44</v>
      </c>
      <c r="F715" s="27">
        <f>IFERROR(IF(OR(C715="",D715="",C715=0),"",D715/C715),"")</f>
        <v/>
      </c>
      <c r="G715" s="21">
        <f>IFERROR(INDEX(Users!$A$2:$A$310,MATCH(A715,Users!$B$2:$B$310,0)),"")</f>
        <v/>
      </c>
      <c r="H715" s="21">
        <f>IFERROR(INDEX(Users!$D$2:$D$310,MATCH(A715,Users!$B$2:$B$310,0)),"")</f>
        <v/>
      </c>
      <c r="I715" s="19">
        <f>AND(G715="Service A",H715="Band 3")</f>
        <v/>
      </c>
      <c r="J715" s="33">
        <f>IF(AND(YEAR(B715)=2025,G715="Service B",OR(H715="Band 3",H715="Band 5"),ISNUMBER(F715)),F715,"")</f>
        <v/>
      </c>
    </row>
    <row r="716">
      <c r="A716" s="19" t="inlineStr">
        <is>
          <t>User1078</t>
        </is>
      </c>
      <c r="B716" s="60" t="n">
        <v>46023</v>
      </c>
      <c r="C716" s="21" t="n">
        <v>155.4</v>
      </c>
      <c r="D716" s="21" t="n">
        <v>154.23</v>
      </c>
      <c r="E716" s="21" t="n">
        <v>97.47999999999999</v>
      </c>
      <c r="F716" s="27">
        <f>IFERROR(IF(OR(C716="",D716="",C716=0),"",D716/C716),"")</f>
        <v/>
      </c>
      <c r="G716" s="21">
        <f>IFERROR(INDEX(Users!$A$2:$A$310,MATCH(A716,Users!$B$2:$B$310,0)),"")</f>
        <v/>
      </c>
      <c r="H716" s="21">
        <f>IFERROR(INDEX(Users!$D$2:$D$310,MATCH(A716,Users!$B$2:$B$310,0)),"")</f>
        <v/>
      </c>
      <c r="I716" s="19">
        <f>AND(G716="Service A",H716="Band 3")</f>
        <v/>
      </c>
      <c r="J716" s="33">
        <f>IF(AND(YEAR(B716)=2025,G716="Service B",OR(H716="Band 3",H716="Band 5"),ISNUMBER(F716)),F716,"")</f>
        <v/>
      </c>
    </row>
    <row r="717">
      <c r="A717" s="19" t="inlineStr">
        <is>
          <t>User1079</t>
        </is>
      </c>
      <c r="B717" s="60" t="n">
        <v>45689</v>
      </c>
      <c r="C717" s="21" t="n">
        <v>59.2</v>
      </c>
      <c r="D717" s="21" t="n">
        <v>71.17</v>
      </c>
      <c r="E717" s="21" t="n">
        <v>2.17</v>
      </c>
      <c r="F717" s="27">
        <f>IFERROR(IF(OR(C717="",D717="",C717=0),"",D717/C717),"")</f>
        <v/>
      </c>
      <c r="G717" s="21">
        <f>IFERROR(INDEX(Users!$A$2:$A$310,MATCH(A717,Users!$B$2:$B$310,0)),"")</f>
        <v/>
      </c>
      <c r="H717" s="21">
        <f>IFERROR(INDEX(Users!$D$2:$D$310,MATCH(A717,Users!$B$2:$B$310,0)),"")</f>
        <v/>
      </c>
      <c r="I717" s="19">
        <f>AND(G717="Service A",H717="Band 3")</f>
        <v/>
      </c>
      <c r="J717" s="33">
        <f>IF(AND(YEAR(B717)=2025,G717="Service B",OR(H717="Band 3",H717="Band 5"),ISNUMBER(F717)),F717,"")</f>
        <v/>
      </c>
    </row>
    <row r="718">
      <c r="A718" s="19" t="inlineStr">
        <is>
          <t>User1079</t>
        </is>
      </c>
      <c r="B718" s="60" t="n">
        <v>45717</v>
      </c>
      <c r="C718" s="21" t="n">
        <v>125.8</v>
      </c>
      <c r="D718" s="21" t="n">
        <v>155.25</v>
      </c>
      <c r="E718" s="21" t="n"/>
      <c r="F718" s="27">
        <f>IFERROR(IF(OR(C718="",D718="",C718=0),"",D718/C718),"")</f>
        <v/>
      </c>
      <c r="G718" s="21">
        <f>IFERROR(INDEX(Users!$A$2:$A$310,MATCH(A718,Users!$B$2:$B$310,0)),"")</f>
        <v/>
      </c>
      <c r="H718" s="21">
        <f>IFERROR(INDEX(Users!$D$2:$D$310,MATCH(A718,Users!$B$2:$B$310,0)),"")</f>
        <v/>
      </c>
      <c r="I718" s="19">
        <f>AND(G718="Service A",H718="Band 3")</f>
        <v/>
      </c>
      <c r="J718" s="33">
        <f>IF(AND(YEAR(B718)=2025,G718="Service B",OR(H718="Band 3",H718="Band 5"),ISNUMBER(F718)),F718,"")</f>
        <v/>
      </c>
    </row>
    <row r="719">
      <c r="A719" s="19" t="inlineStr">
        <is>
          <t>User1079</t>
        </is>
      </c>
      <c r="B719" s="60" t="n">
        <v>45748</v>
      </c>
      <c r="C719" s="21" t="n">
        <v>111</v>
      </c>
      <c r="D719" s="21" t="n">
        <v>114.4133333333333</v>
      </c>
      <c r="E719" s="21" t="n">
        <v>0.8300000000000001</v>
      </c>
      <c r="F719" s="27">
        <f>IFERROR(IF(OR(C719="",D719="",C719=0),"",D719/C719),"")</f>
        <v/>
      </c>
      <c r="G719" s="21">
        <f>IFERROR(INDEX(Users!$A$2:$A$310,MATCH(A719,Users!$B$2:$B$310,0)),"")</f>
        <v/>
      </c>
      <c r="H719" s="21">
        <f>IFERROR(INDEX(Users!$D$2:$D$310,MATCH(A719,Users!$B$2:$B$310,0)),"")</f>
        <v/>
      </c>
      <c r="I719" s="19">
        <f>AND(G719="Service A",H719="Band 3")</f>
        <v/>
      </c>
      <c r="J719" s="33">
        <f>IF(AND(YEAR(B719)=2025,G719="Service B",OR(H719="Band 3",H719="Band 5"),ISNUMBER(F719)),F719,"")</f>
        <v/>
      </c>
    </row>
    <row r="720">
      <c r="A720" s="19" t="inlineStr">
        <is>
          <t>User1079</t>
        </is>
      </c>
      <c r="B720" s="60" t="n">
        <v>45778</v>
      </c>
      <c r="C720" s="21" t="n">
        <v>118.4</v>
      </c>
      <c r="D720" s="21" t="n">
        <v>87.09000000000002</v>
      </c>
      <c r="E720" s="21" t="n">
        <v>2.34</v>
      </c>
      <c r="F720" s="27">
        <f>IFERROR(IF(OR(C720="",D720="",C720=0),"",D720/C720),"")</f>
        <v/>
      </c>
      <c r="G720" s="21">
        <f>IFERROR(INDEX(Users!$A$2:$A$310,MATCH(A720,Users!$B$2:$B$310,0)),"")</f>
        <v/>
      </c>
      <c r="H720" s="21">
        <f>IFERROR(INDEX(Users!$D$2:$D$310,MATCH(A720,Users!$B$2:$B$310,0)),"")</f>
        <v/>
      </c>
      <c r="I720" s="19">
        <f>AND(G720="Service A",H720="Band 3")</f>
        <v/>
      </c>
      <c r="J720" s="33">
        <f>IF(AND(YEAR(B720)=2025,G720="Service B",OR(H720="Band 3",H720="Band 5"),ISNUMBER(F720)),F720,"")</f>
        <v/>
      </c>
    </row>
    <row r="721">
      <c r="A721" s="19" t="inlineStr">
        <is>
          <t>User1079</t>
        </is>
      </c>
      <c r="B721" s="60" t="n">
        <v>45809</v>
      </c>
      <c r="C721" s="21" t="n">
        <v>125.8</v>
      </c>
      <c r="D721" s="21" t="n">
        <v>121.7233333333333</v>
      </c>
      <c r="E721" s="21" t="n">
        <v>88.89</v>
      </c>
      <c r="F721" s="27">
        <f>IFERROR(IF(OR(C721="",D721="",C721=0),"",D721/C721),"")</f>
        <v/>
      </c>
      <c r="G721" s="21">
        <f>IFERROR(INDEX(Users!$A$2:$A$310,MATCH(A721,Users!$B$2:$B$310,0)),"")</f>
        <v/>
      </c>
      <c r="H721" s="21">
        <f>IFERROR(INDEX(Users!$D$2:$D$310,MATCH(A721,Users!$B$2:$B$310,0)),"")</f>
        <v/>
      </c>
      <c r="I721" s="19">
        <f>AND(G721="Service A",H721="Band 3")</f>
        <v/>
      </c>
      <c r="J721" s="33">
        <f>IF(AND(YEAR(B721)=2025,G721="Service B",OR(H721="Band 3",H721="Band 5"),ISNUMBER(F721)),F721,"")</f>
        <v/>
      </c>
    </row>
    <row r="722">
      <c r="A722" s="19" t="inlineStr">
        <is>
          <t>User1079</t>
        </is>
      </c>
      <c r="B722" s="60" t="n">
        <v>45839</v>
      </c>
      <c r="C722" s="21" t="n">
        <v>133.2</v>
      </c>
      <c r="D722" s="21" t="n">
        <v>146.2566666666667</v>
      </c>
      <c r="E722" s="21" t="n">
        <v>86.34</v>
      </c>
      <c r="F722" s="27">
        <f>IFERROR(IF(OR(C722="",D722="",C722=0),"",D722/C722),"")</f>
        <v/>
      </c>
      <c r="G722" s="21">
        <f>IFERROR(INDEX(Users!$A$2:$A$310,MATCH(A722,Users!$B$2:$B$310,0)),"")</f>
        <v/>
      </c>
      <c r="H722" s="21">
        <f>IFERROR(INDEX(Users!$D$2:$D$310,MATCH(A722,Users!$B$2:$B$310,0)),"")</f>
        <v/>
      </c>
      <c r="I722" s="19">
        <f>AND(G722="Service A",H722="Band 3")</f>
        <v/>
      </c>
      <c r="J722" s="33">
        <f>IF(AND(YEAR(B722)=2025,G722="Service B",OR(H722="Band 3",H722="Band 5"),ISNUMBER(F722)),F722,"")</f>
        <v/>
      </c>
    </row>
    <row r="723">
      <c r="A723" s="19" t="inlineStr">
        <is>
          <t>User1079</t>
        </is>
      </c>
      <c r="B723" s="60" t="n">
        <v>45870</v>
      </c>
      <c r="C723" s="21" t="n">
        <v>118.4</v>
      </c>
      <c r="D723" s="21" t="n">
        <v>86.91666666666667</v>
      </c>
      <c r="E723" s="21" t="n">
        <v>59.75</v>
      </c>
      <c r="F723" s="27">
        <f>IFERROR(IF(OR(C723="",D723="",C723=0),"",D723/C723),"")</f>
        <v/>
      </c>
      <c r="G723" s="21">
        <f>IFERROR(INDEX(Users!$A$2:$A$310,MATCH(A723,Users!$B$2:$B$310,0)),"")</f>
        <v/>
      </c>
      <c r="H723" s="21">
        <f>IFERROR(INDEX(Users!$D$2:$D$310,MATCH(A723,Users!$B$2:$B$310,0)),"")</f>
        <v/>
      </c>
      <c r="I723" s="19">
        <f>AND(G723="Service A",H723="Band 3")</f>
        <v/>
      </c>
      <c r="J723" s="33">
        <f>IF(AND(YEAR(B723)=2025,G723="Service B",OR(H723="Band 3",H723="Band 5"),ISNUMBER(F723)),F723,"")</f>
        <v/>
      </c>
    </row>
    <row r="724">
      <c r="A724" s="19" t="inlineStr">
        <is>
          <t>User1079</t>
        </is>
      </c>
      <c r="B724" s="60" t="n">
        <v>45901</v>
      </c>
      <c r="C724" s="21" t="n">
        <v>133.2</v>
      </c>
      <c r="D724" s="21" t="n">
        <v>146.4133333333333</v>
      </c>
      <c r="E724" s="21" t="n">
        <v>96.33</v>
      </c>
      <c r="F724" s="27">
        <f>IFERROR(IF(OR(C724="",D724="",C724=0),"",D724/C724),"")</f>
        <v/>
      </c>
      <c r="G724" s="21">
        <f>IFERROR(INDEX(Users!$A$2:$A$310,MATCH(A724,Users!$B$2:$B$310,0)),"")</f>
        <v/>
      </c>
      <c r="H724" s="21">
        <f>IFERROR(INDEX(Users!$D$2:$D$310,MATCH(A724,Users!$B$2:$B$310,0)),"")</f>
        <v/>
      </c>
      <c r="I724" s="19">
        <f>AND(G724="Service A",H724="Band 3")</f>
        <v/>
      </c>
      <c r="J724" s="33">
        <f>IF(AND(YEAR(B724)=2025,G724="Service B",OR(H724="Band 3",H724="Band 5"),ISNUMBER(F724)),F724,"")</f>
        <v/>
      </c>
    </row>
    <row r="725">
      <c r="A725" s="19" t="inlineStr">
        <is>
          <t>User1079</t>
        </is>
      </c>
      <c r="B725" s="60" t="n">
        <v>45931</v>
      </c>
      <c r="C725" s="21" t="n">
        <v>133.2</v>
      </c>
      <c r="D725" s="21" t="n">
        <v>162.5633333333333</v>
      </c>
      <c r="E725" s="21" t="n">
        <v>119.48</v>
      </c>
      <c r="F725" s="27">
        <f>IFERROR(IF(OR(C725="",D725="",C725=0),"",D725/C725),"")</f>
        <v/>
      </c>
      <c r="G725" s="21">
        <f>IFERROR(INDEX(Users!$A$2:$A$310,MATCH(A725,Users!$B$2:$B$310,0)),"")</f>
        <v/>
      </c>
      <c r="H725" s="21">
        <f>IFERROR(INDEX(Users!$D$2:$D$310,MATCH(A725,Users!$B$2:$B$310,0)),"")</f>
        <v/>
      </c>
      <c r="I725" s="19">
        <f>AND(G725="Service A",H725="Band 3")</f>
        <v/>
      </c>
      <c r="J725" s="33">
        <f>IF(AND(YEAR(B725)=2025,G725="Service B",OR(H725="Band 3",H725="Band 5"),ISNUMBER(F725)),F725,"")</f>
        <v/>
      </c>
    </row>
    <row r="726">
      <c r="A726" s="19" t="inlineStr">
        <is>
          <t>User1079</t>
        </is>
      </c>
      <c r="B726" s="60" t="n">
        <v>45962</v>
      </c>
      <c r="C726" s="21" t="n">
        <v>118.4</v>
      </c>
      <c r="D726" s="21" t="n">
        <v>136.4</v>
      </c>
      <c r="E726" s="21" t="n">
        <v>106.9</v>
      </c>
      <c r="F726" s="27">
        <f>IFERROR(IF(OR(C726="",D726="",C726=0),"",D726/C726),"")</f>
        <v/>
      </c>
      <c r="G726" s="21">
        <f>IFERROR(INDEX(Users!$A$2:$A$310,MATCH(A726,Users!$B$2:$B$310,0)),"")</f>
        <v/>
      </c>
      <c r="H726" s="21">
        <f>IFERROR(INDEX(Users!$D$2:$D$310,MATCH(A726,Users!$B$2:$B$310,0)),"")</f>
        <v/>
      </c>
      <c r="I726" s="19">
        <f>AND(G726="Service A",H726="Band 3")</f>
        <v/>
      </c>
      <c r="J726" s="33">
        <f>IF(AND(YEAR(B726)=2025,G726="Service B",OR(H726="Band 3",H726="Band 5"),ISNUMBER(F726)),F726,"")</f>
        <v/>
      </c>
    </row>
    <row r="727">
      <c r="A727" s="19" t="inlineStr">
        <is>
          <t>User1079</t>
        </is>
      </c>
      <c r="B727" s="60" t="n">
        <v>45992</v>
      </c>
      <c r="C727" s="21" t="n">
        <v>118.4</v>
      </c>
      <c r="D727" s="21" t="n">
        <v>93.83333333333334</v>
      </c>
      <c r="E727" s="21" t="n">
        <v>61.75</v>
      </c>
      <c r="F727" s="27">
        <f>IFERROR(IF(OR(C727="",D727="",C727=0),"",D727/C727),"")</f>
        <v/>
      </c>
      <c r="G727" s="21">
        <f>IFERROR(INDEX(Users!$A$2:$A$310,MATCH(A727,Users!$B$2:$B$310,0)),"")</f>
        <v/>
      </c>
      <c r="H727" s="21">
        <f>IFERROR(INDEX(Users!$D$2:$D$310,MATCH(A727,Users!$B$2:$B$310,0)),"")</f>
        <v/>
      </c>
      <c r="I727" s="19">
        <f>AND(G727="Service A",H727="Band 3")</f>
        <v/>
      </c>
      <c r="J727" s="33">
        <f>IF(AND(YEAR(B727)=2025,G727="Service B",OR(H727="Band 3",H727="Band 5"),ISNUMBER(F727)),F727,"")</f>
        <v/>
      </c>
    </row>
    <row r="728">
      <c r="A728" s="19" t="inlineStr">
        <is>
          <t>User1079</t>
        </is>
      </c>
      <c r="B728" s="60" t="n">
        <v>46023</v>
      </c>
      <c r="C728" s="21" t="n">
        <v>125.8</v>
      </c>
      <c r="D728" s="21" t="n">
        <v>133.91</v>
      </c>
      <c r="E728" s="21" t="n">
        <v>100.41</v>
      </c>
      <c r="F728" s="27">
        <f>IFERROR(IF(OR(C728="",D728="",C728=0),"",D728/C728),"")</f>
        <v/>
      </c>
      <c r="G728" s="21">
        <f>IFERROR(INDEX(Users!$A$2:$A$310,MATCH(A728,Users!$B$2:$B$310,0)),"")</f>
        <v/>
      </c>
      <c r="H728" s="21">
        <f>IFERROR(INDEX(Users!$D$2:$D$310,MATCH(A728,Users!$B$2:$B$310,0)),"")</f>
        <v/>
      </c>
      <c r="I728" s="19">
        <f>AND(G728="Service A",H728="Band 3")</f>
        <v/>
      </c>
      <c r="J728" s="33">
        <f>IF(AND(YEAR(B728)=2025,G728="Service B",OR(H728="Band 3",H728="Band 5"),ISNUMBER(F728)),F728,"")</f>
        <v/>
      </c>
    </row>
    <row r="729">
      <c r="A729" s="19" t="inlineStr">
        <is>
          <t>User1080</t>
        </is>
      </c>
      <c r="B729" s="60" t="n">
        <v>45658</v>
      </c>
      <c r="C729" s="21" t="n">
        <v>133.2</v>
      </c>
      <c r="D729" s="21" t="n">
        <v>138.65</v>
      </c>
      <c r="E729" s="21" t="n">
        <v>74.25000000000001</v>
      </c>
      <c r="F729" s="27">
        <f>IFERROR(IF(OR(C729="",D729="",C729=0),"",D729/C729),"")</f>
        <v/>
      </c>
      <c r="G729" s="21">
        <f>IFERROR(INDEX(Users!$A$2:$A$310,MATCH(A729,Users!$B$2:$B$310,0)),"")</f>
        <v/>
      </c>
      <c r="H729" s="21">
        <f>IFERROR(INDEX(Users!$D$2:$D$310,MATCH(A729,Users!$B$2:$B$310,0)),"")</f>
        <v/>
      </c>
      <c r="I729" s="19">
        <f>AND(G729="Service A",H729="Band 3")</f>
        <v/>
      </c>
      <c r="J729" s="33">
        <f>IF(AND(YEAR(B729)=2025,G729="Service B",OR(H729="Band 3",H729="Band 5"),ISNUMBER(F729)),F729,"")</f>
        <v/>
      </c>
    </row>
    <row r="730">
      <c r="A730" s="19" t="inlineStr">
        <is>
          <t>User1080</t>
        </is>
      </c>
      <c r="B730" s="60" t="n">
        <v>45689</v>
      </c>
      <c r="C730" s="21" t="n">
        <v>59.2</v>
      </c>
      <c r="D730" s="21" t="n">
        <v>40.41</v>
      </c>
      <c r="E730" s="21" t="n">
        <v>33.41</v>
      </c>
      <c r="F730" s="27">
        <f>IFERROR(IF(OR(C730="",D730="",C730=0),"",D730/C730),"")</f>
        <v/>
      </c>
      <c r="G730" s="21">
        <f>IFERROR(INDEX(Users!$A$2:$A$310,MATCH(A730,Users!$B$2:$B$310,0)),"")</f>
        <v/>
      </c>
      <c r="H730" s="21">
        <f>IFERROR(INDEX(Users!$D$2:$D$310,MATCH(A730,Users!$B$2:$B$310,0)),"")</f>
        <v/>
      </c>
      <c r="I730" s="19">
        <f>AND(G730="Service A",H730="Band 3")</f>
        <v/>
      </c>
      <c r="J730" s="33">
        <f>IF(AND(YEAR(B730)=2025,G730="Service B",OR(H730="Band 3",H730="Band 5"),ISNUMBER(F730)),F730,"")</f>
        <v/>
      </c>
    </row>
    <row r="731">
      <c r="A731" s="19" t="inlineStr">
        <is>
          <t>User1081</t>
        </is>
      </c>
      <c r="B731" s="60" t="n">
        <v>45658</v>
      </c>
      <c r="C731" s="21" t="n">
        <v>162.8</v>
      </c>
      <c r="D731" s="21" t="n">
        <v>148.575</v>
      </c>
      <c r="E731" s="21" t="n">
        <v>48.39000000000001</v>
      </c>
      <c r="F731" s="27">
        <f>IFERROR(IF(OR(C731="",D731="",C731=0),"",D731/C731),"")</f>
        <v/>
      </c>
      <c r="G731" s="21">
        <f>IFERROR(INDEX(Users!$A$2:$A$310,MATCH(A731,Users!$B$2:$B$310,0)),"")</f>
        <v/>
      </c>
      <c r="H731" s="21">
        <f>IFERROR(INDEX(Users!$D$2:$D$310,MATCH(A731,Users!$B$2:$B$310,0)),"")</f>
        <v/>
      </c>
      <c r="I731" s="19">
        <f>AND(G731="Service A",H731="Band 3")</f>
        <v/>
      </c>
      <c r="J731" s="33">
        <f>IF(AND(YEAR(B731)=2025,G731="Service B",OR(H731="Band 3",H731="Band 5"),ISNUMBER(F731)),F731,"")</f>
        <v/>
      </c>
    </row>
    <row r="732">
      <c r="A732" s="19" t="inlineStr">
        <is>
          <t>User1081</t>
        </is>
      </c>
      <c r="B732" s="60" t="n">
        <v>45689</v>
      </c>
      <c r="C732" s="21" t="n">
        <v>148</v>
      </c>
      <c r="D732" s="21" t="n">
        <v>148.5405555555556</v>
      </c>
      <c r="E732" s="21" t="n">
        <v>41.49000000000002</v>
      </c>
      <c r="F732" s="27">
        <f>IFERROR(IF(OR(C732="",D732="",C732=0),"",D732/C732),"")</f>
        <v/>
      </c>
      <c r="G732" s="21">
        <f>IFERROR(INDEX(Users!$A$2:$A$310,MATCH(A732,Users!$B$2:$B$310,0)),"")</f>
        <v/>
      </c>
      <c r="H732" s="21">
        <f>IFERROR(INDEX(Users!$D$2:$D$310,MATCH(A732,Users!$B$2:$B$310,0)),"")</f>
        <v/>
      </c>
      <c r="I732" s="19">
        <f>AND(G732="Service A",H732="Band 3")</f>
        <v/>
      </c>
      <c r="J732" s="33">
        <f>IF(AND(YEAR(B732)=2025,G732="Service B",OR(H732="Band 3",H732="Band 5"),ISNUMBER(F732)),F732,"")</f>
        <v/>
      </c>
    </row>
    <row r="733">
      <c r="A733" s="19" t="inlineStr">
        <is>
          <t>User1081</t>
        </is>
      </c>
      <c r="B733" s="60" t="n">
        <v>45717</v>
      </c>
      <c r="C733" s="21" t="n">
        <v>155.4</v>
      </c>
      <c r="D733" s="21" t="n">
        <v>157.1880555555556</v>
      </c>
      <c r="E733" s="21" t="n">
        <v>46.01000000000001</v>
      </c>
      <c r="F733" s="27">
        <f>IFERROR(IF(OR(C733="",D733="",C733=0),"",D733/C733),"")</f>
        <v/>
      </c>
      <c r="G733" s="21">
        <f>IFERROR(INDEX(Users!$A$2:$A$310,MATCH(A733,Users!$B$2:$B$310,0)),"")</f>
        <v/>
      </c>
      <c r="H733" s="21">
        <f>IFERROR(INDEX(Users!$D$2:$D$310,MATCH(A733,Users!$B$2:$B$310,0)),"")</f>
        <v/>
      </c>
      <c r="I733" s="19">
        <f>AND(G733="Service A",H733="Band 3")</f>
        <v/>
      </c>
      <c r="J733" s="33">
        <f>IF(AND(YEAR(B733)=2025,G733="Service B",OR(H733="Band 3",H733="Band 5"),ISNUMBER(F733)),F733,"")</f>
        <v/>
      </c>
    </row>
    <row r="734">
      <c r="A734" s="19" t="inlineStr">
        <is>
          <t>User1081</t>
        </is>
      </c>
      <c r="B734" s="60" t="n">
        <v>45748</v>
      </c>
      <c r="C734" s="21" t="n">
        <v>148</v>
      </c>
      <c r="D734" s="21" t="n">
        <v>129.4122222222222</v>
      </c>
      <c r="E734" s="21" t="n">
        <v>60.95</v>
      </c>
      <c r="F734" s="27">
        <f>IFERROR(IF(OR(C734="",D734="",C734=0),"",D734/C734),"")</f>
        <v/>
      </c>
      <c r="G734" s="21">
        <f>IFERROR(INDEX(Users!$A$2:$A$310,MATCH(A734,Users!$B$2:$B$310,0)),"")</f>
        <v/>
      </c>
      <c r="H734" s="21">
        <f>IFERROR(INDEX(Users!$D$2:$D$310,MATCH(A734,Users!$B$2:$B$310,0)),"")</f>
        <v/>
      </c>
      <c r="I734" s="19">
        <f>AND(G734="Service A",H734="Band 3")</f>
        <v/>
      </c>
      <c r="J734" s="33">
        <f>IF(AND(YEAR(B734)=2025,G734="Service B",OR(H734="Band 3",H734="Band 5"),ISNUMBER(F734)),F734,"")</f>
        <v/>
      </c>
    </row>
    <row r="735">
      <c r="A735" s="19" t="inlineStr">
        <is>
          <t>User1081</t>
        </is>
      </c>
      <c r="B735" s="60" t="n">
        <v>45778</v>
      </c>
      <c r="C735" s="21" t="n">
        <v>148</v>
      </c>
      <c r="D735" s="21" t="n">
        <v>115.4019444444445</v>
      </c>
      <c r="E735" s="21" t="n">
        <v>57.20000000000002</v>
      </c>
      <c r="F735" s="27">
        <f>IFERROR(IF(OR(C735="",D735="",C735=0),"",D735/C735),"")</f>
        <v/>
      </c>
      <c r="G735" s="21">
        <f>IFERROR(INDEX(Users!$A$2:$A$310,MATCH(A735,Users!$B$2:$B$310,0)),"")</f>
        <v/>
      </c>
      <c r="H735" s="21">
        <f>IFERROR(INDEX(Users!$D$2:$D$310,MATCH(A735,Users!$B$2:$B$310,0)),"")</f>
        <v/>
      </c>
      <c r="I735" s="19">
        <f>AND(G735="Service A",H735="Band 3")</f>
        <v/>
      </c>
      <c r="J735" s="33">
        <f>IF(AND(YEAR(B735)=2025,G735="Service B",OR(H735="Band 3",H735="Band 5"),ISNUMBER(F735)),F735,"")</f>
        <v/>
      </c>
    </row>
    <row r="736">
      <c r="A736" s="19" t="inlineStr">
        <is>
          <t>User1081</t>
        </is>
      </c>
      <c r="B736" s="60" t="n">
        <v>45809</v>
      </c>
      <c r="C736" s="21" t="n">
        <v>155.4</v>
      </c>
      <c r="D736" s="21" t="n">
        <v>160.7938888888889</v>
      </c>
      <c r="E736" s="21" t="n">
        <v>74.53000000000002</v>
      </c>
      <c r="F736" s="27">
        <f>IFERROR(IF(OR(C736="",D736="",C736=0),"",D736/C736),"")</f>
        <v/>
      </c>
      <c r="G736" s="21">
        <f>IFERROR(INDEX(Users!$A$2:$A$310,MATCH(A736,Users!$B$2:$B$310,0)),"")</f>
        <v/>
      </c>
      <c r="H736" s="21">
        <f>IFERROR(INDEX(Users!$D$2:$D$310,MATCH(A736,Users!$B$2:$B$310,0)),"")</f>
        <v/>
      </c>
      <c r="I736" s="19">
        <f>AND(G736="Service A",H736="Band 3")</f>
        <v/>
      </c>
      <c r="J736" s="33">
        <f>IF(AND(YEAR(B736)=2025,G736="Service B",OR(H736="Band 3",H736="Band 5"),ISNUMBER(F736)),F736,"")</f>
        <v/>
      </c>
    </row>
    <row r="737">
      <c r="A737" s="19" t="inlineStr">
        <is>
          <t>User1081</t>
        </is>
      </c>
      <c r="B737" s="60" t="n">
        <v>45839</v>
      </c>
      <c r="C737" s="21" t="n">
        <v>170.2</v>
      </c>
      <c r="D737" s="21" t="n">
        <v>41.72972222222221</v>
      </c>
      <c r="E737" s="21" t="n">
        <v>21.76</v>
      </c>
      <c r="F737" s="27">
        <f>IFERROR(IF(OR(C737="",D737="",C737=0),"",D737/C737),"")</f>
        <v/>
      </c>
      <c r="G737" s="21">
        <f>IFERROR(INDEX(Users!$A$2:$A$310,MATCH(A737,Users!$B$2:$B$310,0)),"")</f>
        <v/>
      </c>
      <c r="H737" s="21">
        <f>IFERROR(INDEX(Users!$D$2:$D$310,MATCH(A737,Users!$B$2:$B$310,0)),"")</f>
        <v/>
      </c>
      <c r="I737" s="19">
        <f>AND(G737="Service A",H737="Band 3")</f>
        <v/>
      </c>
      <c r="J737" s="33">
        <f>IF(AND(YEAR(B737)=2025,G737="Service B",OR(H737="Band 3",H737="Band 5"),ISNUMBER(F737)),F737,"")</f>
        <v/>
      </c>
    </row>
    <row r="738">
      <c r="A738" s="19" t="inlineStr">
        <is>
          <t>User1081</t>
        </is>
      </c>
      <c r="B738" s="60" t="n">
        <v>45870</v>
      </c>
      <c r="C738" s="21" t="n">
        <v>148</v>
      </c>
      <c r="D738" s="21" t="n">
        <v>76.26222222222222</v>
      </c>
      <c r="E738" s="21" t="n">
        <v>44.66</v>
      </c>
      <c r="F738" s="27">
        <f>IFERROR(IF(OR(C738="",D738="",C738=0),"",D738/C738),"")</f>
        <v/>
      </c>
      <c r="G738" s="21">
        <f>IFERROR(INDEX(Users!$A$2:$A$310,MATCH(A738,Users!$B$2:$B$310,0)),"")</f>
        <v/>
      </c>
      <c r="H738" s="21">
        <f>IFERROR(INDEX(Users!$D$2:$D$310,MATCH(A738,Users!$B$2:$B$310,0)),"")</f>
        <v/>
      </c>
      <c r="I738" s="19">
        <f>AND(G738="Service A",H738="Band 3")</f>
        <v/>
      </c>
      <c r="J738" s="33">
        <f>IF(AND(YEAR(B738)=2025,G738="Service B",OR(H738="Band 3",H738="Band 5"),ISNUMBER(F738)),F738,"")</f>
        <v/>
      </c>
    </row>
    <row r="739">
      <c r="A739" s="19" t="inlineStr">
        <is>
          <t>User1081</t>
        </is>
      </c>
      <c r="B739" s="60" t="n">
        <v>45901</v>
      </c>
      <c r="C739" s="21" t="n">
        <v>162.8</v>
      </c>
      <c r="D739" s="21" t="n">
        <v>168.2313888888889</v>
      </c>
      <c r="E739" s="21" t="n">
        <v>91.25999999999999</v>
      </c>
      <c r="F739" s="27">
        <f>IFERROR(IF(OR(C739="",D739="",C739=0),"",D739/C739),"")</f>
        <v/>
      </c>
      <c r="G739" s="21">
        <f>IFERROR(INDEX(Users!$A$2:$A$310,MATCH(A739,Users!$B$2:$B$310,0)),"")</f>
        <v/>
      </c>
      <c r="H739" s="21">
        <f>IFERROR(INDEX(Users!$D$2:$D$310,MATCH(A739,Users!$B$2:$B$310,0)),"")</f>
        <v/>
      </c>
      <c r="I739" s="19">
        <f>AND(G739="Service A",H739="Band 3")</f>
        <v/>
      </c>
      <c r="J739" s="33">
        <f>IF(AND(YEAR(B739)=2025,G739="Service B",OR(H739="Band 3",H739="Band 5"),ISNUMBER(F739)),F739,"")</f>
        <v/>
      </c>
    </row>
    <row r="740">
      <c r="A740" s="19" t="inlineStr">
        <is>
          <t>User1081</t>
        </is>
      </c>
      <c r="B740" s="60" t="n">
        <v>45931</v>
      </c>
      <c r="C740" s="21" t="n">
        <v>170.2</v>
      </c>
      <c r="D740" s="21" t="n">
        <v>144.6569444444444</v>
      </c>
      <c r="E740" s="21" t="n">
        <v>68.83000000000001</v>
      </c>
      <c r="F740" s="27">
        <f>IFERROR(IF(OR(C740="",D740="",C740=0),"",D740/C740),"")</f>
        <v/>
      </c>
      <c r="G740" s="21">
        <f>IFERROR(INDEX(Users!$A$2:$A$310,MATCH(A740,Users!$B$2:$B$310,0)),"")</f>
        <v/>
      </c>
      <c r="H740" s="21">
        <f>IFERROR(INDEX(Users!$D$2:$D$310,MATCH(A740,Users!$B$2:$B$310,0)),"")</f>
        <v/>
      </c>
      <c r="I740" s="19">
        <f>AND(G740="Service A",H740="Band 3")</f>
        <v/>
      </c>
      <c r="J740" s="33">
        <f>IF(AND(YEAR(B740)=2025,G740="Service B",OR(H740="Band 3",H740="Band 5"),ISNUMBER(F740)),F740,"")</f>
        <v/>
      </c>
    </row>
    <row r="741">
      <c r="A741" s="19" t="inlineStr">
        <is>
          <t>User1081</t>
        </is>
      </c>
      <c r="B741" s="60" t="n">
        <v>45962</v>
      </c>
      <c r="C741" s="21" t="n">
        <v>148</v>
      </c>
      <c r="D741" s="21" t="n">
        <v>141.805</v>
      </c>
      <c r="E741" s="21" t="n">
        <v>84.25999999999999</v>
      </c>
      <c r="F741" s="27">
        <f>IFERROR(IF(OR(C741="",D741="",C741=0),"",D741/C741),"")</f>
        <v/>
      </c>
      <c r="G741" s="21">
        <f>IFERROR(INDEX(Users!$A$2:$A$310,MATCH(A741,Users!$B$2:$B$310,0)),"")</f>
        <v/>
      </c>
      <c r="H741" s="21">
        <f>IFERROR(INDEX(Users!$D$2:$D$310,MATCH(A741,Users!$B$2:$B$310,0)),"")</f>
        <v/>
      </c>
      <c r="I741" s="19">
        <f>AND(G741="Service A",H741="Band 3")</f>
        <v/>
      </c>
      <c r="J741" s="33">
        <f>IF(AND(YEAR(B741)=2025,G741="Service B",OR(H741="Band 3",H741="Band 5"),ISNUMBER(F741)),F741,"")</f>
        <v/>
      </c>
    </row>
    <row r="742">
      <c r="A742" s="19" t="inlineStr">
        <is>
          <t>User1081</t>
        </is>
      </c>
      <c r="B742" s="60" t="n">
        <v>45992</v>
      </c>
      <c r="C742" s="21" t="n">
        <v>155.4</v>
      </c>
      <c r="D742" s="21" t="n">
        <v>132.6841666666667</v>
      </c>
      <c r="E742" s="21" t="n">
        <v>89.06999999999999</v>
      </c>
      <c r="F742" s="27">
        <f>IFERROR(IF(OR(C742="",D742="",C742=0),"",D742/C742),"")</f>
        <v/>
      </c>
      <c r="G742" s="21">
        <f>IFERROR(INDEX(Users!$A$2:$A$310,MATCH(A742,Users!$B$2:$B$310,0)),"")</f>
        <v/>
      </c>
      <c r="H742" s="21">
        <f>IFERROR(INDEX(Users!$D$2:$D$310,MATCH(A742,Users!$B$2:$B$310,0)),"")</f>
        <v/>
      </c>
      <c r="I742" s="19">
        <f>AND(G742="Service A",H742="Band 3")</f>
        <v/>
      </c>
      <c r="J742" s="33">
        <f>IF(AND(YEAR(B742)=2025,G742="Service B",OR(H742="Band 3",H742="Band 5"),ISNUMBER(F742)),F742,"")</f>
        <v/>
      </c>
    </row>
    <row r="743">
      <c r="A743" s="19" t="inlineStr">
        <is>
          <t>User1081</t>
        </is>
      </c>
      <c r="B743" s="60" t="n">
        <v>46023</v>
      </c>
      <c r="C743" s="21" t="n">
        <v>155.4</v>
      </c>
      <c r="D743" s="21" t="n">
        <v>136.9966666666667</v>
      </c>
      <c r="E743" s="21" t="n">
        <v>51.81</v>
      </c>
      <c r="F743" s="27">
        <f>IFERROR(IF(OR(C743="",D743="",C743=0),"",D743/C743),"")</f>
        <v/>
      </c>
      <c r="G743" s="21">
        <f>IFERROR(INDEX(Users!$A$2:$A$310,MATCH(A743,Users!$B$2:$B$310,0)),"")</f>
        <v/>
      </c>
      <c r="H743" s="21">
        <f>IFERROR(INDEX(Users!$D$2:$D$310,MATCH(A743,Users!$B$2:$B$310,0)),"")</f>
        <v/>
      </c>
      <c r="I743" s="19">
        <f>AND(G743="Service A",H743="Band 3")</f>
        <v/>
      </c>
      <c r="J743" s="33">
        <f>IF(AND(YEAR(B743)=2025,G743="Service B",OR(H743="Band 3",H743="Band 5"),ISNUMBER(F743)),F743,"")</f>
        <v/>
      </c>
    </row>
    <row r="744">
      <c r="A744" s="19" t="inlineStr">
        <is>
          <t>User1082</t>
        </is>
      </c>
      <c r="B744" s="60" t="n">
        <v>45658</v>
      </c>
      <c r="C744" s="21" t="n">
        <v>162.8</v>
      </c>
      <c r="D744" s="21" t="n">
        <v>147.51</v>
      </c>
      <c r="E744" s="21" t="n">
        <v>100.01</v>
      </c>
      <c r="F744" s="27">
        <f>IFERROR(IF(OR(C744="",D744="",C744=0),"",D744/C744),"")</f>
        <v/>
      </c>
      <c r="G744" s="21">
        <f>IFERROR(INDEX(Users!$A$2:$A$310,MATCH(A744,Users!$B$2:$B$310,0)),"")</f>
        <v/>
      </c>
      <c r="H744" s="21">
        <f>IFERROR(INDEX(Users!$D$2:$D$310,MATCH(A744,Users!$B$2:$B$310,0)),"")</f>
        <v/>
      </c>
      <c r="I744" s="19">
        <f>AND(G744="Service A",H744="Band 3")</f>
        <v/>
      </c>
      <c r="J744" s="33">
        <f>IF(AND(YEAR(B744)=2025,G744="Service B",OR(H744="Band 3",H744="Band 5"),ISNUMBER(F744)),F744,"")</f>
        <v/>
      </c>
    </row>
    <row r="745">
      <c r="A745" s="19" t="inlineStr">
        <is>
          <t>User1082</t>
        </is>
      </c>
      <c r="B745" s="60" t="n">
        <v>45689</v>
      </c>
      <c r="C745" s="21" t="n">
        <v>148</v>
      </c>
      <c r="D745" s="21" t="n">
        <v>153.42</v>
      </c>
      <c r="E745" s="21" t="n">
        <v>90.42</v>
      </c>
      <c r="F745" s="27">
        <f>IFERROR(IF(OR(C745="",D745="",C745=0),"",D745/C745),"")</f>
        <v/>
      </c>
      <c r="G745" s="21">
        <f>IFERROR(INDEX(Users!$A$2:$A$310,MATCH(A745,Users!$B$2:$B$310,0)),"")</f>
        <v/>
      </c>
      <c r="H745" s="21">
        <f>IFERROR(INDEX(Users!$D$2:$D$310,MATCH(A745,Users!$B$2:$B$310,0)),"")</f>
        <v/>
      </c>
      <c r="I745" s="19">
        <f>AND(G745="Service A",H745="Band 3")</f>
        <v/>
      </c>
      <c r="J745" s="33">
        <f>IF(AND(YEAR(B745)=2025,G745="Service B",OR(H745="Band 3",H745="Band 5"),ISNUMBER(F745)),F745,"")</f>
        <v/>
      </c>
    </row>
    <row r="746">
      <c r="A746" s="19" t="inlineStr">
        <is>
          <t>User1082</t>
        </is>
      </c>
      <c r="B746" s="60" t="n">
        <v>45717</v>
      </c>
      <c r="C746" s="21" t="n">
        <v>155.4</v>
      </c>
      <c r="D746" s="21" t="n">
        <v>169.3816666666667</v>
      </c>
      <c r="E746" s="21" t="n">
        <v>110.26</v>
      </c>
      <c r="F746" s="27">
        <f>IFERROR(IF(OR(C746="",D746="",C746=0),"",D746/C746),"")</f>
        <v/>
      </c>
      <c r="G746" s="21">
        <f>IFERROR(INDEX(Users!$A$2:$A$310,MATCH(A746,Users!$B$2:$B$310,0)),"")</f>
        <v/>
      </c>
      <c r="H746" s="21">
        <f>IFERROR(INDEX(Users!$D$2:$D$310,MATCH(A746,Users!$B$2:$B$310,0)),"")</f>
        <v/>
      </c>
      <c r="I746" s="19">
        <f>AND(G746="Service A",H746="Band 3")</f>
        <v/>
      </c>
      <c r="J746" s="33">
        <f>IF(AND(YEAR(B746)=2025,G746="Service B",OR(H746="Band 3",H746="Band 5"),ISNUMBER(F746)),F746,"")</f>
        <v/>
      </c>
    </row>
    <row r="747">
      <c r="A747" s="19" t="inlineStr">
        <is>
          <t>User1082</t>
        </is>
      </c>
      <c r="B747" s="60" t="n">
        <v>45748</v>
      </c>
      <c r="C747" s="21" t="n">
        <v>148</v>
      </c>
      <c r="D747" s="21" t="n">
        <v>149.7166666666667</v>
      </c>
      <c r="E747" s="21" t="n">
        <v>54.05000000000003</v>
      </c>
      <c r="F747" s="27">
        <f>IFERROR(IF(OR(C747="",D747="",C747=0),"",D747/C747),"")</f>
        <v/>
      </c>
      <c r="G747" s="21">
        <f>IFERROR(INDEX(Users!$A$2:$A$310,MATCH(A747,Users!$B$2:$B$310,0)),"")</f>
        <v/>
      </c>
      <c r="H747" s="21">
        <f>IFERROR(INDEX(Users!$D$2:$D$310,MATCH(A747,Users!$B$2:$B$310,0)),"")</f>
        <v/>
      </c>
      <c r="I747" s="19">
        <f>AND(G747="Service A",H747="Band 3")</f>
        <v/>
      </c>
      <c r="J747" s="33">
        <f>IF(AND(YEAR(B747)=2025,G747="Service B",OR(H747="Band 3",H747="Band 5"),ISNUMBER(F747)),F747,"")</f>
        <v/>
      </c>
    </row>
    <row r="748">
      <c r="A748" s="19" t="inlineStr">
        <is>
          <t>User1082</t>
        </is>
      </c>
      <c r="B748" s="60" t="n">
        <v>45778</v>
      </c>
      <c r="C748" s="21" t="n">
        <v>148</v>
      </c>
      <c r="D748" s="21" t="n">
        <v>142.7291666666667</v>
      </c>
      <c r="E748" s="21" t="n">
        <v>34.15999999999998</v>
      </c>
      <c r="F748" s="27">
        <f>IFERROR(IF(OR(C748="",D748="",C748=0),"",D748/C748),"")</f>
        <v/>
      </c>
      <c r="G748" s="21">
        <f>IFERROR(INDEX(Users!$A$2:$A$310,MATCH(A748,Users!$B$2:$B$310,0)),"")</f>
        <v/>
      </c>
      <c r="H748" s="21">
        <f>IFERROR(INDEX(Users!$D$2:$D$310,MATCH(A748,Users!$B$2:$B$310,0)),"")</f>
        <v/>
      </c>
      <c r="I748" s="19">
        <f>AND(G748="Service A",H748="Band 3")</f>
        <v/>
      </c>
      <c r="J748" s="33">
        <f>IF(AND(YEAR(B748)=2025,G748="Service B",OR(H748="Band 3",H748="Band 5"),ISNUMBER(F748)),F748,"")</f>
        <v/>
      </c>
    </row>
    <row r="749">
      <c r="A749" s="19" t="inlineStr">
        <is>
          <t>User1082</t>
        </is>
      </c>
      <c r="B749" s="60" t="n">
        <v>45809</v>
      </c>
      <c r="C749" s="21" t="n">
        <v>155.4</v>
      </c>
      <c r="D749" s="21" t="n">
        <v>158.5833333333333</v>
      </c>
      <c r="E749" s="21" t="n">
        <v>81.25</v>
      </c>
      <c r="F749" s="27">
        <f>IFERROR(IF(OR(C749="",D749="",C749=0),"",D749/C749),"")</f>
        <v/>
      </c>
      <c r="G749" s="21">
        <f>IFERROR(INDEX(Users!$A$2:$A$310,MATCH(A749,Users!$B$2:$B$310,0)),"")</f>
        <v/>
      </c>
      <c r="H749" s="21">
        <f>IFERROR(INDEX(Users!$D$2:$D$310,MATCH(A749,Users!$B$2:$B$310,0)),"")</f>
        <v/>
      </c>
      <c r="I749" s="19">
        <f>AND(G749="Service A",H749="Band 3")</f>
        <v/>
      </c>
      <c r="J749" s="33">
        <f>IF(AND(YEAR(B749)=2025,G749="Service B",OR(H749="Band 3",H749="Band 5"),ISNUMBER(F749)),F749,"")</f>
        <v/>
      </c>
    </row>
    <row r="750">
      <c r="A750" s="19" t="inlineStr">
        <is>
          <t>User1082</t>
        </is>
      </c>
      <c r="B750" s="60" t="n">
        <v>45839</v>
      </c>
      <c r="C750" s="21" t="n">
        <v>170.2</v>
      </c>
      <c r="D750" s="21" t="n">
        <v>134.4433333333333</v>
      </c>
      <c r="E750" s="21" t="n">
        <v>84.35999999999999</v>
      </c>
      <c r="F750" s="27">
        <f>IFERROR(IF(OR(C750="",D750="",C750=0),"",D750/C750),"")</f>
        <v/>
      </c>
      <c r="G750" s="21">
        <f>IFERROR(INDEX(Users!$A$2:$A$310,MATCH(A750,Users!$B$2:$B$310,0)),"")</f>
        <v/>
      </c>
      <c r="H750" s="21">
        <f>IFERROR(INDEX(Users!$D$2:$D$310,MATCH(A750,Users!$B$2:$B$310,0)),"")</f>
        <v/>
      </c>
      <c r="I750" s="19">
        <f>AND(G750="Service A",H750="Band 3")</f>
        <v/>
      </c>
      <c r="J750" s="33">
        <f>IF(AND(YEAR(B750)=2025,G750="Service B",OR(H750="Band 3",H750="Band 5"),ISNUMBER(F750)),F750,"")</f>
        <v/>
      </c>
    </row>
    <row r="751">
      <c r="A751" s="19" t="inlineStr">
        <is>
          <t>User1082</t>
        </is>
      </c>
      <c r="B751" s="60" t="n">
        <v>45870</v>
      </c>
      <c r="C751" s="21" t="n">
        <v>148</v>
      </c>
      <c r="D751" s="21" t="n">
        <v>87.92666666666668</v>
      </c>
      <c r="E751" s="21" t="n">
        <v>51.51000000000001</v>
      </c>
      <c r="F751" s="27">
        <f>IFERROR(IF(OR(C751="",D751="",C751=0),"",D751/C751),"")</f>
        <v/>
      </c>
      <c r="G751" s="21">
        <f>IFERROR(INDEX(Users!$A$2:$A$310,MATCH(A751,Users!$B$2:$B$310,0)),"")</f>
        <v/>
      </c>
      <c r="H751" s="21">
        <f>IFERROR(INDEX(Users!$D$2:$D$310,MATCH(A751,Users!$B$2:$B$310,0)),"")</f>
        <v/>
      </c>
      <c r="I751" s="19">
        <f>AND(G751="Service A",H751="Band 3")</f>
        <v/>
      </c>
      <c r="J751" s="33">
        <f>IF(AND(YEAR(B751)=2025,G751="Service B",OR(H751="Band 3",H751="Band 5"),ISNUMBER(F751)),F751,"")</f>
        <v/>
      </c>
    </row>
    <row r="752">
      <c r="A752" s="19" t="inlineStr">
        <is>
          <t>User1082</t>
        </is>
      </c>
      <c r="B752" s="60" t="n">
        <v>45901</v>
      </c>
      <c r="C752" s="21" t="n">
        <v>162.8</v>
      </c>
      <c r="D752" s="21" t="n">
        <v>156.2066666666666</v>
      </c>
      <c r="E752" s="21" t="n">
        <v>79.14</v>
      </c>
      <c r="F752" s="27">
        <f>IFERROR(IF(OR(C752="",D752="",C752=0),"",D752/C752),"")</f>
        <v/>
      </c>
      <c r="G752" s="21">
        <f>IFERROR(INDEX(Users!$A$2:$A$310,MATCH(A752,Users!$B$2:$B$310,0)),"")</f>
        <v/>
      </c>
      <c r="H752" s="21">
        <f>IFERROR(INDEX(Users!$D$2:$D$310,MATCH(A752,Users!$B$2:$B$310,0)),"")</f>
        <v/>
      </c>
      <c r="I752" s="19">
        <f>AND(G752="Service A",H752="Band 3")</f>
        <v/>
      </c>
      <c r="J752" s="33">
        <f>IF(AND(YEAR(B752)=2025,G752="Service B",OR(H752="Band 3",H752="Band 5"),ISNUMBER(F752)),F752,"")</f>
        <v/>
      </c>
    </row>
    <row r="753">
      <c r="A753" s="19" t="inlineStr">
        <is>
          <t>User1082</t>
        </is>
      </c>
      <c r="B753" s="60" t="n">
        <v>45931</v>
      </c>
      <c r="C753" s="21" t="n">
        <v>170.2</v>
      </c>
      <c r="D753" s="21" t="n">
        <v>140.5466666666667</v>
      </c>
      <c r="E753" s="21" t="n">
        <v>91.38</v>
      </c>
      <c r="F753" s="27">
        <f>IFERROR(IF(OR(C753="",D753="",C753=0),"",D753/C753),"")</f>
        <v/>
      </c>
      <c r="G753" s="21">
        <f>IFERROR(INDEX(Users!$A$2:$A$310,MATCH(A753,Users!$B$2:$B$310,0)),"")</f>
        <v/>
      </c>
      <c r="H753" s="21">
        <f>IFERROR(INDEX(Users!$D$2:$D$310,MATCH(A753,Users!$B$2:$B$310,0)),"")</f>
        <v/>
      </c>
      <c r="I753" s="19">
        <f>AND(G753="Service A",H753="Band 3")</f>
        <v/>
      </c>
      <c r="J753" s="33">
        <f>IF(AND(YEAR(B753)=2025,G753="Service B",OR(H753="Band 3",H753="Band 5"),ISNUMBER(F753)),F753,"")</f>
        <v/>
      </c>
    </row>
    <row r="754">
      <c r="A754" s="19" t="inlineStr">
        <is>
          <t>User1082</t>
        </is>
      </c>
      <c r="B754" s="60" t="n">
        <v>45962</v>
      </c>
      <c r="C754" s="21" t="n">
        <v>148</v>
      </c>
      <c r="D754" s="21" t="n">
        <v>143.11</v>
      </c>
      <c r="E754" s="21" t="n">
        <v>86.86</v>
      </c>
      <c r="F754" s="27">
        <f>IFERROR(IF(OR(C754="",D754="",C754=0),"",D754/C754),"")</f>
        <v/>
      </c>
      <c r="G754" s="21">
        <f>IFERROR(INDEX(Users!$A$2:$A$310,MATCH(A754,Users!$B$2:$B$310,0)),"")</f>
        <v/>
      </c>
      <c r="H754" s="21">
        <f>IFERROR(INDEX(Users!$D$2:$D$310,MATCH(A754,Users!$B$2:$B$310,0)),"")</f>
        <v/>
      </c>
      <c r="I754" s="19">
        <f>AND(G754="Service A",H754="Band 3")</f>
        <v/>
      </c>
      <c r="J754" s="33">
        <f>IF(AND(YEAR(B754)=2025,G754="Service B",OR(H754="Band 3",H754="Band 5"),ISNUMBER(F754)),F754,"")</f>
        <v/>
      </c>
    </row>
    <row r="755">
      <c r="A755" s="19" t="inlineStr">
        <is>
          <t>User1082</t>
        </is>
      </c>
      <c r="B755" s="60" t="n">
        <v>45992</v>
      </c>
      <c r="C755" s="21" t="n">
        <v>155.4</v>
      </c>
      <c r="D755" s="21" t="n">
        <v>126.2066666666666</v>
      </c>
      <c r="E755" s="21" t="n">
        <v>78.03999999999999</v>
      </c>
      <c r="F755" s="27">
        <f>IFERROR(IF(OR(C755="",D755="",C755=0),"",D755/C755),"")</f>
        <v/>
      </c>
      <c r="G755" s="21">
        <f>IFERROR(INDEX(Users!$A$2:$A$310,MATCH(A755,Users!$B$2:$B$310,0)),"")</f>
        <v/>
      </c>
      <c r="H755" s="21">
        <f>IFERROR(INDEX(Users!$D$2:$D$310,MATCH(A755,Users!$B$2:$B$310,0)),"")</f>
        <v/>
      </c>
      <c r="I755" s="19">
        <f>AND(G755="Service A",H755="Band 3")</f>
        <v/>
      </c>
      <c r="J755" s="33">
        <f>IF(AND(YEAR(B755)=2025,G755="Service B",OR(H755="Band 3",H755="Band 5"),ISNUMBER(F755)),F755,"")</f>
        <v/>
      </c>
    </row>
    <row r="756">
      <c r="A756" s="19" t="inlineStr">
        <is>
          <t>User1082</t>
        </is>
      </c>
      <c r="B756" s="60" t="n">
        <v>46023</v>
      </c>
      <c r="C756" s="21" t="n">
        <v>155.4</v>
      </c>
      <c r="D756" s="21" t="n">
        <v>155.2566666666667</v>
      </c>
      <c r="E756" s="21" t="n">
        <v>90.83999999999999</v>
      </c>
      <c r="F756" s="27">
        <f>IFERROR(IF(OR(C756="",D756="",C756=0),"",D756/C756),"")</f>
        <v/>
      </c>
      <c r="G756" s="21">
        <f>IFERROR(INDEX(Users!$A$2:$A$310,MATCH(A756,Users!$B$2:$B$310,0)),"")</f>
        <v/>
      </c>
      <c r="H756" s="21">
        <f>IFERROR(INDEX(Users!$D$2:$D$310,MATCH(A756,Users!$B$2:$B$310,0)),"")</f>
        <v/>
      </c>
      <c r="I756" s="19">
        <f>AND(G756="Service A",H756="Band 3")</f>
        <v/>
      </c>
      <c r="J756" s="33">
        <f>IF(AND(YEAR(B756)=2025,G756="Service B",OR(H756="Band 3",H756="Band 5"),ISNUMBER(F756)),F756,"")</f>
        <v/>
      </c>
    </row>
    <row r="757">
      <c r="A757" s="19" t="inlineStr">
        <is>
          <t>User1083</t>
        </is>
      </c>
      <c r="B757" s="60" t="n">
        <v>45658</v>
      </c>
      <c r="C757" s="21" t="n">
        <v>166.5</v>
      </c>
      <c r="D757" s="21" t="n">
        <v>142.8366666666667</v>
      </c>
      <c r="E757" s="21" t="n">
        <v>47.92</v>
      </c>
      <c r="F757" s="27">
        <f>IFERROR(IF(OR(C757="",D757="",C757=0),"",D757/C757),"")</f>
        <v/>
      </c>
      <c r="G757" s="21">
        <f>IFERROR(INDEX(Users!$A$2:$A$310,MATCH(A757,Users!$B$2:$B$310,0)),"")</f>
        <v/>
      </c>
      <c r="H757" s="21">
        <f>IFERROR(INDEX(Users!$D$2:$D$310,MATCH(A757,Users!$B$2:$B$310,0)),"")</f>
        <v/>
      </c>
      <c r="I757" s="19">
        <f>AND(G757="Service A",H757="Band 3")</f>
        <v/>
      </c>
      <c r="J757" s="33">
        <f>IF(AND(YEAR(B757)=2025,G757="Service B",OR(H757="Band 3",H757="Band 5"),ISNUMBER(F757)),F757,"")</f>
        <v/>
      </c>
    </row>
    <row r="758">
      <c r="A758" s="19" t="inlineStr">
        <is>
          <t>User1083</t>
        </is>
      </c>
      <c r="B758" s="60" t="n">
        <v>45689</v>
      </c>
      <c r="C758" s="21" t="n">
        <v>148</v>
      </c>
      <c r="D758" s="21" t="n">
        <v>128</v>
      </c>
      <c r="E758" s="21" t="n">
        <v>40.5</v>
      </c>
      <c r="F758" s="27">
        <f>IFERROR(IF(OR(C758="",D758="",C758=0),"",D758/C758),"")</f>
        <v/>
      </c>
      <c r="G758" s="21">
        <f>IFERROR(INDEX(Users!$A$2:$A$310,MATCH(A758,Users!$B$2:$B$310,0)),"")</f>
        <v/>
      </c>
      <c r="H758" s="21">
        <f>IFERROR(INDEX(Users!$D$2:$D$310,MATCH(A758,Users!$B$2:$B$310,0)),"")</f>
        <v/>
      </c>
      <c r="I758" s="19">
        <f>AND(G758="Service A",H758="Band 3")</f>
        <v/>
      </c>
      <c r="J758" s="33">
        <f>IF(AND(YEAR(B758)=2025,G758="Service B",OR(H758="Band 3",H758="Band 5"),ISNUMBER(F758)),F758,"")</f>
        <v/>
      </c>
    </row>
    <row r="759">
      <c r="A759" s="19" t="inlineStr">
        <is>
          <t>User1083</t>
        </is>
      </c>
      <c r="B759" s="60" t="n">
        <v>45717</v>
      </c>
      <c r="C759" s="21" t="n">
        <v>148</v>
      </c>
      <c r="D759" s="21" t="n">
        <v>115.0833333333333</v>
      </c>
      <c r="E759" s="21" t="n">
        <v>66</v>
      </c>
      <c r="F759" s="27">
        <f>IFERROR(IF(OR(C759="",D759="",C759=0),"",D759/C759),"")</f>
        <v/>
      </c>
      <c r="G759" s="21">
        <f>IFERROR(INDEX(Users!$A$2:$A$310,MATCH(A759,Users!$B$2:$B$310,0)),"")</f>
        <v/>
      </c>
      <c r="H759" s="21">
        <f>IFERROR(INDEX(Users!$D$2:$D$310,MATCH(A759,Users!$B$2:$B$310,0)),"")</f>
        <v/>
      </c>
      <c r="I759" s="19">
        <f>AND(G759="Service A",H759="Band 3")</f>
        <v/>
      </c>
      <c r="J759" s="33">
        <f>IF(AND(YEAR(B759)=2025,G759="Service B",OR(H759="Band 3",H759="Band 5"),ISNUMBER(F759)),F759,"")</f>
        <v/>
      </c>
    </row>
    <row r="760">
      <c r="A760" s="19" t="inlineStr">
        <is>
          <t>User1083</t>
        </is>
      </c>
      <c r="B760" s="60" t="n">
        <v>45748</v>
      </c>
      <c r="C760" s="21" t="n">
        <v>157.25</v>
      </c>
      <c r="D760" s="21" t="n"/>
      <c r="E760" s="21" t="n"/>
      <c r="F760" s="27">
        <f>IFERROR(IF(OR(C760="",D760="",C760=0),"",D760/C760),"")</f>
        <v/>
      </c>
      <c r="G760" s="21">
        <f>IFERROR(INDEX(Users!$A$2:$A$310,MATCH(A760,Users!$B$2:$B$310,0)),"")</f>
        <v/>
      </c>
      <c r="H760" s="21">
        <f>IFERROR(INDEX(Users!$D$2:$D$310,MATCH(A760,Users!$B$2:$B$310,0)),"")</f>
        <v/>
      </c>
      <c r="I760" s="19">
        <f>AND(G760="Service A",H760="Band 3")</f>
        <v/>
      </c>
      <c r="J760" s="33">
        <f>IF(AND(YEAR(B760)=2025,G760="Service B",OR(H760="Band 3",H760="Band 5"),ISNUMBER(F760)),F760,"")</f>
        <v/>
      </c>
    </row>
    <row r="761">
      <c r="A761" s="19" t="inlineStr">
        <is>
          <t>User1083</t>
        </is>
      </c>
      <c r="B761" s="60" t="n">
        <v>45778</v>
      </c>
      <c r="C761" s="21" t="n">
        <v>166.5</v>
      </c>
      <c r="D761" s="21" t="n">
        <v>28.75</v>
      </c>
      <c r="E761" s="21" t="n">
        <v>7.5</v>
      </c>
      <c r="F761" s="27">
        <f>IFERROR(IF(OR(C761="",D761="",C761=0),"",D761/C761),"")</f>
        <v/>
      </c>
      <c r="G761" s="21">
        <f>IFERROR(INDEX(Users!$A$2:$A$310,MATCH(A761,Users!$B$2:$B$310,0)),"")</f>
        <v/>
      </c>
      <c r="H761" s="21">
        <f>IFERROR(INDEX(Users!$D$2:$D$310,MATCH(A761,Users!$B$2:$B$310,0)),"")</f>
        <v/>
      </c>
      <c r="I761" s="19">
        <f>AND(G761="Service A",H761="Band 3")</f>
        <v/>
      </c>
      <c r="J761" s="33">
        <f>IF(AND(YEAR(B761)=2025,G761="Service B",OR(H761="Band 3",H761="Band 5"),ISNUMBER(F761)),F761,"")</f>
        <v/>
      </c>
    </row>
    <row r="762">
      <c r="A762" s="19" t="inlineStr">
        <is>
          <t>User1083</t>
        </is>
      </c>
      <c r="B762" s="60" t="n">
        <v>45809</v>
      </c>
      <c r="C762" s="21" t="n">
        <v>148</v>
      </c>
      <c r="D762" s="21" t="n">
        <v>102</v>
      </c>
      <c r="E762" s="21" t="n">
        <v>2.25</v>
      </c>
      <c r="F762" s="27">
        <f>IFERROR(IF(OR(C762="",D762="",C762=0),"",D762/C762),"")</f>
        <v/>
      </c>
      <c r="G762" s="21">
        <f>IFERROR(INDEX(Users!$A$2:$A$310,MATCH(A762,Users!$B$2:$B$310,0)),"")</f>
        <v/>
      </c>
      <c r="H762" s="21">
        <f>IFERROR(INDEX(Users!$D$2:$D$310,MATCH(A762,Users!$B$2:$B$310,0)),"")</f>
        <v/>
      </c>
      <c r="I762" s="19">
        <f>AND(G762="Service A",H762="Band 3")</f>
        <v/>
      </c>
      <c r="J762" s="33">
        <f>IF(AND(YEAR(B762)=2025,G762="Service B",OR(H762="Band 3",H762="Band 5"),ISNUMBER(F762)),F762,"")</f>
        <v/>
      </c>
    </row>
    <row r="763">
      <c r="A763" s="19" t="inlineStr">
        <is>
          <t>User1083</t>
        </is>
      </c>
      <c r="B763" s="60" t="n">
        <v>45839</v>
      </c>
      <c r="C763" s="21" t="n">
        <v>175.75</v>
      </c>
      <c r="D763" s="21" t="n">
        <v>182.25</v>
      </c>
      <c r="E763" s="21" t="n">
        <v>32.75</v>
      </c>
      <c r="F763" s="27">
        <f>IFERROR(IF(OR(C763="",D763="",C763=0),"",D763/C763),"")</f>
        <v/>
      </c>
      <c r="G763" s="21">
        <f>IFERROR(INDEX(Users!$A$2:$A$310,MATCH(A763,Users!$B$2:$B$310,0)),"")</f>
        <v/>
      </c>
      <c r="H763" s="21">
        <f>IFERROR(INDEX(Users!$D$2:$D$310,MATCH(A763,Users!$B$2:$B$310,0)),"")</f>
        <v/>
      </c>
      <c r="I763" s="19">
        <f>AND(G763="Service A",H763="Band 3")</f>
        <v/>
      </c>
      <c r="J763" s="33">
        <f>IF(AND(YEAR(B763)=2025,G763="Service B",OR(H763="Band 3",H763="Band 5"),ISNUMBER(F763)),F763,"")</f>
        <v/>
      </c>
    </row>
    <row r="764">
      <c r="A764" s="19" t="inlineStr">
        <is>
          <t>User1083</t>
        </is>
      </c>
      <c r="B764" s="60" t="n">
        <v>45870</v>
      </c>
      <c r="C764" s="21" t="n">
        <v>157.25</v>
      </c>
      <c r="D764" s="21" t="n">
        <v>117.25</v>
      </c>
      <c r="E764" s="21" t="n">
        <v>57.75</v>
      </c>
      <c r="F764" s="27">
        <f>IFERROR(IF(OR(C764="",D764="",C764=0),"",D764/C764),"")</f>
        <v/>
      </c>
      <c r="G764" s="21">
        <f>IFERROR(INDEX(Users!$A$2:$A$310,MATCH(A764,Users!$B$2:$B$310,0)),"")</f>
        <v/>
      </c>
      <c r="H764" s="21">
        <f>IFERROR(INDEX(Users!$D$2:$D$310,MATCH(A764,Users!$B$2:$B$310,0)),"")</f>
        <v/>
      </c>
      <c r="I764" s="19">
        <f>AND(G764="Service A",H764="Band 3")</f>
        <v/>
      </c>
      <c r="J764" s="33">
        <f>IF(AND(YEAR(B764)=2025,G764="Service B",OR(H764="Band 3",H764="Band 5"),ISNUMBER(F764)),F764,"")</f>
        <v/>
      </c>
    </row>
    <row r="765">
      <c r="A765" s="19" t="inlineStr">
        <is>
          <t>User1083</t>
        </is>
      </c>
      <c r="B765" s="60" t="n">
        <v>45901</v>
      </c>
      <c r="C765" s="21" t="n">
        <v>157.25</v>
      </c>
      <c r="D765" s="21" t="n">
        <v>8</v>
      </c>
      <c r="E765" s="21" t="n"/>
      <c r="F765" s="27">
        <f>IFERROR(IF(OR(C765="",D765="",C765=0),"",D765/C765),"")</f>
        <v/>
      </c>
      <c r="G765" s="21">
        <f>IFERROR(INDEX(Users!$A$2:$A$310,MATCH(A765,Users!$B$2:$B$310,0)),"")</f>
        <v/>
      </c>
      <c r="H765" s="21">
        <f>IFERROR(INDEX(Users!$D$2:$D$310,MATCH(A765,Users!$B$2:$B$310,0)),"")</f>
        <v/>
      </c>
      <c r="I765" s="19">
        <f>AND(G765="Service A",H765="Band 3")</f>
        <v/>
      </c>
      <c r="J765" s="33">
        <f>IF(AND(YEAR(B765)=2025,G765="Service B",OR(H765="Band 3",H765="Band 5"),ISNUMBER(F765)),F765,"")</f>
        <v/>
      </c>
    </row>
    <row r="766">
      <c r="A766" s="19" t="inlineStr">
        <is>
          <t>User1083</t>
        </is>
      </c>
      <c r="B766" s="60" t="n">
        <v>45931</v>
      </c>
      <c r="C766" s="21" t="n">
        <v>175.75</v>
      </c>
      <c r="D766" s="21" t="n">
        <v>167</v>
      </c>
      <c r="E766" s="21" t="n">
        <v>32.25</v>
      </c>
      <c r="F766" s="27">
        <f>IFERROR(IF(OR(C766="",D766="",C766=0),"",D766/C766),"")</f>
        <v/>
      </c>
      <c r="G766" s="21">
        <f>IFERROR(INDEX(Users!$A$2:$A$310,MATCH(A766,Users!$B$2:$B$310,0)),"")</f>
        <v/>
      </c>
      <c r="H766" s="21">
        <f>IFERROR(INDEX(Users!$D$2:$D$310,MATCH(A766,Users!$B$2:$B$310,0)),"")</f>
        <v/>
      </c>
      <c r="I766" s="19">
        <f>AND(G766="Service A",H766="Band 3")</f>
        <v/>
      </c>
      <c r="J766" s="33">
        <f>IF(AND(YEAR(B766)=2025,G766="Service B",OR(H766="Band 3",H766="Band 5"),ISNUMBER(F766)),F766,"")</f>
        <v/>
      </c>
    </row>
    <row r="767">
      <c r="A767" s="19" t="inlineStr">
        <is>
          <t>User1083</t>
        </is>
      </c>
      <c r="B767" s="60" t="n">
        <v>45962</v>
      </c>
      <c r="C767" s="21" t="n">
        <v>148</v>
      </c>
      <c r="D767" s="21" t="n">
        <v>157.5</v>
      </c>
      <c r="E767" s="21" t="n">
        <v>37</v>
      </c>
      <c r="F767" s="27">
        <f>IFERROR(IF(OR(C767="",D767="",C767=0),"",D767/C767),"")</f>
        <v/>
      </c>
      <c r="G767" s="21">
        <f>IFERROR(INDEX(Users!$A$2:$A$310,MATCH(A767,Users!$B$2:$B$310,0)),"")</f>
        <v/>
      </c>
      <c r="H767" s="21">
        <f>IFERROR(INDEX(Users!$D$2:$D$310,MATCH(A767,Users!$B$2:$B$310,0)),"")</f>
        <v/>
      </c>
      <c r="I767" s="19">
        <f>AND(G767="Service A",H767="Band 3")</f>
        <v/>
      </c>
      <c r="J767" s="33">
        <f>IF(AND(YEAR(B767)=2025,G767="Service B",OR(H767="Band 3",H767="Band 5"),ISNUMBER(F767)),F767,"")</f>
        <v/>
      </c>
    </row>
    <row r="768">
      <c r="A768" s="19" t="inlineStr">
        <is>
          <t>User1083</t>
        </is>
      </c>
      <c r="B768" s="60" t="n">
        <v>45992</v>
      </c>
      <c r="C768" s="21" t="n">
        <v>148</v>
      </c>
      <c r="D768" s="21" t="n">
        <v>149.7466666666667</v>
      </c>
      <c r="E768" s="21" t="n">
        <v>28.58</v>
      </c>
      <c r="F768" s="27">
        <f>IFERROR(IF(OR(C768="",D768="",C768=0),"",D768/C768),"")</f>
        <v/>
      </c>
      <c r="G768" s="21">
        <f>IFERROR(INDEX(Users!$A$2:$A$310,MATCH(A768,Users!$B$2:$B$310,0)),"")</f>
        <v/>
      </c>
      <c r="H768" s="21">
        <f>IFERROR(INDEX(Users!$D$2:$D$310,MATCH(A768,Users!$B$2:$B$310,0)),"")</f>
        <v/>
      </c>
      <c r="I768" s="19">
        <f>AND(G768="Service A",H768="Band 3")</f>
        <v/>
      </c>
      <c r="J768" s="33">
        <f>IF(AND(YEAR(B768)=2025,G768="Service B",OR(H768="Band 3",H768="Band 5"),ISNUMBER(F768)),F768,"")</f>
        <v/>
      </c>
    </row>
    <row r="769">
      <c r="A769" s="19" t="inlineStr">
        <is>
          <t>User1083</t>
        </is>
      </c>
      <c r="B769" s="60" t="n">
        <v>46023</v>
      </c>
      <c r="C769" s="21" t="n">
        <v>157.25</v>
      </c>
      <c r="D769" s="21" t="n">
        <v>150.1666666666667</v>
      </c>
      <c r="E769" s="21" t="n">
        <v>29.5</v>
      </c>
      <c r="F769" s="27">
        <f>IFERROR(IF(OR(C769="",D769="",C769=0),"",D769/C769),"")</f>
        <v/>
      </c>
      <c r="G769" s="21">
        <f>IFERROR(INDEX(Users!$A$2:$A$310,MATCH(A769,Users!$B$2:$B$310,0)),"")</f>
        <v/>
      </c>
      <c r="H769" s="21">
        <f>IFERROR(INDEX(Users!$D$2:$D$310,MATCH(A769,Users!$B$2:$B$310,0)),"")</f>
        <v/>
      </c>
      <c r="I769" s="19">
        <f>AND(G769="Service A",H769="Band 3")</f>
        <v/>
      </c>
      <c r="J769" s="33">
        <f>IF(AND(YEAR(B769)=2025,G769="Service B",OR(H769="Band 3",H769="Band 5"),ISNUMBER(F769)),F769,"")</f>
        <v/>
      </c>
    </row>
    <row r="770">
      <c r="A770" s="19" t="inlineStr">
        <is>
          <t>User1084</t>
        </is>
      </c>
      <c r="B770" s="60" t="n">
        <v>45658</v>
      </c>
      <c r="C770" s="21" t="n">
        <v>162.8</v>
      </c>
      <c r="D770" s="21" t="n">
        <v>167.3966666666667</v>
      </c>
      <c r="E770" s="21" t="n">
        <v>121.98</v>
      </c>
      <c r="F770" s="27">
        <f>IFERROR(IF(OR(C770="",D770="",C770=0),"",D770/C770),"")</f>
        <v/>
      </c>
      <c r="G770" s="21">
        <f>IFERROR(INDEX(Users!$A$2:$A$310,MATCH(A770,Users!$B$2:$B$310,0)),"")</f>
        <v/>
      </c>
      <c r="H770" s="21">
        <f>IFERROR(INDEX(Users!$D$2:$D$310,MATCH(A770,Users!$B$2:$B$310,0)),"")</f>
        <v/>
      </c>
      <c r="I770" s="19">
        <f>AND(G770="Service A",H770="Band 3")</f>
        <v/>
      </c>
      <c r="J770" s="33">
        <f>IF(AND(YEAR(B770)=2025,G770="Service B",OR(H770="Band 3",H770="Band 5"),ISNUMBER(F770)),F770,"")</f>
        <v/>
      </c>
    </row>
    <row r="771">
      <c r="A771" s="19" t="inlineStr">
        <is>
          <t>User1084</t>
        </is>
      </c>
      <c r="B771" s="60" t="n">
        <v>45689</v>
      </c>
      <c r="C771" s="21" t="n">
        <v>148</v>
      </c>
      <c r="D771" s="21" t="n">
        <v>135.5066666666667</v>
      </c>
      <c r="E771" s="21" t="n">
        <v>95.09</v>
      </c>
      <c r="F771" s="27">
        <f>IFERROR(IF(OR(C771="",D771="",C771=0),"",D771/C771),"")</f>
        <v/>
      </c>
      <c r="G771" s="21">
        <f>IFERROR(INDEX(Users!$A$2:$A$310,MATCH(A771,Users!$B$2:$B$310,0)),"")</f>
        <v/>
      </c>
      <c r="H771" s="21">
        <f>IFERROR(INDEX(Users!$D$2:$D$310,MATCH(A771,Users!$B$2:$B$310,0)),"")</f>
        <v/>
      </c>
      <c r="I771" s="19">
        <f>AND(G771="Service A",H771="Band 3")</f>
        <v/>
      </c>
      <c r="J771" s="33">
        <f>IF(AND(YEAR(B771)=2025,G771="Service B",OR(H771="Band 3",H771="Band 5"),ISNUMBER(F771)),F771,"")</f>
        <v/>
      </c>
    </row>
    <row r="772">
      <c r="A772" s="19" t="inlineStr">
        <is>
          <t>User1084</t>
        </is>
      </c>
      <c r="B772" s="60" t="n">
        <v>45717</v>
      </c>
      <c r="C772" s="21" t="n">
        <v>155.4</v>
      </c>
      <c r="D772" s="21" t="n">
        <v>124.9166666666667</v>
      </c>
      <c r="E772" s="21" t="n">
        <v>90.83333333333333</v>
      </c>
      <c r="F772" s="27">
        <f>IFERROR(IF(OR(C772="",D772="",C772=0),"",D772/C772),"")</f>
        <v/>
      </c>
      <c r="G772" s="21">
        <f>IFERROR(INDEX(Users!$A$2:$A$310,MATCH(A772,Users!$B$2:$B$310,0)),"")</f>
        <v/>
      </c>
      <c r="H772" s="21">
        <f>IFERROR(INDEX(Users!$D$2:$D$310,MATCH(A772,Users!$B$2:$B$310,0)),"")</f>
        <v/>
      </c>
      <c r="I772" s="19">
        <f>AND(G772="Service A",H772="Band 3")</f>
        <v/>
      </c>
      <c r="J772" s="33">
        <f>IF(AND(YEAR(B772)=2025,G772="Service B",OR(H772="Band 3",H772="Band 5"),ISNUMBER(F772)),F772,"")</f>
        <v/>
      </c>
    </row>
    <row r="773">
      <c r="A773" s="19" t="inlineStr">
        <is>
          <t>User1084</t>
        </is>
      </c>
      <c r="B773" s="60" t="n">
        <v>45748</v>
      </c>
      <c r="C773" s="21" t="n">
        <v>148</v>
      </c>
      <c r="D773" s="21" t="n">
        <v>152.8266666666667</v>
      </c>
      <c r="E773" s="21" t="n">
        <v>100.41</v>
      </c>
      <c r="F773" s="27">
        <f>IFERROR(IF(OR(C773="",D773="",C773=0),"",D773/C773),"")</f>
        <v/>
      </c>
      <c r="G773" s="21">
        <f>IFERROR(INDEX(Users!$A$2:$A$310,MATCH(A773,Users!$B$2:$B$310,0)),"")</f>
        <v/>
      </c>
      <c r="H773" s="21">
        <f>IFERROR(INDEX(Users!$D$2:$D$310,MATCH(A773,Users!$B$2:$B$310,0)),"")</f>
        <v/>
      </c>
      <c r="I773" s="19">
        <f>AND(G773="Service A",H773="Band 3")</f>
        <v/>
      </c>
      <c r="J773" s="33">
        <f>IF(AND(YEAR(B773)=2025,G773="Service B",OR(H773="Band 3",H773="Band 5"),ISNUMBER(F773)),F773,"")</f>
        <v/>
      </c>
    </row>
    <row r="774">
      <c r="A774" s="19" t="inlineStr">
        <is>
          <t>User1084</t>
        </is>
      </c>
      <c r="B774" s="60" t="n">
        <v>45778</v>
      </c>
      <c r="C774" s="21" t="n">
        <v>148</v>
      </c>
      <c r="D774" s="21" t="n">
        <v>133.3466666666667</v>
      </c>
      <c r="E774" s="21" t="n">
        <v>69.34666666666668</v>
      </c>
      <c r="F774" s="27">
        <f>IFERROR(IF(OR(C774="",D774="",C774=0),"",D774/C774),"")</f>
        <v/>
      </c>
      <c r="G774" s="21">
        <f>IFERROR(INDEX(Users!$A$2:$A$310,MATCH(A774,Users!$B$2:$B$310,0)),"")</f>
        <v/>
      </c>
      <c r="H774" s="21">
        <f>IFERROR(INDEX(Users!$D$2:$D$310,MATCH(A774,Users!$B$2:$B$310,0)),"")</f>
        <v/>
      </c>
      <c r="I774" s="19">
        <f>AND(G774="Service A",H774="Band 3")</f>
        <v/>
      </c>
      <c r="J774" s="33">
        <f>IF(AND(YEAR(B774)=2025,G774="Service B",OR(H774="Band 3",H774="Band 5"),ISNUMBER(F774)),F774,"")</f>
        <v/>
      </c>
    </row>
    <row r="775">
      <c r="A775" s="19" t="inlineStr">
        <is>
          <t>User1084</t>
        </is>
      </c>
      <c r="B775" s="60" t="n">
        <v>45809</v>
      </c>
      <c r="C775" s="21" t="n">
        <v>155.4</v>
      </c>
      <c r="D775" s="21" t="n">
        <v>132.4066666666667</v>
      </c>
      <c r="E775" s="21" t="n">
        <v>78.49000000000001</v>
      </c>
      <c r="F775" s="27">
        <f>IFERROR(IF(OR(C775="",D775="",C775=0),"",D775/C775),"")</f>
        <v/>
      </c>
      <c r="G775" s="21">
        <f>IFERROR(INDEX(Users!$A$2:$A$310,MATCH(A775,Users!$B$2:$B$310,0)),"")</f>
        <v/>
      </c>
      <c r="H775" s="21">
        <f>IFERROR(INDEX(Users!$D$2:$D$310,MATCH(A775,Users!$B$2:$B$310,0)),"")</f>
        <v/>
      </c>
      <c r="I775" s="19">
        <f>AND(G775="Service A",H775="Band 3")</f>
        <v/>
      </c>
      <c r="J775" s="33">
        <f>IF(AND(YEAR(B775)=2025,G775="Service B",OR(H775="Band 3",H775="Band 5"),ISNUMBER(F775)),F775,"")</f>
        <v/>
      </c>
    </row>
    <row r="776">
      <c r="A776" s="19" t="inlineStr">
        <is>
          <t>User1084</t>
        </is>
      </c>
      <c r="B776" s="60" t="n">
        <v>45839</v>
      </c>
      <c r="C776" s="21" t="n">
        <v>170.2</v>
      </c>
      <c r="D776" s="21" t="n">
        <v>119.5033333333333</v>
      </c>
      <c r="E776" s="21" t="n">
        <v>63.25333333333333</v>
      </c>
      <c r="F776" s="27">
        <f>IFERROR(IF(OR(C776="",D776="",C776=0),"",D776/C776),"")</f>
        <v/>
      </c>
      <c r="G776" s="21">
        <f>IFERROR(INDEX(Users!$A$2:$A$310,MATCH(A776,Users!$B$2:$B$310,0)),"")</f>
        <v/>
      </c>
      <c r="H776" s="21">
        <f>IFERROR(INDEX(Users!$D$2:$D$310,MATCH(A776,Users!$B$2:$B$310,0)),"")</f>
        <v/>
      </c>
      <c r="I776" s="19">
        <f>AND(G776="Service A",H776="Band 3")</f>
        <v/>
      </c>
      <c r="J776" s="33">
        <f>IF(AND(YEAR(B776)=2025,G776="Service B",OR(H776="Band 3",H776="Band 5"),ISNUMBER(F776)),F776,"")</f>
        <v/>
      </c>
    </row>
    <row r="777">
      <c r="A777" s="19" t="inlineStr">
        <is>
          <t>User1084</t>
        </is>
      </c>
      <c r="B777" s="60" t="n">
        <v>45870</v>
      </c>
      <c r="C777" s="21" t="n">
        <v>148</v>
      </c>
      <c r="D777" s="21" t="n">
        <v>90.41333333333333</v>
      </c>
      <c r="E777" s="21" t="n">
        <v>65.24666666666667</v>
      </c>
      <c r="F777" s="27">
        <f>IFERROR(IF(OR(C777="",D777="",C777=0),"",D777/C777),"")</f>
        <v/>
      </c>
      <c r="G777" s="21">
        <f>IFERROR(INDEX(Users!$A$2:$A$310,MATCH(A777,Users!$B$2:$B$310,0)),"")</f>
        <v/>
      </c>
      <c r="H777" s="21">
        <f>IFERROR(INDEX(Users!$D$2:$D$310,MATCH(A777,Users!$B$2:$B$310,0)),"")</f>
        <v/>
      </c>
      <c r="I777" s="19">
        <f>AND(G777="Service A",H777="Band 3")</f>
        <v/>
      </c>
      <c r="J777" s="33">
        <f>IF(AND(YEAR(B777)=2025,G777="Service B",OR(H777="Band 3",H777="Band 5"),ISNUMBER(F777)),F777,"")</f>
        <v/>
      </c>
    </row>
    <row r="778">
      <c r="A778" s="19" t="inlineStr">
        <is>
          <t>User1084</t>
        </is>
      </c>
      <c r="B778" s="60" t="n">
        <v>45901</v>
      </c>
      <c r="C778" s="21" t="n">
        <v>162.8</v>
      </c>
      <c r="D778" s="21" t="n">
        <v>168.1666666666666</v>
      </c>
      <c r="E778" s="21" t="n">
        <v>90.25</v>
      </c>
      <c r="F778" s="27">
        <f>IFERROR(IF(OR(C778="",D778="",C778=0),"",D778/C778),"")</f>
        <v/>
      </c>
      <c r="G778" s="21">
        <f>IFERROR(INDEX(Users!$A$2:$A$310,MATCH(A778,Users!$B$2:$B$310,0)),"")</f>
        <v/>
      </c>
      <c r="H778" s="21">
        <f>IFERROR(INDEX(Users!$D$2:$D$310,MATCH(A778,Users!$B$2:$B$310,0)),"")</f>
        <v/>
      </c>
      <c r="I778" s="19">
        <f>AND(G778="Service A",H778="Band 3")</f>
        <v/>
      </c>
      <c r="J778" s="33">
        <f>IF(AND(YEAR(B778)=2025,G778="Service B",OR(H778="Band 3",H778="Band 5"),ISNUMBER(F778)),F778,"")</f>
        <v/>
      </c>
    </row>
    <row r="779">
      <c r="A779" s="19" t="inlineStr">
        <is>
          <t>User1084</t>
        </is>
      </c>
      <c r="B779" s="60" t="n">
        <v>45931</v>
      </c>
      <c r="C779" s="21" t="n">
        <v>170.2</v>
      </c>
      <c r="D779" s="21" t="n">
        <v>131.08</v>
      </c>
      <c r="E779" s="21" t="n">
        <v>90.08</v>
      </c>
      <c r="F779" s="27">
        <f>IFERROR(IF(OR(C779="",D779="",C779=0),"",D779/C779),"")</f>
        <v/>
      </c>
      <c r="G779" s="21">
        <f>IFERROR(INDEX(Users!$A$2:$A$310,MATCH(A779,Users!$B$2:$B$310,0)),"")</f>
        <v/>
      </c>
      <c r="H779" s="21">
        <f>IFERROR(INDEX(Users!$D$2:$D$310,MATCH(A779,Users!$B$2:$B$310,0)),"")</f>
        <v/>
      </c>
      <c r="I779" s="19">
        <f>AND(G779="Service A",H779="Band 3")</f>
        <v/>
      </c>
      <c r="J779" s="33">
        <f>IF(AND(YEAR(B779)=2025,G779="Service B",OR(H779="Band 3",H779="Band 5"),ISNUMBER(F779)),F779,"")</f>
        <v/>
      </c>
    </row>
    <row r="780">
      <c r="A780" s="19" t="inlineStr">
        <is>
          <t>User1084</t>
        </is>
      </c>
      <c r="B780" s="60" t="n">
        <v>45962</v>
      </c>
      <c r="C780" s="21" t="n">
        <v>148</v>
      </c>
      <c r="D780" s="21" t="n">
        <v>145.4166666666667</v>
      </c>
      <c r="E780" s="21" t="n">
        <v>95.25</v>
      </c>
      <c r="F780" s="27">
        <f>IFERROR(IF(OR(C780="",D780="",C780=0),"",D780/C780),"")</f>
        <v/>
      </c>
      <c r="G780" s="21">
        <f>IFERROR(INDEX(Users!$A$2:$A$310,MATCH(A780,Users!$B$2:$B$310,0)),"")</f>
        <v/>
      </c>
      <c r="H780" s="21">
        <f>IFERROR(INDEX(Users!$D$2:$D$310,MATCH(A780,Users!$B$2:$B$310,0)),"")</f>
        <v/>
      </c>
      <c r="I780" s="19">
        <f>AND(G780="Service A",H780="Band 3")</f>
        <v/>
      </c>
      <c r="J780" s="33">
        <f>IF(AND(YEAR(B780)=2025,G780="Service B",OR(H780="Band 3",H780="Band 5"),ISNUMBER(F780)),F780,"")</f>
        <v/>
      </c>
    </row>
    <row r="781">
      <c r="A781" s="19" t="inlineStr">
        <is>
          <t>User1084</t>
        </is>
      </c>
      <c r="B781" s="60" t="n">
        <v>45992</v>
      </c>
      <c r="C781" s="21" t="n">
        <v>155.4</v>
      </c>
      <c r="D781" s="21" t="n">
        <v>82.92</v>
      </c>
      <c r="E781" s="21" t="n">
        <v>48.17</v>
      </c>
      <c r="F781" s="27">
        <f>IFERROR(IF(OR(C781="",D781="",C781=0),"",D781/C781),"")</f>
        <v/>
      </c>
      <c r="G781" s="21">
        <f>IFERROR(INDEX(Users!$A$2:$A$310,MATCH(A781,Users!$B$2:$B$310,0)),"")</f>
        <v/>
      </c>
      <c r="H781" s="21">
        <f>IFERROR(INDEX(Users!$D$2:$D$310,MATCH(A781,Users!$B$2:$B$310,0)),"")</f>
        <v/>
      </c>
      <c r="I781" s="19">
        <f>AND(G781="Service A",H781="Band 3")</f>
        <v/>
      </c>
      <c r="J781" s="33">
        <f>IF(AND(YEAR(B781)=2025,G781="Service B",OR(H781="Band 3",H781="Band 5"),ISNUMBER(F781)),F781,"")</f>
        <v/>
      </c>
    </row>
    <row r="782">
      <c r="A782" s="19" t="inlineStr">
        <is>
          <t>User1084</t>
        </is>
      </c>
      <c r="B782" s="60" t="n">
        <v>46023</v>
      </c>
      <c r="C782" s="21" t="n">
        <v>155.4</v>
      </c>
      <c r="D782" s="21" t="n">
        <v>142.8233333333334</v>
      </c>
      <c r="E782" s="21" t="n">
        <v>89.49000000000001</v>
      </c>
      <c r="F782" s="27">
        <f>IFERROR(IF(OR(C782="",D782="",C782=0),"",D782/C782),"")</f>
        <v/>
      </c>
      <c r="G782" s="21">
        <f>IFERROR(INDEX(Users!$A$2:$A$310,MATCH(A782,Users!$B$2:$B$310,0)),"")</f>
        <v/>
      </c>
      <c r="H782" s="21">
        <f>IFERROR(INDEX(Users!$D$2:$D$310,MATCH(A782,Users!$B$2:$B$310,0)),"")</f>
        <v/>
      </c>
      <c r="I782" s="19">
        <f>AND(G782="Service A",H782="Band 3")</f>
        <v/>
      </c>
      <c r="J782" s="33">
        <f>IF(AND(YEAR(B782)=2025,G782="Service B",OR(H782="Band 3",H782="Band 5"),ISNUMBER(F782)),F782,"")</f>
        <v/>
      </c>
    </row>
    <row r="783">
      <c r="A783" s="19" t="inlineStr">
        <is>
          <t>User1085</t>
        </is>
      </c>
      <c r="B783" s="60" t="n">
        <v>45717</v>
      </c>
      <c r="C783" s="21" t="n">
        <v>44.40000000000001</v>
      </c>
      <c r="D783" s="21" t="n">
        <v>44.47</v>
      </c>
      <c r="E783" s="21" t="n">
        <v>5.77</v>
      </c>
      <c r="F783" s="27">
        <f>IFERROR(IF(OR(C783="",D783="",C783=0),"",D783/C783),"")</f>
        <v/>
      </c>
      <c r="G783" s="21">
        <f>IFERROR(INDEX(Users!$A$2:$A$310,MATCH(A783,Users!$B$2:$B$310,0)),"")</f>
        <v/>
      </c>
      <c r="H783" s="21">
        <f>IFERROR(INDEX(Users!$D$2:$D$310,MATCH(A783,Users!$B$2:$B$310,0)),"")</f>
        <v/>
      </c>
      <c r="I783" s="19">
        <f>AND(G783="Service A",H783="Band 3")</f>
        <v/>
      </c>
      <c r="J783" s="33">
        <f>IF(AND(YEAR(B783)=2025,G783="Service B",OR(H783="Band 3",H783="Band 5"),ISNUMBER(F783)),F783,"")</f>
        <v/>
      </c>
    </row>
    <row r="784">
      <c r="A784" s="19" t="inlineStr">
        <is>
          <t>User1085</t>
        </is>
      </c>
      <c r="B784" s="60" t="n">
        <v>45748</v>
      </c>
      <c r="C784" s="21" t="n">
        <v>148</v>
      </c>
      <c r="D784" s="21" t="n">
        <v>141.51</v>
      </c>
      <c r="E784" s="21" t="n">
        <v>51.76000000000001</v>
      </c>
      <c r="F784" s="27">
        <f>IFERROR(IF(OR(C784="",D784="",C784=0),"",D784/C784),"")</f>
        <v/>
      </c>
      <c r="G784" s="21">
        <f>IFERROR(INDEX(Users!$A$2:$A$310,MATCH(A784,Users!$B$2:$B$310,0)),"")</f>
        <v/>
      </c>
      <c r="H784" s="21">
        <f>IFERROR(INDEX(Users!$D$2:$D$310,MATCH(A784,Users!$B$2:$B$310,0)),"")</f>
        <v/>
      </c>
      <c r="I784" s="19">
        <f>AND(G784="Service A",H784="Band 3")</f>
        <v/>
      </c>
      <c r="J784" s="33">
        <f>IF(AND(YEAR(B784)=2025,G784="Service B",OR(H784="Band 3",H784="Band 5"),ISNUMBER(F784)),F784,"")</f>
        <v/>
      </c>
    </row>
    <row r="785">
      <c r="A785" s="19" t="inlineStr">
        <is>
          <t>User1085</t>
        </is>
      </c>
      <c r="B785" s="60" t="n">
        <v>45778</v>
      </c>
      <c r="C785" s="21" t="n">
        <v>148</v>
      </c>
      <c r="D785" s="21" t="n">
        <v>146.55</v>
      </c>
      <c r="E785" s="21" t="n">
        <v>48.80000000000002</v>
      </c>
      <c r="F785" s="27">
        <f>IFERROR(IF(OR(C785="",D785="",C785=0),"",D785/C785),"")</f>
        <v/>
      </c>
      <c r="G785" s="21">
        <f>IFERROR(INDEX(Users!$A$2:$A$310,MATCH(A785,Users!$B$2:$B$310,0)),"")</f>
        <v/>
      </c>
      <c r="H785" s="21">
        <f>IFERROR(INDEX(Users!$D$2:$D$310,MATCH(A785,Users!$B$2:$B$310,0)),"")</f>
        <v/>
      </c>
      <c r="I785" s="19">
        <f>AND(G785="Service A",H785="Band 3")</f>
        <v/>
      </c>
      <c r="J785" s="33">
        <f>IF(AND(YEAR(B785)=2025,G785="Service B",OR(H785="Band 3",H785="Band 5"),ISNUMBER(F785)),F785,"")</f>
        <v/>
      </c>
    </row>
    <row r="786">
      <c r="A786" s="19" t="inlineStr">
        <is>
          <t>User1085</t>
        </is>
      </c>
      <c r="B786" s="60" t="n">
        <v>45809</v>
      </c>
      <c r="C786" s="21" t="n">
        <v>155.4</v>
      </c>
      <c r="D786" s="21" t="n">
        <v>151.7500000000001</v>
      </c>
      <c r="E786" s="21" t="n">
        <v>54.75000000000006</v>
      </c>
      <c r="F786" s="27">
        <f>IFERROR(IF(OR(C786="",D786="",C786=0),"",D786/C786),"")</f>
        <v/>
      </c>
      <c r="G786" s="21">
        <f>IFERROR(INDEX(Users!$A$2:$A$310,MATCH(A786,Users!$B$2:$B$310,0)),"")</f>
        <v/>
      </c>
      <c r="H786" s="21">
        <f>IFERROR(INDEX(Users!$D$2:$D$310,MATCH(A786,Users!$B$2:$B$310,0)),"")</f>
        <v/>
      </c>
      <c r="I786" s="19">
        <f>AND(G786="Service A",H786="Band 3")</f>
        <v/>
      </c>
      <c r="J786" s="33">
        <f>IF(AND(YEAR(B786)=2025,G786="Service B",OR(H786="Band 3",H786="Band 5"),ISNUMBER(F786)),F786,"")</f>
        <v/>
      </c>
    </row>
    <row r="787">
      <c r="A787" s="19" t="inlineStr">
        <is>
          <t>User1085</t>
        </is>
      </c>
      <c r="B787" s="60" t="n">
        <v>45839</v>
      </c>
      <c r="C787" s="21" t="n">
        <v>170.2</v>
      </c>
      <c r="D787" s="21" t="n">
        <v>128.3266666666667</v>
      </c>
      <c r="E787" s="21" t="n">
        <v>64.41000000000004</v>
      </c>
      <c r="F787" s="27">
        <f>IFERROR(IF(OR(C787="",D787="",C787=0),"",D787/C787),"")</f>
        <v/>
      </c>
      <c r="G787" s="21">
        <f>IFERROR(INDEX(Users!$A$2:$A$310,MATCH(A787,Users!$B$2:$B$310,0)),"")</f>
        <v/>
      </c>
      <c r="H787" s="21">
        <f>IFERROR(INDEX(Users!$D$2:$D$310,MATCH(A787,Users!$B$2:$B$310,0)),"")</f>
        <v/>
      </c>
      <c r="I787" s="19">
        <f>AND(G787="Service A",H787="Band 3")</f>
        <v/>
      </c>
      <c r="J787" s="33">
        <f>IF(AND(YEAR(B787)=2025,G787="Service B",OR(H787="Band 3",H787="Band 5"),ISNUMBER(F787)),F787,"")</f>
        <v/>
      </c>
    </row>
    <row r="788">
      <c r="A788" s="19" t="inlineStr">
        <is>
          <t>User1085</t>
        </is>
      </c>
      <c r="B788" s="60" t="n">
        <v>45870</v>
      </c>
      <c r="C788" s="21" t="n">
        <v>148</v>
      </c>
      <c r="D788" s="21" t="n">
        <v>146.4633333333333</v>
      </c>
      <c r="E788" s="21" t="n">
        <v>89.37999999999995</v>
      </c>
      <c r="F788" s="27">
        <f>IFERROR(IF(OR(C788="",D788="",C788=0),"",D788/C788),"")</f>
        <v/>
      </c>
      <c r="G788" s="21">
        <f>IFERROR(INDEX(Users!$A$2:$A$310,MATCH(A788,Users!$B$2:$B$310,0)),"")</f>
        <v/>
      </c>
      <c r="H788" s="21">
        <f>IFERROR(INDEX(Users!$D$2:$D$310,MATCH(A788,Users!$B$2:$B$310,0)),"")</f>
        <v/>
      </c>
      <c r="I788" s="19">
        <f>AND(G788="Service A",H788="Band 3")</f>
        <v/>
      </c>
      <c r="J788" s="33">
        <f>IF(AND(YEAR(B788)=2025,G788="Service B",OR(H788="Band 3",H788="Band 5"),ISNUMBER(F788)),F788,"")</f>
        <v/>
      </c>
    </row>
    <row r="789">
      <c r="A789" s="19" t="inlineStr">
        <is>
          <t>User1085</t>
        </is>
      </c>
      <c r="B789" s="60" t="n">
        <v>45901</v>
      </c>
      <c r="C789" s="21" t="n">
        <v>162.8</v>
      </c>
      <c r="D789" s="21" t="n">
        <v>129.01</v>
      </c>
      <c r="E789" s="21" t="n">
        <v>83.31000000000003</v>
      </c>
      <c r="F789" s="27">
        <f>IFERROR(IF(OR(C789="",D789="",C789=0),"",D789/C789),"")</f>
        <v/>
      </c>
      <c r="G789" s="21">
        <f>IFERROR(INDEX(Users!$A$2:$A$310,MATCH(A789,Users!$B$2:$B$310,0)),"")</f>
        <v/>
      </c>
      <c r="H789" s="21">
        <f>IFERROR(INDEX(Users!$D$2:$D$310,MATCH(A789,Users!$B$2:$B$310,0)),"")</f>
        <v/>
      </c>
      <c r="I789" s="19">
        <f>AND(G789="Service A",H789="Band 3")</f>
        <v/>
      </c>
      <c r="J789" s="33">
        <f>IF(AND(YEAR(B789)=2025,G789="Service B",OR(H789="Band 3",H789="Band 5"),ISNUMBER(F789)),F789,"")</f>
        <v/>
      </c>
    </row>
    <row r="790">
      <c r="A790" s="19" t="inlineStr">
        <is>
          <t>User1085</t>
        </is>
      </c>
      <c r="B790" s="60" t="n">
        <v>45931</v>
      </c>
      <c r="C790" s="21" t="n">
        <v>170.2</v>
      </c>
      <c r="D790" s="21" t="n">
        <v>150.7966666666667</v>
      </c>
      <c r="E790" s="21" t="n">
        <v>97.58</v>
      </c>
      <c r="F790" s="27">
        <f>IFERROR(IF(OR(C790="",D790="",C790=0),"",D790/C790),"")</f>
        <v/>
      </c>
      <c r="G790" s="21">
        <f>IFERROR(INDEX(Users!$A$2:$A$310,MATCH(A790,Users!$B$2:$B$310,0)),"")</f>
        <v/>
      </c>
      <c r="H790" s="21">
        <f>IFERROR(INDEX(Users!$D$2:$D$310,MATCH(A790,Users!$B$2:$B$310,0)),"")</f>
        <v/>
      </c>
      <c r="I790" s="19">
        <f>AND(G790="Service A",H790="Band 3")</f>
        <v/>
      </c>
      <c r="J790" s="33">
        <f>IF(AND(YEAR(B790)=2025,G790="Service B",OR(H790="Band 3",H790="Band 5"),ISNUMBER(F790)),F790,"")</f>
        <v/>
      </c>
    </row>
    <row r="791">
      <c r="A791" s="19" t="inlineStr">
        <is>
          <t>User1085</t>
        </is>
      </c>
      <c r="B791" s="60" t="n">
        <v>45962</v>
      </c>
      <c r="C791" s="21" t="n">
        <v>148</v>
      </c>
      <c r="D791" s="21" t="n">
        <v>151.3233333333334</v>
      </c>
      <c r="E791" s="21" t="n">
        <v>104.94</v>
      </c>
      <c r="F791" s="27">
        <f>IFERROR(IF(OR(C791="",D791="",C791=0),"",D791/C791),"")</f>
        <v/>
      </c>
      <c r="G791" s="21">
        <f>IFERROR(INDEX(Users!$A$2:$A$310,MATCH(A791,Users!$B$2:$B$310,0)),"")</f>
        <v/>
      </c>
      <c r="H791" s="21">
        <f>IFERROR(INDEX(Users!$D$2:$D$310,MATCH(A791,Users!$B$2:$B$310,0)),"")</f>
        <v/>
      </c>
      <c r="I791" s="19">
        <f>AND(G791="Service A",H791="Band 3")</f>
        <v/>
      </c>
      <c r="J791" s="33">
        <f>IF(AND(YEAR(B791)=2025,G791="Service B",OR(H791="Band 3",H791="Band 5"),ISNUMBER(F791)),F791,"")</f>
        <v/>
      </c>
    </row>
    <row r="792">
      <c r="A792" s="19" t="inlineStr">
        <is>
          <t>User1085</t>
        </is>
      </c>
      <c r="B792" s="60" t="n">
        <v>45992</v>
      </c>
      <c r="C792" s="21" t="n">
        <v>155.4</v>
      </c>
      <c r="D792" s="21" t="n">
        <v>101.1966666666667</v>
      </c>
      <c r="E792" s="21" t="n">
        <v>70.53000000000003</v>
      </c>
      <c r="F792" s="27">
        <f>IFERROR(IF(OR(C792="",D792="",C792=0),"",D792/C792),"")</f>
        <v/>
      </c>
      <c r="G792" s="21">
        <f>IFERROR(INDEX(Users!$A$2:$A$310,MATCH(A792,Users!$B$2:$B$310,0)),"")</f>
        <v/>
      </c>
      <c r="H792" s="21">
        <f>IFERROR(INDEX(Users!$D$2:$D$310,MATCH(A792,Users!$B$2:$B$310,0)),"")</f>
        <v/>
      </c>
      <c r="I792" s="19">
        <f>AND(G792="Service A",H792="Band 3")</f>
        <v/>
      </c>
      <c r="J792" s="33">
        <f>IF(AND(YEAR(B792)=2025,G792="Service B",OR(H792="Band 3",H792="Band 5"),ISNUMBER(F792)),F792,"")</f>
        <v/>
      </c>
    </row>
    <row r="793">
      <c r="A793" s="19" t="inlineStr">
        <is>
          <t>User1085</t>
        </is>
      </c>
      <c r="B793" s="60" t="n">
        <v>46023</v>
      </c>
      <c r="C793" s="21" t="n">
        <v>155.4</v>
      </c>
      <c r="D793" s="21" t="n">
        <v>148.7466666666666</v>
      </c>
      <c r="E793" s="21" t="n">
        <v>86.92999999999998</v>
      </c>
      <c r="F793" s="27">
        <f>IFERROR(IF(OR(C793="",D793="",C793=0),"",D793/C793),"")</f>
        <v/>
      </c>
      <c r="G793" s="21">
        <f>IFERROR(INDEX(Users!$A$2:$A$310,MATCH(A793,Users!$B$2:$B$310,0)),"")</f>
        <v/>
      </c>
      <c r="H793" s="21">
        <f>IFERROR(INDEX(Users!$D$2:$D$310,MATCH(A793,Users!$B$2:$B$310,0)),"")</f>
        <v/>
      </c>
      <c r="I793" s="19">
        <f>AND(G793="Service A",H793="Band 3")</f>
        <v/>
      </c>
      <c r="J793" s="33">
        <f>IF(AND(YEAR(B793)=2025,G793="Service B",OR(H793="Band 3",H793="Band 5"),ISNUMBER(F793)),F793,"")</f>
        <v/>
      </c>
    </row>
    <row r="794">
      <c r="A794" s="19" t="inlineStr">
        <is>
          <t>User1086</t>
        </is>
      </c>
      <c r="B794" s="60" t="n">
        <v>45658</v>
      </c>
      <c r="C794" s="21" t="n">
        <v>162.8</v>
      </c>
      <c r="D794" s="21" t="n">
        <v>89.59666666666666</v>
      </c>
      <c r="E794" s="21" t="n">
        <v>61.84666666666667</v>
      </c>
      <c r="F794" s="27">
        <f>IFERROR(IF(OR(C794="",D794="",C794=0),"",D794/C794),"")</f>
        <v/>
      </c>
      <c r="G794" s="21">
        <f>IFERROR(INDEX(Users!$A$2:$A$310,MATCH(A794,Users!$B$2:$B$310,0)),"")</f>
        <v/>
      </c>
      <c r="H794" s="21">
        <f>IFERROR(INDEX(Users!$D$2:$D$310,MATCH(A794,Users!$B$2:$B$310,0)),"")</f>
        <v/>
      </c>
      <c r="I794" s="19">
        <f>AND(G794="Service A",H794="Band 3")</f>
        <v/>
      </c>
      <c r="J794" s="33">
        <f>IF(AND(YEAR(B794)=2025,G794="Service B",OR(H794="Band 3",H794="Band 5"),ISNUMBER(F794)),F794,"")</f>
        <v/>
      </c>
    </row>
    <row r="795">
      <c r="A795" s="19" t="inlineStr">
        <is>
          <t>User1086</t>
        </is>
      </c>
      <c r="B795" s="60" t="n">
        <v>45689</v>
      </c>
      <c r="C795" s="21" t="n">
        <v>148</v>
      </c>
      <c r="D795" s="21" t="n">
        <v>148.7966666666667</v>
      </c>
      <c r="E795" s="21" t="n">
        <v>91.88</v>
      </c>
      <c r="F795" s="27">
        <f>IFERROR(IF(OR(C795="",D795="",C795=0),"",D795/C795),"")</f>
        <v/>
      </c>
      <c r="G795" s="21">
        <f>IFERROR(INDEX(Users!$A$2:$A$310,MATCH(A795,Users!$B$2:$B$310,0)),"")</f>
        <v/>
      </c>
      <c r="H795" s="21">
        <f>IFERROR(INDEX(Users!$D$2:$D$310,MATCH(A795,Users!$B$2:$B$310,0)),"")</f>
        <v/>
      </c>
      <c r="I795" s="19">
        <f>AND(G795="Service A",H795="Band 3")</f>
        <v/>
      </c>
      <c r="J795" s="33">
        <f>IF(AND(YEAR(B795)=2025,G795="Service B",OR(H795="Band 3",H795="Band 5"),ISNUMBER(F795)),F795,"")</f>
        <v/>
      </c>
    </row>
    <row r="796">
      <c r="A796" s="19" t="inlineStr">
        <is>
          <t>User1086</t>
        </is>
      </c>
      <c r="B796" s="60" t="n">
        <v>45717</v>
      </c>
      <c r="C796" s="21" t="n">
        <v>155.4</v>
      </c>
      <c r="D796" s="21" t="n">
        <v>144.2766666666667</v>
      </c>
      <c r="E796" s="21" t="n">
        <v>93.36000000000001</v>
      </c>
      <c r="F796" s="27">
        <f>IFERROR(IF(OR(C796="",D796="",C796=0),"",D796/C796),"")</f>
        <v/>
      </c>
      <c r="G796" s="21">
        <f>IFERROR(INDEX(Users!$A$2:$A$310,MATCH(A796,Users!$B$2:$B$310,0)),"")</f>
        <v/>
      </c>
      <c r="H796" s="21">
        <f>IFERROR(INDEX(Users!$D$2:$D$310,MATCH(A796,Users!$B$2:$B$310,0)),"")</f>
        <v/>
      </c>
      <c r="I796" s="19">
        <f>AND(G796="Service A",H796="Band 3")</f>
        <v/>
      </c>
      <c r="J796" s="33">
        <f>IF(AND(YEAR(B796)=2025,G796="Service B",OR(H796="Band 3",H796="Band 5"),ISNUMBER(F796)),F796,"")</f>
        <v/>
      </c>
    </row>
    <row r="797">
      <c r="A797" s="19" t="inlineStr">
        <is>
          <t>User1086</t>
        </is>
      </c>
      <c r="B797" s="60" t="n">
        <v>45748</v>
      </c>
      <c r="C797" s="21" t="n">
        <v>148</v>
      </c>
      <c r="D797" s="21" t="n">
        <v>109.68</v>
      </c>
      <c r="E797" s="21" t="n">
        <v>78.42999999999999</v>
      </c>
      <c r="F797" s="27">
        <f>IFERROR(IF(OR(C797="",D797="",C797=0),"",D797/C797),"")</f>
        <v/>
      </c>
      <c r="G797" s="21">
        <f>IFERROR(INDEX(Users!$A$2:$A$310,MATCH(A797,Users!$B$2:$B$310,0)),"")</f>
        <v/>
      </c>
      <c r="H797" s="21">
        <f>IFERROR(INDEX(Users!$D$2:$D$310,MATCH(A797,Users!$B$2:$B$310,0)),"")</f>
        <v/>
      </c>
      <c r="I797" s="19">
        <f>AND(G797="Service A",H797="Band 3")</f>
        <v/>
      </c>
      <c r="J797" s="33">
        <f>IF(AND(YEAR(B797)=2025,G797="Service B",OR(H797="Band 3",H797="Band 5"),ISNUMBER(F797)),F797,"")</f>
        <v/>
      </c>
    </row>
    <row r="798">
      <c r="A798" s="19" t="inlineStr">
        <is>
          <t>User1086</t>
        </is>
      </c>
      <c r="B798" s="60" t="n">
        <v>45778</v>
      </c>
      <c r="C798" s="21" t="n">
        <v>148</v>
      </c>
      <c r="D798" s="21" t="n">
        <v>103.49</v>
      </c>
      <c r="E798" s="21" t="n">
        <v>51.49</v>
      </c>
      <c r="F798" s="27">
        <f>IFERROR(IF(OR(C798="",D798="",C798=0),"",D798/C798),"")</f>
        <v/>
      </c>
      <c r="G798" s="21">
        <f>IFERROR(INDEX(Users!$A$2:$A$310,MATCH(A798,Users!$B$2:$B$310,0)),"")</f>
        <v/>
      </c>
      <c r="H798" s="21">
        <f>IFERROR(INDEX(Users!$D$2:$D$310,MATCH(A798,Users!$B$2:$B$310,0)),"")</f>
        <v/>
      </c>
      <c r="I798" s="19">
        <f>AND(G798="Service A",H798="Band 3")</f>
        <v/>
      </c>
      <c r="J798" s="33">
        <f>IF(AND(YEAR(B798)=2025,G798="Service B",OR(H798="Band 3",H798="Band 5"),ISNUMBER(F798)),F798,"")</f>
        <v/>
      </c>
    </row>
    <row r="799">
      <c r="A799" s="19" t="inlineStr">
        <is>
          <t>User1086</t>
        </is>
      </c>
      <c r="B799" s="60" t="n">
        <v>45809</v>
      </c>
      <c r="C799" s="21" t="n">
        <v>155.4</v>
      </c>
      <c r="D799" s="21" t="n">
        <v>131.6066666666667</v>
      </c>
      <c r="E799" s="21" t="n">
        <v>87.69</v>
      </c>
      <c r="F799" s="27">
        <f>IFERROR(IF(OR(C799="",D799="",C799=0),"",D799/C799),"")</f>
        <v/>
      </c>
      <c r="G799" s="21">
        <f>IFERROR(INDEX(Users!$A$2:$A$310,MATCH(A799,Users!$B$2:$B$310,0)),"")</f>
        <v/>
      </c>
      <c r="H799" s="21">
        <f>IFERROR(INDEX(Users!$D$2:$D$310,MATCH(A799,Users!$B$2:$B$310,0)),"")</f>
        <v/>
      </c>
      <c r="I799" s="19">
        <f>AND(G799="Service A",H799="Band 3")</f>
        <v/>
      </c>
      <c r="J799" s="33">
        <f>IF(AND(YEAR(B799)=2025,G799="Service B",OR(H799="Band 3",H799="Band 5"),ISNUMBER(F799)),F799,"")</f>
        <v/>
      </c>
    </row>
    <row r="800">
      <c r="A800" s="19" t="inlineStr">
        <is>
          <t>User1086</t>
        </is>
      </c>
      <c r="B800" s="60" t="n">
        <v>45839</v>
      </c>
      <c r="C800" s="21" t="n">
        <v>170.2</v>
      </c>
      <c r="D800" s="21" t="n">
        <v>135.5233333333333</v>
      </c>
      <c r="E800" s="21" t="n">
        <v>102.7733333333333</v>
      </c>
      <c r="F800" s="27">
        <f>IFERROR(IF(OR(C800="",D800="",C800=0),"",D800/C800),"")</f>
        <v/>
      </c>
      <c r="G800" s="21">
        <f>IFERROR(INDEX(Users!$A$2:$A$310,MATCH(A800,Users!$B$2:$B$310,0)),"")</f>
        <v/>
      </c>
      <c r="H800" s="21">
        <f>IFERROR(INDEX(Users!$D$2:$D$310,MATCH(A800,Users!$B$2:$B$310,0)),"")</f>
        <v/>
      </c>
      <c r="I800" s="19">
        <f>AND(G800="Service A",H800="Band 3")</f>
        <v/>
      </c>
      <c r="J800" s="33">
        <f>IF(AND(YEAR(B800)=2025,G800="Service B",OR(H800="Band 3",H800="Band 5"),ISNUMBER(F800)),F800,"")</f>
        <v/>
      </c>
    </row>
    <row r="801">
      <c r="A801" s="19" t="inlineStr">
        <is>
          <t>User1086</t>
        </is>
      </c>
      <c r="B801" s="60" t="n">
        <v>45870</v>
      </c>
      <c r="C801" s="21" t="n">
        <v>148</v>
      </c>
      <c r="D801" s="21" t="n">
        <v>126.2</v>
      </c>
      <c r="E801" s="21" t="n">
        <v>76.36666666666667</v>
      </c>
      <c r="F801" s="27">
        <f>IFERROR(IF(OR(C801="",D801="",C801=0),"",D801/C801),"")</f>
        <v/>
      </c>
      <c r="G801" s="21">
        <f>IFERROR(INDEX(Users!$A$2:$A$310,MATCH(A801,Users!$B$2:$B$310,0)),"")</f>
        <v/>
      </c>
      <c r="H801" s="21">
        <f>IFERROR(INDEX(Users!$D$2:$D$310,MATCH(A801,Users!$B$2:$B$310,0)),"")</f>
        <v/>
      </c>
      <c r="I801" s="19">
        <f>AND(G801="Service A",H801="Band 3")</f>
        <v/>
      </c>
      <c r="J801" s="33">
        <f>IF(AND(YEAR(B801)=2025,G801="Service B",OR(H801="Band 3",H801="Band 5"),ISNUMBER(F801)),F801,"")</f>
        <v/>
      </c>
    </row>
    <row r="802">
      <c r="A802" s="19" t="inlineStr">
        <is>
          <t>User1086</t>
        </is>
      </c>
      <c r="B802" s="60" t="n">
        <v>45901</v>
      </c>
      <c r="C802" s="21" t="n">
        <v>162.8</v>
      </c>
      <c r="D802" s="21" t="n">
        <v>154.4566666666667</v>
      </c>
      <c r="E802" s="21" t="n">
        <v>110.6233333333334</v>
      </c>
      <c r="F802" s="27">
        <f>IFERROR(IF(OR(C802="",D802="",C802=0),"",D802/C802),"")</f>
        <v/>
      </c>
      <c r="G802" s="21">
        <f>IFERROR(INDEX(Users!$A$2:$A$310,MATCH(A802,Users!$B$2:$B$310,0)),"")</f>
        <v/>
      </c>
      <c r="H802" s="21">
        <f>IFERROR(INDEX(Users!$D$2:$D$310,MATCH(A802,Users!$B$2:$B$310,0)),"")</f>
        <v/>
      </c>
      <c r="I802" s="19">
        <f>AND(G802="Service A",H802="Band 3")</f>
        <v/>
      </c>
      <c r="J802" s="33">
        <f>IF(AND(YEAR(B802)=2025,G802="Service B",OR(H802="Band 3",H802="Band 5"),ISNUMBER(F802)),F802,"")</f>
        <v/>
      </c>
    </row>
    <row r="803">
      <c r="A803" s="19" t="inlineStr">
        <is>
          <t>User1086</t>
        </is>
      </c>
      <c r="B803" s="60" t="n">
        <v>45931</v>
      </c>
      <c r="C803" s="21" t="n">
        <v>170.2</v>
      </c>
      <c r="D803" s="21" t="n">
        <v>156.5366666666667</v>
      </c>
      <c r="E803" s="21" t="n">
        <v>89.87</v>
      </c>
      <c r="F803" s="27">
        <f>IFERROR(IF(OR(C803="",D803="",C803=0),"",D803/C803),"")</f>
        <v/>
      </c>
      <c r="G803" s="21">
        <f>IFERROR(INDEX(Users!$A$2:$A$310,MATCH(A803,Users!$B$2:$B$310,0)),"")</f>
        <v/>
      </c>
      <c r="H803" s="21">
        <f>IFERROR(INDEX(Users!$D$2:$D$310,MATCH(A803,Users!$B$2:$B$310,0)),"")</f>
        <v/>
      </c>
      <c r="I803" s="19">
        <f>AND(G803="Service A",H803="Band 3")</f>
        <v/>
      </c>
      <c r="J803" s="33">
        <f>IF(AND(YEAR(B803)=2025,G803="Service B",OR(H803="Band 3",H803="Band 5"),ISNUMBER(F803)),F803,"")</f>
        <v/>
      </c>
    </row>
    <row r="804">
      <c r="A804" s="19" t="inlineStr">
        <is>
          <t>User1086</t>
        </is>
      </c>
      <c r="B804" s="60" t="n">
        <v>45962</v>
      </c>
      <c r="C804" s="21" t="n">
        <v>148</v>
      </c>
      <c r="D804" s="21" t="n">
        <v>102.94</v>
      </c>
      <c r="E804" s="21" t="n">
        <v>45.85666666666667</v>
      </c>
      <c r="F804" s="27">
        <f>IFERROR(IF(OR(C804="",D804="",C804=0),"",D804/C804),"")</f>
        <v/>
      </c>
      <c r="G804" s="21">
        <f>IFERROR(INDEX(Users!$A$2:$A$310,MATCH(A804,Users!$B$2:$B$310,0)),"")</f>
        <v/>
      </c>
      <c r="H804" s="21">
        <f>IFERROR(INDEX(Users!$D$2:$D$310,MATCH(A804,Users!$B$2:$B$310,0)),"")</f>
        <v/>
      </c>
      <c r="I804" s="19">
        <f>AND(G804="Service A",H804="Band 3")</f>
        <v/>
      </c>
      <c r="J804" s="33">
        <f>IF(AND(YEAR(B804)=2025,G804="Service B",OR(H804="Band 3",H804="Band 5"),ISNUMBER(F804)),F804,"")</f>
        <v/>
      </c>
    </row>
    <row r="805">
      <c r="A805" s="19" t="inlineStr">
        <is>
          <t>User1086</t>
        </is>
      </c>
      <c r="B805" s="60" t="n">
        <v>45992</v>
      </c>
      <c r="C805" s="21" t="n">
        <v>155.4</v>
      </c>
      <c r="D805" s="21" t="n">
        <v>172.5333333333334</v>
      </c>
      <c r="E805" s="21" t="n">
        <v>99.70000000000002</v>
      </c>
      <c r="F805" s="27">
        <f>IFERROR(IF(OR(C805="",D805="",C805=0),"",D805/C805),"")</f>
        <v/>
      </c>
      <c r="G805" s="21">
        <f>IFERROR(INDEX(Users!$A$2:$A$310,MATCH(A805,Users!$B$2:$B$310,0)),"")</f>
        <v/>
      </c>
      <c r="H805" s="21">
        <f>IFERROR(INDEX(Users!$D$2:$D$310,MATCH(A805,Users!$B$2:$B$310,0)),"")</f>
        <v/>
      </c>
      <c r="I805" s="19">
        <f>AND(G805="Service A",H805="Band 3")</f>
        <v/>
      </c>
      <c r="J805" s="33">
        <f>IF(AND(YEAR(B805)=2025,G805="Service B",OR(H805="Band 3",H805="Band 5"),ISNUMBER(F805)),F805,"")</f>
        <v/>
      </c>
    </row>
    <row r="806">
      <c r="A806" s="19" t="inlineStr">
        <is>
          <t>User1086</t>
        </is>
      </c>
      <c r="B806" s="60" t="n">
        <v>46023</v>
      </c>
      <c r="C806" s="21" t="n">
        <v>155.4</v>
      </c>
      <c r="D806" s="21" t="n">
        <v>154.62</v>
      </c>
      <c r="E806" s="21" t="n">
        <v>57.12000000000001</v>
      </c>
      <c r="F806" s="27">
        <f>IFERROR(IF(OR(C806="",D806="",C806=0),"",D806/C806),"")</f>
        <v/>
      </c>
      <c r="G806" s="21">
        <f>IFERROR(INDEX(Users!$A$2:$A$310,MATCH(A806,Users!$B$2:$B$310,0)),"")</f>
        <v/>
      </c>
      <c r="H806" s="21">
        <f>IFERROR(INDEX(Users!$D$2:$D$310,MATCH(A806,Users!$B$2:$B$310,0)),"")</f>
        <v/>
      </c>
      <c r="I806" s="19">
        <f>AND(G806="Service A",H806="Band 3")</f>
        <v/>
      </c>
      <c r="J806" s="33">
        <f>IF(AND(YEAR(B806)=2025,G806="Service B",OR(H806="Band 3",H806="Band 5"),ISNUMBER(F806)),F806,"")</f>
        <v/>
      </c>
    </row>
    <row r="807">
      <c r="A807" s="19" t="inlineStr">
        <is>
          <t>User1087</t>
        </is>
      </c>
      <c r="B807" s="60" t="n">
        <v>45658</v>
      </c>
      <c r="C807" s="21" t="n">
        <v>162.8</v>
      </c>
      <c r="D807" s="21" t="n">
        <v>149</v>
      </c>
      <c r="E807" s="21" t="n">
        <v>110</v>
      </c>
      <c r="F807" s="27">
        <f>IFERROR(IF(OR(C807="",D807="",C807=0),"",D807/C807),"")</f>
        <v/>
      </c>
      <c r="G807" s="21">
        <f>IFERROR(INDEX(Users!$A$2:$A$310,MATCH(A807,Users!$B$2:$B$310,0)),"")</f>
        <v/>
      </c>
      <c r="H807" s="21">
        <f>IFERROR(INDEX(Users!$D$2:$D$310,MATCH(A807,Users!$B$2:$B$310,0)),"")</f>
        <v/>
      </c>
      <c r="I807" s="19">
        <f>AND(G807="Service A",H807="Band 3")</f>
        <v/>
      </c>
      <c r="J807" s="33">
        <f>IF(AND(YEAR(B807)=2025,G807="Service B",OR(H807="Band 3",H807="Band 5"),ISNUMBER(F807)),F807,"")</f>
        <v/>
      </c>
    </row>
    <row r="808">
      <c r="A808" s="19" t="inlineStr">
        <is>
          <t>User1087</t>
        </is>
      </c>
      <c r="B808" s="60" t="n">
        <v>45689</v>
      </c>
      <c r="C808" s="21" t="n">
        <v>148</v>
      </c>
      <c r="D808" s="21" t="n">
        <v>143.3</v>
      </c>
      <c r="E808" s="21" t="n">
        <v>81.8</v>
      </c>
      <c r="F808" s="27">
        <f>IFERROR(IF(OR(C808="",D808="",C808=0),"",D808/C808),"")</f>
        <v/>
      </c>
      <c r="G808" s="21">
        <f>IFERROR(INDEX(Users!$A$2:$A$310,MATCH(A808,Users!$B$2:$B$310,0)),"")</f>
        <v/>
      </c>
      <c r="H808" s="21">
        <f>IFERROR(INDEX(Users!$D$2:$D$310,MATCH(A808,Users!$B$2:$B$310,0)),"")</f>
        <v/>
      </c>
      <c r="I808" s="19">
        <f>AND(G808="Service A",H808="Band 3")</f>
        <v/>
      </c>
      <c r="J808" s="33">
        <f>IF(AND(YEAR(B808)=2025,G808="Service B",OR(H808="Band 3",H808="Band 5"),ISNUMBER(F808)),F808,"")</f>
        <v/>
      </c>
    </row>
    <row r="809">
      <c r="A809" s="19" t="inlineStr">
        <is>
          <t>User1087</t>
        </is>
      </c>
      <c r="B809" s="60" t="n">
        <v>45717</v>
      </c>
      <c r="C809" s="21" t="n">
        <v>155.4</v>
      </c>
      <c r="D809" s="21" t="n">
        <v>148</v>
      </c>
      <c r="E809" s="21" t="n">
        <v>104.2</v>
      </c>
      <c r="F809" s="27">
        <f>IFERROR(IF(OR(C809="",D809="",C809=0),"",D809/C809),"")</f>
        <v/>
      </c>
      <c r="G809" s="21">
        <f>IFERROR(INDEX(Users!$A$2:$A$310,MATCH(A809,Users!$B$2:$B$310,0)),"")</f>
        <v/>
      </c>
      <c r="H809" s="21">
        <f>IFERROR(INDEX(Users!$D$2:$D$310,MATCH(A809,Users!$B$2:$B$310,0)),"")</f>
        <v/>
      </c>
      <c r="I809" s="19">
        <f>AND(G809="Service A",H809="Band 3")</f>
        <v/>
      </c>
      <c r="J809" s="33">
        <f>IF(AND(YEAR(B809)=2025,G809="Service B",OR(H809="Band 3",H809="Band 5"),ISNUMBER(F809)),F809,"")</f>
        <v/>
      </c>
    </row>
    <row r="810">
      <c r="A810" s="19" t="inlineStr">
        <is>
          <t>User1087</t>
        </is>
      </c>
      <c r="B810" s="60" t="n">
        <v>45748</v>
      </c>
      <c r="C810" s="21" t="n">
        <v>148</v>
      </c>
      <c r="D810" s="21" t="n">
        <v>138.2166666666666</v>
      </c>
      <c r="E810" s="21" t="n">
        <v>74</v>
      </c>
      <c r="F810" s="27">
        <f>IFERROR(IF(OR(C810="",D810="",C810=0),"",D810/C810),"")</f>
        <v/>
      </c>
      <c r="G810" s="21">
        <f>IFERROR(INDEX(Users!$A$2:$A$310,MATCH(A810,Users!$B$2:$B$310,0)),"")</f>
        <v/>
      </c>
      <c r="H810" s="21">
        <f>IFERROR(INDEX(Users!$D$2:$D$310,MATCH(A810,Users!$B$2:$B$310,0)),"")</f>
        <v/>
      </c>
      <c r="I810" s="19">
        <f>AND(G810="Service A",H810="Band 3")</f>
        <v/>
      </c>
      <c r="J810" s="33">
        <f>IF(AND(YEAR(B810)=2025,G810="Service B",OR(H810="Band 3",H810="Band 5"),ISNUMBER(F810)),F810,"")</f>
        <v/>
      </c>
    </row>
    <row r="811">
      <c r="A811" s="19" t="inlineStr">
        <is>
          <t>User1087</t>
        </is>
      </c>
      <c r="B811" s="60" t="n">
        <v>45778</v>
      </c>
      <c r="C811" s="21" t="n">
        <v>148</v>
      </c>
      <c r="D811" s="21" t="n">
        <v>131.8</v>
      </c>
      <c r="E811" s="21" t="n">
        <v>81</v>
      </c>
      <c r="F811" s="27">
        <f>IFERROR(IF(OR(C811="",D811="",C811=0),"",D811/C811),"")</f>
        <v/>
      </c>
      <c r="G811" s="21">
        <f>IFERROR(INDEX(Users!$A$2:$A$310,MATCH(A811,Users!$B$2:$B$310,0)),"")</f>
        <v/>
      </c>
      <c r="H811" s="21">
        <f>IFERROR(INDEX(Users!$D$2:$D$310,MATCH(A811,Users!$B$2:$B$310,0)),"")</f>
        <v/>
      </c>
      <c r="I811" s="19">
        <f>AND(G811="Service A",H811="Band 3")</f>
        <v/>
      </c>
      <c r="J811" s="33">
        <f>IF(AND(YEAR(B811)=2025,G811="Service B",OR(H811="Band 3",H811="Band 5"),ISNUMBER(F811)),F811,"")</f>
        <v/>
      </c>
    </row>
    <row r="812">
      <c r="A812" s="19" t="inlineStr">
        <is>
          <t>User1087</t>
        </is>
      </c>
      <c r="B812" s="60" t="n">
        <v>45809</v>
      </c>
      <c r="C812" s="21" t="n">
        <v>155.4</v>
      </c>
      <c r="D812" s="21" t="n">
        <v>143</v>
      </c>
      <c r="E812" s="21" t="n">
        <v>78.59999999999999</v>
      </c>
      <c r="F812" s="27">
        <f>IFERROR(IF(OR(C812="",D812="",C812=0),"",D812/C812),"")</f>
        <v/>
      </c>
      <c r="G812" s="21">
        <f>IFERROR(INDEX(Users!$A$2:$A$310,MATCH(A812,Users!$B$2:$B$310,0)),"")</f>
        <v/>
      </c>
      <c r="H812" s="21">
        <f>IFERROR(INDEX(Users!$D$2:$D$310,MATCH(A812,Users!$B$2:$B$310,0)),"")</f>
        <v/>
      </c>
      <c r="I812" s="19">
        <f>AND(G812="Service A",H812="Band 3")</f>
        <v/>
      </c>
      <c r="J812" s="33">
        <f>IF(AND(YEAR(B812)=2025,G812="Service B",OR(H812="Band 3",H812="Band 5"),ISNUMBER(F812)),F812,"")</f>
        <v/>
      </c>
    </row>
    <row r="813">
      <c r="A813" s="19" t="inlineStr">
        <is>
          <t>User1087</t>
        </is>
      </c>
      <c r="B813" s="60" t="n">
        <v>45839</v>
      </c>
      <c r="C813" s="21" t="n">
        <v>170.2</v>
      </c>
      <c r="D813" s="21" t="n">
        <v>168.6</v>
      </c>
      <c r="E813" s="21" t="n">
        <v>97.8</v>
      </c>
      <c r="F813" s="27">
        <f>IFERROR(IF(OR(C813="",D813="",C813=0),"",D813/C813),"")</f>
        <v/>
      </c>
      <c r="G813" s="21">
        <f>IFERROR(INDEX(Users!$A$2:$A$310,MATCH(A813,Users!$B$2:$B$310,0)),"")</f>
        <v/>
      </c>
      <c r="H813" s="21">
        <f>IFERROR(INDEX(Users!$D$2:$D$310,MATCH(A813,Users!$B$2:$B$310,0)),"")</f>
        <v/>
      </c>
      <c r="I813" s="19">
        <f>AND(G813="Service A",H813="Band 3")</f>
        <v/>
      </c>
      <c r="J813" s="33">
        <f>IF(AND(YEAR(B813)=2025,G813="Service B",OR(H813="Band 3",H813="Band 5"),ISNUMBER(F813)),F813,"")</f>
        <v/>
      </c>
    </row>
    <row r="814">
      <c r="A814" s="19" t="inlineStr">
        <is>
          <t>User1087</t>
        </is>
      </c>
      <c r="B814" s="60" t="n">
        <v>45870</v>
      </c>
      <c r="C814" s="21" t="n">
        <v>148</v>
      </c>
      <c r="D814" s="21" t="n">
        <v>138.6</v>
      </c>
      <c r="E814" s="21" t="n">
        <v>66</v>
      </c>
      <c r="F814" s="27">
        <f>IFERROR(IF(OR(C814="",D814="",C814=0),"",D814/C814),"")</f>
        <v/>
      </c>
      <c r="G814" s="21">
        <f>IFERROR(INDEX(Users!$A$2:$A$310,MATCH(A814,Users!$B$2:$B$310,0)),"")</f>
        <v/>
      </c>
      <c r="H814" s="21">
        <f>IFERROR(INDEX(Users!$D$2:$D$310,MATCH(A814,Users!$B$2:$B$310,0)),"")</f>
        <v/>
      </c>
      <c r="I814" s="19">
        <f>AND(G814="Service A",H814="Band 3")</f>
        <v/>
      </c>
      <c r="J814" s="33">
        <f>IF(AND(YEAR(B814)=2025,G814="Service B",OR(H814="Band 3",H814="Band 5"),ISNUMBER(F814)),F814,"")</f>
        <v/>
      </c>
    </row>
    <row r="815">
      <c r="A815" s="19" t="inlineStr">
        <is>
          <t>User1087</t>
        </is>
      </c>
      <c r="B815" s="60" t="n">
        <v>45901</v>
      </c>
      <c r="C815" s="21" t="n">
        <v>162.8</v>
      </c>
      <c r="D815" s="21" t="n">
        <v>147</v>
      </c>
      <c r="E815" s="21" t="n">
        <v>73</v>
      </c>
      <c r="F815" s="27">
        <f>IFERROR(IF(OR(C815="",D815="",C815=0),"",D815/C815),"")</f>
        <v/>
      </c>
      <c r="G815" s="21">
        <f>IFERROR(INDEX(Users!$A$2:$A$310,MATCH(A815,Users!$B$2:$B$310,0)),"")</f>
        <v/>
      </c>
      <c r="H815" s="21">
        <f>IFERROR(INDEX(Users!$D$2:$D$310,MATCH(A815,Users!$B$2:$B$310,0)),"")</f>
        <v/>
      </c>
      <c r="I815" s="19">
        <f>AND(G815="Service A",H815="Band 3")</f>
        <v/>
      </c>
      <c r="J815" s="33">
        <f>IF(AND(YEAR(B815)=2025,G815="Service B",OR(H815="Band 3",H815="Band 5"),ISNUMBER(F815)),F815,"")</f>
        <v/>
      </c>
    </row>
    <row r="816">
      <c r="A816" s="19" t="inlineStr">
        <is>
          <t>User1087</t>
        </is>
      </c>
      <c r="B816" s="60" t="n">
        <v>45931</v>
      </c>
      <c r="C816" s="21" t="n">
        <v>170.2</v>
      </c>
      <c r="D816" s="21" t="n">
        <v>154.8</v>
      </c>
      <c r="E816" s="21" t="n">
        <v>70</v>
      </c>
      <c r="F816" s="27">
        <f>IFERROR(IF(OR(C816="",D816="",C816=0),"",D816/C816),"")</f>
        <v/>
      </c>
      <c r="G816" s="21">
        <f>IFERROR(INDEX(Users!$A$2:$A$310,MATCH(A816,Users!$B$2:$B$310,0)),"")</f>
        <v/>
      </c>
      <c r="H816" s="21">
        <f>IFERROR(INDEX(Users!$D$2:$D$310,MATCH(A816,Users!$B$2:$B$310,0)),"")</f>
        <v/>
      </c>
      <c r="I816" s="19">
        <f>AND(G816="Service A",H816="Band 3")</f>
        <v/>
      </c>
      <c r="J816" s="33">
        <f>IF(AND(YEAR(B816)=2025,G816="Service B",OR(H816="Band 3",H816="Band 5"),ISNUMBER(F816)),F816,"")</f>
        <v/>
      </c>
    </row>
    <row r="817">
      <c r="A817" s="19" t="inlineStr">
        <is>
          <t>User1087</t>
        </is>
      </c>
      <c r="B817" s="60" t="n">
        <v>45962</v>
      </c>
      <c r="C817" s="21" t="n">
        <v>148</v>
      </c>
      <c r="D817" s="21" t="n">
        <v>139.4</v>
      </c>
      <c r="E817" s="21" t="n">
        <v>62</v>
      </c>
      <c r="F817" s="27">
        <f>IFERROR(IF(OR(C817="",D817="",C817=0),"",D817/C817),"")</f>
        <v/>
      </c>
      <c r="G817" s="21">
        <f>IFERROR(INDEX(Users!$A$2:$A$310,MATCH(A817,Users!$B$2:$B$310,0)),"")</f>
        <v/>
      </c>
      <c r="H817" s="21">
        <f>IFERROR(INDEX(Users!$D$2:$D$310,MATCH(A817,Users!$B$2:$B$310,0)),"")</f>
        <v/>
      </c>
      <c r="I817" s="19">
        <f>AND(G817="Service A",H817="Band 3")</f>
        <v/>
      </c>
      <c r="J817" s="33">
        <f>IF(AND(YEAR(B817)=2025,G817="Service B",OR(H817="Band 3",H817="Band 5"),ISNUMBER(F817)),F817,"")</f>
        <v/>
      </c>
    </row>
    <row r="818">
      <c r="A818" s="19" t="inlineStr">
        <is>
          <t>User1087</t>
        </is>
      </c>
      <c r="B818" s="60" t="n">
        <v>45992</v>
      </c>
      <c r="C818" s="21" t="n">
        <v>155.4</v>
      </c>
      <c r="D818" s="21" t="n">
        <v>109</v>
      </c>
      <c r="E818" s="21" t="n">
        <v>44</v>
      </c>
      <c r="F818" s="27">
        <f>IFERROR(IF(OR(C818="",D818="",C818=0),"",D818/C818),"")</f>
        <v/>
      </c>
      <c r="G818" s="21">
        <f>IFERROR(INDEX(Users!$A$2:$A$310,MATCH(A818,Users!$B$2:$B$310,0)),"")</f>
        <v/>
      </c>
      <c r="H818" s="21">
        <f>IFERROR(INDEX(Users!$D$2:$D$310,MATCH(A818,Users!$B$2:$B$310,0)),"")</f>
        <v/>
      </c>
      <c r="I818" s="19">
        <f>AND(G818="Service A",H818="Band 3")</f>
        <v/>
      </c>
      <c r="J818" s="33">
        <f>IF(AND(YEAR(B818)=2025,G818="Service B",OR(H818="Band 3",H818="Band 5"),ISNUMBER(F818)),F818,"")</f>
        <v/>
      </c>
    </row>
    <row r="819">
      <c r="A819" s="19" t="inlineStr">
        <is>
          <t>User1087</t>
        </is>
      </c>
      <c r="B819" s="60" t="n">
        <v>46023</v>
      </c>
      <c r="C819" s="21" t="n">
        <v>155.4</v>
      </c>
      <c r="D819" s="21" t="n">
        <v>139.6</v>
      </c>
      <c r="E819" s="21" t="n">
        <v>70</v>
      </c>
      <c r="F819" s="27">
        <f>IFERROR(IF(OR(C819="",D819="",C819=0),"",D819/C819),"")</f>
        <v/>
      </c>
      <c r="G819" s="21">
        <f>IFERROR(INDEX(Users!$A$2:$A$310,MATCH(A819,Users!$B$2:$B$310,0)),"")</f>
        <v/>
      </c>
      <c r="H819" s="21">
        <f>IFERROR(INDEX(Users!$D$2:$D$310,MATCH(A819,Users!$B$2:$B$310,0)),"")</f>
        <v/>
      </c>
      <c r="I819" s="19">
        <f>AND(G819="Service A",H819="Band 3")</f>
        <v/>
      </c>
      <c r="J819" s="33">
        <f>IF(AND(YEAR(B819)=2025,G819="Service B",OR(H819="Band 3",H819="Band 5"),ISNUMBER(F819)),F819,"")</f>
        <v/>
      </c>
    </row>
    <row r="820">
      <c r="A820" s="19" t="inlineStr">
        <is>
          <t>User1088</t>
        </is>
      </c>
      <c r="B820" s="60" t="n">
        <v>45901</v>
      </c>
      <c r="C820" s="21" t="n">
        <v>51.8</v>
      </c>
      <c r="D820" s="21" t="n"/>
      <c r="E820" s="21" t="n"/>
      <c r="F820" s="27">
        <f>IFERROR(IF(OR(C820="",D820="",C820=0),"",D820/C820),"")</f>
        <v/>
      </c>
      <c r="G820" s="21">
        <f>IFERROR(INDEX(Users!$A$2:$A$310,MATCH(A820,Users!$B$2:$B$310,0)),"")</f>
        <v/>
      </c>
      <c r="H820" s="21">
        <f>IFERROR(INDEX(Users!$D$2:$D$310,MATCH(A820,Users!$B$2:$B$310,0)),"")</f>
        <v/>
      </c>
      <c r="I820" s="19">
        <f>AND(G820="Service A",H820="Band 3")</f>
        <v/>
      </c>
      <c r="J820" s="33">
        <f>IF(AND(YEAR(B820)=2025,G820="Service B",OR(H820="Band 3",H820="Band 5"),ISNUMBER(F820)),F820,"")</f>
        <v/>
      </c>
    </row>
    <row r="821">
      <c r="A821" s="19" t="inlineStr">
        <is>
          <t>User1088</t>
        </is>
      </c>
      <c r="B821" s="60" t="n">
        <v>45931</v>
      </c>
      <c r="C821" s="21" t="n">
        <v>170.2000000000001</v>
      </c>
      <c r="D821" s="21" t="n">
        <v>169.36</v>
      </c>
      <c r="E821" s="21" t="n">
        <v>5.46</v>
      </c>
      <c r="F821" s="27">
        <f>IFERROR(IF(OR(C821="",D821="",C821=0),"",D821/C821),"")</f>
        <v/>
      </c>
      <c r="G821" s="21">
        <f>IFERROR(INDEX(Users!$A$2:$A$310,MATCH(A821,Users!$B$2:$B$310,0)),"")</f>
        <v/>
      </c>
      <c r="H821" s="21">
        <f>IFERROR(INDEX(Users!$D$2:$D$310,MATCH(A821,Users!$B$2:$B$310,0)),"")</f>
        <v/>
      </c>
      <c r="I821" s="19">
        <f>AND(G821="Service A",H821="Band 3")</f>
        <v/>
      </c>
      <c r="J821" s="33">
        <f>IF(AND(YEAR(B821)=2025,G821="Service B",OR(H821="Band 3",H821="Band 5"),ISNUMBER(F821)),F821,"")</f>
        <v/>
      </c>
    </row>
    <row r="822">
      <c r="A822" s="19" t="inlineStr">
        <is>
          <t>User1088</t>
        </is>
      </c>
      <c r="B822" s="60" t="n">
        <v>45962</v>
      </c>
      <c r="C822" s="21" t="n">
        <v>148.0000000000001</v>
      </c>
      <c r="D822" s="21" t="n">
        <v>135.4133333333334</v>
      </c>
      <c r="E822" s="21" t="n">
        <v>19.52999999999999</v>
      </c>
      <c r="F822" s="27">
        <f>IFERROR(IF(OR(C822="",D822="",C822=0),"",D822/C822),"")</f>
        <v/>
      </c>
      <c r="G822" s="21">
        <f>IFERROR(INDEX(Users!$A$2:$A$310,MATCH(A822,Users!$B$2:$B$310,0)),"")</f>
        <v/>
      </c>
      <c r="H822" s="21">
        <f>IFERROR(INDEX(Users!$D$2:$D$310,MATCH(A822,Users!$B$2:$B$310,0)),"")</f>
        <v/>
      </c>
      <c r="I822" s="19">
        <f>AND(G822="Service A",H822="Band 3")</f>
        <v/>
      </c>
      <c r="J822" s="33">
        <f>IF(AND(YEAR(B822)=2025,G822="Service B",OR(H822="Band 3",H822="Band 5"),ISNUMBER(F822)),F822,"")</f>
        <v/>
      </c>
    </row>
    <row r="823">
      <c r="A823" s="19" t="inlineStr">
        <is>
          <t>User1088</t>
        </is>
      </c>
      <c r="B823" s="60" t="n">
        <v>45992</v>
      </c>
      <c r="C823" s="21" t="n">
        <v>155.4000000000001</v>
      </c>
      <c r="D823" s="21" t="n">
        <v>111.5633333333334</v>
      </c>
      <c r="E823" s="21" t="n">
        <v>24.58000000000003</v>
      </c>
      <c r="F823" s="27">
        <f>IFERROR(IF(OR(C823="",D823="",C823=0),"",D823/C823),"")</f>
        <v/>
      </c>
      <c r="G823" s="21">
        <f>IFERROR(INDEX(Users!$A$2:$A$310,MATCH(A823,Users!$B$2:$B$310,0)),"")</f>
        <v/>
      </c>
      <c r="H823" s="21">
        <f>IFERROR(INDEX(Users!$D$2:$D$310,MATCH(A823,Users!$B$2:$B$310,0)),"")</f>
        <v/>
      </c>
      <c r="I823" s="19">
        <f>AND(G823="Service A",H823="Band 3")</f>
        <v/>
      </c>
      <c r="J823" s="33">
        <f>IF(AND(YEAR(B823)=2025,G823="Service B",OR(H823="Band 3",H823="Band 5"),ISNUMBER(F823)),F823,"")</f>
        <v/>
      </c>
    </row>
    <row r="824">
      <c r="A824" s="19" t="inlineStr">
        <is>
          <t>User1088</t>
        </is>
      </c>
      <c r="B824" s="60" t="n">
        <v>46023</v>
      </c>
      <c r="C824" s="21" t="n">
        <v>155.4000000000001</v>
      </c>
      <c r="D824" s="21" t="n">
        <v>140.9633333333334</v>
      </c>
      <c r="E824" s="21" t="n">
        <v>24.38000000000003</v>
      </c>
      <c r="F824" s="27">
        <f>IFERROR(IF(OR(C824="",D824="",C824=0),"",D824/C824),"")</f>
        <v/>
      </c>
      <c r="G824" s="21">
        <f>IFERROR(INDEX(Users!$A$2:$A$310,MATCH(A824,Users!$B$2:$B$310,0)),"")</f>
        <v/>
      </c>
      <c r="H824" s="21">
        <f>IFERROR(INDEX(Users!$D$2:$D$310,MATCH(A824,Users!$B$2:$B$310,0)),"")</f>
        <v/>
      </c>
      <c r="I824" s="19">
        <f>AND(G824="Service A",H824="Band 3")</f>
        <v/>
      </c>
      <c r="J824" s="33">
        <f>IF(AND(YEAR(B824)=2025,G824="Service B",OR(H824="Band 3",H824="Band 5"),ISNUMBER(F824)),F824,"")</f>
        <v/>
      </c>
    </row>
    <row r="825">
      <c r="A825" s="19" t="inlineStr">
        <is>
          <t>User1089</t>
        </is>
      </c>
      <c r="B825" s="60" t="n">
        <v>45658</v>
      </c>
      <c r="C825" s="21" t="n">
        <v>162.8</v>
      </c>
      <c r="D825" s="21" t="n">
        <v>144.58</v>
      </c>
      <c r="E825" s="21" t="n">
        <v>60.83000000000002</v>
      </c>
      <c r="F825" s="27">
        <f>IFERROR(IF(OR(C825="",D825="",C825=0),"",D825/C825),"")</f>
        <v/>
      </c>
      <c r="G825" s="21">
        <f>IFERROR(INDEX(Users!$A$2:$A$310,MATCH(A825,Users!$B$2:$B$310,0)),"")</f>
        <v/>
      </c>
      <c r="H825" s="21">
        <f>IFERROR(INDEX(Users!$D$2:$D$310,MATCH(A825,Users!$B$2:$B$310,0)),"")</f>
        <v/>
      </c>
      <c r="I825" s="19">
        <f>AND(G825="Service A",H825="Band 3")</f>
        <v/>
      </c>
      <c r="J825" s="33">
        <f>IF(AND(YEAR(B825)=2025,G825="Service B",OR(H825="Band 3",H825="Band 5"),ISNUMBER(F825)),F825,"")</f>
        <v/>
      </c>
    </row>
    <row r="826">
      <c r="A826" s="19" t="inlineStr">
        <is>
          <t>User1089</t>
        </is>
      </c>
      <c r="B826" s="60" t="n">
        <v>45689</v>
      </c>
      <c r="C826" s="21" t="n">
        <v>148</v>
      </c>
      <c r="D826" s="21" t="n">
        <v>150.1233333333333</v>
      </c>
      <c r="E826" s="21" t="n">
        <v>50.03999999999999</v>
      </c>
      <c r="F826" s="27">
        <f>IFERROR(IF(OR(C826="",D826="",C826=0),"",D826/C826),"")</f>
        <v/>
      </c>
      <c r="G826" s="21">
        <f>IFERROR(INDEX(Users!$A$2:$A$310,MATCH(A826,Users!$B$2:$B$310,0)),"")</f>
        <v/>
      </c>
      <c r="H826" s="21">
        <f>IFERROR(INDEX(Users!$D$2:$D$310,MATCH(A826,Users!$B$2:$B$310,0)),"")</f>
        <v/>
      </c>
      <c r="I826" s="19">
        <f>AND(G826="Service A",H826="Band 3")</f>
        <v/>
      </c>
      <c r="J826" s="33">
        <f>IF(AND(YEAR(B826)=2025,G826="Service B",OR(H826="Band 3",H826="Band 5"),ISNUMBER(F826)),F826,"")</f>
        <v/>
      </c>
    </row>
    <row r="827">
      <c r="A827" s="19" t="inlineStr">
        <is>
          <t>User1089</t>
        </is>
      </c>
      <c r="B827" s="60" t="n">
        <v>45717</v>
      </c>
      <c r="C827" s="21" t="n">
        <v>148</v>
      </c>
      <c r="D827" s="21" t="n">
        <v>97.35333333333334</v>
      </c>
      <c r="E827" s="21" t="n">
        <v>51.27</v>
      </c>
      <c r="F827" s="27">
        <f>IFERROR(IF(OR(C827="",D827="",C827=0),"",D827/C827),"")</f>
        <v/>
      </c>
      <c r="G827" s="21">
        <f>IFERROR(INDEX(Users!$A$2:$A$310,MATCH(A827,Users!$B$2:$B$310,0)),"")</f>
        <v/>
      </c>
      <c r="H827" s="21">
        <f>IFERROR(INDEX(Users!$D$2:$D$310,MATCH(A827,Users!$B$2:$B$310,0)),"")</f>
        <v/>
      </c>
      <c r="I827" s="19">
        <f>AND(G827="Service A",H827="Band 3")</f>
        <v/>
      </c>
      <c r="J827" s="33">
        <f>IF(AND(YEAR(B827)=2025,G827="Service B",OR(H827="Band 3",H827="Band 5"),ISNUMBER(F827)),F827,"")</f>
        <v/>
      </c>
    </row>
    <row r="828">
      <c r="A828" s="19" t="inlineStr">
        <is>
          <t>User1091</t>
        </is>
      </c>
      <c r="B828" s="60" t="n">
        <v>45658</v>
      </c>
      <c r="C828" s="21" t="n">
        <v>162.8</v>
      </c>
      <c r="D828" s="21" t="n">
        <v>89.88666666666667</v>
      </c>
      <c r="E828" s="21" t="n">
        <v>73.87</v>
      </c>
      <c r="F828" s="27">
        <f>IFERROR(IF(OR(C828="",D828="",C828=0),"",D828/C828),"")</f>
        <v/>
      </c>
      <c r="G828" s="21">
        <f>IFERROR(INDEX(Users!$A$2:$A$310,MATCH(A828,Users!$B$2:$B$310,0)),"")</f>
        <v/>
      </c>
      <c r="H828" s="21">
        <f>IFERROR(INDEX(Users!$D$2:$D$310,MATCH(A828,Users!$B$2:$B$310,0)),"")</f>
        <v/>
      </c>
      <c r="I828" s="19">
        <f>AND(G828="Service A",H828="Band 3")</f>
        <v/>
      </c>
      <c r="J828" s="33">
        <f>IF(AND(YEAR(B828)=2025,G828="Service B",OR(H828="Band 3",H828="Band 5"),ISNUMBER(F828)),F828,"")</f>
        <v/>
      </c>
    </row>
    <row r="829">
      <c r="A829" s="19" t="inlineStr">
        <is>
          <t>User1091</t>
        </is>
      </c>
      <c r="B829" s="60" t="n">
        <v>45689</v>
      </c>
      <c r="C829" s="21" t="n">
        <v>148</v>
      </c>
      <c r="D829" s="21" t="n">
        <v>145.8933333333333</v>
      </c>
      <c r="E829" s="21" t="n">
        <v>113.41</v>
      </c>
      <c r="F829" s="27">
        <f>IFERROR(IF(OR(C829="",D829="",C829=0),"",D829/C829),"")</f>
        <v/>
      </c>
      <c r="G829" s="21">
        <f>IFERROR(INDEX(Users!$A$2:$A$310,MATCH(A829,Users!$B$2:$B$310,0)),"")</f>
        <v/>
      </c>
      <c r="H829" s="21">
        <f>IFERROR(INDEX(Users!$D$2:$D$310,MATCH(A829,Users!$B$2:$B$310,0)),"")</f>
        <v/>
      </c>
      <c r="I829" s="19">
        <f>AND(G829="Service A",H829="Band 3")</f>
        <v/>
      </c>
      <c r="J829" s="33">
        <f>IF(AND(YEAR(B829)=2025,G829="Service B",OR(H829="Band 3",H829="Band 5"),ISNUMBER(F829)),F829,"")</f>
        <v/>
      </c>
    </row>
    <row r="830">
      <c r="A830" s="19" t="inlineStr">
        <is>
          <t>User1091</t>
        </is>
      </c>
      <c r="B830" s="60" t="n">
        <v>45717</v>
      </c>
      <c r="C830" s="21" t="n">
        <v>155.4</v>
      </c>
      <c r="D830" s="21" t="n">
        <v>150</v>
      </c>
      <c r="E830" s="21" t="n">
        <v>122</v>
      </c>
      <c r="F830" s="27">
        <f>IFERROR(IF(OR(C830="",D830="",C830=0),"",D830/C830),"")</f>
        <v/>
      </c>
      <c r="G830" s="21">
        <f>IFERROR(INDEX(Users!$A$2:$A$310,MATCH(A830,Users!$B$2:$B$310,0)),"")</f>
        <v/>
      </c>
      <c r="H830" s="21">
        <f>IFERROR(INDEX(Users!$D$2:$D$310,MATCH(A830,Users!$B$2:$B$310,0)),"")</f>
        <v/>
      </c>
      <c r="I830" s="19">
        <f>AND(G830="Service A",H830="Band 3")</f>
        <v/>
      </c>
      <c r="J830" s="33">
        <f>IF(AND(YEAR(B830)=2025,G830="Service B",OR(H830="Band 3",H830="Band 5"),ISNUMBER(F830)),F830,"")</f>
        <v/>
      </c>
    </row>
    <row r="831">
      <c r="A831" s="19" t="inlineStr">
        <is>
          <t>User1091</t>
        </is>
      </c>
      <c r="B831" s="60" t="n">
        <v>45748</v>
      </c>
      <c r="C831" s="21" t="n">
        <v>148</v>
      </c>
      <c r="D831" s="21" t="n">
        <v>143.01</v>
      </c>
      <c r="E831" s="21" t="n">
        <v>110.01</v>
      </c>
      <c r="F831" s="27">
        <f>IFERROR(IF(OR(C831="",D831="",C831=0),"",D831/C831),"")</f>
        <v/>
      </c>
      <c r="G831" s="21">
        <f>IFERROR(INDEX(Users!$A$2:$A$310,MATCH(A831,Users!$B$2:$B$310,0)),"")</f>
        <v/>
      </c>
      <c r="H831" s="21">
        <f>IFERROR(INDEX(Users!$D$2:$D$310,MATCH(A831,Users!$B$2:$B$310,0)),"")</f>
        <v/>
      </c>
      <c r="I831" s="19">
        <f>AND(G831="Service A",H831="Band 3")</f>
        <v/>
      </c>
      <c r="J831" s="33">
        <f>IF(AND(YEAR(B831)=2025,G831="Service B",OR(H831="Band 3",H831="Band 5"),ISNUMBER(F831)),F831,"")</f>
        <v/>
      </c>
    </row>
    <row r="832">
      <c r="A832" s="19" t="inlineStr">
        <is>
          <t>User1091</t>
        </is>
      </c>
      <c r="B832" s="60" t="n">
        <v>45778</v>
      </c>
      <c r="C832" s="21" t="n">
        <v>148</v>
      </c>
      <c r="D832" s="21" t="n">
        <v>105.01</v>
      </c>
      <c r="E832" s="21" t="n">
        <v>84.76000000000001</v>
      </c>
      <c r="F832" s="27">
        <f>IFERROR(IF(OR(C832="",D832="",C832=0),"",D832/C832),"")</f>
        <v/>
      </c>
      <c r="G832" s="21">
        <f>IFERROR(INDEX(Users!$A$2:$A$310,MATCH(A832,Users!$B$2:$B$310,0)),"")</f>
        <v/>
      </c>
      <c r="H832" s="21">
        <f>IFERROR(INDEX(Users!$D$2:$D$310,MATCH(A832,Users!$B$2:$B$310,0)),"")</f>
        <v/>
      </c>
      <c r="I832" s="19">
        <f>AND(G832="Service A",H832="Band 3")</f>
        <v/>
      </c>
      <c r="J832" s="33">
        <f>IF(AND(YEAR(B832)=2025,G832="Service B",OR(H832="Band 3",H832="Band 5"),ISNUMBER(F832)),F832,"")</f>
        <v/>
      </c>
    </row>
    <row r="833">
      <c r="A833" s="19" t="inlineStr">
        <is>
          <t>User1091</t>
        </is>
      </c>
      <c r="B833" s="60" t="n">
        <v>45809</v>
      </c>
      <c r="C833" s="21" t="n">
        <v>155.4</v>
      </c>
      <c r="D833" s="21" t="n">
        <v>150.0066666666667</v>
      </c>
      <c r="E833" s="21" t="n">
        <v>127.59</v>
      </c>
      <c r="F833" s="27">
        <f>IFERROR(IF(OR(C833="",D833="",C833=0),"",D833/C833),"")</f>
        <v/>
      </c>
      <c r="G833" s="21">
        <f>IFERROR(INDEX(Users!$A$2:$A$310,MATCH(A833,Users!$B$2:$B$310,0)),"")</f>
        <v/>
      </c>
      <c r="H833" s="21">
        <f>IFERROR(INDEX(Users!$D$2:$D$310,MATCH(A833,Users!$B$2:$B$310,0)),"")</f>
        <v/>
      </c>
      <c r="I833" s="19">
        <f>AND(G833="Service A",H833="Band 3")</f>
        <v/>
      </c>
      <c r="J833" s="33">
        <f>IF(AND(YEAR(B833)=2025,G833="Service B",OR(H833="Band 3",H833="Band 5"),ISNUMBER(F833)),F833,"")</f>
        <v/>
      </c>
    </row>
    <row r="834">
      <c r="A834" s="19" t="inlineStr">
        <is>
          <t>User1091</t>
        </is>
      </c>
      <c r="B834" s="60" t="n">
        <v>45839</v>
      </c>
      <c r="C834" s="21" t="n">
        <v>170.2</v>
      </c>
      <c r="D834" s="21" t="n">
        <v>172.9966666666666</v>
      </c>
      <c r="E834" s="21" t="n">
        <v>143.33</v>
      </c>
      <c r="F834" s="27">
        <f>IFERROR(IF(OR(C834="",D834="",C834=0),"",D834/C834),"")</f>
        <v/>
      </c>
      <c r="G834" s="21">
        <f>IFERROR(INDEX(Users!$A$2:$A$310,MATCH(A834,Users!$B$2:$B$310,0)),"")</f>
        <v/>
      </c>
      <c r="H834" s="21">
        <f>IFERROR(INDEX(Users!$D$2:$D$310,MATCH(A834,Users!$B$2:$B$310,0)),"")</f>
        <v/>
      </c>
      <c r="I834" s="19">
        <f>AND(G834="Service A",H834="Band 3")</f>
        <v/>
      </c>
      <c r="J834" s="33">
        <f>IF(AND(YEAR(B834)=2025,G834="Service B",OR(H834="Band 3",H834="Band 5"),ISNUMBER(F834)),F834,"")</f>
        <v/>
      </c>
    </row>
    <row r="835">
      <c r="A835" s="19" t="inlineStr">
        <is>
          <t>User1091</t>
        </is>
      </c>
      <c r="B835" s="60" t="n">
        <v>45870</v>
      </c>
      <c r="C835" s="21" t="n">
        <v>148</v>
      </c>
      <c r="D835" s="21" t="n">
        <v>134.7533333333333</v>
      </c>
      <c r="E835" s="21" t="n">
        <v>112.17</v>
      </c>
      <c r="F835" s="27">
        <f>IFERROR(IF(OR(C835="",D835="",C835=0),"",D835/C835),"")</f>
        <v/>
      </c>
      <c r="G835" s="21">
        <f>IFERROR(INDEX(Users!$A$2:$A$310,MATCH(A835,Users!$B$2:$B$310,0)),"")</f>
        <v/>
      </c>
      <c r="H835" s="21">
        <f>IFERROR(INDEX(Users!$D$2:$D$310,MATCH(A835,Users!$B$2:$B$310,0)),"")</f>
        <v/>
      </c>
      <c r="I835" s="19">
        <f>AND(G835="Service A",H835="Band 3")</f>
        <v/>
      </c>
      <c r="J835" s="33">
        <f>IF(AND(YEAR(B835)=2025,G835="Service B",OR(H835="Band 3",H835="Band 5"),ISNUMBER(F835)),F835,"")</f>
        <v/>
      </c>
    </row>
    <row r="836">
      <c r="A836" s="19" t="inlineStr">
        <is>
          <t>User1091</t>
        </is>
      </c>
      <c r="B836" s="60" t="n">
        <v>45901</v>
      </c>
      <c r="C836" s="21" t="n">
        <v>162.8</v>
      </c>
      <c r="D836" s="21" t="n">
        <v>74.99666666666667</v>
      </c>
      <c r="E836" s="21" t="n">
        <v>63.58</v>
      </c>
      <c r="F836" s="27">
        <f>IFERROR(IF(OR(C836="",D836="",C836=0),"",D836/C836),"")</f>
        <v/>
      </c>
      <c r="G836" s="21">
        <f>IFERROR(INDEX(Users!$A$2:$A$310,MATCH(A836,Users!$B$2:$B$310,0)),"")</f>
        <v/>
      </c>
      <c r="H836" s="21">
        <f>IFERROR(INDEX(Users!$D$2:$D$310,MATCH(A836,Users!$B$2:$B$310,0)),"")</f>
        <v/>
      </c>
      <c r="I836" s="19">
        <f>AND(G836="Service A",H836="Band 3")</f>
        <v/>
      </c>
      <c r="J836" s="33">
        <f>IF(AND(YEAR(B836)=2025,G836="Service B",OR(H836="Band 3",H836="Band 5"),ISNUMBER(F836)),F836,"")</f>
        <v/>
      </c>
    </row>
    <row r="837">
      <c r="A837" s="19" t="inlineStr">
        <is>
          <t>User1091</t>
        </is>
      </c>
      <c r="B837" s="60" t="n">
        <v>45931</v>
      </c>
      <c r="C837" s="21" t="n">
        <v>170.2</v>
      </c>
      <c r="D837" s="21" t="n">
        <v>172.0066666666667</v>
      </c>
      <c r="E837" s="21" t="n">
        <v>139.34</v>
      </c>
      <c r="F837" s="27">
        <f>IFERROR(IF(OR(C837="",D837="",C837=0),"",D837/C837),"")</f>
        <v/>
      </c>
      <c r="G837" s="21">
        <f>IFERROR(INDEX(Users!$A$2:$A$310,MATCH(A837,Users!$B$2:$B$310,0)),"")</f>
        <v/>
      </c>
      <c r="H837" s="21">
        <f>IFERROR(INDEX(Users!$D$2:$D$310,MATCH(A837,Users!$B$2:$B$310,0)),"")</f>
        <v/>
      </c>
      <c r="I837" s="19">
        <f>AND(G837="Service A",H837="Band 3")</f>
        <v/>
      </c>
      <c r="J837" s="33">
        <f>IF(AND(YEAR(B837)=2025,G837="Service B",OR(H837="Band 3",H837="Band 5"),ISNUMBER(F837)),F837,"")</f>
        <v/>
      </c>
    </row>
    <row r="838">
      <c r="A838" s="19" t="inlineStr">
        <is>
          <t>User1091</t>
        </is>
      </c>
      <c r="B838" s="60" t="n">
        <v>45962</v>
      </c>
      <c r="C838" s="21" t="n">
        <v>148</v>
      </c>
      <c r="D838" s="21" t="n">
        <v>149.98</v>
      </c>
      <c r="E838" s="21" t="n">
        <v>126.48</v>
      </c>
      <c r="F838" s="27">
        <f>IFERROR(IF(OR(C838="",D838="",C838=0),"",D838/C838),"")</f>
        <v/>
      </c>
      <c r="G838" s="21">
        <f>IFERROR(INDEX(Users!$A$2:$A$310,MATCH(A838,Users!$B$2:$B$310,0)),"")</f>
        <v/>
      </c>
      <c r="H838" s="21">
        <f>IFERROR(INDEX(Users!$D$2:$D$310,MATCH(A838,Users!$B$2:$B$310,0)),"")</f>
        <v/>
      </c>
      <c r="I838" s="19">
        <f>AND(G838="Service A",H838="Band 3")</f>
        <v/>
      </c>
      <c r="J838" s="33">
        <f>IF(AND(YEAR(B838)=2025,G838="Service B",OR(H838="Band 3",H838="Band 5"),ISNUMBER(F838)),F838,"")</f>
        <v/>
      </c>
    </row>
    <row r="839">
      <c r="A839" s="19" t="inlineStr">
        <is>
          <t>User1091</t>
        </is>
      </c>
      <c r="B839" s="60" t="n">
        <v>45992</v>
      </c>
      <c r="C839" s="21" t="n">
        <v>155.4</v>
      </c>
      <c r="D839" s="21" t="n">
        <v>127.9933333333333</v>
      </c>
      <c r="E839" s="21" t="n">
        <v>103.66</v>
      </c>
      <c r="F839" s="27">
        <f>IFERROR(IF(OR(C839="",D839="",C839=0),"",D839/C839),"")</f>
        <v/>
      </c>
      <c r="G839" s="21">
        <f>IFERROR(INDEX(Users!$A$2:$A$310,MATCH(A839,Users!$B$2:$B$310,0)),"")</f>
        <v/>
      </c>
      <c r="H839" s="21">
        <f>IFERROR(INDEX(Users!$D$2:$D$310,MATCH(A839,Users!$B$2:$B$310,0)),"")</f>
        <v/>
      </c>
      <c r="I839" s="19">
        <f>AND(G839="Service A",H839="Band 3")</f>
        <v/>
      </c>
      <c r="J839" s="33">
        <f>IF(AND(YEAR(B839)=2025,G839="Service B",OR(H839="Band 3",H839="Band 5"),ISNUMBER(F839)),F839,"")</f>
        <v/>
      </c>
    </row>
    <row r="840">
      <c r="A840" s="19" t="inlineStr">
        <is>
          <t>User1091</t>
        </is>
      </c>
      <c r="B840" s="60" t="n">
        <v>46023</v>
      </c>
      <c r="C840" s="21" t="n">
        <v>155.4</v>
      </c>
      <c r="D840" s="21" t="n">
        <v>142.65</v>
      </c>
      <c r="E840" s="21" t="n">
        <v>99.25</v>
      </c>
      <c r="F840" s="27">
        <f>IFERROR(IF(OR(C840="",D840="",C840=0),"",D840/C840),"")</f>
        <v/>
      </c>
      <c r="G840" s="21">
        <f>IFERROR(INDEX(Users!$A$2:$A$310,MATCH(A840,Users!$B$2:$B$310,0)),"")</f>
        <v/>
      </c>
      <c r="H840" s="21">
        <f>IFERROR(INDEX(Users!$D$2:$D$310,MATCH(A840,Users!$B$2:$B$310,0)),"")</f>
        <v/>
      </c>
      <c r="I840" s="19">
        <f>AND(G840="Service A",H840="Band 3")</f>
        <v/>
      </c>
      <c r="J840" s="33">
        <f>IF(AND(YEAR(B840)=2025,G840="Service B",OR(H840="Band 3",H840="Band 5"),ISNUMBER(F840)),F840,"")</f>
        <v/>
      </c>
    </row>
    <row r="841">
      <c r="A841" s="19" t="inlineStr">
        <is>
          <t>User1092</t>
        </is>
      </c>
      <c r="B841" s="60" t="n">
        <v>45658</v>
      </c>
      <c r="C841" s="21" t="n">
        <v>162.8</v>
      </c>
      <c r="D841" s="21" t="n">
        <v>162.5766666666667</v>
      </c>
      <c r="E841" s="21" t="n">
        <v>129.91</v>
      </c>
      <c r="F841" s="27">
        <f>IFERROR(IF(OR(C841="",D841="",C841=0),"",D841/C841),"")</f>
        <v/>
      </c>
      <c r="G841" s="21">
        <f>IFERROR(INDEX(Users!$A$2:$A$310,MATCH(A841,Users!$B$2:$B$310,0)),"")</f>
        <v/>
      </c>
      <c r="H841" s="21">
        <f>IFERROR(INDEX(Users!$D$2:$D$310,MATCH(A841,Users!$B$2:$B$310,0)),"")</f>
        <v/>
      </c>
      <c r="I841" s="19">
        <f>AND(G841="Service A",H841="Band 3")</f>
        <v/>
      </c>
      <c r="J841" s="33">
        <f>IF(AND(YEAR(B841)=2025,G841="Service B",OR(H841="Band 3",H841="Band 5"),ISNUMBER(F841)),F841,"")</f>
        <v/>
      </c>
    </row>
    <row r="842">
      <c r="A842" s="19" t="inlineStr">
        <is>
          <t>User1092</t>
        </is>
      </c>
      <c r="B842" s="60" t="n">
        <v>45689</v>
      </c>
      <c r="C842" s="21" t="n">
        <v>148</v>
      </c>
      <c r="D842" s="21" t="n">
        <v>120.8566666666667</v>
      </c>
      <c r="E842" s="21" t="n">
        <v>82.28999999999999</v>
      </c>
      <c r="F842" s="27">
        <f>IFERROR(IF(OR(C842="",D842="",C842=0),"",D842/C842),"")</f>
        <v/>
      </c>
      <c r="G842" s="21">
        <f>IFERROR(INDEX(Users!$A$2:$A$310,MATCH(A842,Users!$B$2:$B$310,0)),"")</f>
        <v/>
      </c>
      <c r="H842" s="21">
        <f>IFERROR(INDEX(Users!$D$2:$D$310,MATCH(A842,Users!$B$2:$B$310,0)),"")</f>
        <v/>
      </c>
      <c r="I842" s="19">
        <f>AND(G842="Service A",H842="Band 3")</f>
        <v/>
      </c>
      <c r="J842" s="33">
        <f>IF(AND(YEAR(B842)=2025,G842="Service B",OR(H842="Band 3",H842="Band 5"),ISNUMBER(F842)),F842,"")</f>
        <v/>
      </c>
    </row>
    <row r="843">
      <c r="A843" s="19" t="inlineStr">
        <is>
          <t>User1092</t>
        </is>
      </c>
      <c r="B843" s="60" t="n">
        <v>45717</v>
      </c>
      <c r="C843" s="21" t="n">
        <v>155.4</v>
      </c>
      <c r="D843" s="21" t="n">
        <v>146.9833333333333</v>
      </c>
      <c r="E843" s="21" t="n">
        <v>111.35</v>
      </c>
      <c r="F843" s="27">
        <f>IFERROR(IF(OR(C843="",D843="",C843=0),"",D843/C843),"")</f>
        <v/>
      </c>
      <c r="G843" s="21">
        <f>IFERROR(INDEX(Users!$A$2:$A$310,MATCH(A843,Users!$B$2:$B$310,0)),"")</f>
        <v/>
      </c>
      <c r="H843" s="21">
        <f>IFERROR(INDEX(Users!$D$2:$D$310,MATCH(A843,Users!$B$2:$B$310,0)),"")</f>
        <v/>
      </c>
      <c r="I843" s="19">
        <f>AND(G843="Service A",H843="Band 3")</f>
        <v/>
      </c>
      <c r="J843" s="33">
        <f>IF(AND(YEAR(B843)=2025,G843="Service B",OR(H843="Band 3",H843="Band 5"),ISNUMBER(F843)),F843,"")</f>
        <v/>
      </c>
    </row>
    <row r="844">
      <c r="A844" s="19" t="inlineStr">
        <is>
          <t>User1092</t>
        </is>
      </c>
      <c r="B844" s="60" t="n">
        <v>45748</v>
      </c>
      <c r="C844" s="21" t="n">
        <v>148</v>
      </c>
      <c r="D844" s="21" t="n">
        <v>103.25</v>
      </c>
      <c r="E844" s="21" t="n">
        <v>67.75</v>
      </c>
      <c r="F844" s="27">
        <f>IFERROR(IF(OR(C844="",D844="",C844=0),"",D844/C844),"")</f>
        <v/>
      </c>
      <c r="G844" s="21">
        <f>IFERROR(INDEX(Users!$A$2:$A$310,MATCH(A844,Users!$B$2:$B$310,0)),"")</f>
        <v/>
      </c>
      <c r="H844" s="21">
        <f>IFERROR(INDEX(Users!$D$2:$D$310,MATCH(A844,Users!$B$2:$B$310,0)),"")</f>
        <v/>
      </c>
      <c r="I844" s="19">
        <f>AND(G844="Service A",H844="Band 3")</f>
        <v/>
      </c>
      <c r="J844" s="33">
        <f>IF(AND(YEAR(B844)=2025,G844="Service B",OR(H844="Band 3",H844="Band 5"),ISNUMBER(F844)),F844,"")</f>
        <v/>
      </c>
    </row>
    <row r="845">
      <c r="A845" s="19" t="inlineStr">
        <is>
          <t>User1092</t>
        </is>
      </c>
      <c r="B845" s="60" t="n">
        <v>45778</v>
      </c>
      <c r="C845" s="21" t="n">
        <v>148</v>
      </c>
      <c r="D845" s="21" t="n">
        <v>141.5266666666667</v>
      </c>
      <c r="E845" s="21" t="n">
        <v>105.21</v>
      </c>
      <c r="F845" s="27">
        <f>IFERROR(IF(OR(C845="",D845="",C845=0),"",D845/C845),"")</f>
        <v/>
      </c>
      <c r="G845" s="21">
        <f>IFERROR(INDEX(Users!$A$2:$A$310,MATCH(A845,Users!$B$2:$B$310,0)),"")</f>
        <v/>
      </c>
      <c r="H845" s="21">
        <f>IFERROR(INDEX(Users!$D$2:$D$310,MATCH(A845,Users!$B$2:$B$310,0)),"")</f>
        <v/>
      </c>
      <c r="I845" s="19">
        <f>AND(G845="Service A",H845="Band 3")</f>
        <v/>
      </c>
      <c r="J845" s="33">
        <f>IF(AND(YEAR(B845)=2025,G845="Service B",OR(H845="Band 3",H845="Band 5"),ISNUMBER(F845)),F845,"")</f>
        <v/>
      </c>
    </row>
    <row r="846">
      <c r="A846" s="19" t="inlineStr">
        <is>
          <t>User1092</t>
        </is>
      </c>
      <c r="B846" s="60" t="n">
        <v>45809</v>
      </c>
      <c r="C846" s="21" t="n">
        <v>155.4</v>
      </c>
      <c r="D846" s="21" t="n">
        <v>134.2066666666667</v>
      </c>
      <c r="E846" s="21" t="n">
        <v>92.79000000000001</v>
      </c>
      <c r="F846" s="27">
        <f>IFERROR(IF(OR(C846="",D846="",C846=0),"",D846/C846),"")</f>
        <v/>
      </c>
      <c r="G846" s="21">
        <f>IFERROR(INDEX(Users!$A$2:$A$310,MATCH(A846,Users!$B$2:$B$310,0)),"")</f>
        <v/>
      </c>
      <c r="H846" s="21">
        <f>IFERROR(INDEX(Users!$D$2:$D$310,MATCH(A846,Users!$B$2:$B$310,0)),"")</f>
        <v/>
      </c>
      <c r="I846" s="19">
        <f>AND(G846="Service A",H846="Band 3")</f>
        <v/>
      </c>
      <c r="J846" s="33">
        <f>IF(AND(YEAR(B846)=2025,G846="Service B",OR(H846="Band 3",H846="Band 5"),ISNUMBER(F846)),F846,"")</f>
        <v/>
      </c>
    </row>
    <row r="847">
      <c r="A847" s="19" t="inlineStr">
        <is>
          <t>User1092</t>
        </is>
      </c>
      <c r="B847" s="60" t="n">
        <v>45839</v>
      </c>
      <c r="C847" s="21" t="n">
        <v>170.2</v>
      </c>
      <c r="D847" s="21" t="n">
        <v>93.02666666666666</v>
      </c>
      <c r="E847" s="21" t="n">
        <v>71.36</v>
      </c>
      <c r="F847" s="27">
        <f>IFERROR(IF(OR(C847="",D847="",C847=0),"",D847/C847),"")</f>
        <v/>
      </c>
      <c r="G847" s="21">
        <f>IFERROR(INDEX(Users!$A$2:$A$310,MATCH(A847,Users!$B$2:$B$310,0)),"")</f>
        <v/>
      </c>
      <c r="H847" s="21">
        <f>IFERROR(INDEX(Users!$D$2:$D$310,MATCH(A847,Users!$B$2:$B$310,0)),"")</f>
        <v/>
      </c>
      <c r="I847" s="19">
        <f>AND(G847="Service A",H847="Band 3")</f>
        <v/>
      </c>
      <c r="J847" s="33">
        <f>IF(AND(YEAR(B847)=2025,G847="Service B",OR(H847="Band 3",H847="Band 5"),ISNUMBER(F847)),F847,"")</f>
        <v/>
      </c>
    </row>
    <row r="848">
      <c r="A848" s="19" t="inlineStr">
        <is>
          <t>User1092</t>
        </is>
      </c>
      <c r="B848" s="60" t="n">
        <v>45870</v>
      </c>
      <c r="C848" s="21" t="n">
        <v>148</v>
      </c>
      <c r="D848" s="21" t="n">
        <v>117.85</v>
      </c>
      <c r="E848" s="21" t="n">
        <v>90.8</v>
      </c>
      <c r="F848" s="27">
        <f>IFERROR(IF(OR(C848="",D848="",C848=0),"",D848/C848),"")</f>
        <v/>
      </c>
      <c r="G848" s="21">
        <f>IFERROR(INDEX(Users!$A$2:$A$310,MATCH(A848,Users!$B$2:$B$310,0)),"")</f>
        <v/>
      </c>
      <c r="H848" s="21">
        <f>IFERROR(INDEX(Users!$D$2:$D$310,MATCH(A848,Users!$B$2:$B$310,0)),"")</f>
        <v/>
      </c>
      <c r="I848" s="19">
        <f>AND(G848="Service A",H848="Band 3")</f>
        <v/>
      </c>
      <c r="J848" s="33">
        <f>IF(AND(YEAR(B848)=2025,G848="Service B",OR(H848="Band 3",H848="Band 5"),ISNUMBER(F848)),F848,"")</f>
        <v/>
      </c>
    </row>
    <row r="849">
      <c r="A849" s="19" t="inlineStr">
        <is>
          <t>User1092</t>
        </is>
      </c>
      <c r="B849" s="60" t="n">
        <v>45901</v>
      </c>
      <c r="C849" s="21" t="n">
        <v>162.8</v>
      </c>
      <c r="D849" s="21" t="n">
        <v>158.53</v>
      </c>
      <c r="E849" s="21" t="n">
        <v>120.63</v>
      </c>
      <c r="F849" s="27">
        <f>IFERROR(IF(OR(C849="",D849="",C849=0),"",D849/C849),"")</f>
        <v/>
      </c>
      <c r="G849" s="21">
        <f>IFERROR(INDEX(Users!$A$2:$A$310,MATCH(A849,Users!$B$2:$B$310,0)),"")</f>
        <v/>
      </c>
      <c r="H849" s="21">
        <f>IFERROR(INDEX(Users!$D$2:$D$310,MATCH(A849,Users!$B$2:$B$310,0)),"")</f>
        <v/>
      </c>
      <c r="I849" s="19">
        <f>AND(G849="Service A",H849="Band 3")</f>
        <v/>
      </c>
      <c r="J849" s="33">
        <f>IF(AND(YEAR(B849)=2025,G849="Service B",OR(H849="Band 3",H849="Band 5"),ISNUMBER(F849)),F849,"")</f>
        <v/>
      </c>
    </row>
    <row r="850">
      <c r="A850" s="19" t="inlineStr">
        <is>
          <t>User1092</t>
        </is>
      </c>
      <c r="B850" s="60" t="n">
        <v>45931</v>
      </c>
      <c r="C850" s="21" t="n">
        <v>170.2</v>
      </c>
      <c r="D850" s="21" t="n">
        <v>111.65</v>
      </c>
      <c r="E850" s="21" t="n">
        <v>58.5</v>
      </c>
      <c r="F850" s="27">
        <f>IFERROR(IF(OR(C850="",D850="",C850=0),"",D850/C850),"")</f>
        <v/>
      </c>
      <c r="G850" s="21">
        <f>IFERROR(INDEX(Users!$A$2:$A$310,MATCH(A850,Users!$B$2:$B$310,0)),"")</f>
        <v/>
      </c>
      <c r="H850" s="21">
        <f>IFERROR(INDEX(Users!$D$2:$D$310,MATCH(A850,Users!$B$2:$B$310,0)),"")</f>
        <v/>
      </c>
      <c r="I850" s="19">
        <f>AND(G850="Service A",H850="Band 3")</f>
        <v/>
      </c>
      <c r="J850" s="33">
        <f>IF(AND(YEAR(B850)=2025,G850="Service B",OR(H850="Band 3",H850="Band 5"),ISNUMBER(F850)),F850,"")</f>
        <v/>
      </c>
    </row>
    <row r="851">
      <c r="A851" s="19" t="inlineStr">
        <is>
          <t>User1092</t>
        </is>
      </c>
      <c r="B851" s="60" t="n">
        <v>45962</v>
      </c>
      <c r="C851" s="21" t="n">
        <v>148</v>
      </c>
      <c r="D851" s="21" t="n">
        <v>136.7733333333333</v>
      </c>
      <c r="E851" s="21" t="n">
        <v>99.69</v>
      </c>
      <c r="F851" s="27">
        <f>IFERROR(IF(OR(C851="",D851="",C851=0),"",D851/C851),"")</f>
        <v/>
      </c>
      <c r="G851" s="21">
        <f>IFERROR(INDEX(Users!$A$2:$A$310,MATCH(A851,Users!$B$2:$B$310,0)),"")</f>
        <v/>
      </c>
      <c r="H851" s="21">
        <f>IFERROR(INDEX(Users!$D$2:$D$310,MATCH(A851,Users!$B$2:$B$310,0)),"")</f>
        <v/>
      </c>
      <c r="I851" s="19">
        <f>AND(G851="Service A",H851="Band 3")</f>
        <v/>
      </c>
      <c r="J851" s="33">
        <f>IF(AND(YEAR(B851)=2025,G851="Service B",OR(H851="Band 3",H851="Band 5"),ISNUMBER(F851)),F851,"")</f>
        <v/>
      </c>
    </row>
    <row r="852">
      <c r="A852" s="19" t="inlineStr">
        <is>
          <t>User1092</t>
        </is>
      </c>
      <c r="B852" s="60" t="n">
        <v>45992</v>
      </c>
      <c r="C852" s="21" t="n">
        <v>155.4</v>
      </c>
      <c r="D852" s="21" t="n">
        <v>77.23333333333332</v>
      </c>
      <c r="E852" s="21" t="n">
        <v>56.14999999999999</v>
      </c>
      <c r="F852" s="27">
        <f>IFERROR(IF(OR(C852="",D852="",C852=0),"",D852/C852),"")</f>
        <v/>
      </c>
      <c r="G852" s="21">
        <f>IFERROR(INDEX(Users!$A$2:$A$310,MATCH(A852,Users!$B$2:$B$310,0)),"")</f>
        <v/>
      </c>
      <c r="H852" s="21">
        <f>IFERROR(INDEX(Users!$D$2:$D$310,MATCH(A852,Users!$B$2:$B$310,0)),"")</f>
        <v/>
      </c>
      <c r="I852" s="19">
        <f>AND(G852="Service A",H852="Band 3")</f>
        <v/>
      </c>
      <c r="J852" s="33">
        <f>IF(AND(YEAR(B852)=2025,G852="Service B",OR(H852="Band 3",H852="Band 5"),ISNUMBER(F852)),F852,"")</f>
        <v/>
      </c>
    </row>
    <row r="853">
      <c r="A853" s="19" t="inlineStr">
        <is>
          <t>User1092</t>
        </is>
      </c>
      <c r="B853" s="60" t="n">
        <v>46023</v>
      </c>
      <c r="C853" s="21" t="n">
        <v>155.4</v>
      </c>
      <c r="D853" s="21" t="n">
        <v>130.99</v>
      </c>
      <c r="E853" s="21" t="n">
        <v>92.19000000000001</v>
      </c>
      <c r="F853" s="27">
        <f>IFERROR(IF(OR(C853="",D853="",C853=0),"",D853/C853),"")</f>
        <v/>
      </c>
      <c r="G853" s="21">
        <f>IFERROR(INDEX(Users!$A$2:$A$310,MATCH(A853,Users!$B$2:$B$310,0)),"")</f>
        <v/>
      </c>
      <c r="H853" s="21">
        <f>IFERROR(INDEX(Users!$D$2:$D$310,MATCH(A853,Users!$B$2:$B$310,0)),"")</f>
        <v/>
      </c>
      <c r="I853" s="19">
        <f>AND(G853="Service A",H853="Band 3")</f>
        <v/>
      </c>
      <c r="J853" s="33">
        <f>IF(AND(YEAR(B853)=2025,G853="Service B",OR(H853="Band 3",H853="Band 5"),ISNUMBER(F853)),F853,"")</f>
        <v/>
      </c>
    </row>
    <row r="854">
      <c r="A854" s="19" t="inlineStr">
        <is>
          <t>User1093</t>
        </is>
      </c>
      <c r="B854" s="60" t="n">
        <v>45658</v>
      </c>
      <c r="C854" s="21" t="n">
        <v>162.8</v>
      </c>
      <c r="D854" s="21" t="n">
        <v>159.6966666666667</v>
      </c>
      <c r="E854" s="21" t="n">
        <v>97.53</v>
      </c>
      <c r="F854" s="27">
        <f>IFERROR(IF(OR(C854="",D854="",C854=0),"",D854/C854),"")</f>
        <v/>
      </c>
      <c r="G854" s="21">
        <f>IFERROR(INDEX(Users!$A$2:$A$310,MATCH(A854,Users!$B$2:$B$310,0)),"")</f>
        <v/>
      </c>
      <c r="H854" s="21">
        <f>IFERROR(INDEX(Users!$D$2:$D$310,MATCH(A854,Users!$B$2:$B$310,0)),"")</f>
        <v/>
      </c>
      <c r="I854" s="19">
        <f>AND(G854="Service A",H854="Band 3")</f>
        <v/>
      </c>
      <c r="J854" s="33">
        <f>IF(AND(YEAR(B854)=2025,G854="Service B",OR(H854="Band 3",H854="Band 5"),ISNUMBER(F854)),F854,"")</f>
        <v/>
      </c>
    </row>
    <row r="855">
      <c r="A855" s="19" t="inlineStr">
        <is>
          <t>User1093</t>
        </is>
      </c>
      <c r="B855" s="60" t="n">
        <v>45689</v>
      </c>
      <c r="C855" s="21" t="n">
        <v>148</v>
      </c>
      <c r="D855" s="21" t="n">
        <v>125.15</v>
      </c>
      <c r="E855" s="21" t="n">
        <v>76.40000000000001</v>
      </c>
      <c r="F855" s="27">
        <f>IFERROR(IF(OR(C855="",D855="",C855=0),"",D855/C855),"")</f>
        <v/>
      </c>
      <c r="G855" s="21">
        <f>IFERROR(INDEX(Users!$A$2:$A$310,MATCH(A855,Users!$B$2:$B$310,0)),"")</f>
        <v/>
      </c>
      <c r="H855" s="21">
        <f>IFERROR(INDEX(Users!$D$2:$D$310,MATCH(A855,Users!$B$2:$B$310,0)),"")</f>
        <v/>
      </c>
      <c r="I855" s="19">
        <f>AND(G855="Service A",H855="Band 3")</f>
        <v/>
      </c>
      <c r="J855" s="33">
        <f>IF(AND(YEAR(B855)=2025,G855="Service B",OR(H855="Band 3",H855="Band 5"),ISNUMBER(F855)),F855,"")</f>
        <v/>
      </c>
    </row>
    <row r="856">
      <c r="A856" s="19" t="inlineStr">
        <is>
          <t>User1093</t>
        </is>
      </c>
      <c r="B856" s="60" t="n">
        <v>45717</v>
      </c>
      <c r="C856" s="21" t="n">
        <v>155.4</v>
      </c>
      <c r="D856" s="21" t="n">
        <v>150.75</v>
      </c>
      <c r="E856" s="21" t="n">
        <v>84</v>
      </c>
      <c r="F856" s="27">
        <f>IFERROR(IF(OR(C856="",D856="",C856=0),"",D856/C856),"")</f>
        <v/>
      </c>
      <c r="G856" s="21">
        <f>IFERROR(INDEX(Users!$A$2:$A$310,MATCH(A856,Users!$B$2:$B$310,0)),"")</f>
        <v/>
      </c>
      <c r="H856" s="21">
        <f>IFERROR(INDEX(Users!$D$2:$D$310,MATCH(A856,Users!$B$2:$B$310,0)),"")</f>
        <v/>
      </c>
      <c r="I856" s="19">
        <f>AND(G856="Service A",H856="Band 3")</f>
        <v/>
      </c>
      <c r="J856" s="33">
        <f>IF(AND(YEAR(B856)=2025,G856="Service B",OR(H856="Band 3",H856="Band 5"),ISNUMBER(F856)),F856,"")</f>
        <v/>
      </c>
    </row>
    <row r="857">
      <c r="A857" s="19" t="inlineStr">
        <is>
          <t>User1093</t>
        </is>
      </c>
      <c r="B857" s="60" t="n">
        <v>45748</v>
      </c>
      <c r="C857" s="21" t="n">
        <v>148</v>
      </c>
      <c r="D857" s="21" t="n">
        <v>15</v>
      </c>
      <c r="E857" s="21" t="n">
        <v>1</v>
      </c>
      <c r="F857" s="27">
        <f>IFERROR(IF(OR(C857="",D857="",C857=0),"",D857/C857),"")</f>
        <v/>
      </c>
      <c r="G857" s="21">
        <f>IFERROR(INDEX(Users!$A$2:$A$310,MATCH(A857,Users!$B$2:$B$310,0)),"")</f>
        <v/>
      </c>
      <c r="H857" s="21">
        <f>IFERROR(INDEX(Users!$D$2:$D$310,MATCH(A857,Users!$B$2:$B$310,0)),"")</f>
        <v/>
      </c>
      <c r="I857" s="19">
        <f>AND(G857="Service A",H857="Band 3")</f>
        <v/>
      </c>
      <c r="J857" s="33">
        <f>IF(AND(YEAR(B857)=2025,G857="Service B",OR(H857="Band 3",H857="Band 5"),ISNUMBER(F857)),F857,"")</f>
        <v/>
      </c>
    </row>
    <row r="858">
      <c r="A858" s="19" t="inlineStr">
        <is>
          <t>User1093</t>
        </is>
      </c>
      <c r="B858" s="60" t="n">
        <v>45778</v>
      </c>
      <c r="C858" s="21" t="n">
        <v>148</v>
      </c>
      <c r="D858" s="21" t="n">
        <v>119.5066666666667</v>
      </c>
      <c r="E858" s="21" t="n">
        <v>86.59</v>
      </c>
      <c r="F858" s="27">
        <f>IFERROR(IF(OR(C858="",D858="",C858=0),"",D858/C858),"")</f>
        <v/>
      </c>
      <c r="G858" s="21">
        <f>IFERROR(INDEX(Users!$A$2:$A$310,MATCH(A858,Users!$B$2:$B$310,0)),"")</f>
        <v/>
      </c>
      <c r="H858" s="21">
        <f>IFERROR(INDEX(Users!$D$2:$D$310,MATCH(A858,Users!$B$2:$B$310,0)),"")</f>
        <v/>
      </c>
      <c r="I858" s="19">
        <f>AND(G858="Service A",H858="Band 3")</f>
        <v/>
      </c>
      <c r="J858" s="33">
        <f>IF(AND(YEAR(B858)=2025,G858="Service B",OR(H858="Band 3",H858="Band 5"),ISNUMBER(F858)),F858,"")</f>
        <v/>
      </c>
    </row>
    <row r="859">
      <c r="A859" s="19" t="inlineStr">
        <is>
          <t>User1093</t>
        </is>
      </c>
      <c r="B859" s="60" t="n">
        <v>45809</v>
      </c>
      <c r="C859" s="21" t="n">
        <v>155.4</v>
      </c>
      <c r="D859" s="21" t="n">
        <v>134.15</v>
      </c>
      <c r="E859" s="21" t="n">
        <v>77</v>
      </c>
      <c r="F859" s="27">
        <f>IFERROR(IF(OR(C859="",D859="",C859=0),"",D859/C859),"")</f>
        <v/>
      </c>
      <c r="G859" s="21">
        <f>IFERROR(INDEX(Users!$A$2:$A$310,MATCH(A859,Users!$B$2:$B$310,0)),"")</f>
        <v/>
      </c>
      <c r="H859" s="21">
        <f>IFERROR(INDEX(Users!$D$2:$D$310,MATCH(A859,Users!$B$2:$B$310,0)),"")</f>
        <v/>
      </c>
      <c r="I859" s="19">
        <f>AND(G859="Service A",H859="Band 3")</f>
        <v/>
      </c>
      <c r="J859" s="33">
        <f>IF(AND(YEAR(B859)=2025,G859="Service B",OR(H859="Band 3",H859="Band 5"),ISNUMBER(F859)),F859,"")</f>
        <v/>
      </c>
    </row>
    <row r="860">
      <c r="A860" s="19" t="inlineStr">
        <is>
          <t>User1093</t>
        </is>
      </c>
      <c r="B860" s="60" t="n">
        <v>45839</v>
      </c>
      <c r="C860" s="21" t="n">
        <v>170.2</v>
      </c>
      <c r="D860" s="21" t="n">
        <v>166.75</v>
      </c>
      <c r="E860" s="21" t="n">
        <v>113</v>
      </c>
      <c r="F860" s="27">
        <f>IFERROR(IF(OR(C860="",D860="",C860=0),"",D860/C860),"")</f>
        <v/>
      </c>
      <c r="G860" s="21">
        <f>IFERROR(INDEX(Users!$A$2:$A$310,MATCH(A860,Users!$B$2:$B$310,0)),"")</f>
        <v/>
      </c>
      <c r="H860" s="21">
        <f>IFERROR(INDEX(Users!$D$2:$D$310,MATCH(A860,Users!$B$2:$B$310,0)),"")</f>
        <v/>
      </c>
      <c r="I860" s="19">
        <f>AND(G860="Service A",H860="Band 3")</f>
        <v/>
      </c>
      <c r="J860" s="33">
        <f>IF(AND(YEAR(B860)=2025,G860="Service B",OR(H860="Band 3",H860="Band 5"),ISNUMBER(F860)),F860,"")</f>
        <v/>
      </c>
    </row>
    <row r="861">
      <c r="A861" s="19" t="inlineStr">
        <is>
          <t>User1093</t>
        </is>
      </c>
      <c r="B861" s="60" t="n">
        <v>45870</v>
      </c>
      <c r="C861" s="21" t="n">
        <v>148</v>
      </c>
      <c r="D861" s="21" t="n">
        <v>152.1666666666667</v>
      </c>
      <c r="E861" s="21" t="n">
        <v>77.5</v>
      </c>
      <c r="F861" s="27">
        <f>IFERROR(IF(OR(C861="",D861="",C861=0),"",D861/C861),"")</f>
        <v/>
      </c>
      <c r="G861" s="21">
        <f>IFERROR(INDEX(Users!$A$2:$A$310,MATCH(A861,Users!$B$2:$B$310,0)),"")</f>
        <v/>
      </c>
      <c r="H861" s="21">
        <f>IFERROR(INDEX(Users!$D$2:$D$310,MATCH(A861,Users!$B$2:$B$310,0)),"")</f>
        <v/>
      </c>
      <c r="I861" s="19">
        <f>AND(G861="Service A",H861="Band 3")</f>
        <v/>
      </c>
      <c r="J861" s="33">
        <f>IF(AND(YEAR(B861)=2025,G861="Service B",OR(H861="Band 3",H861="Band 5"),ISNUMBER(F861)),F861,"")</f>
        <v/>
      </c>
    </row>
    <row r="862">
      <c r="A862" s="19" t="inlineStr">
        <is>
          <t>User1093</t>
        </is>
      </c>
      <c r="B862" s="60" t="n">
        <v>45901</v>
      </c>
      <c r="C862" s="21" t="n">
        <v>162.8</v>
      </c>
      <c r="D862" s="21" t="n">
        <v>157.5</v>
      </c>
      <c r="E862" s="21" t="n">
        <v>97</v>
      </c>
      <c r="F862" s="27">
        <f>IFERROR(IF(OR(C862="",D862="",C862=0),"",D862/C862),"")</f>
        <v/>
      </c>
      <c r="G862" s="21">
        <f>IFERROR(INDEX(Users!$A$2:$A$310,MATCH(A862,Users!$B$2:$B$310,0)),"")</f>
        <v/>
      </c>
      <c r="H862" s="21">
        <f>IFERROR(INDEX(Users!$D$2:$D$310,MATCH(A862,Users!$B$2:$B$310,0)),"")</f>
        <v/>
      </c>
      <c r="I862" s="19">
        <f>AND(G862="Service A",H862="Band 3")</f>
        <v/>
      </c>
      <c r="J862" s="33">
        <f>IF(AND(YEAR(B862)=2025,G862="Service B",OR(H862="Band 3",H862="Band 5"),ISNUMBER(F862)),F862,"")</f>
        <v/>
      </c>
    </row>
    <row r="863">
      <c r="A863" s="19" t="inlineStr">
        <is>
          <t>User1093</t>
        </is>
      </c>
      <c r="B863" s="60" t="n">
        <v>45931</v>
      </c>
      <c r="C863" s="21" t="n">
        <v>170.2</v>
      </c>
      <c r="D863" s="21" t="n">
        <v>134.15</v>
      </c>
      <c r="E863" s="21" t="n">
        <v>90.25</v>
      </c>
      <c r="F863" s="27">
        <f>IFERROR(IF(OR(C863="",D863="",C863=0),"",D863/C863),"")</f>
        <v/>
      </c>
      <c r="G863" s="21">
        <f>IFERROR(INDEX(Users!$A$2:$A$310,MATCH(A863,Users!$B$2:$B$310,0)),"")</f>
        <v/>
      </c>
      <c r="H863" s="21">
        <f>IFERROR(INDEX(Users!$D$2:$D$310,MATCH(A863,Users!$B$2:$B$310,0)),"")</f>
        <v/>
      </c>
      <c r="I863" s="19">
        <f>AND(G863="Service A",H863="Band 3")</f>
        <v/>
      </c>
      <c r="J863" s="33">
        <f>IF(AND(YEAR(B863)=2025,G863="Service B",OR(H863="Band 3",H863="Band 5"),ISNUMBER(F863)),F863,"")</f>
        <v/>
      </c>
    </row>
    <row r="864">
      <c r="A864" s="19" t="inlineStr">
        <is>
          <t>User1093</t>
        </is>
      </c>
      <c r="B864" s="60" t="n">
        <v>45962</v>
      </c>
      <c r="C864" s="21" t="n">
        <v>148</v>
      </c>
      <c r="D864" s="21" t="n">
        <v>153.67</v>
      </c>
      <c r="E864" s="21" t="n">
        <v>106.17</v>
      </c>
      <c r="F864" s="27">
        <f>IFERROR(IF(OR(C864="",D864="",C864=0),"",D864/C864),"")</f>
        <v/>
      </c>
      <c r="G864" s="21">
        <f>IFERROR(INDEX(Users!$A$2:$A$310,MATCH(A864,Users!$B$2:$B$310,0)),"")</f>
        <v/>
      </c>
      <c r="H864" s="21">
        <f>IFERROR(INDEX(Users!$D$2:$D$310,MATCH(A864,Users!$B$2:$B$310,0)),"")</f>
        <v/>
      </c>
      <c r="I864" s="19">
        <f>AND(G864="Service A",H864="Band 3")</f>
        <v/>
      </c>
      <c r="J864" s="33">
        <f>IF(AND(YEAR(B864)=2025,G864="Service B",OR(H864="Band 3",H864="Band 5"),ISNUMBER(F864)),F864,"")</f>
        <v/>
      </c>
    </row>
    <row r="865">
      <c r="A865" s="19" t="inlineStr">
        <is>
          <t>User1093</t>
        </is>
      </c>
      <c r="B865" s="60" t="n">
        <v>45992</v>
      </c>
      <c r="C865" s="21" t="n">
        <v>155.4</v>
      </c>
      <c r="D865" s="21" t="n">
        <v>123.5</v>
      </c>
      <c r="E865" s="21" t="n">
        <v>71</v>
      </c>
      <c r="F865" s="27">
        <f>IFERROR(IF(OR(C865="",D865="",C865=0),"",D865/C865),"")</f>
        <v/>
      </c>
      <c r="G865" s="21">
        <f>IFERROR(INDEX(Users!$A$2:$A$310,MATCH(A865,Users!$B$2:$B$310,0)),"")</f>
        <v/>
      </c>
      <c r="H865" s="21">
        <f>IFERROR(INDEX(Users!$D$2:$D$310,MATCH(A865,Users!$B$2:$B$310,0)),"")</f>
        <v/>
      </c>
      <c r="I865" s="19">
        <f>AND(G865="Service A",H865="Band 3")</f>
        <v/>
      </c>
      <c r="J865" s="33">
        <f>IF(AND(YEAR(B865)=2025,G865="Service B",OR(H865="Band 3",H865="Band 5"),ISNUMBER(F865)),F865,"")</f>
        <v/>
      </c>
    </row>
    <row r="866">
      <c r="A866" s="19" t="inlineStr">
        <is>
          <t>User1093</t>
        </is>
      </c>
      <c r="B866" s="60" t="n">
        <v>46023</v>
      </c>
      <c r="C866" s="21" t="n">
        <v>155.4</v>
      </c>
      <c r="D866" s="21" t="n">
        <v>146.5</v>
      </c>
      <c r="E866" s="21" t="n">
        <v>94</v>
      </c>
      <c r="F866" s="27">
        <f>IFERROR(IF(OR(C866="",D866="",C866=0),"",D866/C866),"")</f>
        <v/>
      </c>
      <c r="G866" s="21">
        <f>IFERROR(INDEX(Users!$A$2:$A$310,MATCH(A866,Users!$B$2:$B$310,0)),"")</f>
        <v/>
      </c>
      <c r="H866" s="21">
        <f>IFERROR(INDEX(Users!$D$2:$D$310,MATCH(A866,Users!$B$2:$B$310,0)),"")</f>
        <v/>
      </c>
      <c r="I866" s="19">
        <f>AND(G866="Service A",H866="Band 3")</f>
        <v/>
      </c>
      <c r="J866" s="33">
        <f>IF(AND(YEAR(B866)=2025,G866="Service B",OR(H866="Band 3",H866="Band 5"),ISNUMBER(F866)),F866,"")</f>
        <v/>
      </c>
    </row>
    <row r="867">
      <c r="A867" s="19" t="inlineStr">
        <is>
          <t>User1094</t>
        </is>
      </c>
      <c r="B867" s="60" t="n">
        <v>45658</v>
      </c>
      <c r="C867" s="21" t="n">
        <v>162.8</v>
      </c>
      <c r="D867" s="21" t="n">
        <v>146.7466666666667</v>
      </c>
      <c r="E867" s="21" t="n">
        <v>61.58000000000002</v>
      </c>
      <c r="F867" s="27">
        <f>IFERROR(IF(OR(C867="",D867="",C867=0),"",D867/C867),"")</f>
        <v/>
      </c>
      <c r="G867" s="21">
        <f>IFERROR(INDEX(Users!$A$2:$A$310,MATCH(A867,Users!$B$2:$B$310,0)),"")</f>
        <v/>
      </c>
      <c r="H867" s="21">
        <f>IFERROR(INDEX(Users!$D$2:$D$310,MATCH(A867,Users!$B$2:$B$310,0)),"")</f>
        <v/>
      </c>
      <c r="I867" s="19">
        <f>AND(G867="Service A",H867="Band 3")</f>
        <v/>
      </c>
      <c r="J867" s="33">
        <f>IF(AND(YEAR(B867)=2025,G867="Service B",OR(H867="Band 3",H867="Band 5"),ISNUMBER(F867)),F867,"")</f>
        <v/>
      </c>
    </row>
    <row r="868">
      <c r="A868" s="19" t="inlineStr">
        <is>
          <t>User1094</t>
        </is>
      </c>
      <c r="B868" s="60" t="n">
        <v>45689</v>
      </c>
      <c r="C868" s="21" t="n">
        <v>148</v>
      </c>
      <c r="D868" s="21" t="n">
        <v>129.9533333333333</v>
      </c>
      <c r="E868" s="21" t="n">
        <v>28.11999999999999</v>
      </c>
      <c r="F868" s="27">
        <f>IFERROR(IF(OR(C868="",D868="",C868=0),"",D868/C868),"")</f>
        <v/>
      </c>
      <c r="G868" s="21">
        <f>IFERROR(INDEX(Users!$A$2:$A$310,MATCH(A868,Users!$B$2:$B$310,0)),"")</f>
        <v/>
      </c>
      <c r="H868" s="21">
        <f>IFERROR(INDEX(Users!$D$2:$D$310,MATCH(A868,Users!$B$2:$B$310,0)),"")</f>
        <v/>
      </c>
      <c r="I868" s="19">
        <f>AND(G868="Service A",H868="Band 3")</f>
        <v/>
      </c>
      <c r="J868" s="33">
        <f>IF(AND(YEAR(B868)=2025,G868="Service B",OR(H868="Band 3",H868="Band 5"),ISNUMBER(F868)),F868,"")</f>
        <v/>
      </c>
    </row>
    <row r="869">
      <c r="A869" s="19" t="inlineStr">
        <is>
          <t>User1094</t>
        </is>
      </c>
      <c r="B869" s="60" t="n">
        <v>45717</v>
      </c>
      <c r="C869" s="21" t="n">
        <v>155.4</v>
      </c>
      <c r="D869" s="21" t="n">
        <v>141.69</v>
      </c>
      <c r="E869" s="21" t="n">
        <v>46.19</v>
      </c>
      <c r="F869" s="27">
        <f>IFERROR(IF(OR(C869="",D869="",C869=0),"",D869/C869),"")</f>
        <v/>
      </c>
      <c r="G869" s="21">
        <f>IFERROR(INDEX(Users!$A$2:$A$310,MATCH(A869,Users!$B$2:$B$310,0)),"")</f>
        <v/>
      </c>
      <c r="H869" s="21">
        <f>IFERROR(INDEX(Users!$D$2:$D$310,MATCH(A869,Users!$B$2:$B$310,0)),"")</f>
        <v/>
      </c>
      <c r="I869" s="19">
        <f>AND(G869="Service A",H869="Band 3")</f>
        <v/>
      </c>
      <c r="J869" s="33">
        <f>IF(AND(YEAR(B869)=2025,G869="Service B",OR(H869="Band 3",H869="Band 5"),ISNUMBER(F869)),F869,"")</f>
        <v/>
      </c>
    </row>
    <row r="870">
      <c r="A870" s="19" t="inlineStr">
        <is>
          <t>User1094</t>
        </is>
      </c>
      <c r="B870" s="60" t="n">
        <v>45748</v>
      </c>
      <c r="C870" s="21" t="n">
        <v>148</v>
      </c>
      <c r="D870" s="21" t="n">
        <v>155.1766666666667</v>
      </c>
      <c r="E870" s="21" t="n">
        <v>72.26000000000002</v>
      </c>
      <c r="F870" s="27">
        <f>IFERROR(IF(OR(C870="",D870="",C870=0),"",D870/C870),"")</f>
        <v/>
      </c>
      <c r="G870" s="21">
        <f>IFERROR(INDEX(Users!$A$2:$A$310,MATCH(A870,Users!$B$2:$B$310,0)),"")</f>
        <v/>
      </c>
      <c r="H870" s="21">
        <f>IFERROR(INDEX(Users!$D$2:$D$310,MATCH(A870,Users!$B$2:$B$310,0)),"")</f>
        <v/>
      </c>
      <c r="I870" s="19">
        <f>AND(G870="Service A",H870="Band 3")</f>
        <v/>
      </c>
      <c r="J870" s="33">
        <f>IF(AND(YEAR(B870)=2025,G870="Service B",OR(H870="Band 3",H870="Band 5"),ISNUMBER(F870)),F870,"")</f>
        <v/>
      </c>
    </row>
    <row r="871">
      <c r="A871" s="19" t="inlineStr">
        <is>
          <t>User1094</t>
        </is>
      </c>
      <c r="B871" s="60" t="n">
        <v>45778</v>
      </c>
      <c r="C871" s="21" t="n">
        <v>148</v>
      </c>
      <c r="D871" s="21" t="n">
        <v>67.42333333333333</v>
      </c>
      <c r="E871" s="21" t="n">
        <v>37.14</v>
      </c>
      <c r="F871" s="27">
        <f>IFERROR(IF(OR(C871="",D871="",C871=0),"",D871/C871),"")</f>
        <v/>
      </c>
      <c r="G871" s="21">
        <f>IFERROR(INDEX(Users!$A$2:$A$310,MATCH(A871,Users!$B$2:$B$310,0)),"")</f>
        <v/>
      </c>
      <c r="H871" s="21">
        <f>IFERROR(INDEX(Users!$D$2:$D$310,MATCH(A871,Users!$B$2:$B$310,0)),"")</f>
        <v/>
      </c>
      <c r="I871" s="19">
        <f>AND(G871="Service A",H871="Band 3")</f>
        <v/>
      </c>
      <c r="J871" s="33">
        <f>IF(AND(YEAR(B871)=2025,G871="Service B",OR(H871="Band 3",H871="Band 5"),ISNUMBER(F871)),F871,"")</f>
        <v/>
      </c>
    </row>
    <row r="872">
      <c r="A872" s="19" t="inlineStr">
        <is>
          <t>User1094</t>
        </is>
      </c>
      <c r="B872" s="60" t="n">
        <v>45809</v>
      </c>
      <c r="C872" s="21" t="n">
        <v>155.4</v>
      </c>
      <c r="D872" s="21" t="n">
        <v>101.11</v>
      </c>
      <c r="E872" s="21" t="n">
        <v>51.35999999999999</v>
      </c>
      <c r="F872" s="27">
        <f>IFERROR(IF(OR(C872="",D872="",C872=0),"",D872/C872),"")</f>
        <v/>
      </c>
      <c r="G872" s="21">
        <f>IFERROR(INDEX(Users!$A$2:$A$310,MATCH(A872,Users!$B$2:$B$310,0)),"")</f>
        <v/>
      </c>
      <c r="H872" s="21">
        <f>IFERROR(INDEX(Users!$D$2:$D$310,MATCH(A872,Users!$B$2:$B$310,0)),"")</f>
        <v/>
      </c>
      <c r="I872" s="19">
        <f>AND(G872="Service A",H872="Band 3")</f>
        <v/>
      </c>
      <c r="J872" s="33">
        <f>IF(AND(YEAR(B872)=2025,G872="Service B",OR(H872="Band 3",H872="Band 5"),ISNUMBER(F872)),F872,"")</f>
        <v/>
      </c>
    </row>
    <row r="873">
      <c r="A873" s="19" t="inlineStr">
        <is>
          <t>User1094</t>
        </is>
      </c>
      <c r="B873" s="60" t="n">
        <v>45839</v>
      </c>
      <c r="C873" s="21" t="n">
        <v>170.2</v>
      </c>
      <c r="D873" s="21" t="n"/>
      <c r="E873" s="21" t="n"/>
      <c r="F873" s="27">
        <f>IFERROR(IF(OR(C873="",D873="",C873=0),"",D873/C873),"")</f>
        <v/>
      </c>
      <c r="G873" s="21">
        <f>IFERROR(INDEX(Users!$A$2:$A$310,MATCH(A873,Users!$B$2:$B$310,0)),"")</f>
        <v/>
      </c>
      <c r="H873" s="21">
        <f>IFERROR(INDEX(Users!$D$2:$D$310,MATCH(A873,Users!$B$2:$B$310,0)),"")</f>
        <v/>
      </c>
      <c r="I873" s="19">
        <f>AND(G873="Service A",H873="Band 3")</f>
        <v/>
      </c>
      <c r="J873" s="33">
        <f>IF(AND(YEAR(B873)=2025,G873="Service B",OR(H873="Band 3",H873="Band 5"),ISNUMBER(F873)),F873,"")</f>
        <v/>
      </c>
    </row>
    <row r="874">
      <c r="A874" s="19" t="inlineStr">
        <is>
          <t>User1094</t>
        </is>
      </c>
      <c r="B874" s="60" t="n">
        <v>45870</v>
      </c>
      <c r="C874" s="21" t="n">
        <v>148</v>
      </c>
      <c r="D874" s="21" t="n">
        <v>132.74</v>
      </c>
      <c r="E874" s="21" t="n">
        <v>25.99</v>
      </c>
      <c r="F874" s="27">
        <f>IFERROR(IF(OR(C874="",D874="",C874=0),"",D874/C874),"")</f>
        <v/>
      </c>
      <c r="G874" s="21">
        <f>IFERROR(INDEX(Users!$A$2:$A$310,MATCH(A874,Users!$B$2:$B$310,0)),"")</f>
        <v/>
      </c>
      <c r="H874" s="21">
        <f>IFERROR(INDEX(Users!$D$2:$D$310,MATCH(A874,Users!$B$2:$B$310,0)),"")</f>
        <v/>
      </c>
      <c r="I874" s="19">
        <f>AND(G874="Service A",H874="Band 3")</f>
        <v/>
      </c>
      <c r="J874" s="33">
        <f>IF(AND(YEAR(B874)=2025,G874="Service B",OR(H874="Band 3",H874="Band 5"),ISNUMBER(F874)),F874,"")</f>
        <v/>
      </c>
    </row>
    <row r="875">
      <c r="A875" s="19" t="inlineStr">
        <is>
          <t>User1094</t>
        </is>
      </c>
      <c r="B875" s="60" t="n">
        <v>45901</v>
      </c>
      <c r="C875" s="21" t="n">
        <v>162.8</v>
      </c>
      <c r="D875" s="21" t="n">
        <v>162.14</v>
      </c>
      <c r="E875" s="21" t="n">
        <v>42.39000000000001</v>
      </c>
      <c r="F875" s="27">
        <f>IFERROR(IF(OR(C875="",D875="",C875=0),"",D875/C875),"")</f>
        <v/>
      </c>
      <c r="G875" s="21">
        <f>IFERROR(INDEX(Users!$A$2:$A$310,MATCH(A875,Users!$B$2:$B$310,0)),"")</f>
        <v/>
      </c>
      <c r="H875" s="21">
        <f>IFERROR(INDEX(Users!$D$2:$D$310,MATCH(A875,Users!$B$2:$B$310,0)),"")</f>
        <v/>
      </c>
      <c r="I875" s="19">
        <f>AND(G875="Service A",H875="Band 3")</f>
        <v/>
      </c>
      <c r="J875" s="33">
        <f>IF(AND(YEAR(B875)=2025,G875="Service B",OR(H875="Band 3",H875="Band 5"),ISNUMBER(F875)),F875,"")</f>
        <v/>
      </c>
    </row>
    <row r="876">
      <c r="A876" s="19" t="inlineStr">
        <is>
          <t>User1094</t>
        </is>
      </c>
      <c r="B876" s="60" t="n">
        <v>45931</v>
      </c>
      <c r="C876" s="21" t="n">
        <v>170.2</v>
      </c>
      <c r="D876" s="21" t="n">
        <v>163.04</v>
      </c>
      <c r="E876" s="21" t="n">
        <v>43.04000000000002</v>
      </c>
      <c r="F876" s="27">
        <f>IFERROR(IF(OR(C876="",D876="",C876=0),"",D876/C876),"")</f>
        <v/>
      </c>
      <c r="G876" s="21">
        <f>IFERROR(INDEX(Users!$A$2:$A$310,MATCH(A876,Users!$B$2:$B$310,0)),"")</f>
        <v/>
      </c>
      <c r="H876" s="21">
        <f>IFERROR(INDEX(Users!$D$2:$D$310,MATCH(A876,Users!$B$2:$B$310,0)),"")</f>
        <v/>
      </c>
      <c r="I876" s="19">
        <f>AND(G876="Service A",H876="Band 3")</f>
        <v/>
      </c>
      <c r="J876" s="33">
        <f>IF(AND(YEAR(B876)=2025,G876="Service B",OR(H876="Band 3",H876="Band 5"),ISNUMBER(F876)),F876,"")</f>
        <v/>
      </c>
    </row>
    <row r="877">
      <c r="A877" s="19" t="inlineStr">
        <is>
          <t>User1094</t>
        </is>
      </c>
      <c r="B877" s="60" t="n">
        <v>45962</v>
      </c>
      <c r="C877" s="21" t="n">
        <v>148</v>
      </c>
      <c r="D877" s="21" t="n">
        <v>133.96</v>
      </c>
      <c r="E877" s="21" t="n">
        <v>36.96</v>
      </c>
      <c r="F877" s="27">
        <f>IFERROR(IF(OR(C877="",D877="",C877=0),"",D877/C877),"")</f>
        <v/>
      </c>
      <c r="G877" s="21">
        <f>IFERROR(INDEX(Users!$A$2:$A$310,MATCH(A877,Users!$B$2:$B$310,0)),"")</f>
        <v/>
      </c>
      <c r="H877" s="21">
        <f>IFERROR(INDEX(Users!$D$2:$D$310,MATCH(A877,Users!$B$2:$B$310,0)),"")</f>
        <v/>
      </c>
      <c r="I877" s="19">
        <f>AND(G877="Service A",H877="Band 3")</f>
        <v/>
      </c>
      <c r="J877" s="33">
        <f>IF(AND(YEAR(B877)=2025,G877="Service B",OR(H877="Band 3",H877="Band 5"),ISNUMBER(F877)),F877,"")</f>
        <v/>
      </c>
    </row>
    <row r="878">
      <c r="A878" s="19" t="inlineStr">
        <is>
          <t>User1094</t>
        </is>
      </c>
      <c r="B878" s="60" t="n">
        <v>45992</v>
      </c>
      <c r="C878" s="21" t="n">
        <v>155.4</v>
      </c>
      <c r="D878" s="21" t="n">
        <v>111.7133333333333</v>
      </c>
      <c r="E878" s="21" t="n">
        <v>32.37999999999999</v>
      </c>
      <c r="F878" s="27">
        <f>IFERROR(IF(OR(C878="",D878="",C878=0),"",D878/C878),"")</f>
        <v/>
      </c>
      <c r="G878" s="21">
        <f>IFERROR(INDEX(Users!$A$2:$A$310,MATCH(A878,Users!$B$2:$B$310,0)),"")</f>
        <v/>
      </c>
      <c r="H878" s="21">
        <f>IFERROR(INDEX(Users!$D$2:$D$310,MATCH(A878,Users!$B$2:$B$310,0)),"")</f>
        <v/>
      </c>
      <c r="I878" s="19">
        <f>AND(G878="Service A",H878="Band 3")</f>
        <v/>
      </c>
      <c r="J878" s="33">
        <f>IF(AND(YEAR(B878)=2025,G878="Service B",OR(H878="Band 3",H878="Band 5"),ISNUMBER(F878)),F878,"")</f>
        <v/>
      </c>
    </row>
    <row r="879">
      <c r="A879" s="19" t="inlineStr">
        <is>
          <t>User1094</t>
        </is>
      </c>
      <c r="B879" s="60" t="n">
        <v>46023</v>
      </c>
      <c r="C879" s="21" t="n">
        <v>155.4</v>
      </c>
      <c r="D879" s="21" t="n">
        <v>145.1833333333333</v>
      </c>
      <c r="E879" s="21" t="n">
        <v>32.84999999999999</v>
      </c>
      <c r="F879" s="27">
        <f>IFERROR(IF(OR(C879="",D879="",C879=0),"",D879/C879),"")</f>
        <v/>
      </c>
      <c r="G879" s="21">
        <f>IFERROR(INDEX(Users!$A$2:$A$310,MATCH(A879,Users!$B$2:$B$310,0)),"")</f>
        <v/>
      </c>
      <c r="H879" s="21">
        <f>IFERROR(INDEX(Users!$D$2:$D$310,MATCH(A879,Users!$B$2:$B$310,0)),"")</f>
        <v/>
      </c>
      <c r="I879" s="19">
        <f>AND(G879="Service A",H879="Band 3")</f>
        <v/>
      </c>
      <c r="J879" s="33">
        <f>IF(AND(YEAR(B879)=2025,G879="Service B",OR(H879="Band 3",H879="Band 5"),ISNUMBER(F879)),F879,"")</f>
        <v/>
      </c>
    </row>
    <row r="880">
      <c r="A880" s="19" t="inlineStr">
        <is>
          <t>User1095</t>
        </is>
      </c>
      <c r="B880" s="60" t="n">
        <v>45658</v>
      </c>
      <c r="C880" s="21" t="n">
        <v>162.8</v>
      </c>
      <c r="D880" s="21" t="n">
        <v>85.86666666666667</v>
      </c>
      <c r="E880" s="21" t="n">
        <v>32.2</v>
      </c>
      <c r="F880" s="27">
        <f>IFERROR(IF(OR(C880="",D880="",C880=0),"",D880/C880),"")</f>
        <v/>
      </c>
      <c r="G880" s="21">
        <f>IFERROR(INDEX(Users!$A$2:$A$310,MATCH(A880,Users!$B$2:$B$310,0)),"")</f>
        <v/>
      </c>
      <c r="H880" s="21">
        <f>IFERROR(INDEX(Users!$D$2:$D$310,MATCH(A880,Users!$B$2:$B$310,0)),"")</f>
        <v/>
      </c>
      <c r="I880" s="19">
        <f>AND(G880="Service A",H880="Band 3")</f>
        <v/>
      </c>
      <c r="J880" s="33">
        <f>IF(AND(YEAR(B880)=2025,G880="Service B",OR(H880="Band 3",H880="Band 5"),ISNUMBER(F880)),F880,"")</f>
        <v/>
      </c>
    </row>
    <row r="881">
      <c r="A881" s="19" t="inlineStr">
        <is>
          <t>User1095</t>
        </is>
      </c>
      <c r="B881" s="60" t="n">
        <v>45689</v>
      </c>
      <c r="C881" s="21" t="n">
        <v>148</v>
      </c>
      <c r="D881" s="21" t="n">
        <v>138.23</v>
      </c>
      <c r="E881" s="21" t="n">
        <v>35.37999999999999</v>
      </c>
      <c r="F881" s="27">
        <f>IFERROR(IF(OR(C881="",D881="",C881=0),"",D881/C881),"")</f>
        <v/>
      </c>
      <c r="G881" s="21">
        <f>IFERROR(INDEX(Users!$A$2:$A$310,MATCH(A881,Users!$B$2:$B$310,0)),"")</f>
        <v/>
      </c>
      <c r="H881" s="21">
        <f>IFERROR(INDEX(Users!$D$2:$D$310,MATCH(A881,Users!$B$2:$B$310,0)),"")</f>
        <v/>
      </c>
      <c r="I881" s="19">
        <f>AND(G881="Service A",H881="Band 3")</f>
        <v/>
      </c>
      <c r="J881" s="33">
        <f>IF(AND(YEAR(B881)=2025,G881="Service B",OR(H881="Band 3",H881="Band 5"),ISNUMBER(F881)),F881,"")</f>
        <v/>
      </c>
    </row>
    <row r="882">
      <c r="A882" s="19" t="inlineStr">
        <is>
          <t>User1095</t>
        </is>
      </c>
      <c r="B882" s="60" t="n">
        <v>45717</v>
      </c>
      <c r="C882" s="21" t="n">
        <v>155.4</v>
      </c>
      <c r="D882" s="21" t="n">
        <v>141.31</v>
      </c>
      <c r="E882" s="21" t="n">
        <v>49.76000000000001</v>
      </c>
      <c r="F882" s="27">
        <f>IFERROR(IF(OR(C882="",D882="",C882=0),"",D882/C882),"")</f>
        <v/>
      </c>
      <c r="G882" s="21">
        <f>IFERROR(INDEX(Users!$A$2:$A$310,MATCH(A882,Users!$B$2:$B$310,0)),"")</f>
        <v/>
      </c>
      <c r="H882" s="21">
        <f>IFERROR(INDEX(Users!$D$2:$D$310,MATCH(A882,Users!$B$2:$B$310,0)),"")</f>
        <v/>
      </c>
      <c r="I882" s="19">
        <f>AND(G882="Service A",H882="Band 3")</f>
        <v/>
      </c>
      <c r="J882" s="33">
        <f>IF(AND(YEAR(B882)=2025,G882="Service B",OR(H882="Band 3",H882="Band 5"),ISNUMBER(F882)),F882,"")</f>
        <v/>
      </c>
    </row>
    <row r="883">
      <c r="A883" s="19" t="inlineStr">
        <is>
          <t>User1095</t>
        </is>
      </c>
      <c r="B883" s="60" t="n">
        <v>45748</v>
      </c>
      <c r="C883" s="21" t="n">
        <v>148</v>
      </c>
      <c r="D883" s="21" t="n">
        <v>141.2033333333332</v>
      </c>
      <c r="E883" s="21" t="n">
        <v>59.46999999999989</v>
      </c>
      <c r="F883" s="27">
        <f>IFERROR(IF(OR(C883="",D883="",C883=0),"",D883/C883),"")</f>
        <v/>
      </c>
      <c r="G883" s="21">
        <f>IFERROR(INDEX(Users!$A$2:$A$310,MATCH(A883,Users!$B$2:$B$310,0)),"")</f>
        <v/>
      </c>
      <c r="H883" s="21">
        <f>IFERROR(INDEX(Users!$D$2:$D$310,MATCH(A883,Users!$B$2:$B$310,0)),"")</f>
        <v/>
      </c>
      <c r="I883" s="19">
        <f>AND(G883="Service A",H883="Band 3")</f>
        <v/>
      </c>
      <c r="J883" s="33">
        <f>IF(AND(YEAR(B883)=2025,G883="Service B",OR(H883="Band 3",H883="Band 5"),ISNUMBER(F883)),F883,"")</f>
        <v/>
      </c>
    </row>
    <row r="884">
      <c r="A884" s="19" t="inlineStr">
        <is>
          <t>User1095</t>
        </is>
      </c>
      <c r="B884" s="60" t="n">
        <v>45778</v>
      </c>
      <c r="C884" s="21" t="n">
        <v>148</v>
      </c>
      <c r="D884" s="21" t="n">
        <v>107.6633333333333</v>
      </c>
      <c r="E884" s="21" t="n">
        <v>56.82999999999998</v>
      </c>
      <c r="F884" s="27">
        <f>IFERROR(IF(OR(C884="",D884="",C884=0),"",D884/C884),"")</f>
        <v/>
      </c>
      <c r="G884" s="21">
        <f>IFERROR(INDEX(Users!$A$2:$A$310,MATCH(A884,Users!$B$2:$B$310,0)),"")</f>
        <v/>
      </c>
      <c r="H884" s="21">
        <f>IFERROR(INDEX(Users!$D$2:$D$310,MATCH(A884,Users!$B$2:$B$310,0)),"")</f>
        <v/>
      </c>
      <c r="I884" s="19">
        <f>AND(G884="Service A",H884="Band 3")</f>
        <v/>
      </c>
      <c r="J884" s="33">
        <f>IF(AND(YEAR(B884)=2025,G884="Service B",OR(H884="Band 3",H884="Band 5"),ISNUMBER(F884)),F884,"")</f>
        <v/>
      </c>
    </row>
    <row r="885">
      <c r="A885" s="19" t="inlineStr">
        <is>
          <t>User1095</t>
        </is>
      </c>
      <c r="B885" s="60" t="n">
        <v>45809</v>
      </c>
      <c r="C885" s="21" t="n">
        <v>155.4</v>
      </c>
      <c r="D885" s="21" t="n">
        <v>97.47</v>
      </c>
      <c r="E885" s="21" t="n">
        <v>44.92</v>
      </c>
      <c r="F885" s="27">
        <f>IFERROR(IF(OR(C885="",D885="",C885=0),"",D885/C885),"")</f>
        <v/>
      </c>
      <c r="G885" s="21">
        <f>IFERROR(INDEX(Users!$A$2:$A$310,MATCH(A885,Users!$B$2:$B$310,0)),"")</f>
        <v/>
      </c>
      <c r="H885" s="21">
        <f>IFERROR(INDEX(Users!$D$2:$D$310,MATCH(A885,Users!$B$2:$B$310,0)),"")</f>
        <v/>
      </c>
      <c r="I885" s="19">
        <f>AND(G885="Service A",H885="Band 3")</f>
        <v/>
      </c>
      <c r="J885" s="33">
        <f>IF(AND(YEAR(B885)=2025,G885="Service B",OR(H885="Band 3",H885="Band 5"),ISNUMBER(F885)),F885,"")</f>
        <v/>
      </c>
    </row>
    <row r="886">
      <c r="A886" s="19" t="inlineStr">
        <is>
          <t>User1095</t>
        </is>
      </c>
      <c r="B886" s="60" t="n">
        <v>45839</v>
      </c>
      <c r="C886" s="21" t="n">
        <v>170.2</v>
      </c>
      <c r="D886" s="21" t="n">
        <v>170.95</v>
      </c>
      <c r="E886" s="21" t="n">
        <v>98.69999999999999</v>
      </c>
      <c r="F886" s="27">
        <f>IFERROR(IF(OR(C886="",D886="",C886=0),"",D886/C886),"")</f>
        <v/>
      </c>
      <c r="G886" s="21">
        <f>IFERROR(INDEX(Users!$A$2:$A$310,MATCH(A886,Users!$B$2:$B$310,0)),"")</f>
        <v/>
      </c>
      <c r="H886" s="21">
        <f>IFERROR(INDEX(Users!$D$2:$D$310,MATCH(A886,Users!$B$2:$B$310,0)),"")</f>
        <v/>
      </c>
      <c r="I886" s="19">
        <f>AND(G886="Service A",H886="Band 3")</f>
        <v/>
      </c>
      <c r="J886" s="33">
        <f>IF(AND(YEAR(B886)=2025,G886="Service B",OR(H886="Band 3",H886="Band 5"),ISNUMBER(F886)),F886,"")</f>
        <v/>
      </c>
    </row>
    <row r="887">
      <c r="A887" s="19" t="inlineStr">
        <is>
          <t>User1095</t>
        </is>
      </c>
      <c r="B887" s="60" t="n">
        <v>45870</v>
      </c>
      <c r="C887" s="21" t="n">
        <v>148</v>
      </c>
      <c r="D887" s="21" t="n">
        <v>133.3766666666666</v>
      </c>
      <c r="E887" s="21" t="n">
        <v>53.00999999999999</v>
      </c>
      <c r="F887" s="27">
        <f>IFERROR(IF(OR(C887="",D887="",C887=0),"",D887/C887),"")</f>
        <v/>
      </c>
      <c r="G887" s="21">
        <f>IFERROR(INDEX(Users!$A$2:$A$310,MATCH(A887,Users!$B$2:$B$310,0)),"")</f>
        <v/>
      </c>
      <c r="H887" s="21">
        <f>IFERROR(INDEX(Users!$D$2:$D$310,MATCH(A887,Users!$B$2:$B$310,0)),"")</f>
        <v/>
      </c>
      <c r="I887" s="19">
        <f>AND(G887="Service A",H887="Band 3")</f>
        <v/>
      </c>
      <c r="J887" s="33">
        <f>IF(AND(YEAR(B887)=2025,G887="Service B",OR(H887="Band 3",H887="Band 5"),ISNUMBER(F887)),F887,"")</f>
        <v/>
      </c>
    </row>
    <row r="888">
      <c r="A888" s="19" t="inlineStr">
        <is>
          <t>User1095</t>
        </is>
      </c>
      <c r="B888" s="60" t="n">
        <v>45901</v>
      </c>
      <c r="C888" s="21" t="n">
        <v>162.8</v>
      </c>
      <c r="D888" s="21" t="n">
        <v>148.6666666666666</v>
      </c>
      <c r="E888" s="21" t="n">
        <v>69.59999999999997</v>
      </c>
      <c r="F888" s="27">
        <f>IFERROR(IF(OR(C888="",D888="",C888=0),"",D888/C888),"")</f>
        <v/>
      </c>
      <c r="G888" s="21">
        <f>IFERROR(INDEX(Users!$A$2:$A$310,MATCH(A888,Users!$B$2:$B$310,0)),"")</f>
        <v/>
      </c>
      <c r="H888" s="21">
        <f>IFERROR(INDEX(Users!$D$2:$D$310,MATCH(A888,Users!$B$2:$B$310,0)),"")</f>
        <v/>
      </c>
      <c r="I888" s="19">
        <f>AND(G888="Service A",H888="Band 3")</f>
        <v/>
      </c>
      <c r="J888" s="33">
        <f>IF(AND(YEAR(B888)=2025,G888="Service B",OR(H888="Band 3",H888="Band 5"),ISNUMBER(F888)),F888,"")</f>
        <v/>
      </c>
    </row>
    <row r="889">
      <c r="A889" s="19" t="inlineStr">
        <is>
          <t>User1095</t>
        </is>
      </c>
      <c r="B889" s="60" t="n">
        <v>45931</v>
      </c>
      <c r="C889" s="21" t="n">
        <v>170.2</v>
      </c>
      <c r="D889" s="21" t="n">
        <v>162.7333333333333</v>
      </c>
      <c r="E889" s="21" t="n">
        <v>97.29999999999998</v>
      </c>
      <c r="F889" s="27">
        <f>IFERROR(IF(OR(C889="",D889="",C889=0),"",D889/C889),"")</f>
        <v/>
      </c>
      <c r="G889" s="21">
        <f>IFERROR(INDEX(Users!$A$2:$A$310,MATCH(A889,Users!$B$2:$B$310,0)),"")</f>
        <v/>
      </c>
      <c r="H889" s="21">
        <f>IFERROR(INDEX(Users!$D$2:$D$310,MATCH(A889,Users!$B$2:$B$310,0)),"")</f>
        <v/>
      </c>
      <c r="I889" s="19">
        <f>AND(G889="Service A",H889="Band 3")</f>
        <v/>
      </c>
      <c r="J889" s="33">
        <f>IF(AND(YEAR(B889)=2025,G889="Service B",OR(H889="Band 3",H889="Band 5"),ISNUMBER(F889)),F889,"")</f>
        <v/>
      </c>
    </row>
    <row r="890">
      <c r="A890" s="19" t="inlineStr">
        <is>
          <t>User1095</t>
        </is>
      </c>
      <c r="B890" s="60" t="n">
        <v>45962</v>
      </c>
      <c r="C890" s="21" t="n">
        <v>148</v>
      </c>
      <c r="D890" s="21" t="n">
        <v>133.21</v>
      </c>
      <c r="E890" s="21" t="n">
        <v>75.70999999999999</v>
      </c>
      <c r="F890" s="27">
        <f>IFERROR(IF(OR(C890="",D890="",C890=0),"",D890/C890),"")</f>
        <v/>
      </c>
      <c r="G890" s="21">
        <f>IFERROR(INDEX(Users!$A$2:$A$310,MATCH(A890,Users!$B$2:$B$310,0)),"")</f>
        <v/>
      </c>
      <c r="H890" s="21">
        <f>IFERROR(INDEX(Users!$D$2:$D$310,MATCH(A890,Users!$B$2:$B$310,0)),"")</f>
        <v/>
      </c>
      <c r="I890" s="19">
        <f>AND(G890="Service A",H890="Band 3")</f>
        <v/>
      </c>
      <c r="J890" s="33">
        <f>IF(AND(YEAR(B890)=2025,G890="Service B",OR(H890="Band 3",H890="Band 5"),ISNUMBER(F890)),F890,"")</f>
        <v/>
      </c>
    </row>
    <row r="891">
      <c r="A891" s="19" t="inlineStr">
        <is>
          <t>User1095</t>
        </is>
      </c>
      <c r="B891" s="60" t="n">
        <v>45992</v>
      </c>
      <c r="C891" s="21" t="n">
        <v>155.4</v>
      </c>
      <c r="D891" s="21" t="n">
        <v>131.1</v>
      </c>
      <c r="E891" s="21" t="n">
        <v>70.19999999999999</v>
      </c>
      <c r="F891" s="27">
        <f>IFERROR(IF(OR(C891="",D891="",C891=0),"",D891/C891),"")</f>
        <v/>
      </c>
      <c r="G891" s="21">
        <f>IFERROR(INDEX(Users!$A$2:$A$310,MATCH(A891,Users!$B$2:$B$310,0)),"")</f>
        <v/>
      </c>
      <c r="H891" s="21">
        <f>IFERROR(INDEX(Users!$D$2:$D$310,MATCH(A891,Users!$B$2:$B$310,0)),"")</f>
        <v/>
      </c>
      <c r="I891" s="19">
        <f>AND(G891="Service A",H891="Band 3")</f>
        <v/>
      </c>
      <c r="J891" s="33">
        <f>IF(AND(YEAR(B891)=2025,G891="Service B",OR(H891="Band 3",H891="Band 5"),ISNUMBER(F891)),F891,"")</f>
        <v/>
      </c>
    </row>
    <row r="892">
      <c r="A892" s="19" t="inlineStr">
        <is>
          <t>User1095</t>
        </is>
      </c>
      <c r="B892" s="60" t="n">
        <v>46023</v>
      </c>
      <c r="C892" s="21" t="n">
        <v>155.4</v>
      </c>
      <c r="D892" s="21" t="n">
        <v>154.2366666666667</v>
      </c>
      <c r="E892" s="21" t="n">
        <v>93.52</v>
      </c>
      <c r="F892" s="27">
        <f>IFERROR(IF(OR(C892="",D892="",C892=0),"",D892/C892),"")</f>
        <v/>
      </c>
      <c r="G892" s="21">
        <f>IFERROR(INDEX(Users!$A$2:$A$310,MATCH(A892,Users!$B$2:$B$310,0)),"")</f>
        <v/>
      </c>
      <c r="H892" s="21">
        <f>IFERROR(INDEX(Users!$D$2:$D$310,MATCH(A892,Users!$B$2:$B$310,0)),"")</f>
        <v/>
      </c>
      <c r="I892" s="19">
        <f>AND(G892="Service A",H892="Band 3")</f>
        <v/>
      </c>
      <c r="J892" s="33">
        <f>IF(AND(YEAR(B892)=2025,G892="Service B",OR(H892="Band 3",H892="Band 5"),ISNUMBER(F892)),F892,"")</f>
        <v/>
      </c>
    </row>
    <row r="893">
      <c r="A893" s="19" t="inlineStr">
        <is>
          <t>User1096</t>
        </is>
      </c>
      <c r="B893" s="60" t="n">
        <v>45689</v>
      </c>
      <c r="C893" s="21" t="n">
        <v>37</v>
      </c>
      <c r="D893" s="21" t="n">
        <v>41.76</v>
      </c>
      <c r="E893" s="21" t="n">
        <v>23.01</v>
      </c>
      <c r="F893" s="27">
        <f>IFERROR(IF(OR(C893="",D893="",C893=0),"",D893/C893),"")</f>
        <v/>
      </c>
      <c r="G893" s="21">
        <f>IFERROR(INDEX(Users!$A$2:$A$310,MATCH(A893,Users!$B$2:$B$310,0)),"")</f>
        <v/>
      </c>
      <c r="H893" s="21">
        <f>IFERROR(INDEX(Users!$D$2:$D$310,MATCH(A893,Users!$B$2:$B$310,0)),"")</f>
        <v/>
      </c>
      <c r="I893" s="19">
        <f>AND(G893="Service A",H893="Band 3")</f>
        <v/>
      </c>
      <c r="J893" s="33">
        <f>IF(AND(YEAR(B893)=2025,G893="Service B",OR(H893="Band 3",H893="Band 5"),ISNUMBER(F893)),F893,"")</f>
        <v/>
      </c>
    </row>
    <row r="894">
      <c r="A894" s="19" t="inlineStr">
        <is>
          <t>User1096</t>
        </is>
      </c>
      <c r="B894" s="60" t="n">
        <v>45717</v>
      </c>
      <c r="C894" s="21" t="n">
        <v>155.4</v>
      </c>
      <c r="D894" s="21" t="n">
        <v>156.21</v>
      </c>
      <c r="E894" s="21" t="n">
        <v>110.21</v>
      </c>
      <c r="F894" s="27">
        <f>IFERROR(IF(OR(C894="",D894="",C894=0),"",D894/C894),"")</f>
        <v/>
      </c>
      <c r="G894" s="21">
        <f>IFERROR(INDEX(Users!$A$2:$A$310,MATCH(A894,Users!$B$2:$B$310,0)),"")</f>
        <v/>
      </c>
      <c r="H894" s="21">
        <f>IFERROR(INDEX(Users!$D$2:$D$310,MATCH(A894,Users!$B$2:$B$310,0)),"")</f>
        <v/>
      </c>
      <c r="I894" s="19">
        <f>AND(G894="Service A",H894="Band 3")</f>
        <v/>
      </c>
      <c r="J894" s="33">
        <f>IF(AND(YEAR(B894)=2025,G894="Service B",OR(H894="Band 3",H894="Band 5"),ISNUMBER(F894)),F894,"")</f>
        <v/>
      </c>
    </row>
    <row r="895">
      <c r="A895" s="19" t="inlineStr">
        <is>
          <t>User1096</t>
        </is>
      </c>
      <c r="B895" s="60" t="n">
        <v>45748</v>
      </c>
      <c r="C895" s="21" t="n">
        <v>148</v>
      </c>
      <c r="D895" s="21" t="n">
        <v>129.4166666666667</v>
      </c>
      <c r="E895" s="21" t="n">
        <v>88.50000000000004</v>
      </c>
      <c r="F895" s="27">
        <f>IFERROR(IF(OR(C895="",D895="",C895=0),"",D895/C895),"")</f>
        <v/>
      </c>
      <c r="G895" s="21">
        <f>IFERROR(INDEX(Users!$A$2:$A$310,MATCH(A895,Users!$B$2:$B$310,0)),"")</f>
        <v/>
      </c>
      <c r="H895" s="21">
        <f>IFERROR(INDEX(Users!$D$2:$D$310,MATCH(A895,Users!$B$2:$B$310,0)),"")</f>
        <v/>
      </c>
      <c r="I895" s="19">
        <f>AND(G895="Service A",H895="Band 3")</f>
        <v/>
      </c>
      <c r="J895" s="33">
        <f>IF(AND(YEAR(B895)=2025,G895="Service B",OR(H895="Band 3",H895="Band 5"),ISNUMBER(F895)),F895,"")</f>
        <v/>
      </c>
    </row>
    <row r="896">
      <c r="A896" s="19" t="inlineStr">
        <is>
          <t>User1096</t>
        </is>
      </c>
      <c r="B896" s="60" t="n">
        <v>45778</v>
      </c>
      <c r="C896" s="21" t="n">
        <v>148</v>
      </c>
      <c r="D896" s="21" t="n">
        <v>117.7533333333333</v>
      </c>
      <c r="E896" s="21" t="n">
        <v>72.41999999999999</v>
      </c>
      <c r="F896" s="27">
        <f>IFERROR(IF(OR(C896="",D896="",C896=0),"",D896/C896),"")</f>
        <v/>
      </c>
      <c r="G896" s="21">
        <f>IFERROR(INDEX(Users!$A$2:$A$310,MATCH(A896,Users!$B$2:$B$310,0)),"")</f>
        <v/>
      </c>
      <c r="H896" s="21">
        <f>IFERROR(INDEX(Users!$D$2:$D$310,MATCH(A896,Users!$B$2:$B$310,0)),"")</f>
        <v/>
      </c>
      <c r="I896" s="19">
        <f>AND(G896="Service A",H896="Band 3")</f>
        <v/>
      </c>
      <c r="J896" s="33">
        <f>IF(AND(YEAR(B896)=2025,G896="Service B",OR(H896="Band 3",H896="Band 5"),ISNUMBER(F896)),F896,"")</f>
        <v/>
      </c>
    </row>
    <row r="897">
      <c r="A897" s="19" t="inlineStr">
        <is>
          <t>User1096</t>
        </is>
      </c>
      <c r="B897" s="60" t="n">
        <v>45809</v>
      </c>
      <c r="C897" s="21" t="n">
        <v>155.4</v>
      </c>
      <c r="D897" s="21" t="n">
        <v>168.06</v>
      </c>
      <c r="E897" s="21" t="n">
        <v>132.81</v>
      </c>
      <c r="F897" s="27">
        <f>IFERROR(IF(OR(C897="",D897="",C897=0),"",D897/C897),"")</f>
        <v/>
      </c>
      <c r="G897" s="21">
        <f>IFERROR(INDEX(Users!$A$2:$A$310,MATCH(A897,Users!$B$2:$B$310,0)),"")</f>
        <v/>
      </c>
      <c r="H897" s="21">
        <f>IFERROR(INDEX(Users!$D$2:$D$310,MATCH(A897,Users!$B$2:$B$310,0)),"")</f>
        <v/>
      </c>
      <c r="I897" s="19">
        <f>AND(G897="Service A",H897="Band 3")</f>
        <v/>
      </c>
      <c r="J897" s="33">
        <f>IF(AND(YEAR(B897)=2025,G897="Service B",OR(H897="Band 3",H897="Band 5"),ISNUMBER(F897)),F897,"")</f>
        <v/>
      </c>
    </row>
    <row r="898">
      <c r="A898" s="19" t="inlineStr">
        <is>
          <t>User1096</t>
        </is>
      </c>
      <c r="B898" s="60" t="n">
        <v>45839</v>
      </c>
      <c r="C898" s="21" t="n">
        <v>170.2</v>
      </c>
      <c r="D898" s="21" t="n">
        <v>192.5466666666667</v>
      </c>
      <c r="E898" s="21" t="n">
        <v>137.53</v>
      </c>
      <c r="F898" s="27">
        <f>IFERROR(IF(OR(C898="",D898="",C898=0),"",D898/C898),"")</f>
        <v/>
      </c>
      <c r="G898" s="21">
        <f>IFERROR(INDEX(Users!$A$2:$A$310,MATCH(A898,Users!$B$2:$B$310,0)),"")</f>
        <v/>
      </c>
      <c r="H898" s="21">
        <f>IFERROR(INDEX(Users!$D$2:$D$310,MATCH(A898,Users!$B$2:$B$310,0)),"")</f>
        <v/>
      </c>
      <c r="I898" s="19">
        <f>AND(G898="Service A",H898="Band 3")</f>
        <v/>
      </c>
      <c r="J898" s="33">
        <f>IF(AND(YEAR(B898)=2025,G898="Service B",OR(H898="Band 3",H898="Band 5"),ISNUMBER(F898)),F898,"")</f>
        <v/>
      </c>
    </row>
    <row r="899">
      <c r="A899" s="19" t="inlineStr">
        <is>
          <t>User1096</t>
        </is>
      </c>
      <c r="B899" s="60" t="n">
        <v>45870</v>
      </c>
      <c r="C899" s="21" t="n">
        <v>148</v>
      </c>
      <c r="D899" s="21" t="n">
        <v>60.22</v>
      </c>
      <c r="E899" s="21" t="n">
        <v>47.47</v>
      </c>
      <c r="F899" s="27">
        <f>IFERROR(IF(OR(C899="",D899="",C899=0),"",D899/C899),"")</f>
        <v/>
      </c>
      <c r="G899" s="21">
        <f>IFERROR(INDEX(Users!$A$2:$A$310,MATCH(A899,Users!$B$2:$B$310,0)),"")</f>
        <v/>
      </c>
      <c r="H899" s="21">
        <f>IFERROR(INDEX(Users!$D$2:$D$310,MATCH(A899,Users!$B$2:$B$310,0)),"")</f>
        <v/>
      </c>
      <c r="I899" s="19">
        <f>AND(G899="Service A",H899="Band 3")</f>
        <v/>
      </c>
      <c r="J899" s="33">
        <f>IF(AND(YEAR(B899)=2025,G899="Service B",OR(H899="Band 3",H899="Band 5"),ISNUMBER(F899)),F899,"")</f>
        <v/>
      </c>
    </row>
    <row r="900">
      <c r="A900" s="19" t="inlineStr">
        <is>
          <t>User1096</t>
        </is>
      </c>
      <c r="B900" s="60" t="n">
        <v>45901</v>
      </c>
      <c r="C900" s="21" t="n">
        <v>162.8</v>
      </c>
      <c r="D900" s="21" t="n">
        <v>149.0166666666667</v>
      </c>
      <c r="E900" s="21" t="n">
        <v>101.1</v>
      </c>
      <c r="F900" s="27">
        <f>IFERROR(IF(OR(C900="",D900="",C900=0),"",D900/C900),"")</f>
        <v/>
      </c>
      <c r="G900" s="21">
        <f>IFERROR(INDEX(Users!$A$2:$A$310,MATCH(A900,Users!$B$2:$B$310,0)),"")</f>
        <v/>
      </c>
      <c r="H900" s="21">
        <f>IFERROR(INDEX(Users!$D$2:$D$310,MATCH(A900,Users!$B$2:$B$310,0)),"")</f>
        <v/>
      </c>
      <c r="I900" s="19">
        <f>AND(G900="Service A",H900="Band 3")</f>
        <v/>
      </c>
      <c r="J900" s="33">
        <f>IF(AND(YEAR(B900)=2025,G900="Service B",OR(H900="Band 3",H900="Band 5"),ISNUMBER(F900)),F900,"")</f>
        <v/>
      </c>
    </row>
    <row r="901">
      <c r="A901" s="19" t="inlineStr">
        <is>
          <t>User1096</t>
        </is>
      </c>
      <c r="B901" s="60" t="n">
        <v>45931</v>
      </c>
      <c r="C901" s="21" t="n">
        <v>170.2</v>
      </c>
      <c r="D901" s="21" t="n">
        <v>104.9366666666667</v>
      </c>
      <c r="E901" s="21" t="n">
        <v>81.01999999999998</v>
      </c>
      <c r="F901" s="27">
        <f>IFERROR(IF(OR(C901="",D901="",C901=0),"",D901/C901),"")</f>
        <v/>
      </c>
      <c r="G901" s="21">
        <f>IFERROR(INDEX(Users!$A$2:$A$310,MATCH(A901,Users!$B$2:$B$310,0)),"")</f>
        <v/>
      </c>
      <c r="H901" s="21">
        <f>IFERROR(INDEX(Users!$D$2:$D$310,MATCH(A901,Users!$B$2:$B$310,0)),"")</f>
        <v/>
      </c>
      <c r="I901" s="19">
        <f>AND(G901="Service A",H901="Band 3")</f>
        <v/>
      </c>
      <c r="J901" s="33">
        <f>IF(AND(YEAR(B901)=2025,G901="Service B",OR(H901="Band 3",H901="Band 5"),ISNUMBER(F901)),F901,"")</f>
        <v/>
      </c>
    </row>
    <row r="902">
      <c r="A902" s="19" t="inlineStr">
        <is>
          <t>User1096</t>
        </is>
      </c>
      <c r="B902" s="60" t="n">
        <v>45962</v>
      </c>
      <c r="C902" s="21" t="n">
        <v>148</v>
      </c>
      <c r="D902" s="21" t="n">
        <v>161.7199999999999</v>
      </c>
      <c r="E902" s="21" t="n">
        <v>104.9699999999999</v>
      </c>
      <c r="F902" s="27">
        <f>IFERROR(IF(OR(C902="",D902="",C902=0),"",D902/C902),"")</f>
        <v/>
      </c>
      <c r="G902" s="21">
        <f>IFERROR(INDEX(Users!$A$2:$A$310,MATCH(A902,Users!$B$2:$B$310,0)),"")</f>
        <v/>
      </c>
      <c r="H902" s="21">
        <f>IFERROR(INDEX(Users!$D$2:$D$310,MATCH(A902,Users!$B$2:$B$310,0)),"")</f>
        <v/>
      </c>
      <c r="I902" s="19">
        <f>AND(G902="Service A",H902="Band 3")</f>
        <v/>
      </c>
      <c r="J902" s="33">
        <f>IF(AND(YEAR(B902)=2025,G902="Service B",OR(H902="Band 3",H902="Band 5"),ISNUMBER(F902)),F902,"")</f>
        <v/>
      </c>
    </row>
    <row r="903">
      <c r="A903" s="19" t="inlineStr">
        <is>
          <t>User1096</t>
        </is>
      </c>
      <c r="B903" s="60" t="n">
        <v>45992</v>
      </c>
      <c r="C903" s="21" t="n">
        <v>155.4</v>
      </c>
      <c r="D903" s="21" t="n">
        <v>160.0566666666666</v>
      </c>
      <c r="E903" s="21" t="n">
        <v>86.63999999999994</v>
      </c>
      <c r="F903" s="27">
        <f>IFERROR(IF(OR(C903="",D903="",C903=0),"",D903/C903),"")</f>
        <v/>
      </c>
      <c r="G903" s="21">
        <f>IFERROR(INDEX(Users!$A$2:$A$310,MATCH(A903,Users!$B$2:$B$310,0)),"")</f>
        <v/>
      </c>
      <c r="H903" s="21">
        <f>IFERROR(INDEX(Users!$D$2:$D$310,MATCH(A903,Users!$B$2:$B$310,0)),"")</f>
        <v/>
      </c>
      <c r="I903" s="19">
        <f>AND(G903="Service A",H903="Band 3")</f>
        <v/>
      </c>
      <c r="J903" s="33">
        <f>IF(AND(YEAR(B903)=2025,G903="Service B",OR(H903="Band 3",H903="Band 5"),ISNUMBER(F903)),F903,"")</f>
        <v/>
      </c>
    </row>
    <row r="904">
      <c r="A904" s="19" t="inlineStr">
        <is>
          <t>User1096</t>
        </is>
      </c>
      <c r="B904" s="60" t="n">
        <v>46023</v>
      </c>
      <c r="C904" s="21" t="n">
        <v>155.4</v>
      </c>
      <c r="D904" s="21" t="n">
        <v>139.8499999999999</v>
      </c>
      <c r="E904" s="21" t="n">
        <v>79.59999999999994</v>
      </c>
      <c r="F904" s="27">
        <f>IFERROR(IF(OR(C904="",D904="",C904=0),"",D904/C904),"")</f>
        <v/>
      </c>
      <c r="G904" s="21">
        <f>IFERROR(INDEX(Users!$A$2:$A$310,MATCH(A904,Users!$B$2:$B$310,0)),"")</f>
        <v/>
      </c>
      <c r="H904" s="21">
        <f>IFERROR(INDEX(Users!$D$2:$D$310,MATCH(A904,Users!$B$2:$B$310,0)),"")</f>
        <v/>
      </c>
      <c r="I904" s="19">
        <f>AND(G904="Service A",H904="Band 3")</f>
        <v/>
      </c>
      <c r="J904" s="33">
        <f>IF(AND(YEAR(B904)=2025,G904="Service B",OR(H904="Band 3",H904="Band 5"),ISNUMBER(F904)),F904,"")</f>
        <v/>
      </c>
    </row>
    <row r="905">
      <c r="A905" s="19" t="inlineStr">
        <is>
          <t>User1097</t>
        </is>
      </c>
      <c r="B905" s="60" t="n">
        <v>45658</v>
      </c>
      <c r="C905" s="21" t="n">
        <v>162.8</v>
      </c>
      <c r="D905" s="21" t="n">
        <v>148.8566666666666</v>
      </c>
      <c r="E905" s="21" t="n">
        <v>68.18999999999994</v>
      </c>
      <c r="F905" s="27">
        <f>IFERROR(IF(OR(C905="",D905="",C905=0),"",D905/C905),"")</f>
        <v/>
      </c>
      <c r="G905" s="21">
        <f>IFERROR(INDEX(Users!$A$2:$A$310,MATCH(A905,Users!$B$2:$B$310,0)),"")</f>
        <v/>
      </c>
      <c r="H905" s="21">
        <f>IFERROR(INDEX(Users!$D$2:$D$310,MATCH(A905,Users!$B$2:$B$310,0)),"")</f>
        <v/>
      </c>
      <c r="I905" s="19">
        <f>AND(G905="Service A",H905="Band 3")</f>
        <v/>
      </c>
      <c r="J905" s="33">
        <f>IF(AND(YEAR(B905)=2025,G905="Service B",OR(H905="Band 3",H905="Band 5"),ISNUMBER(F905)),F905,"")</f>
        <v/>
      </c>
    </row>
    <row r="906">
      <c r="A906" s="19" t="inlineStr">
        <is>
          <t>User1097</t>
        </is>
      </c>
      <c r="B906" s="60" t="n">
        <v>45689</v>
      </c>
      <c r="C906" s="21" t="n">
        <v>111</v>
      </c>
      <c r="D906" s="21" t="n">
        <v>111.0866666666667</v>
      </c>
      <c r="E906" s="21" t="n">
        <v>45.17000000000003</v>
      </c>
      <c r="F906" s="27">
        <f>IFERROR(IF(OR(C906="",D906="",C906=0),"",D906/C906),"")</f>
        <v/>
      </c>
      <c r="G906" s="21">
        <f>IFERROR(INDEX(Users!$A$2:$A$310,MATCH(A906,Users!$B$2:$B$310,0)),"")</f>
        <v/>
      </c>
      <c r="H906" s="21">
        <f>IFERROR(INDEX(Users!$D$2:$D$310,MATCH(A906,Users!$B$2:$B$310,0)),"")</f>
        <v/>
      </c>
      <c r="I906" s="19">
        <f>AND(G906="Service A",H906="Band 3")</f>
        <v/>
      </c>
      <c r="J906" s="33">
        <f>IF(AND(YEAR(B906)=2025,G906="Service B",OR(H906="Band 3",H906="Band 5"),ISNUMBER(F906)),F906,"")</f>
        <v/>
      </c>
    </row>
    <row r="907">
      <c r="A907" s="19" t="inlineStr">
        <is>
          <t>User1098</t>
        </is>
      </c>
      <c r="B907" s="60" t="n">
        <v>45658</v>
      </c>
      <c r="C907" s="21" t="n">
        <v>162.8</v>
      </c>
      <c r="D907" s="21" t="n">
        <v>157.2366666666667</v>
      </c>
      <c r="E907" s="21" t="n">
        <v>102.07</v>
      </c>
      <c r="F907" s="27">
        <f>IFERROR(IF(OR(C907="",D907="",C907=0),"",D907/C907),"")</f>
        <v/>
      </c>
      <c r="G907" s="21">
        <f>IFERROR(INDEX(Users!$A$2:$A$310,MATCH(A907,Users!$B$2:$B$310,0)),"")</f>
        <v/>
      </c>
      <c r="H907" s="21">
        <f>IFERROR(INDEX(Users!$D$2:$D$310,MATCH(A907,Users!$B$2:$B$310,0)),"")</f>
        <v/>
      </c>
      <c r="I907" s="19">
        <f>AND(G907="Service A",H907="Band 3")</f>
        <v/>
      </c>
      <c r="J907" s="33">
        <f>IF(AND(YEAR(B907)=2025,G907="Service B",OR(H907="Band 3",H907="Band 5"),ISNUMBER(F907)),F907,"")</f>
        <v/>
      </c>
    </row>
    <row r="908">
      <c r="A908" s="19" t="inlineStr">
        <is>
          <t>User1098</t>
        </is>
      </c>
      <c r="B908" s="60" t="n">
        <v>45689</v>
      </c>
      <c r="C908" s="21" t="n">
        <v>148</v>
      </c>
      <c r="D908" s="21" t="n">
        <v>119.76</v>
      </c>
      <c r="E908" s="21" t="n">
        <v>96.75999999999999</v>
      </c>
      <c r="F908" s="27">
        <f>IFERROR(IF(OR(C908="",D908="",C908=0),"",D908/C908),"")</f>
        <v/>
      </c>
      <c r="G908" s="21">
        <f>IFERROR(INDEX(Users!$A$2:$A$310,MATCH(A908,Users!$B$2:$B$310,0)),"")</f>
        <v/>
      </c>
      <c r="H908" s="21">
        <f>IFERROR(INDEX(Users!$D$2:$D$310,MATCH(A908,Users!$B$2:$B$310,0)),"")</f>
        <v/>
      </c>
      <c r="I908" s="19">
        <f>AND(G908="Service A",H908="Band 3")</f>
        <v/>
      </c>
      <c r="J908" s="33">
        <f>IF(AND(YEAR(B908)=2025,G908="Service B",OR(H908="Band 3",H908="Band 5"),ISNUMBER(F908)),F908,"")</f>
        <v/>
      </c>
    </row>
    <row r="909">
      <c r="A909" s="19" t="inlineStr">
        <is>
          <t>User1098</t>
        </is>
      </c>
      <c r="B909" s="60" t="n">
        <v>45717</v>
      </c>
      <c r="C909" s="21" t="n">
        <v>155.4</v>
      </c>
      <c r="D909" s="21" t="n">
        <v>165.2933333333333</v>
      </c>
      <c r="E909" s="21" t="n">
        <v>111.81</v>
      </c>
      <c r="F909" s="27">
        <f>IFERROR(IF(OR(C909="",D909="",C909=0),"",D909/C909),"")</f>
        <v/>
      </c>
      <c r="G909" s="21">
        <f>IFERROR(INDEX(Users!$A$2:$A$310,MATCH(A909,Users!$B$2:$B$310,0)),"")</f>
        <v/>
      </c>
      <c r="H909" s="21">
        <f>IFERROR(INDEX(Users!$D$2:$D$310,MATCH(A909,Users!$B$2:$B$310,0)),"")</f>
        <v/>
      </c>
      <c r="I909" s="19">
        <f>AND(G909="Service A",H909="Band 3")</f>
        <v/>
      </c>
      <c r="J909" s="33">
        <f>IF(AND(YEAR(B909)=2025,G909="Service B",OR(H909="Band 3",H909="Band 5"),ISNUMBER(F909)),F909,"")</f>
        <v/>
      </c>
    </row>
    <row r="910">
      <c r="A910" s="19" t="inlineStr">
        <is>
          <t>User1098</t>
        </is>
      </c>
      <c r="B910" s="60" t="n">
        <v>45748</v>
      </c>
      <c r="C910" s="21" t="n">
        <v>148</v>
      </c>
      <c r="D910" s="21" t="n">
        <v>100.2466666666667</v>
      </c>
      <c r="E910" s="21" t="n">
        <v>80.83</v>
      </c>
      <c r="F910" s="27">
        <f>IFERROR(IF(OR(C910="",D910="",C910=0),"",D910/C910),"")</f>
        <v/>
      </c>
      <c r="G910" s="21">
        <f>IFERROR(INDEX(Users!$A$2:$A$310,MATCH(A910,Users!$B$2:$B$310,0)),"")</f>
        <v/>
      </c>
      <c r="H910" s="21">
        <f>IFERROR(INDEX(Users!$D$2:$D$310,MATCH(A910,Users!$B$2:$B$310,0)),"")</f>
        <v/>
      </c>
      <c r="I910" s="19">
        <f>AND(G910="Service A",H910="Band 3")</f>
        <v/>
      </c>
      <c r="J910" s="33">
        <f>IF(AND(YEAR(B910)=2025,G910="Service B",OR(H910="Band 3",H910="Band 5"),ISNUMBER(F910)),F910,"")</f>
        <v/>
      </c>
    </row>
    <row r="911">
      <c r="A911" s="19" t="inlineStr">
        <is>
          <t>User1098</t>
        </is>
      </c>
      <c r="B911" s="60" t="n">
        <v>45778</v>
      </c>
      <c r="C911" s="21" t="n">
        <v>148</v>
      </c>
      <c r="D911" s="21" t="n">
        <v>119.58</v>
      </c>
      <c r="E911" s="21" t="n">
        <v>88.33</v>
      </c>
      <c r="F911" s="27">
        <f>IFERROR(IF(OR(C911="",D911="",C911=0),"",D911/C911),"")</f>
        <v/>
      </c>
      <c r="G911" s="21">
        <f>IFERROR(INDEX(Users!$A$2:$A$310,MATCH(A911,Users!$B$2:$B$310,0)),"")</f>
        <v/>
      </c>
      <c r="H911" s="21">
        <f>IFERROR(INDEX(Users!$D$2:$D$310,MATCH(A911,Users!$B$2:$B$310,0)),"")</f>
        <v/>
      </c>
      <c r="I911" s="19">
        <f>AND(G911="Service A",H911="Band 3")</f>
        <v/>
      </c>
      <c r="J911" s="33">
        <f>IF(AND(YEAR(B911)=2025,G911="Service B",OR(H911="Band 3",H911="Band 5"),ISNUMBER(F911)),F911,"")</f>
        <v/>
      </c>
    </row>
    <row r="912">
      <c r="A912" s="19" t="inlineStr">
        <is>
          <t>User1098</t>
        </is>
      </c>
      <c r="B912" s="60" t="n">
        <v>45809</v>
      </c>
      <c r="C912" s="21" t="n">
        <v>155.4</v>
      </c>
      <c r="D912" s="21" t="n">
        <v>155.7166666666667</v>
      </c>
      <c r="E912" s="21" t="n">
        <v>113.55</v>
      </c>
      <c r="F912" s="27">
        <f>IFERROR(IF(OR(C912="",D912="",C912=0),"",D912/C912),"")</f>
        <v/>
      </c>
      <c r="G912" s="21">
        <f>IFERROR(INDEX(Users!$A$2:$A$310,MATCH(A912,Users!$B$2:$B$310,0)),"")</f>
        <v/>
      </c>
      <c r="H912" s="21">
        <f>IFERROR(INDEX(Users!$D$2:$D$310,MATCH(A912,Users!$B$2:$B$310,0)),"")</f>
        <v/>
      </c>
      <c r="I912" s="19">
        <f>AND(G912="Service A",H912="Band 3")</f>
        <v/>
      </c>
      <c r="J912" s="33">
        <f>IF(AND(YEAR(B912)=2025,G912="Service B",OR(H912="Band 3",H912="Band 5"),ISNUMBER(F912)),F912,"")</f>
        <v/>
      </c>
    </row>
    <row r="913">
      <c r="A913" s="19" t="inlineStr">
        <is>
          <t>User1098</t>
        </is>
      </c>
      <c r="B913" s="60" t="n">
        <v>45839</v>
      </c>
      <c r="C913" s="21" t="n">
        <v>170.2</v>
      </c>
      <c r="D913" s="21" t="n">
        <v>112.7933333333333</v>
      </c>
      <c r="E913" s="21" t="n">
        <v>77.95999999999999</v>
      </c>
      <c r="F913" s="27">
        <f>IFERROR(IF(OR(C913="",D913="",C913=0),"",D913/C913),"")</f>
        <v/>
      </c>
      <c r="G913" s="21">
        <f>IFERROR(INDEX(Users!$A$2:$A$310,MATCH(A913,Users!$B$2:$B$310,0)),"")</f>
        <v/>
      </c>
      <c r="H913" s="21">
        <f>IFERROR(INDEX(Users!$D$2:$D$310,MATCH(A913,Users!$B$2:$B$310,0)),"")</f>
        <v/>
      </c>
      <c r="I913" s="19">
        <f>AND(G913="Service A",H913="Band 3")</f>
        <v/>
      </c>
      <c r="J913" s="33">
        <f>IF(AND(YEAR(B913)=2025,G913="Service B",OR(H913="Band 3",H913="Band 5"),ISNUMBER(F913)),F913,"")</f>
        <v/>
      </c>
    </row>
    <row r="914">
      <c r="A914" s="19" t="inlineStr">
        <is>
          <t>User1098</t>
        </is>
      </c>
      <c r="B914" s="60" t="n">
        <v>45870</v>
      </c>
      <c r="C914" s="21" t="n">
        <v>148</v>
      </c>
      <c r="D914" s="21" t="n">
        <v>118.8</v>
      </c>
      <c r="E914" s="21" t="n">
        <v>80.8</v>
      </c>
      <c r="F914" s="27">
        <f>IFERROR(IF(OR(C914="",D914="",C914=0),"",D914/C914),"")</f>
        <v/>
      </c>
      <c r="G914" s="21">
        <f>IFERROR(INDEX(Users!$A$2:$A$310,MATCH(A914,Users!$B$2:$B$310,0)),"")</f>
        <v/>
      </c>
      <c r="H914" s="21">
        <f>IFERROR(INDEX(Users!$D$2:$D$310,MATCH(A914,Users!$B$2:$B$310,0)),"")</f>
        <v/>
      </c>
      <c r="I914" s="19">
        <f>AND(G914="Service A",H914="Band 3")</f>
        <v/>
      </c>
      <c r="J914" s="33">
        <f>IF(AND(YEAR(B914)=2025,G914="Service B",OR(H914="Band 3",H914="Band 5"),ISNUMBER(F914)),F914,"")</f>
        <v/>
      </c>
    </row>
    <row r="915">
      <c r="A915" s="19" t="inlineStr">
        <is>
          <t>User1098</t>
        </is>
      </c>
      <c r="B915" s="60" t="n">
        <v>45901</v>
      </c>
      <c r="C915" s="21" t="n">
        <v>162.8</v>
      </c>
      <c r="D915" s="21" t="n">
        <v>168.7133333333333</v>
      </c>
      <c r="E915" s="21" t="n">
        <v>113.98</v>
      </c>
      <c r="F915" s="27">
        <f>IFERROR(IF(OR(C915="",D915="",C915=0),"",D915/C915),"")</f>
        <v/>
      </c>
      <c r="G915" s="21">
        <f>IFERROR(INDEX(Users!$A$2:$A$310,MATCH(A915,Users!$B$2:$B$310,0)),"")</f>
        <v/>
      </c>
      <c r="H915" s="21">
        <f>IFERROR(INDEX(Users!$D$2:$D$310,MATCH(A915,Users!$B$2:$B$310,0)),"")</f>
        <v/>
      </c>
      <c r="I915" s="19">
        <f>AND(G915="Service A",H915="Band 3")</f>
        <v/>
      </c>
      <c r="J915" s="33">
        <f>IF(AND(YEAR(B915)=2025,G915="Service B",OR(H915="Band 3",H915="Band 5"),ISNUMBER(F915)),F915,"")</f>
        <v/>
      </c>
    </row>
    <row r="916">
      <c r="A916" s="19" t="inlineStr">
        <is>
          <t>User1098</t>
        </is>
      </c>
      <c r="B916" s="60" t="n">
        <v>45931</v>
      </c>
      <c r="C916" s="21" t="n">
        <v>170.2</v>
      </c>
      <c r="D916" s="21" t="n">
        <v>142.5666666666667</v>
      </c>
      <c r="E916" s="21" t="n">
        <v>98.2</v>
      </c>
      <c r="F916" s="27">
        <f>IFERROR(IF(OR(C916="",D916="",C916=0),"",D916/C916),"")</f>
        <v/>
      </c>
      <c r="G916" s="21">
        <f>IFERROR(INDEX(Users!$A$2:$A$310,MATCH(A916,Users!$B$2:$B$310,0)),"")</f>
        <v/>
      </c>
      <c r="H916" s="21">
        <f>IFERROR(INDEX(Users!$D$2:$D$310,MATCH(A916,Users!$B$2:$B$310,0)),"")</f>
        <v/>
      </c>
      <c r="I916" s="19">
        <f>AND(G916="Service A",H916="Band 3")</f>
        <v/>
      </c>
      <c r="J916" s="33">
        <f>IF(AND(YEAR(B916)=2025,G916="Service B",OR(H916="Band 3",H916="Band 5"),ISNUMBER(F916)),F916,"")</f>
        <v/>
      </c>
    </row>
    <row r="917">
      <c r="A917" s="19" t="inlineStr">
        <is>
          <t>User1098</t>
        </is>
      </c>
      <c r="B917" s="60" t="n">
        <v>45962</v>
      </c>
      <c r="C917" s="21" t="n">
        <v>148</v>
      </c>
      <c r="D917" s="21" t="n">
        <v>152.2266666666667</v>
      </c>
      <c r="E917" s="21" t="n">
        <v>100.56</v>
      </c>
      <c r="F917" s="27">
        <f>IFERROR(IF(OR(C917="",D917="",C917=0),"",D917/C917),"")</f>
        <v/>
      </c>
      <c r="G917" s="21">
        <f>IFERROR(INDEX(Users!$A$2:$A$310,MATCH(A917,Users!$B$2:$B$310,0)),"")</f>
        <v/>
      </c>
      <c r="H917" s="21">
        <f>IFERROR(INDEX(Users!$D$2:$D$310,MATCH(A917,Users!$B$2:$B$310,0)),"")</f>
        <v/>
      </c>
      <c r="I917" s="19">
        <f>AND(G917="Service A",H917="Band 3")</f>
        <v/>
      </c>
      <c r="J917" s="33">
        <f>IF(AND(YEAR(B917)=2025,G917="Service B",OR(H917="Band 3",H917="Band 5"),ISNUMBER(F917)),F917,"")</f>
        <v/>
      </c>
    </row>
    <row r="918">
      <c r="A918" s="19" t="inlineStr">
        <is>
          <t>User1098</t>
        </is>
      </c>
      <c r="B918" s="60" t="n">
        <v>45992</v>
      </c>
      <c r="C918" s="21" t="n">
        <v>155.4</v>
      </c>
      <c r="D918" s="21" t="n">
        <v>106.12</v>
      </c>
      <c r="E918" s="21" t="n">
        <v>62.61999999999999</v>
      </c>
      <c r="F918" s="27">
        <f>IFERROR(IF(OR(C918="",D918="",C918=0),"",D918/C918),"")</f>
        <v/>
      </c>
      <c r="G918" s="21">
        <f>IFERROR(INDEX(Users!$A$2:$A$310,MATCH(A918,Users!$B$2:$B$310,0)),"")</f>
        <v/>
      </c>
      <c r="H918" s="21">
        <f>IFERROR(INDEX(Users!$D$2:$D$310,MATCH(A918,Users!$B$2:$B$310,0)),"")</f>
        <v/>
      </c>
      <c r="I918" s="19">
        <f>AND(G918="Service A",H918="Band 3")</f>
        <v/>
      </c>
      <c r="J918" s="33">
        <f>IF(AND(YEAR(B918)=2025,G918="Service B",OR(H918="Band 3",H918="Band 5"),ISNUMBER(F918)),F918,"")</f>
        <v/>
      </c>
    </row>
    <row r="919">
      <c r="A919" s="19" t="inlineStr">
        <is>
          <t>User1098</t>
        </is>
      </c>
      <c r="B919" s="60" t="n">
        <v>46023</v>
      </c>
      <c r="C919" s="21" t="n">
        <v>155.4</v>
      </c>
      <c r="D919" s="21" t="n">
        <v>137.1066666666667</v>
      </c>
      <c r="E919" s="21" t="n">
        <v>87.69</v>
      </c>
      <c r="F919" s="27">
        <f>IFERROR(IF(OR(C919="",D919="",C919=0),"",D919/C919),"")</f>
        <v/>
      </c>
      <c r="G919" s="21">
        <f>IFERROR(INDEX(Users!$A$2:$A$310,MATCH(A919,Users!$B$2:$B$310,0)),"")</f>
        <v/>
      </c>
      <c r="H919" s="21">
        <f>IFERROR(INDEX(Users!$D$2:$D$310,MATCH(A919,Users!$B$2:$B$310,0)),"")</f>
        <v/>
      </c>
      <c r="I919" s="19">
        <f>AND(G919="Service A",H919="Band 3")</f>
        <v/>
      </c>
      <c r="J919" s="33">
        <f>IF(AND(YEAR(B919)=2025,G919="Service B",OR(H919="Band 3",H919="Band 5"),ISNUMBER(F919)),F919,"")</f>
        <v/>
      </c>
    </row>
    <row r="920">
      <c r="A920" s="19" t="inlineStr">
        <is>
          <t>User1099</t>
        </is>
      </c>
      <c r="B920" s="60" t="n">
        <v>45658</v>
      </c>
      <c r="C920" s="21" t="n">
        <v>162.8</v>
      </c>
      <c r="D920" s="21" t="n">
        <v>135.3505555555556</v>
      </c>
      <c r="E920" s="21" t="n">
        <v>83.10000000000004</v>
      </c>
      <c r="F920" s="27">
        <f>IFERROR(IF(OR(C920="",D920="",C920=0),"",D920/C920),"")</f>
        <v/>
      </c>
      <c r="G920" s="21">
        <f>IFERROR(INDEX(Users!$A$2:$A$310,MATCH(A920,Users!$B$2:$B$310,0)),"")</f>
        <v/>
      </c>
      <c r="H920" s="21">
        <f>IFERROR(INDEX(Users!$D$2:$D$310,MATCH(A920,Users!$B$2:$B$310,0)),"")</f>
        <v/>
      </c>
      <c r="I920" s="19">
        <f>AND(G920="Service A",H920="Band 3")</f>
        <v/>
      </c>
      <c r="J920" s="33">
        <f>IF(AND(YEAR(B920)=2025,G920="Service B",OR(H920="Band 3",H920="Band 5"),ISNUMBER(F920)),F920,"")</f>
        <v/>
      </c>
    </row>
    <row r="921">
      <c r="A921" s="19" t="inlineStr">
        <is>
          <t>User1099</t>
        </is>
      </c>
      <c r="B921" s="60" t="n">
        <v>45689</v>
      </c>
      <c r="C921" s="21" t="n">
        <v>148</v>
      </c>
      <c r="D921" s="21" t="n">
        <v>143.1997222222223</v>
      </c>
      <c r="E921" s="21" t="n">
        <v>81.54000000000005</v>
      </c>
      <c r="F921" s="27">
        <f>IFERROR(IF(OR(C921="",D921="",C921=0),"",D921/C921),"")</f>
        <v/>
      </c>
      <c r="G921" s="21">
        <f>IFERROR(INDEX(Users!$A$2:$A$310,MATCH(A921,Users!$B$2:$B$310,0)),"")</f>
        <v/>
      </c>
      <c r="H921" s="21">
        <f>IFERROR(INDEX(Users!$D$2:$D$310,MATCH(A921,Users!$B$2:$B$310,0)),"")</f>
        <v/>
      </c>
      <c r="I921" s="19">
        <f>AND(G921="Service A",H921="Band 3")</f>
        <v/>
      </c>
      <c r="J921" s="33">
        <f>IF(AND(YEAR(B921)=2025,G921="Service B",OR(H921="Band 3",H921="Band 5"),ISNUMBER(F921)),F921,"")</f>
        <v/>
      </c>
    </row>
    <row r="922">
      <c r="A922" s="19" t="inlineStr">
        <is>
          <t>User1099</t>
        </is>
      </c>
      <c r="B922" s="60" t="n">
        <v>45717</v>
      </c>
      <c r="C922" s="21" t="n">
        <v>155.4</v>
      </c>
      <c r="D922" s="21" t="n">
        <v>134.8913888888889</v>
      </c>
      <c r="E922" s="21" t="n">
        <v>84.48999999999999</v>
      </c>
      <c r="F922" s="27">
        <f>IFERROR(IF(OR(C922="",D922="",C922=0),"",D922/C922),"")</f>
        <v/>
      </c>
      <c r="G922" s="21">
        <f>IFERROR(INDEX(Users!$A$2:$A$310,MATCH(A922,Users!$B$2:$B$310,0)),"")</f>
        <v/>
      </c>
      <c r="H922" s="21">
        <f>IFERROR(INDEX(Users!$D$2:$D$310,MATCH(A922,Users!$B$2:$B$310,0)),"")</f>
        <v/>
      </c>
      <c r="I922" s="19">
        <f>AND(G922="Service A",H922="Band 3")</f>
        <v/>
      </c>
      <c r="J922" s="33">
        <f>IF(AND(YEAR(B922)=2025,G922="Service B",OR(H922="Band 3",H922="Band 5"),ISNUMBER(F922)),F922,"")</f>
        <v/>
      </c>
    </row>
    <row r="923">
      <c r="A923" s="19" t="inlineStr">
        <is>
          <t>User1099</t>
        </is>
      </c>
      <c r="B923" s="60" t="n">
        <v>45748</v>
      </c>
      <c r="C923" s="21" t="n">
        <v>148</v>
      </c>
      <c r="D923" s="21" t="n">
        <v>98.68805555555558</v>
      </c>
      <c r="E923" s="21" t="n">
        <v>60.92000000000002</v>
      </c>
      <c r="F923" s="27">
        <f>IFERROR(IF(OR(C923="",D923="",C923=0),"",D923/C923),"")</f>
        <v/>
      </c>
      <c r="G923" s="21">
        <f>IFERROR(INDEX(Users!$A$2:$A$310,MATCH(A923,Users!$B$2:$B$310,0)),"")</f>
        <v/>
      </c>
      <c r="H923" s="21">
        <f>IFERROR(INDEX(Users!$D$2:$D$310,MATCH(A923,Users!$B$2:$B$310,0)),"")</f>
        <v/>
      </c>
      <c r="I923" s="19">
        <f>AND(G923="Service A",H923="Band 3")</f>
        <v/>
      </c>
      <c r="J923" s="33">
        <f>IF(AND(YEAR(B923)=2025,G923="Service B",OR(H923="Band 3",H923="Band 5"),ISNUMBER(F923)),F923,"")</f>
        <v/>
      </c>
    </row>
    <row r="924">
      <c r="A924" s="19" t="inlineStr">
        <is>
          <t>User1099</t>
        </is>
      </c>
      <c r="B924" s="60" t="n">
        <v>45778</v>
      </c>
      <c r="C924" s="21" t="n">
        <v>148</v>
      </c>
      <c r="D924" s="21" t="n">
        <v>131.04</v>
      </c>
      <c r="E924" s="21" t="n">
        <v>45.70000000000001</v>
      </c>
      <c r="F924" s="27">
        <f>IFERROR(IF(OR(C924="",D924="",C924=0),"",D924/C924),"")</f>
        <v/>
      </c>
      <c r="G924" s="21">
        <f>IFERROR(INDEX(Users!$A$2:$A$310,MATCH(A924,Users!$B$2:$B$310,0)),"")</f>
        <v/>
      </c>
      <c r="H924" s="21">
        <f>IFERROR(INDEX(Users!$D$2:$D$310,MATCH(A924,Users!$B$2:$B$310,0)),"")</f>
        <v/>
      </c>
      <c r="I924" s="19">
        <f>AND(G924="Service A",H924="Band 3")</f>
        <v/>
      </c>
      <c r="J924" s="33">
        <f>IF(AND(YEAR(B924)=2025,G924="Service B",OR(H924="Band 3",H924="Band 5"),ISNUMBER(F924)),F924,"")</f>
        <v/>
      </c>
    </row>
    <row r="925">
      <c r="A925" s="19" t="inlineStr">
        <is>
          <t>User1099</t>
        </is>
      </c>
      <c r="B925" s="60" t="n">
        <v>45809</v>
      </c>
      <c r="C925" s="21" t="n">
        <v>155.4</v>
      </c>
      <c r="D925" s="21" t="n">
        <v>155.0916666666667</v>
      </c>
      <c r="E925" s="21" t="n">
        <v>59.32000000000003</v>
      </c>
      <c r="F925" s="27">
        <f>IFERROR(IF(OR(C925="",D925="",C925=0),"",D925/C925),"")</f>
        <v/>
      </c>
      <c r="G925" s="21">
        <f>IFERROR(INDEX(Users!$A$2:$A$310,MATCH(A925,Users!$B$2:$B$310,0)),"")</f>
        <v/>
      </c>
      <c r="H925" s="21">
        <f>IFERROR(INDEX(Users!$D$2:$D$310,MATCH(A925,Users!$B$2:$B$310,0)),"")</f>
        <v/>
      </c>
      <c r="I925" s="19">
        <f>AND(G925="Service A",H925="Band 3")</f>
        <v/>
      </c>
      <c r="J925" s="33">
        <f>IF(AND(YEAR(B925)=2025,G925="Service B",OR(H925="Band 3",H925="Band 5"),ISNUMBER(F925)),F925,"")</f>
        <v/>
      </c>
    </row>
    <row r="926">
      <c r="A926" s="19" t="inlineStr">
        <is>
          <t>User1099</t>
        </is>
      </c>
      <c r="B926" s="60" t="n">
        <v>45839</v>
      </c>
      <c r="C926" s="21" t="n">
        <v>170.2</v>
      </c>
      <c r="D926" s="21" t="n">
        <v>95.29305555555558</v>
      </c>
      <c r="E926" s="21" t="n">
        <v>48.16000000000003</v>
      </c>
      <c r="F926" s="27">
        <f>IFERROR(IF(OR(C926="",D926="",C926=0),"",D926/C926),"")</f>
        <v/>
      </c>
      <c r="G926" s="21">
        <f>IFERROR(INDEX(Users!$A$2:$A$310,MATCH(A926,Users!$B$2:$B$310,0)),"")</f>
        <v/>
      </c>
      <c r="H926" s="21">
        <f>IFERROR(INDEX(Users!$D$2:$D$310,MATCH(A926,Users!$B$2:$B$310,0)),"")</f>
        <v/>
      </c>
      <c r="I926" s="19">
        <f>AND(G926="Service A",H926="Band 3")</f>
        <v/>
      </c>
      <c r="J926" s="33">
        <f>IF(AND(YEAR(B926)=2025,G926="Service B",OR(H926="Band 3",H926="Band 5"),ISNUMBER(F926)),F926,"")</f>
        <v/>
      </c>
    </row>
    <row r="927">
      <c r="A927" s="19" t="inlineStr">
        <is>
          <t>User1099</t>
        </is>
      </c>
      <c r="B927" s="60" t="n">
        <v>45870</v>
      </c>
      <c r="C927" s="21" t="n">
        <v>148</v>
      </c>
      <c r="D927" s="21" t="n">
        <v>133.9791666666667</v>
      </c>
      <c r="E927" s="21" t="n">
        <v>78.93000000000004</v>
      </c>
      <c r="F927" s="27">
        <f>IFERROR(IF(OR(C927="",D927="",C927=0),"",D927/C927),"")</f>
        <v/>
      </c>
      <c r="G927" s="21">
        <f>IFERROR(INDEX(Users!$A$2:$A$310,MATCH(A927,Users!$B$2:$B$310,0)),"")</f>
        <v/>
      </c>
      <c r="H927" s="21">
        <f>IFERROR(INDEX(Users!$D$2:$D$310,MATCH(A927,Users!$B$2:$B$310,0)),"")</f>
        <v/>
      </c>
      <c r="I927" s="19">
        <f>AND(G927="Service A",H927="Band 3")</f>
        <v/>
      </c>
      <c r="J927" s="33">
        <f>IF(AND(YEAR(B927)=2025,G927="Service B",OR(H927="Band 3",H927="Band 5"),ISNUMBER(F927)),F927,"")</f>
        <v/>
      </c>
    </row>
    <row r="928">
      <c r="A928" s="19" t="inlineStr">
        <is>
          <t>User1099</t>
        </is>
      </c>
      <c r="B928" s="60" t="n">
        <v>45901</v>
      </c>
      <c r="C928" s="21" t="n">
        <v>162.8</v>
      </c>
      <c r="D928" s="21" t="n">
        <v>175.2069444444444</v>
      </c>
      <c r="E928" s="21" t="n">
        <v>73.38000000000001</v>
      </c>
      <c r="F928" s="27">
        <f>IFERROR(IF(OR(C928="",D928="",C928=0),"",D928/C928),"")</f>
        <v/>
      </c>
      <c r="G928" s="21">
        <f>IFERROR(INDEX(Users!$A$2:$A$310,MATCH(A928,Users!$B$2:$B$310,0)),"")</f>
        <v/>
      </c>
      <c r="H928" s="21">
        <f>IFERROR(INDEX(Users!$D$2:$D$310,MATCH(A928,Users!$B$2:$B$310,0)),"")</f>
        <v/>
      </c>
      <c r="I928" s="19">
        <f>AND(G928="Service A",H928="Band 3")</f>
        <v/>
      </c>
      <c r="J928" s="33">
        <f>IF(AND(YEAR(B928)=2025,G928="Service B",OR(H928="Band 3",H928="Band 5"),ISNUMBER(F928)),F928,"")</f>
        <v/>
      </c>
    </row>
    <row r="929">
      <c r="A929" s="19" t="inlineStr">
        <is>
          <t>User1099</t>
        </is>
      </c>
      <c r="B929" s="60" t="n">
        <v>45931</v>
      </c>
      <c r="C929" s="21" t="n">
        <v>170.2</v>
      </c>
      <c r="D929" s="21" t="n">
        <v>134.51</v>
      </c>
      <c r="E929" s="21" t="n">
        <v>84.06</v>
      </c>
      <c r="F929" s="27">
        <f>IFERROR(IF(OR(C929="",D929="",C929=0),"",D929/C929),"")</f>
        <v/>
      </c>
      <c r="G929" s="21">
        <f>IFERROR(INDEX(Users!$A$2:$A$310,MATCH(A929,Users!$B$2:$B$310,0)),"")</f>
        <v/>
      </c>
      <c r="H929" s="21">
        <f>IFERROR(INDEX(Users!$D$2:$D$310,MATCH(A929,Users!$B$2:$B$310,0)),"")</f>
        <v/>
      </c>
      <c r="I929" s="19">
        <f>AND(G929="Service A",H929="Band 3")</f>
        <v/>
      </c>
      <c r="J929" s="33">
        <f>IF(AND(YEAR(B929)=2025,G929="Service B",OR(H929="Band 3",H929="Band 5"),ISNUMBER(F929)),F929,"")</f>
        <v/>
      </c>
    </row>
    <row r="930">
      <c r="A930" s="19" t="inlineStr">
        <is>
          <t>User1099</t>
        </is>
      </c>
      <c r="B930" s="60" t="n">
        <v>45962</v>
      </c>
      <c r="C930" s="21" t="n">
        <v>148</v>
      </c>
      <c r="D930" s="21" t="n">
        <v>148.7033333333333</v>
      </c>
      <c r="E930" s="21" t="n">
        <v>95.32000000000002</v>
      </c>
      <c r="F930" s="27">
        <f>IFERROR(IF(OR(C930="",D930="",C930=0),"",D930/C930),"")</f>
        <v/>
      </c>
      <c r="G930" s="21">
        <f>IFERROR(INDEX(Users!$A$2:$A$310,MATCH(A930,Users!$B$2:$B$310,0)),"")</f>
        <v/>
      </c>
      <c r="H930" s="21">
        <f>IFERROR(INDEX(Users!$D$2:$D$310,MATCH(A930,Users!$B$2:$B$310,0)),"")</f>
        <v/>
      </c>
      <c r="I930" s="19">
        <f>AND(G930="Service A",H930="Band 3")</f>
        <v/>
      </c>
      <c r="J930" s="33">
        <f>IF(AND(YEAR(B930)=2025,G930="Service B",OR(H930="Band 3",H930="Band 5"),ISNUMBER(F930)),F930,"")</f>
        <v/>
      </c>
    </row>
    <row r="931">
      <c r="A931" s="19" t="inlineStr">
        <is>
          <t>User1099</t>
        </is>
      </c>
      <c r="B931" s="60" t="n">
        <v>45992</v>
      </c>
      <c r="C931" s="21" t="n">
        <v>155.4</v>
      </c>
      <c r="D931" s="21" t="n">
        <v>121.4433333333333</v>
      </c>
      <c r="E931" s="21" t="n">
        <v>69.70999999999999</v>
      </c>
      <c r="F931" s="27">
        <f>IFERROR(IF(OR(C931="",D931="",C931=0),"",D931/C931),"")</f>
        <v/>
      </c>
      <c r="G931" s="21">
        <f>IFERROR(INDEX(Users!$A$2:$A$310,MATCH(A931,Users!$B$2:$B$310,0)),"")</f>
        <v/>
      </c>
      <c r="H931" s="21">
        <f>IFERROR(INDEX(Users!$D$2:$D$310,MATCH(A931,Users!$B$2:$B$310,0)),"")</f>
        <v/>
      </c>
      <c r="I931" s="19">
        <f>AND(G931="Service A",H931="Band 3")</f>
        <v/>
      </c>
      <c r="J931" s="33">
        <f>IF(AND(YEAR(B931)=2025,G931="Service B",OR(H931="Band 3",H931="Band 5"),ISNUMBER(F931)),F931,"")</f>
        <v/>
      </c>
    </row>
    <row r="932">
      <c r="A932" s="19" t="inlineStr">
        <is>
          <t>User1099</t>
        </is>
      </c>
      <c r="B932" s="60" t="n">
        <v>46023</v>
      </c>
      <c r="C932" s="21" t="n">
        <v>155.4</v>
      </c>
      <c r="D932" s="21" t="n">
        <v>148.13</v>
      </c>
      <c r="E932" s="21" t="n">
        <v>105.53</v>
      </c>
      <c r="F932" s="27">
        <f>IFERROR(IF(OR(C932="",D932="",C932=0),"",D932/C932),"")</f>
        <v/>
      </c>
      <c r="G932" s="21">
        <f>IFERROR(INDEX(Users!$A$2:$A$310,MATCH(A932,Users!$B$2:$B$310,0)),"")</f>
        <v/>
      </c>
      <c r="H932" s="21">
        <f>IFERROR(INDEX(Users!$D$2:$D$310,MATCH(A932,Users!$B$2:$B$310,0)),"")</f>
        <v/>
      </c>
      <c r="I932" s="19">
        <f>AND(G932="Service A",H932="Band 3")</f>
        <v/>
      </c>
      <c r="J932" s="33">
        <f>IF(AND(YEAR(B932)=2025,G932="Service B",OR(H932="Band 3",H932="Band 5"),ISNUMBER(F932)),F932,"")</f>
        <v/>
      </c>
    </row>
    <row r="933">
      <c r="A933" s="19" t="inlineStr">
        <is>
          <t>User1100</t>
        </is>
      </c>
      <c r="B933" s="60" t="n">
        <v>45658</v>
      </c>
      <c r="C933" s="21" t="n">
        <v>162.8</v>
      </c>
      <c r="D933" s="21" t="n">
        <v>66.31</v>
      </c>
      <c r="E933" s="21" t="n">
        <v>66.31</v>
      </c>
      <c r="F933" s="27">
        <f>IFERROR(IF(OR(C933="",D933="",C933=0),"",D933/C933),"")</f>
        <v/>
      </c>
      <c r="G933" s="21">
        <f>IFERROR(INDEX(Users!$A$2:$A$310,MATCH(A933,Users!$B$2:$B$310,0)),"")</f>
        <v/>
      </c>
      <c r="H933" s="21">
        <f>IFERROR(INDEX(Users!$D$2:$D$310,MATCH(A933,Users!$B$2:$B$310,0)),"")</f>
        <v/>
      </c>
      <c r="I933" s="19">
        <f>AND(G933="Service A",H933="Band 3")</f>
        <v/>
      </c>
      <c r="J933" s="33">
        <f>IF(AND(YEAR(B933)=2025,G933="Service B",OR(H933="Band 3",H933="Band 5"),ISNUMBER(F933)),F933,"")</f>
        <v/>
      </c>
    </row>
    <row r="934">
      <c r="A934" s="19" t="inlineStr">
        <is>
          <t>User1100</t>
        </is>
      </c>
      <c r="B934" s="60" t="n">
        <v>45689</v>
      </c>
      <c r="C934" s="21" t="n">
        <v>148</v>
      </c>
      <c r="D934" s="21" t="n">
        <v>89.03666666666668</v>
      </c>
      <c r="E934" s="21" t="n">
        <v>75.87</v>
      </c>
      <c r="F934" s="27">
        <f>IFERROR(IF(OR(C934="",D934="",C934=0),"",D934/C934),"")</f>
        <v/>
      </c>
      <c r="G934" s="21">
        <f>IFERROR(INDEX(Users!$A$2:$A$310,MATCH(A934,Users!$B$2:$B$310,0)),"")</f>
        <v/>
      </c>
      <c r="H934" s="21">
        <f>IFERROR(INDEX(Users!$D$2:$D$310,MATCH(A934,Users!$B$2:$B$310,0)),"")</f>
        <v/>
      </c>
      <c r="I934" s="19">
        <f>AND(G934="Service A",H934="Band 3")</f>
        <v/>
      </c>
      <c r="J934" s="33">
        <f>IF(AND(YEAR(B934)=2025,G934="Service B",OR(H934="Band 3",H934="Band 5"),ISNUMBER(F934)),F934,"")</f>
        <v/>
      </c>
    </row>
    <row r="935">
      <c r="A935" s="19" t="inlineStr">
        <is>
          <t>User1100</t>
        </is>
      </c>
      <c r="B935" s="60" t="n">
        <v>45717</v>
      </c>
      <c r="C935" s="21" t="n">
        <v>155.4</v>
      </c>
      <c r="D935" s="21" t="n">
        <v>128.52</v>
      </c>
      <c r="E935" s="21" t="n">
        <v>66.52000000000001</v>
      </c>
      <c r="F935" s="27">
        <f>IFERROR(IF(OR(C935="",D935="",C935=0),"",D935/C935),"")</f>
        <v/>
      </c>
      <c r="G935" s="21">
        <f>IFERROR(INDEX(Users!$A$2:$A$310,MATCH(A935,Users!$B$2:$B$310,0)),"")</f>
        <v/>
      </c>
      <c r="H935" s="21">
        <f>IFERROR(INDEX(Users!$D$2:$D$310,MATCH(A935,Users!$B$2:$B$310,0)),"")</f>
        <v/>
      </c>
      <c r="I935" s="19">
        <f>AND(G935="Service A",H935="Band 3")</f>
        <v/>
      </c>
      <c r="J935" s="33">
        <f>IF(AND(YEAR(B935)=2025,G935="Service B",OR(H935="Band 3",H935="Band 5"),ISNUMBER(F935)),F935,"")</f>
        <v/>
      </c>
    </row>
    <row r="936">
      <c r="A936" s="19" t="inlineStr">
        <is>
          <t>User1100</t>
        </is>
      </c>
      <c r="B936" s="60" t="n">
        <v>45748</v>
      </c>
      <c r="C936" s="21" t="n">
        <v>148</v>
      </c>
      <c r="D936" s="21" t="n">
        <v>142.5833333333333</v>
      </c>
      <c r="E936" s="21" t="n">
        <v>78</v>
      </c>
      <c r="F936" s="27">
        <f>IFERROR(IF(OR(C936="",D936="",C936=0),"",D936/C936),"")</f>
        <v/>
      </c>
      <c r="G936" s="21">
        <f>IFERROR(INDEX(Users!$A$2:$A$310,MATCH(A936,Users!$B$2:$B$310,0)),"")</f>
        <v/>
      </c>
      <c r="H936" s="21">
        <f>IFERROR(INDEX(Users!$D$2:$D$310,MATCH(A936,Users!$B$2:$B$310,0)),"")</f>
        <v/>
      </c>
      <c r="I936" s="19">
        <f>AND(G936="Service A",H936="Band 3")</f>
        <v/>
      </c>
      <c r="J936" s="33">
        <f>IF(AND(YEAR(B936)=2025,G936="Service B",OR(H936="Band 3",H936="Band 5"),ISNUMBER(F936)),F936,"")</f>
        <v/>
      </c>
    </row>
    <row r="937">
      <c r="A937" s="19" t="inlineStr">
        <is>
          <t>User1100</t>
        </is>
      </c>
      <c r="B937" s="60" t="n">
        <v>45778</v>
      </c>
      <c r="C937" s="21" t="n">
        <v>148</v>
      </c>
      <c r="D937" s="21" t="n">
        <v>119.0333333333333</v>
      </c>
      <c r="E937" s="21" t="n">
        <v>71.2</v>
      </c>
      <c r="F937" s="27">
        <f>IFERROR(IF(OR(C937="",D937="",C937=0),"",D937/C937),"")</f>
        <v/>
      </c>
      <c r="G937" s="21">
        <f>IFERROR(INDEX(Users!$A$2:$A$310,MATCH(A937,Users!$B$2:$B$310,0)),"")</f>
        <v/>
      </c>
      <c r="H937" s="21">
        <f>IFERROR(INDEX(Users!$D$2:$D$310,MATCH(A937,Users!$B$2:$B$310,0)),"")</f>
        <v/>
      </c>
      <c r="I937" s="19">
        <f>AND(G937="Service A",H937="Band 3")</f>
        <v/>
      </c>
      <c r="J937" s="33">
        <f>IF(AND(YEAR(B937)=2025,G937="Service B",OR(H937="Band 3",H937="Band 5"),ISNUMBER(F937)),F937,"")</f>
        <v/>
      </c>
    </row>
    <row r="938">
      <c r="A938" s="19" t="inlineStr">
        <is>
          <t>User1100</t>
        </is>
      </c>
      <c r="B938" s="60" t="n">
        <v>45809</v>
      </c>
      <c r="C938" s="21" t="n">
        <v>155.4</v>
      </c>
      <c r="D938" s="21" t="n">
        <v>104.9166666666667</v>
      </c>
      <c r="E938" s="21" t="n">
        <v>74.25</v>
      </c>
      <c r="F938" s="27">
        <f>IFERROR(IF(OR(C938="",D938="",C938=0),"",D938/C938),"")</f>
        <v/>
      </c>
      <c r="G938" s="21">
        <f>IFERROR(INDEX(Users!$A$2:$A$310,MATCH(A938,Users!$B$2:$B$310,0)),"")</f>
        <v/>
      </c>
      <c r="H938" s="21">
        <f>IFERROR(INDEX(Users!$D$2:$D$310,MATCH(A938,Users!$B$2:$B$310,0)),"")</f>
        <v/>
      </c>
      <c r="I938" s="19">
        <f>AND(G938="Service A",H938="Band 3")</f>
        <v/>
      </c>
      <c r="J938" s="33">
        <f>IF(AND(YEAR(B938)=2025,G938="Service B",OR(H938="Band 3",H938="Band 5"),ISNUMBER(F938)),F938,"")</f>
        <v/>
      </c>
    </row>
    <row r="939">
      <c r="A939" s="19" t="inlineStr">
        <is>
          <t>User1100</t>
        </is>
      </c>
      <c r="B939" s="60" t="n">
        <v>45839</v>
      </c>
      <c r="C939" s="21" t="n">
        <v>170.2</v>
      </c>
      <c r="D939" s="21" t="n">
        <v>139.2766666666667</v>
      </c>
      <c r="E939" s="21" t="n">
        <v>102.61</v>
      </c>
      <c r="F939" s="27">
        <f>IFERROR(IF(OR(C939="",D939="",C939=0),"",D939/C939),"")</f>
        <v/>
      </c>
      <c r="G939" s="21">
        <f>IFERROR(INDEX(Users!$A$2:$A$310,MATCH(A939,Users!$B$2:$B$310,0)),"")</f>
        <v/>
      </c>
      <c r="H939" s="21">
        <f>IFERROR(INDEX(Users!$D$2:$D$310,MATCH(A939,Users!$B$2:$B$310,0)),"")</f>
        <v/>
      </c>
      <c r="I939" s="19">
        <f>AND(G939="Service A",H939="Band 3")</f>
        <v/>
      </c>
      <c r="J939" s="33">
        <f>IF(AND(YEAR(B939)=2025,G939="Service B",OR(H939="Band 3",H939="Band 5"),ISNUMBER(F939)),F939,"")</f>
        <v/>
      </c>
    </row>
    <row r="940">
      <c r="A940" s="19" t="inlineStr">
        <is>
          <t>User1100</t>
        </is>
      </c>
      <c r="B940" s="60" t="n">
        <v>45870</v>
      </c>
      <c r="C940" s="21" t="n">
        <v>148</v>
      </c>
      <c r="D940" s="21" t="n">
        <v>93.98333333333333</v>
      </c>
      <c r="E940" s="21" t="n">
        <v>67.40000000000001</v>
      </c>
      <c r="F940" s="27">
        <f>IFERROR(IF(OR(C940="",D940="",C940=0),"",D940/C940),"")</f>
        <v/>
      </c>
      <c r="G940" s="21">
        <f>IFERROR(INDEX(Users!$A$2:$A$310,MATCH(A940,Users!$B$2:$B$310,0)),"")</f>
        <v/>
      </c>
      <c r="H940" s="21">
        <f>IFERROR(INDEX(Users!$D$2:$D$310,MATCH(A940,Users!$B$2:$B$310,0)),"")</f>
        <v/>
      </c>
      <c r="I940" s="19">
        <f>AND(G940="Service A",H940="Band 3")</f>
        <v/>
      </c>
      <c r="J940" s="33">
        <f>IF(AND(YEAR(B940)=2025,G940="Service B",OR(H940="Band 3",H940="Band 5"),ISNUMBER(F940)),F940,"")</f>
        <v/>
      </c>
    </row>
    <row r="941">
      <c r="A941" s="19" t="inlineStr">
        <is>
          <t>User1100</t>
        </is>
      </c>
      <c r="B941" s="60" t="n">
        <v>45901</v>
      </c>
      <c r="C941" s="21" t="n">
        <v>162.8</v>
      </c>
      <c r="D941" s="21" t="n">
        <v>99.44666666666663</v>
      </c>
      <c r="E941" s="21" t="n">
        <v>66.27999999999997</v>
      </c>
      <c r="F941" s="27">
        <f>IFERROR(IF(OR(C941="",D941="",C941=0),"",D941/C941),"")</f>
        <v/>
      </c>
      <c r="G941" s="21">
        <f>IFERROR(INDEX(Users!$A$2:$A$310,MATCH(A941,Users!$B$2:$B$310,0)),"")</f>
        <v/>
      </c>
      <c r="H941" s="21">
        <f>IFERROR(INDEX(Users!$D$2:$D$310,MATCH(A941,Users!$B$2:$B$310,0)),"")</f>
        <v/>
      </c>
      <c r="I941" s="19">
        <f>AND(G941="Service A",H941="Band 3")</f>
        <v/>
      </c>
      <c r="J941" s="33">
        <f>IF(AND(YEAR(B941)=2025,G941="Service B",OR(H941="Band 3",H941="Band 5"),ISNUMBER(F941)),F941,"")</f>
        <v/>
      </c>
    </row>
    <row r="942">
      <c r="A942" s="19" t="inlineStr">
        <is>
          <t>User1100</t>
        </is>
      </c>
      <c r="B942" s="60" t="n">
        <v>45931</v>
      </c>
      <c r="C942" s="21" t="n">
        <v>170.2</v>
      </c>
      <c r="D942" s="21" t="n">
        <v>143.8666666666667</v>
      </c>
      <c r="E942" s="21" t="n">
        <v>94.69999999999999</v>
      </c>
      <c r="F942" s="27">
        <f>IFERROR(IF(OR(C942="",D942="",C942=0),"",D942/C942),"")</f>
        <v/>
      </c>
      <c r="G942" s="21">
        <f>IFERROR(INDEX(Users!$A$2:$A$310,MATCH(A942,Users!$B$2:$B$310,0)),"")</f>
        <v/>
      </c>
      <c r="H942" s="21">
        <f>IFERROR(INDEX(Users!$D$2:$D$310,MATCH(A942,Users!$B$2:$B$310,0)),"")</f>
        <v/>
      </c>
      <c r="I942" s="19">
        <f>AND(G942="Service A",H942="Band 3")</f>
        <v/>
      </c>
      <c r="J942" s="33">
        <f>IF(AND(YEAR(B942)=2025,G942="Service B",OR(H942="Band 3",H942="Band 5"),ISNUMBER(F942)),F942,"")</f>
        <v/>
      </c>
    </row>
    <row r="943">
      <c r="A943" s="19" t="inlineStr">
        <is>
          <t>User1100</t>
        </is>
      </c>
      <c r="B943" s="60" t="n">
        <v>45962</v>
      </c>
      <c r="C943" s="21" t="n">
        <v>148</v>
      </c>
      <c r="D943" s="21" t="n">
        <v>109.3733333333333</v>
      </c>
      <c r="E943" s="21" t="n">
        <v>64.54000000000001</v>
      </c>
      <c r="F943" s="27">
        <f>IFERROR(IF(OR(C943="",D943="",C943=0),"",D943/C943),"")</f>
        <v/>
      </c>
      <c r="G943" s="21">
        <f>IFERROR(INDEX(Users!$A$2:$A$310,MATCH(A943,Users!$B$2:$B$310,0)),"")</f>
        <v/>
      </c>
      <c r="H943" s="21">
        <f>IFERROR(INDEX(Users!$D$2:$D$310,MATCH(A943,Users!$B$2:$B$310,0)),"")</f>
        <v/>
      </c>
      <c r="I943" s="19">
        <f>AND(G943="Service A",H943="Band 3")</f>
        <v/>
      </c>
      <c r="J943" s="33">
        <f>IF(AND(YEAR(B943)=2025,G943="Service B",OR(H943="Band 3",H943="Band 5"),ISNUMBER(F943)),F943,"")</f>
        <v/>
      </c>
    </row>
    <row r="944">
      <c r="A944" s="19" t="inlineStr">
        <is>
          <t>User1100</t>
        </is>
      </c>
      <c r="B944" s="60" t="n">
        <v>45992</v>
      </c>
      <c r="C944" s="21" t="n">
        <v>155.4</v>
      </c>
      <c r="D944" s="21" t="n">
        <v>100.6033333333333</v>
      </c>
      <c r="E944" s="21" t="n">
        <v>63.52</v>
      </c>
      <c r="F944" s="27">
        <f>IFERROR(IF(OR(C944="",D944="",C944=0),"",D944/C944),"")</f>
        <v/>
      </c>
      <c r="G944" s="21">
        <f>IFERROR(INDEX(Users!$A$2:$A$310,MATCH(A944,Users!$B$2:$B$310,0)),"")</f>
        <v/>
      </c>
      <c r="H944" s="21">
        <f>IFERROR(INDEX(Users!$D$2:$D$310,MATCH(A944,Users!$B$2:$B$310,0)),"")</f>
        <v/>
      </c>
      <c r="I944" s="19">
        <f>AND(G944="Service A",H944="Band 3")</f>
        <v/>
      </c>
      <c r="J944" s="33">
        <f>IF(AND(YEAR(B944)=2025,G944="Service B",OR(H944="Band 3",H944="Band 5"),ISNUMBER(F944)),F944,"")</f>
        <v/>
      </c>
    </row>
    <row r="945">
      <c r="A945" s="19" t="inlineStr">
        <is>
          <t>User1100</t>
        </is>
      </c>
      <c r="B945" s="60" t="n">
        <v>46023</v>
      </c>
      <c r="C945" s="21" t="n">
        <v>155.4</v>
      </c>
      <c r="D945" s="21" t="n">
        <v>128.8733333333333</v>
      </c>
      <c r="E945" s="21" t="n">
        <v>77.28999999999999</v>
      </c>
      <c r="F945" s="27">
        <f>IFERROR(IF(OR(C945="",D945="",C945=0),"",D945/C945),"")</f>
        <v/>
      </c>
      <c r="G945" s="21">
        <f>IFERROR(INDEX(Users!$A$2:$A$310,MATCH(A945,Users!$B$2:$B$310,0)),"")</f>
        <v/>
      </c>
      <c r="H945" s="21">
        <f>IFERROR(INDEX(Users!$D$2:$D$310,MATCH(A945,Users!$B$2:$B$310,0)),"")</f>
        <v/>
      </c>
      <c r="I945" s="19">
        <f>AND(G945="Service A",H945="Band 3")</f>
        <v/>
      </c>
      <c r="J945" s="33">
        <f>IF(AND(YEAR(B945)=2025,G945="Service B",OR(H945="Band 3",H945="Band 5"),ISNUMBER(F945)),F945,"")</f>
        <v/>
      </c>
    </row>
    <row r="946">
      <c r="A946" s="19" t="inlineStr">
        <is>
          <t>User1101</t>
        </is>
      </c>
      <c r="B946" s="60" t="n">
        <v>45658</v>
      </c>
      <c r="C946" s="21" t="n">
        <v>153.032</v>
      </c>
      <c r="D946" s="21" t="n">
        <v>153.2066666666666</v>
      </c>
      <c r="E946" s="21" t="n">
        <v>87.58999999999999</v>
      </c>
      <c r="F946" s="27">
        <f>IFERROR(IF(OR(C946="",D946="",C946=0),"",D946/C946),"")</f>
        <v/>
      </c>
      <c r="G946" s="21">
        <f>IFERROR(INDEX(Users!$A$2:$A$310,MATCH(A946,Users!$B$2:$B$310,0)),"")</f>
        <v/>
      </c>
      <c r="H946" s="21">
        <f>IFERROR(INDEX(Users!$D$2:$D$310,MATCH(A946,Users!$B$2:$B$310,0)),"")</f>
        <v/>
      </c>
      <c r="I946" s="19">
        <f>AND(G946="Service A",H946="Band 3")</f>
        <v/>
      </c>
      <c r="J946" s="33">
        <f>IF(AND(YEAR(B946)=2025,G946="Service B",OR(H946="Band 3",H946="Band 5"),ISNUMBER(F946)),F946,"")</f>
        <v/>
      </c>
    </row>
    <row r="947">
      <c r="A947" s="19" t="inlineStr">
        <is>
          <t>User1101</t>
        </is>
      </c>
      <c r="B947" s="60" t="n">
        <v>45689</v>
      </c>
      <c r="C947" s="21" t="n">
        <v>139.12</v>
      </c>
      <c r="D947" s="21" t="n">
        <v>129.7766666666666</v>
      </c>
      <c r="E947" s="21" t="n">
        <v>67.80999999999999</v>
      </c>
      <c r="F947" s="27">
        <f>IFERROR(IF(OR(C947="",D947="",C947=0),"",D947/C947),"")</f>
        <v/>
      </c>
      <c r="G947" s="21">
        <f>IFERROR(INDEX(Users!$A$2:$A$310,MATCH(A947,Users!$B$2:$B$310,0)),"")</f>
        <v/>
      </c>
      <c r="H947" s="21">
        <f>IFERROR(INDEX(Users!$D$2:$D$310,MATCH(A947,Users!$B$2:$B$310,0)),"")</f>
        <v/>
      </c>
      <c r="I947" s="19">
        <f>AND(G947="Service A",H947="Band 3")</f>
        <v/>
      </c>
      <c r="J947" s="33">
        <f>IF(AND(YEAR(B947)=2025,G947="Service B",OR(H947="Band 3",H947="Band 5"),ISNUMBER(F947)),F947,"")</f>
        <v/>
      </c>
    </row>
    <row r="948">
      <c r="A948" s="19" t="inlineStr">
        <is>
          <t>User1101</t>
        </is>
      </c>
      <c r="B948" s="60" t="n">
        <v>45717</v>
      </c>
      <c r="C948" s="21" t="n">
        <v>146.076</v>
      </c>
      <c r="D948" s="21" t="n">
        <v>106.81</v>
      </c>
      <c r="E948" s="21" t="n">
        <v>57.91</v>
      </c>
      <c r="F948" s="27">
        <f>IFERROR(IF(OR(C948="",D948="",C948=0),"",D948/C948),"")</f>
        <v/>
      </c>
      <c r="G948" s="21">
        <f>IFERROR(INDEX(Users!$A$2:$A$310,MATCH(A948,Users!$B$2:$B$310,0)),"")</f>
        <v/>
      </c>
      <c r="H948" s="21">
        <f>IFERROR(INDEX(Users!$D$2:$D$310,MATCH(A948,Users!$B$2:$B$310,0)),"")</f>
        <v/>
      </c>
      <c r="I948" s="19">
        <f>AND(G948="Service A",H948="Band 3")</f>
        <v/>
      </c>
      <c r="J948" s="33">
        <f>IF(AND(YEAR(B948)=2025,G948="Service B",OR(H948="Band 3",H948="Band 5"),ISNUMBER(F948)),F948,"")</f>
        <v/>
      </c>
    </row>
    <row r="949">
      <c r="A949" s="19" t="inlineStr">
        <is>
          <t>User1101</t>
        </is>
      </c>
      <c r="B949" s="60" t="n">
        <v>45748</v>
      </c>
      <c r="C949" s="21" t="n">
        <v>139.12</v>
      </c>
      <c r="D949" s="21" t="n">
        <v>118.3166666666667</v>
      </c>
      <c r="E949" s="21" t="n">
        <v>78.5</v>
      </c>
      <c r="F949" s="27">
        <f>IFERROR(IF(OR(C949="",D949="",C949=0),"",D949/C949),"")</f>
        <v/>
      </c>
      <c r="G949" s="21">
        <f>IFERROR(INDEX(Users!$A$2:$A$310,MATCH(A949,Users!$B$2:$B$310,0)),"")</f>
        <v/>
      </c>
      <c r="H949" s="21">
        <f>IFERROR(INDEX(Users!$D$2:$D$310,MATCH(A949,Users!$B$2:$B$310,0)),"")</f>
        <v/>
      </c>
      <c r="I949" s="19">
        <f>AND(G949="Service A",H949="Band 3")</f>
        <v/>
      </c>
      <c r="J949" s="33">
        <f>IF(AND(YEAR(B949)=2025,G949="Service B",OR(H949="Band 3",H949="Band 5"),ISNUMBER(F949)),F949,"")</f>
        <v/>
      </c>
    </row>
    <row r="950">
      <c r="A950" s="19" t="inlineStr">
        <is>
          <t>User1101</t>
        </is>
      </c>
      <c r="B950" s="60" t="n">
        <v>45778</v>
      </c>
      <c r="C950" s="21" t="n">
        <v>139.12</v>
      </c>
      <c r="D950" s="21" t="n">
        <v>118.15</v>
      </c>
      <c r="E950" s="21" t="n">
        <v>79.90000000000001</v>
      </c>
      <c r="F950" s="27">
        <f>IFERROR(IF(OR(C950="",D950="",C950=0),"",D950/C950),"")</f>
        <v/>
      </c>
      <c r="G950" s="21">
        <f>IFERROR(INDEX(Users!$A$2:$A$310,MATCH(A950,Users!$B$2:$B$310,0)),"")</f>
        <v/>
      </c>
      <c r="H950" s="21">
        <f>IFERROR(INDEX(Users!$D$2:$D$310,MATCH(A950,Users!$B$2:$B$310,0)),"")</f>
        <v/>
      </c>
      <c r="I950" s="19">
        <f>AND(G950="Service A",H950="Band 3")</f>
        <v/>
      </c>
      <c r="J950" s="33">
        <f>IF(AND(YEAR(B950)=2025,G950="Service B",OR(H950="Band 3",H950="Band 5"),ISNUMBER(F950)),F950,"")</f>
        <v/>
      </c>
    </row>
    <row r="951">
      <c r="A951" s="19" t="inlineStr">
        <is>
          <t>User1101</t>
        </is>
      </c>
      <c r="B951" s="60" t="n">
        <v>45809</v>
      </c>
      <c r="C951" s="21" t="n">
        <v>146.076</v>
      </c>
      <c r="D951" s="21" t="n">
        <v>90.75</v>
      </c>
      <c r="E951" s="21" t="n">
        <v>51.00000000000001</v>
      </c>
      <c r="F951" s="27">
        <f>IFERROR(IF(OR(C951="",D951="",C951=0),"",D951/C951),"")</f>
        <v/>
      </c>
      <c r="G951" s="21">
        <f>IFERROR(INDEX(Users!$A$2:$A$310,MATCH(A951,Users!$B$2:$B$310,0)),"")</f>
        <v/>
      </c>
      <c r="H951" s="21">
        <f>IFERROR(INDEX(Users!$D$2:$D$310,MATCH(A951,Users!$B$2:$B$310,0)),"")</f>
        <v/>
      </c>
      <c r="I951" s="19">
        <f>AND(G951="Service A",H951="Band 3")</f>
        <v/>
      </c>
      <c r="J951" s="33">
        <f>IF(AND(YEAR(B951)=2025,G951="Service B",OR(H951="Band 3",H951="Band 5"),ISNUMBER(F951)),F951,"")</f>
        <v/>
      </c>
    </row>
    <row r="952">
      <c r="A952" s="19" t="inlineStr">
        <is>
          <t>User1101</t>
        </is>
      </c>
      <c r="B952" s="60" t="n">
        <v>45839</v>
      </c>
      <c r="C952" s="21" t="n">
        <v>159.988</v>
      </c>
      <c r="D952" s="21" t="n">
        <v>17.83</v>
      </c>
      <c r="E952" s="21" t="n">
        <v>9.33</v>
      </c>
      <c r="F952" s="27">
        <f>IFERROR(IF(OR(C952="",D952="",C952=0),"",D952/C952),"")</f>
        <v/>
      </c>
      <c r="G952" s="21">
        <f>IFERROR(INDEX(Users!$A$2:$A$310,MATCH(A952,Users!$B$2:$B$310,0)),"")</f>
        <v/>
      </c>
      <c r="H952" s="21">
        <f>IFERROR(INDEX(Users!$D$2:$D$310,MATCH(A952,Users!$B$2:$B$310,0)),"")</f>
        <v/>
      </c>
      <c r="I952" s="19">
        <f>AND(G952="Service A",H952="Band 3")</f>
        <v/>
      </c>
      <c r="J952" s="33">
        <f>IF(AND(YEAR(B952)=2025,G952="Service B",OR(H952="Band 3",H952="Band 5"),ISNUMBER(F952)),F952,"")</f>
        <v/>
      </c>
    </row>
    <row r="953">
      <c r="A953" s="19" t="inlineStr">
        <is>
          <t>User1101</t>
        </is>
      </c>
      <c r="B953" s="60" t="n">
        <v>45870</v>
      </c>
      <c r="C953" s="21" t="n">
        <v>139.12</v>
      </c>
      <c r="D953" s="21" t="n"/>
      <c r="E953" s="21" t="n"/>
      <c r="F953" s="27">
        <f>IFERROR(IF(OR(C953="",D953="",C953=0),"",D953/C953),"")</f>
        <v/>
      </c>
      <c r="G953" s="21">
        <f>IFERROR(INDEX(Users!$A$2:$A$310,MATCH(A953,Users!$B$2:$B$310,0)),"")</f>
        <v/>
      </c>
      <c r="H953" s="21">
        <f>IFERROR(INDEX(Users!$D$2:$D$310,MATCH(A953,Users!$B$2:$B$310,0)),"")</f>
        <v/>
      </c>
      <c r="I953" s="19">
        <f>AND(G953="Service A",H953="Band 3")</f>
        <v/>
      </c>
      <c r="J953" s="33">
        <f>IF(AND(YEAR(B953)=2025,G953="Service B",OR(H953="Band 3",H953="Band 5"),ISNUMBER(F953)),F953,"")</f>
        <v/>
      </c>
    </row>
    <row r="954">
      <c r="A954" s="19" t="inlineStr">
        <is>
          <t>User1101</t>
        </is>
      </c>
      <c r="B954" s="60" t="n">
        <v>45901</v>
      </c>
      <c r="C954" s="21" t="n">
        <v>153.032</v>
      </c>
      <c r="D954" s="21" t="n">
        <v>171.05</v>
      </c>
      <c r="E954" s="21" t="n">
        <v>116.9</v>
      </c>
      <c r="F954" s="27">
        <f>IFERROR(IF(OR(C954="",D954="",C954=0),"",D954/C954),"")</f>
        <v/>
      </c>
      <c r="G954" s="21">
        <f>IFERROR(INDEX(Users!$A$2:$A$310,MATCH(A954,Users!$B$2:$B$310,0)),"")</f>
        <v/>
      </c>
      <c r="H954" s="21">
        <f>IFERROR(INDEX(Users!$D$2:$D$310,MATCH(A954,Users!$B$2:$B$310,0)),"")</f>
        <v/>
      </c>
      <c r="I954" s="19">
        <f>AND(G954="Service A",H954="Band 3")</f>
        <v/>
      </c>
      <c r="J954" s="33">
        <f>IF(AND(YEAR(B954)=2025,G954="Service B",OR(H954="Band 3",H954="Band 5"),ISNUMBER(F954)),F954,"")</f>
        <v/>
      </c>
    </row>
    <row r="955">
      <c r="A955" s="19" t="inlineStr">
        <is>
          <t>User1101</t>
        </is>
      </c>
      <c r="B955" s="60" t="n">
        <v>45931</v>
      </c>
      <c r="C955" s="21" t="n">
        <v>159.988</v>
      </c>
      <c r="D955" s="21" t="n">
        <v>141.5566666666666</v>
      </c>
      <c r="E955" s="21" t="n">
        <v>101.64</v>
      </c>
      <c r="F955" s="27">
        <f>IFERROR(IF(OR(C955="",D955="",C955=0),"",D955/C955),"")</f>
        <v/>
      </c>
      <c r="G955" s="21">
        <f>IFERROR(INDEX(Users!$A$2:$A$310,MATCH(A955,Users!$B$2:$B$310,0)),"")</f>
        <v/>
      </c>
      <c r="H955" s="21">
        <f>IFERROR(INDEX(Users!$D$2:$D$310,MATCH(A955,Users!$B$2:$B$310,0)),"")</f>
        <v/>
      </c>
      <c r="I955" s="19">
        <f>AND(G955="Service A",H955="Band 3")</f>
        <v/>
      </c>
      <c r="J955" s="33">
        <f>IF(AND(YEAR(B955)=2025,G955="Service B",OR(H955="Band 3",H955="Band 5"),ISNUMBER(F955)),F955,"")</f>
        <v/>
      </c>
    </row>
    <row r="956">
      <c r="A956" s="19" t="inlineStr">
        <is>
          <t>User1101</t>
        </is>
      </c>
      <c r="B956" s="60" t="n">
        <v>45962</v>
      </c>
      <c r="C956" s="21" t="n">
        <v>139.12</v>
      </c>
      <c r="D956" s="21" t="n">
        <v>135.06</v>
      </c>
      <c r="E956" s="21" t="n">
        <v>101.06</v>
      </c>
      <c r="F956" s="27">
        <f>IFERROR(IF(OR(C956="",D956="",C956=0),"",D956/C956),"")</f>
        <v/>
      </c>
      <c r="G956" s="21">
        <f>IFERROR(INDEX(Users!$A$2:$A$310,MATCH(A956,Users!$B$2:$B$310,0)),"")</f>
        <v/>
      </c>
      <c r="H956" s="21">
        <f>IFERROR(INDEX(Users!$D$2:$D$310,MATCH(A956,Users!$B$2:$B$310,0)),"")</f>
        <v/>
      </c>
      <c r="I956" s="19">
        <f>AND(G956="Service A",H956="Band 3")</f>
        <v/>
      </c>
      <c r="J956" s="33">
        <f>IF(AND(YEAR(B956)=2025,G956="Service B",OR(H956="Band 3",H956="Band 5"),ISNUMBER(F956)),F956,"")</f>
        <v/>
      </c>
    </row>
    <row r="957">
      <c r="A957" s="19" t="inlineStr">
        <is>
          <t>User1101</t>
        </is>
      </c>
      <c r="B957" s="60" t="n">
        <v>45992</v>
      </c>
      <c r="C957" s="21" t="n">
        <v>146.076</v>
      </c>
      <c r="D957" s="21" t="n">
        <v>102.97</v>
      </c>
      <c r="E957" s="21" t="n">
        <v>76.06999999999999</v>
      </c>
      <c r="F957" s="27">
        <f>IFERROR(IF(OR(C957="",D957="",C957=0),"",D957/C957),"")</f>
        <v/>
      </c>
      <c r="G957" s="21">
        <f>IFERROR(INDEX(Users!$A$2:$A$310,MATCH(A957,Users!$B$2:$B$310,0)),"")</f>
        <v/>
      </c>
      <c r="H957" s="21">
        <f>IFERROR(INDEX(Users!$D$2:$D$310,MATCH(A957,Users!$B$2:$B$310,0)),"")</f>
        <v/>
      </c>
      <c r="I957" s="19">
        <f>AND(G957="Service A",H957="Band 3")</f>
        <v/>
      </c>
      <c r="J957" s="33">
        <f>IF(AND(YEAR(B957)=2025,G957="Service B",OR(H957="Band 3",H957="Band 5"),ISNUMBER(F957)),F957,"")</f>
        <v/>
      </c>
    </row>
    <row r="958">
      <c r="A958" s="19" t="inlineStr">
        <is>
          <t>User1101</t>
        </is>
      </c>
      <c r="B958" s="60" t="n">
        <v>46023</v>
      </c>
      <c r="C958" s="21" t="n">
        <v>146.076</v>
      </c>
      <c r="D958" s="21" t="n">
        <v>140.06</v>
      </c>
      <c r="E958" s="21" t="n">
        <v>104.16</v>
      </c>
      <c r="F958" s="27">
        <f>IFERROR(IF(OR(C958="",D958="",C958=0),"",D958/C958),"")</f>
        <v/>
      </c>
      <c r="G958" s="21">
        <f>IFERROR(INDEX(Users!$A$2:$A$310,MATCH(A958,Users!$B$2:$B$310,0)),"")</f>
        <v/>
      </c>
      <c r="H958" s="21">
        <f>IFERROR(INDEX(Users!$D$2:$D$310,MATCH(A958,Users!$B$2:$B$310,0)),"")</f>
        <v/>
      </c>
      <c r="I958" s="19">
        <f>AND(G958="Service A",H958="Band 3")</f>
        <v/>
      </c>
      <c r="J958" s="33">
        <f>IF(AND(YEAR(B958)=2025,G958="Service B",OR(H958="Band 3",H958="Band 5"),ISNUMBER(F958)),F958,"")</f>
        <v/>
      </c>
    </row>
    <row r="959">
      <c r="A959" s="19" t="inlineStr">
        <is>
          <t>User1102</t>
        </is>
      </c>
      <c r="B959" s="60" t="n">
        <v>45658</v>
      </c>
      <c r="C959" s="21" t="n">
        <v>135</v>
      </c>
      <c r="D959" s="21" t="n"/>
      <c r="E959" s="21" t="n"/>
      <c r="F959" s="27">
        <f>IFERROR(IF(OR(C959="",D959="",C959=0),"",D959/C959),"")</f>
        <v/>
      </c>
      <c r="G959" s="21">
        <f>IFERROR(INDEX(Users!$A$2:$A$310,MATCH(A959,Users!$B$2:$B$310,0)),"")</f>
        <v/>
      </c>
      <c r="H959" s="21">
        <f>IFERROR(INDEX(Users!$D$2:$D$310,MATCH(A959,Users!$B$2:$B$310,0)),"")</f>
        <v/>
      </c>
      <c r="I959" s="19">
        <f>AND(G959="Service A",H959="Band 3")</f>
        <v/>
      </c>
      <c r="J959" s="33">
        <f>IF(AND(YEAR(B959)=2025,G959="Service B",OR(H959="Band 3",H959="Band 5"),ISNUMBER(F959)),F959,"")</f>
        <v/>
      </c>
    </row>
    <row r="960">
      <c r="A960" s="19" t="inlineStr">
        <is>
          <t>User1102</t>
        </is>
      </c>
      <c r="B960" s="60" t="n">
        <v>45689</v>
      </c>
      <c r="C960" s="21" t="n">
        <v>120</v>
      </c>
      <c r="D960" s="21" t="n">
        <v>60</v>
      </c>
      <c r="E960" s="21" t="n"/>
      <c r="F960" s="27">
        <f>IFERROR(IF(OR(C960="",D960="",C960=0),"",D960/C960),"")</f>
        <v/>
      </c>
      <c r="G960" s="21">
        <f>IFERROR(INDEX(Users!$A$2:$A$310,MATCH(A960,Users!$B$2:$B$310,0)),"")</f>
        <v/>
      </c>
      <c r="H960" s="21">
        <f>IFERROR(INDEX(Users!$D$2:$D$310,MATCH(A960,Users!$B$2:$B$310,0)),"")</f>
        <v/>
      </c>
      <c r="I960" s="19">
        <f>AND(G960="Service A",H960="Band 3")</f>
        <v/>
      </c>
      <c r="J960" s="33">
        <f>IF(AND(YEAR(B960)=2025,G960="Service B",OR(H960="Band 3",H960="Band 5"),ISNUMBER(F960)),F960,"")</f>
        <v/>
      </c>
    </row>
    <row r="961">
      <c r="A961" s="19" t="inlineStr">
        <is>
          <t>User1102</t>
        </is>
      </c>
      <c r="B961" s="60" t="n">
        <v>45717</v>
      </c>
      <c r="C961" s="21" t="n">
        <v>120</v>
      </c>
      <c r="D961" s="21" t="n">
        <v>83.19999999999997</v>
      </c>
      <c r="E961" s="21" t="n"/>
      <c r="F961" s="27">
        <f>IFERROR(IF(OR(C961="",D961="",C961=0),"",D961/C961),"")</f>
        <v/>
      </c>
      <c r="G961" s="21">
        <f>IFERROR(INDEX(Users!$A$2:$A$310,MATCH(A961,Users!$B$2:$B$310,0)),"")</f>
        <v/>
      </c>
      <c r="H961" s="21">
        <f>IFERROR(INDEX(Users!$D$2:$D$310,MATCH(A961,Users!$B$2:$B$310,0)),"")</f>
        <v/>
      </c>
      <c r="I961" s="19">
        <f>AND(G961="Service A",H961="Band 3")</f>
        <v/>
      </c>
      <c r="J961" s="33">
        <f>IF(AND(YEAR(B961)=2025,G961="Service B",OR(H961="Band 3",H961="Band 5"),ISNUMBER(F961)),F961,"")</f>
        <v/>
      </c>
    </row>
    <row r="962">
      <c r="A962" s="19" t="inlineStr">
        <is>
          <t>User1102</t>
        </is>
      </c>
      <c r="B962" s="60" t="n">
        <v>45748</v>
      </c>
      <c r="C962" s="21" t="n">
        <v>127.5</v>
      </c>
      <c r="D962" s="21" t="n">
        <v>88.80000000000001</v>
      </c>
      <c r="E962" s="21" t="n">
        <v>5.300000000000001</v>
      </c>
      <c r="F962" s="27">
        <f>IFERROR(IF(OR(C962="",D962="",C962=0),"",D962/C962),"")</f>
        <v/>
      </c>
      <c r="G962" s="21">
        <f>IFERROR(INDEX(Users!$A$2:$A$310,MATCH(A962,Users!$B$2:$B$310,0)),"")</f>
        <v/>
      </c>
      <c r="H962" s="21">
        <f>IFERROR(INDEX(Users!$D$2:$D$310,MATCH(A962,Users!$B$2:$B$310,0)),"")</f>
        <v/>
      </c>
      <c r="I962" s="19">
        <f>AND(G962="Service A",H962="Band 3")</f>
        <v/>
      </c>
      <c r="J962" s="33">
        <f>IF(AND(YEAR(B962)=2025,G962="Service B",OR(H962="Band 3",H962="Band 5"),ISNUMBER(F962)),F962,"")</f>
        <v/>
      </c>
    </row>
    <row r="963">
      <c r="A963" s="19" t="inlineStr">
        <is>
          <t>User1102</t>
        </is>
      </c>
      <c r="B963" s="60" t="n">
        <v>45778</v>
      </c>
      <c r="C963" s="21" t="n">
        <v>135</v>
      </c>
      <c r="D963" s="21" t="n">
        <v>110</v>
      </c>
      <c r="E963" s="21" t="n">
        <v>11.9</v>
      </c>
      <c r="F963" s="27">
        <f>IFERROR(IF(OR(C963="",D963="",C963=0),"",D963/C963),"")</f>
        <v/>
      </c>
      <c r="G963" s="21">
        <f>IFERROR(INDEX(Users!$A$2:$A$310,MATCH(A963,Users!$B$2:$B$310,0)),"")</f>
        <v/>
      </c>
      <c r="H963" s="21">
        <f>IFERROR(INDEX(Users!$D$2:$D$310,MATCH(A963,Users!$B$2:$B$310,0)),"")</f>
        <v/>
      </c>
      <c r="I963" s="19">
        <f>AND(G963="Service A",H963="Band 3")</f>
        <v/>
      </c>
      <c r="J963" s="33">
        <f>IF(AND(YEAR(B963)=2025,G963="Service B",OR(H963="Band 3",H963="Band 5"),ISNUMBER(F963)),F963,"")</f>
        <v/>
      </c>
    </row>
    <row r="964">
      <c r="A964" s="19" t="inlineStr">
        <is>
          <t>User1102</t>
        </is>
      </c>
      <c r="B964" s="60" t="n">
        <v>45809</v>
      </c>
      <c r="C964" s="21" t="n">
        <v>120</v>
      </c>
      <c r="D964" s="21" t="n">
        <v>120</v>
      </c>
      <c r="E964" s="21" t="n">
        <v>14.5</v>
      </c>
      <c r="F964" s="27">
        <f>IFERROR(IF(OR(C964="",D964="",C964=0),"",D964/C964),"")</f>
        <v/>
      </c>
      <c r="G964" s="21">
        <f>IFERROR(INDEX(Users!$A$2:$A$310,MATCH(A964,Users!$B$2:$B$310,0)),"")</f>
        <v/>
      </c>
      <c r="H964" s="21">
        <f>IFERROR(INDEX(Users!$D$2:$D$310,MATCH(A964,Users!$B$2:$B$310,0)),"")</f>
        <v/>
      </c>
      <c r="I964" s="19">
        <f>AND(G964="Service A",H964="Band 3")</f>
        <v/>
      </c>
      <c r="J964" s="33">
        <f>IF(AND(YEAR(B964)=2025,G964="Service B",OR(H964="Band 3",H964="Band 5"),ISNUMBER(F964)),F964,"")</f>
        <v/>
      </c>
    </row>
    <row r="965">
      <c r="A965" s="19" t="inlineStr">
        <is>
          <t>User1102</t>
        </is>
      </c>
      <c r="B965" s="60" t="n">
        <v>45839</v>
      </c>
      <c r="C965" s="21" t="n">
        <v>142.5</v>
      </c>
      <c r="D965" s="21" t="n">
        <v>90</v>
      </c>
      <c r="E965" s="21" t="n">
        <v>22.3</v>
      </c>
      <c r="F965" s="27">
        <f>IFERROR(IF(OR(C965="",D965="",C965=0),"",D965/C965),"")</f>
        <v/>
      </c>
      <c r="G965" s="21">
        <f>IFERROR(INDEX(Users!$A$2:$A$310,MATCH(A965,Users!$B$2:$B$310,0)),"")</f>
        <v/>
      </c>
      <c r="H965" s="21">
        <f>IFERROR(INDEX(Users!$D$2:$D$310,MATCH(A965,Users!$B$2:$B$310,0)),"")</f>
        <v/>
      </c>
      <c r="I965" s="19">
        <f>AND(G965="Service A",H965="Band 3")</f>
        <v/>
      </c>
      <c r="J965" s="33">
        <f>IF(AND(YEAR(B965)=2025,G965="Service B",OR(H965="Band 3",H965="Band 5"),ISNUMBER(F965)),F965,"")</f>
        <v/>
      </c>
    </row>
    <row r="966">
      <c r="A966" s="19" t="inlineStr">
        <is>
          <t>User1102</t>
        </is>
      </c>
      <c r="B966" s="60" t="n">
        <v>45870</v>
      </c>
      <c r="C966" s="21" t="n">
        <v>127.5</v>
      </c>
      <c r="D966" s="21" t="n">
        <v>120</v>
      </c>
      <c r="E966" s="21" t="n">
        <v>26.1</v>
      </c>
      <c r="F966" s="27">
        <f>IFERROR(IF(OR(C966="",D966="",C966=0),"",D966/C966),"")</f>
        <v/>
      </c>
      <c r="G966" s="21">
        <f>IFERROR(INDEX(Users!$A$2:$A$310,MATCH(A966,Users!$B$2:$B$310,0)),"")</f>
        <v/>
      </c>
      <c r="H966" s="21">
        <f>IFERROR(INDEX(Users!$D$2:$D$310,MATCH(A966,Users!$B$2:$B$310,0)),"")</f>
        <v/>
      </c>
      <c r="I966" s="19">
        <f>AND(G966="Service A",H966="Band 3")</f>
        <v/>
      </c>
      <c r="J966" s="33">
        <f>IF(AND(YEAR(B966)=2025,G966="Service B",OR(H966="Band 3",H966="Band 5"),ISNUMBER(F966)),F966,"")</f>
        <v/>
      </c>
    </row>
    <row r="967">
      <c r="A967" s="19" t="inlineStr">
        <is>
          <t>User1102</t>
        </is>
      </c>
      <c r="B967" s="60" t="n">
        <v>45901</v>
      </c>
      <c r="C967" s="21" t="n">
        <v>127.5</v>
      </c>
      <c r="D967" s="21" t="n">
        <v>118.9</v>
      </c>
      <c r="E967" s="21" t="n">
        <v>16.4</v>
      </c>
      <c r="F967" s="27">
        <f>IFERROR(IF(OR(C967="",D967="",C967=0),"",D967/C967),"")</f>
        <v/>
      </c>
      <c r="G967" s="21">
        <f>IFERROR(INDEX(Users!$A$2:$A$310,MATCH(A967,Users!$B$2:$B$310,0)),"")</f>
        <v/>
      </c>
      <c r="H967" s="21">
        <f>IFERROR(INDEX(Users!$D$2:$D$310,MATCH(A967,Users!$B$2:$B$310,0)),"")</f>
        <v/>
      </c>
      <c r="I967" s="19">
        <f>AND(G967="Service A",H967="Band 3")</f>
        <v/>
      </c>
      <c r="J967" s="33">
        <f>IF(AND(YEAR(B967)=2025,G967="Service B",OR(H967="Band 3",H967="Band 5"),ISNUMBER(F967)),F967,"")</f>
        <v/>
      </c>
    </row>
    <row r="968">
      <c r="A968" s="19" t="inlineStr">
        <is>
          <t>User1102</t>
        </is>
      </c>
      <c r="B968" s="60" t="n">
        <v>45931</v>
      </c>
      <c r="C968" s="21" t="n">
        <v>142.5</v>
      </c>
      <c r="D968" s="21" t="n">
        <v>124.9</v>
      </c>
      <c r="E968" s="21" t="n">
        <v>8.699999999999999</v>
      </c>
      <c r="F968" s="27">
        <f>IFERROR(IF(OR(C968="",D968="",C968=0),"",D968/C968),"")</f>
        <v/>
      </c>
      <c r="G968" s="21">
        <f>IFERROR(INDEX(Users!$A$2:$A$310,MATCH(A968,Users!$B$2:$B$310,0)),"")</f>
        <v/>
      </c>
      <c r="H968" s="21">
        <f>IFERROR(INDEX(Users!$D$2:$D$310,MATCH(A968,Users!$B$2:$B$310,0)),"")</f>
        <v/>
      </c>
      <c r="I968" s="19">
        <f>AND(G968="Service A",H968="Band 3")</f>
        <v/>
      </c>
      <c r="J968" s="33">
        <f>IF(AND(YEAR(B968)=2025,G968="Service B",OR(H968="Band 3",H968="Band 5"),ISNUMBER(F968)),F968,"")</f>
        <v/>
      </c>
    </row>
    <row r="969">
      <c r="A969" s="19" t="inlineStr">
        <is>
          <t>User1102</t>
        </is>
      </c>
      <c r="B969" s="60" t="n">
        <v>45962</v>
      </c>
      <c r="C969" s="21" t="n">
        <v>120</v>
      </c>
      <c r="D969" s="21" t="n">
        <v>112.5</v>
      </c>
      <c r="E969" s="21" t="n"/>
      <c r="F969" s="27">
        <f>IFERROR(IF(OR(C969="",D969="",C969=0),"",D969/C969),"")</f>
        <v/>
      </c>
      <c r="G969" s="21">
        <f>IFERROR(INDEX(Users!$A$2:$A$310,MATCH(A969,Users!$B$2:$B$310,0)),"")</f>
        <v/>
      </c>
      <c r="H969" s="21">
        <f>IFERROR(INDEX(Users!$D$2:$D$310,MATCH(A969,Users!$B$2:$B$310,0)),"")</f>
        <v/>
      </c>
      <c r="I969" s="19">
        <f>AND(G969="Service A",H969="Band 3")</f>
        <v/>
      </c>
      <c r="J969" s="33">
        <f>IF(AND(YEAR(B969)=2025,G969="Service B",OR(H969="Band 3",H969="Band 5"),ISNUMBER(F969)),F969,"")</f>
        <v/>
      </c>
    </row>
    <row r="970">
      <c r="A970" s="19" t="inlineStr">
        <is>
          <t>User1102</t>
        </is>
      </c>
      <c r="B970" s="60" t="n">
        <v>45992</v>
      </c>
      <c r="C970" s="21" t="n">
        <v>120</v>
      </c>
      <c r="D970" s="21" t="n">
        <v>75</v>
      </c>
      <c r="E970" s="21" t="n"/>
      <c r="F970" s="27">
        <f>IFERROR(IF(OR(C970="",D970="",C970=0),"",D970/C970),"")</f>
        <v/>
      </c>
      <c r="G970" s="21">
        <f>IFERROR(INDEX(Users!$A$2:$A$310,MATCH(A970,Users!$B$2:$B$310,0)),"")</f>
        <v/>
      </c>
      <c r="H970" s="21">
        <f>IFERROR(INDEX(Users!$D$2:$D$310,MATCH(A970,Users!$B$2:$B$310,0)),"")</f>
        <v/>
      </c>
      <c r="I970" s="19">
        <f>AND(G970="Service A",H970="Band 3")</f>
        <v/>
      </c>
      <c r="J970" s="33">
        <f>IF(AND(YEAR(B970)=2025,G970="Service B",OR(H970="Band 3",H970="Band 5"),ISNUMBER(F970)),F970,"")</f>
        <v/>
      </c>
    </row>
    <row r="971">
      <c r="A971" s="19" t="inlineStr">
        <is>
          <t>User1102</t>
        </is>
      </c>
      <c r="B971" s="60" t="n">
        <v>46023</v>
      </c>
      <c r="C971" s="21" t="n">
        <v>127.5</v>
      </c>
      <c r="D971" s="21" t="n">
        <v>112.7</v>
      </c>
      <c r="E971" s="21" t="n">
        <v>1.6</v>
      </c>
      <c r="F971" s="27">
        <f>IFERROR(IF(OR(C971="",D971="",C971=0),"",D971/C971),"")</f>
        <v/>
      </c>
      <c r="G971" s="21">
        <f>IFERROR(INDEX(Users!$A$2:$A$310,MATCH(A971,Users!$B$2:$B$310,0)),"")</f>
        <v/>
      </c>
      <c r="H971" s="21">
        <f>IFERROR(INDEX(Users!$D$2:$D$310,MATCH(A971,Users!$B$2:$B$310,0)),"")</f>
        <v/>
      </c>
      <c r="I971" s="19">
        <f>AND(G971="Service A",H971="Band 3")</f>
        <v/>
      </c>
      <c r="J971" s="33">
        <f>IF(AND(YEAR(B971)=2025,G971="Service B",OR(H971="Band 3",H971="Band 5"),ISNUMBER(F971)),F971,"")</f>
        <v/>
      </c>
    </row>
    <row r="972">
      <c r="A972" s="19" t="inlineStr">
        <is>
          <t>User1103</t>
        </is>
      </c>
      <c r="B972" s="60" t="n">
        <v>45658</v>
      </c>
      <c r="C972" s="21" t="n">
        <v>162.8</v>
      </c>
      <c r="D972" s="21" t="n">
        <v>154.9833333333333</v>
      </c>
      <c r="E972" s="21" t="n">
        <v>34.15</v>
      </c>
      <c r="F972" s="27">
        <f>IFERROR(IF(OR(C972="",D972="",C972=0),"",D972/C972),"")</f>
        <v/>
      </c>
      <c r="G972" s="21">
        <f>IFERROR(INDEX(Users!$A$2:$A$310,MATCH(A972,Users!$B$2:$B$310,0)),"")</f>
        <v/>
      </c>
      <c r="H972" s="21">
        <f>IFERROR(INDEX(Users!$D$2:$D$310,MATCH(A972,Users!$B$2:$B$310,0)),"")</f>
        <v/>
      </c>
      <c r="I972" s="19">
        <f>AND(G972="Service A",H972="Band 3")</f>
        <v/>
      </c>
      <c r="J972" s="33">
        <f>IF(AND(YEAR(B972)=2025,G972="Service B",OR(H972="Band 3",H972="Band 5"),ISNUMBER(F972)),F972,"")</f>
        <v/>
      </c>
    </row>
    <row r="973">
      <c r="A973" s="19" t="inlineStr">
        <is>
          <t>User1103</t>
        </is>
      </c>
      <c r="B973" s="60" t="n">
        <v>45689</v>
      </c>
      <c r="C973" s="21" t="n">
        <v>148</v>
      </c>
      <c r="D973" s="21" t="n">
        <v>118.07</v>
      </c>
      <c r="E973" s="21" t="n">
        <v>28.82</v>
      </c>
      <c r="F973" s="27">
        <f>IFERROR(IF(OR(C973="",D973="",C973=0),"",D973/C973),"")</f>
        <v/>
      </c>
      <c r="G973" s="21">
        <f>IFERROR(INDEX(Users!$A$2:$A$310,MATCH(A973,Users!$B$2:$B$310,0)),"")</f>
        <v/>
      </c>
      <c r="H973" s="21">
        <f>IFERROR(INDEX(Users!$D$2:$D$310,MATCH(A973,Users!$B$2:$B$310,0)),"")</f>
        <v/>
      </c>
      <c r="I973" s="19">
        <f>AND(G973="Service A",H973="Band 3")</f>
        <v/>
      </c>
      <c r="J973" s="33">
        <f>IF(AND(YEAR(B973)=2025,G973="Service B",OR(H973="Band 3",H973="Band 5"),ISNUMBER(F973)),F973,"")</f>
        <v/>
      </c>
    </row>
    <row r="974">
      <c r="A974" s="19" t="inlineStr">
        <is>
          <t>User1103</t>
        </is>
      </c>
      <c r="B974" s="60" t="n">
        <v>45717</v>
      </c>
      <c r="C974" s="21" t="n">
        <v>155.4</v>
      </c>
      <c r="D974" s="21" t="n">
        <v>121.4633333333333</v>
      </c>
      <c r="E974" s="21" t="n">
        <v>39.63</v>
      </c>
      <c r="F974" s="27">
        <f>IFERROR(IF(OR(C974="",D974="",C974=0),"",D974/C974),"")</f>
        <v/>
      </c>
      <c r="G974" s="21">
        <f>IFERROR(INDEX(Users!$A$2:$A$310,MATCH(A974,Users!$B$2:$B$310,0)),"")</f>
        <v/>
      </c>
      <c r="H974" s="21">
        <f>IFERROR(INDEX(Users!$D$2:$D$310,MATCH(A974,Users!$B$2:$B$310,0)),"")</f>
        <v/>
      </c>
      <c r="I974" s="19">
        <f>AND(G974="Service A",H974="Band 3")</f>
        <v/>
      </c>
      <c r="J974" s="33">
        <f>IF(AND(YEAR(B974)=2025,G974="Service B",OR(H974="Band 3",H974="Band 5"),ISNUMBER(F974)),F974,"")</f>
        <v/>
      </c>
    </row>
    <row r="975">
      <c r="A975" s="19" t="inlineStr">
        <is>
          <t>User1103</t>
        </is>
      </c>
      <c r="B975" s="60" t="n">
        <v>45748</v>
      </c>
      <c r="C975" s="21" t="n">
        <v>148</v>
      </c>
      <c r="D975" s="21" t="n">
        <v>142.7466666666666</v>
      </c>
      <c r="E975" s="21" t="n">
        <v>51.83</v>
      </c>
      <c r="F975" s="27">
        <f>IFERROR(IF(OR(C975="",D975="",C975=0),"",D975/C975),"")</f>
        <v/>
      </c>
      <c r="G975" s="21">
        <f>IFERROR(INDEX(Users!$A$2:$A$310,MATCH(A975,Users!$B$2:$B$310,0)),"")</f>
        <v/>
      </c>
      <c r="H975" s="21">
        <f>IFERROR(INDEX(Users!$D$2:$D$310,MATCH(A975,Users!$B$2:$B$310,0)),"")</f>
        <v/>
      </c>
      <c r="I975" s="19">
        <f>AND(G975="Service A",H975="Band 3")</f>
        <v/>
      </c>
      <c r="J975" s="33">
        <f>IF(AND(YEAR(B975)=2025,G975="Service B",OR(H975="Band 3",H975="Band 5"),ISNUMBER(F975)),F975,"")</f>
        <v/>
      </c>
    </row>
    <row r="976">
      <c r="A976" s="19" t="inlineStr">
        <is>
          <t>User1103</t>
        </is>
      </c>
      <c r="B976" s="60" t="n">
        <v>45778</v>
      </c>
      <c r="C976" s="21" t="n">
        <v>148</v>
      </c>
      <c r="D976" s="21" t="n">
        <v>96.53999999999999</v>
      </c>
      <c r="E976" s="21" t="n">
        <v>54.03999999999999</v>
      </c>
      <c r="F976" s="27">
        <f>IFERROR(IF(OR(C976="",D976="",C976=0),"",D976/C976),"")</f>
        <v/>
      </c>
      <c r="G976" s="21">
        <f>IFERROR(INDEX(Users!$A$2:$A$310,MATCH(A976,Users!$B$2:$B$310,0)),"")</f>
        <v/>
      </c>
      <c r="H976" s="21">
        <f>IFERROR(INDEX(Users!$D$2:$D$310,MATCH(A976,Users!$B$2:$B$310,0)),"")</f>
        <v/>
      </c>
      <c r="I976" s="19">
        <f>AND(G976="Service A",H976="Band 3")</f>
        <v/>
      </c>
      <c r="J976" s="33">
        <f>IF(AND(YEAR(B976)=2025,G976="Service B",OR(H976="Band 3",H976="Band 5"),ISNUMBER(F976)),F976,"")</f>
        <v/>
      </c>
    </row>
    <row r="977">
      <c r="A977" s="19" t="inlineStr">
        <is>
          <t>User1103</t>
        </is>
      </c>
      <c r="B977" s="60" t="n">
        <v>45809</v>
      </c>
      <c r="C977" s="21" t="n">
        <v>155.4</v>
      </c>
      <c r="D977" s="21" t="n">
        <v>111.17</v>
      </c>
      <c r="E977" s="21" t="n">
        <v>55.66999999999999</v>
      </c>
      <c r="F977" s="27">
        <f>IFERROR(IF(OR(C977="",D977="",C977=0),"",D977/C977),"")</f>
        <v/>
      </c>
      <c r="G977" s="21">
        <f>IFERROR(INDEX(Users!$A$2:$A$310,MATCH(A977,Users!$B$2:$B$310,0)),"")</f>
        <v/>
      </c>
      <c r="H977" s="21">
        <f>IFERROR(INDEX(Users!$D$2:$D$310,MATCH(A977,Users!$B$2:$B$310,0)),"")</f>
        <v/>
      </c>
      <c r="I977" s="19">
        <f>AND(G977="Service A",H977="Band 3")</f>
        <v/>
      </c>
      <c r="J977" s="33">
        <f>IF(AND(YEAR(B977)=2025,G977="Service B",OR(H977="Band 3",H977="Band 5"),ISNUMBER(F977)),F977,"")</f>
        <v/>
      </c>
    </row>
    <row r="978">
      <c r="A978" s="19" t="inlineStr">
        <is>
          <t>User1103</t>
        </is>
      </c>
      <c r="B978" s="60" t="n">
        <v>45839</v>
      </c>
      <c r="C978" s="21" t="n">
        <v>170.2</v>
      </c>
      <c r="D978" s="21" t="n">
        <v>158.1433333333334</v>
      </c>
      <c r="E978" s="21" t="n">
        <v>87.91000000000003</v>
      </c>
      <c r="F978" s="27">
        <f>IFERROR(IF(OR(C978="",D978="",C978=0),"",D978/C978),"")</f>
        <v/>
      </c>
      <c r="G978" s="21">
        <f>IFERROR(INDEX(Users!$A$2:$A$310,MATCH(A978,Users!$B$2:$B$310,0)),"")</f>
        <v/>
      </c>
      <c r="H978" s="21">
        <f>IFERROR(INDEX(Users!$D$2:$D$310,MATCH(A978,Users!$B$2:$B$310,0)),"")</f>
        <v/>
      </c>
      <c r="I978" s="19">
        <f>AND(G978="Service A",H978="Band 3")</f>
        <v/>
      </c>
      <c r="J978" s="33">
        <f>IF(AND(YEAR(B978)=2025,G978="Service B",OR(H978="Band 3",H978="Band 5"),ISNUMBER(F978)),F978,"")</f>
        <v/>
      </c>
    </row>
    <row r="979">
      <c r="A979" s="19" t="inlineStr">
        <is>
          <t>User1103</t>
        </is>
      </c>
      <c r="B979" s="60" t="n">
        <v>45870</v>
      </c>
      <c r="C979" s="21" t="n">
        <v>148</v>
      </c>
      <c r="D979" s="21" t="n">
        <v>145.4366666666667</v>
      </c>
      <c r="E979" s="21" t="n">
        <v>84.27000000000002</v>
      </c>
      <c r="F979" s="27">
        <f>IFERROR(IF(OR(C979="",D979="",C979=0),"",D979/C979),"")</f>
        <v/>
      </c>
      <c r="G979" s="21">
        <f>IFERROR(INDEX(Users!$A$2:$A$310,MATCH(A979,Users!$B$2:$B$310,0)),"")</f>
        <v/>
      </c>
      <c r="H979" s="21">
        <f>IFERROR(INDEX(Users!$D$2:$D$310,MATCH(A979,Users!$B$2:$B$310,0)),"")</f>
        <v/>
      </c>
      <c r="I979" s="19">
        <f>AND(G979="Service A",H979="Band 3")</f>
        <v/>
      </c>
      <c r="J979" s="33">
        <f>IF(AND(YEAR(B979)=2025,G979="Service B",OR(H979="Band 3",H979="Band 5"),ISNUMBER(F979)),F979,"")</f>
        <v/>
      </c>
    </row>
    <row r="980">
      <c r="A980" s="19" t="inlineStr">
        <is>
          <t>User1103</t>
        </is>
      </c>
      <c r="B980" s="60" t="n">
        <v>45901</v>
      </c>
      <c r="C980" s="21" t="n">
        <v>162.8</v>
      </c>
      <c r="D980" s="21" t="n">
        <v>133.7433333333333</v>
      </c>
      <c r="E980" s="21" t="n">
        <v>65.76000000000001</v>
      </c>
      <c r="F980" s="27">
        <f>IFERROR(IF(OR(C980="",D980="",C980=0),"",D980/C980),"")</f>
        <v/>
      </c>
      <c r="G980" s="21">
        <f>IFERROR(INDEX(Users!$A$2:$A$310,MATCH(A980,Users!$B$2:$B$310,0)),"")</f>
        <v/>
      </c>
      <c r="H980" s="21">
        <f>IFERROR(INDEX(Users!$D$2:$D$310,MATCH(A980,Users!$B$2:$B$310,0)),"")</f>
        <v/>
      </c>
      <c r="I980" s="19">
        <f>AND(G980="Service A",H980="Band 3")</f>
        <v/>
      </c>
      <c r="J980" s="33">
        <f>IF(AND(YEAR(B980)=2025,G980="Service B",OR(H980="Band 3",H980="Band 5"),ISNUMBER(F980)),F980,"")</f>
        <v/>
      </c>
    </row>
    <row r="981">
      <c r="A981" s="19" t="inlineStr">
        <is>
          <t>User1103</t>
        </is>
      </c>
      <c r="B981" s="60" t="n">
        <v>45931</v>
      </c>
      <c r="C981" s="21" t="n">
        <v>170.2</v>
      </c>
      <c r="D981" s="21" t="n">
        <v>163.1866666666667</v>
      </c>
      <c r="E981" s="21" t="n">
        <v>85.27000000000001</v>
      </c>
      <c r="F981" s="27">
        <f>IFERROR(IF(OR(C981="",D981="",C981=0),"",D981/C981),"")</f>
        <v/>
      </c>
      <c r="G981" s="21">
        <f>IFERROR(INDEX(Users!$A$2:$A$310,MATCH(A981,Users!$B$2:$B$310,0)),"")</f>
        <v/>
      </c>
      <c r="H981" s="21">
        <f>IFERROR(INDEX(Users!$D$2:$D$310,MATCH(A981,Users!$B$2:$B$310,0)),"")</f>
        <v/>
      </c>
      <c r="I981" s="19">
        <f>AND(G981="Service A",H981="Band 3")</f>
        <v/>
      </c>
      <c r="J981" s="33">
        <f>IF(AND(YEAR(B981)=2025,G981="Service B",OR(H981="Band 3",H981="Band 5"),ISNUMBER(F981)),F981,"")</f>
        <v/>
      </c>
    </row>
    <row r="982">
      <c r="A982" s="19" t="inlineStr">
        <is>
          <t>User1103</t>
        </is>
      </c>
      <c r="B982" s="60" t="n">
        <v>45962</v>
      </c>
      <c r="C982" s="21" t="n">
        <v>148</v>
      </c>
      <c r="D982" s="21" t="n">
        <v>126.5233333333333</v>
      </c>
      <c r="E982" s="21" t="n">
        <v>59.59</v>
      </c>
      <c r="F982" s="27">
        <f>IFERROR(IF(OR(C982="",D982="",C982=0),"",D982/C982),"")</f>
        <v/>
      </c>
      <c r="G982" s="21">
        <f>IFERROR(INDEX(Users!$A$2:$A$310,MATCH(A982,Users!$B$2:$B$310,0)),"")</f>
        <v/>
      </c>
      <c r="H982" s="21">
        <f>IFERROR(INDEX(Users!$D$2:$D$310,MATCH(A982,Users!$B$2:$B$310,0)),"")</f>
        <v/>
      </c>
      <c r="I982" s="19">
        <f>AND(G982="Service A",H982="Band 3")</f>
        <v/>
      </c>
      <c r="J982" s="33">
        <f>IF(AND(YEAR(B982)=2025,G982="Service B",OR(H982="Band 3",H982="Band 5"),ISNUMBER(F982)),F982,"")</f>
        <v/>
      </c>
    </row>
    <row r="983">
      <c r="A983" s="19" t="inlineStr">
        <is>
          <t>User1103</t>
        </is>
      </c>
      <c r="B983" s="60" t="n">
        <v>45992</v>
      </c>
      <c r="C983" s="21" t="n">
        <v>155.4</v>
      </c>
      <c r="D983" s="21" t="n">
        <v>155.4566666666667</v>
      </c>
      <c r="E983" s="21" t="n">
        <v>51.79</v>
      </c>
      <c r="F983" s="27">
        <f>IFERROR(IF(OR(C983="",D983="",C983=0),"",D983/C983),"")</f>
        <v/>
      </c>
      <c r="G983" s="21">
        <f>IFERROR(INDEX(Users!$A$2:$A$310,MATCH(A983,Users!$B$2:$B$310,0)),"")</f>
        <v/>
      </c>
      <c r="H983" s="21">
        <f>IFERROR(INDEX(Users!$D$2:$D$310,MATCH(A983,Users!$B$2:$B$310,0)),"")</f>
        <v/>
      </c>
      <c r="I983" s="19">
        <f>AND(G983="Service A",H983="Band 3")</f>
        <v/>
      </c>
      <c r="J983" s="33">
        <f>IF(AND(YEAR(B983)=2025,G983="Service B",OR(H983="Band 3",H983="Band 5"),ISNUMBER(F983)),F983,"")</f>
        <v/>
      </c>
    </row>
    <row r="984">
      <c r="A984" s="19" t="inlineStr">
        <is>
          <t>User1103</t>
        </is>
      </c>
      <c r="B984" s="60" t="n">
        <v>46023</v>
      </c>
      <c r="C984" s="21" t="n">
        <v>155.4</v>
      </c>
      <c r="D984" s="21" t="n">
        <v>154.8366666666666</v>
      </c>
      <c r="E984" s="21" t="n">
        <v>37.01999999999998</v>
      </c>
      <c r="F984" s="27">
        <f>IFERROR(IF(OR(C984="",D984="",C984=0),"",D984/C984),"")</f>
        <v/>
      </c>
      <c r="G984" s="21">
        <f>IFERROR(INDEX(Users!$A$2:$A$310,MATCH(A984,Users!$B$2:$B$310,0)),"")</f>
        <v/>
      </c>
      <c r="H984" s="21">
        <f>IFERROR(INDEX(Users!$D$2:$D$310,MATCH(A984,Users!$B$2:$B$310,0)),"")</f>
        <v/>
      </c>
      <c r="I984" s="19">
        <f>AND(G984="Service A",H984="Band 3")</f>
        <v/>
      </c>
      <c r="J984" s="33">
        <f>IF(AND(YEAR(B984)=2025,G984="Service B",OR(H984="Band 3",H984="Band 5"),ISNUMBER(F984)),F984,"")</f>
        <v/>
      </c>
    </row>
    <row r="985">
      <c r="A985" s="19" t="inlineStr">
        <is>
          <t>User1104</t>
        </is>
      </c>
      <c r="B985" s="60" t="n">
        <v>45658</v>
      </c>
      <c r="C985" s="21" t="n">
        <v>162.8</v>
      </c>
      <c r="D985" s="21" t="n">
        <v>114.2866666666667</v>
      </c>
      <c r="E985" s="21" t="n">
        <v>59.12</v>
      </c>
      <c r="F985" s="27">
        <f>IFERROR(IF(OR(C985="",D985="",C985=0),"",D985/C985),"")</f>
        <v/>
      </c>
      <c r="G985" s="21">
        <f>IFERROR(INDEX(Users!$A$2:$A$310,MATCH(A985,Users!$B$2:$B$310,0)),"")</f>
        <v/>
      </c>
      <c r="H985" s="21">
        <f>IFERROR(INDEX(Users!$D$2:$D$310,MATCH(A985,Users!$B$2:$B$310,0)),"")</f>
        <v/>
      </c>
      <c r="I985" s="19">
        <f>AND(G985="Service A",H985="Band 3")</f>
        <v/>
      </c>
      <c r="J985" s="33">
        <f>IF(AND(YEAR(B985)=2025,G985="Service B",OR(H985="Band 3",H985="Band 5"),ISNUMBER(F985)),F985,"")</f>
        <v/>
      </c>
    </row>
    <row r="986">
      <c r="A986" s="19" t="inlineStr">
        <is>
          <t>User1104</t>
        </is>
      </c>
      <c r="B986" s="60" t="n">
        <v>45689</v>
      </c>
      <c r="C986" s="21" t="n">
        <v>148</v>
      </c>
      <c r="D986" s="21" t="n">
        <v>130.5566666666667</v>
      </c>
      <c r="E986" s="21" t="n">
        <v>64.89</v>
      </c>
      <c r="F986" s="27">
        <f>IFERROR(IF(OR(C986="",D986="",C986=0),"",D986/C986),"")</f>
        <v/>
      </c>
      <c r="G986" s="21">
        <f>IFERROR(INDEX(Users!$A$2:$A$310,MATCH(A986,Users!$B$2:$B$310,0)),"")</f>
        <v/>
      </c>
      <c r="H986" s="21">
        <f>IFERROR(INDEX(Users!$D$2:$D$310,MATCH(A986,Users!$B$2:$B$310,0)),"")</f>
        <v/>
      </c>
      <c r="I986" s="19">
        <f>AND(G986="Service A",H986="Band 3")</f>
        <v/>
      </c>
      <c r="J986" s="33">
        <f>IF(AND(YEAR(B986)=2025,G986="Service B",OR(H986="Band 3",H986="Band 5"),ISNUMBER(F986)),F986,"")</f>
        <v/>
      </c>
    </row>
    <row r="987">
      <c r="A987" s="19" t="inlineStr">
        <is>
          <t>User1104</t>
        </is>
      </c>
      <c r="B987" s="60" t="n">
        <v>45717</v>
      </c>
      <c r="C987" s="21" t="n">
        <v>155.4</v>
      </c>
      <c r="D987" s="21" t="n">
        <v>118.45</v>
      </c>
      <c r="E987" s="21" t="n">
        <v>93.94999999999999</v>
      </c>
      <c r="F987" s="27">
        <f>IFERROR(IF(OR(C987="",D987="",C987=0),"",D987/C987),"")</f>
        <v/>
      </c>
      <c r="G987" s="21">
        <f>IFERROR(INDEX(Users!$A$2:$A$310,MATCH(A987,Users!$B$2:$B$310,0)),"")</f>
        <v/>
      </c>
      <c r="H987" s="21">
        <f>IFERROR(INDEX(Users!$D$2:$D$310,MATCH(A987,Users!$B$2:$B$310,0)),"")</f>
        <v/>
      </c>
      <c r="I987" s="19">
        <f>AND(G987="Service A",H987="Band 3")</f>
        <v/>
      </c>
      <c r="J987" s="33">
        <f>IF(AND(YEAR(B987)=2025,G987="Service B",OR(H987="Band 3",H987="Band 5"),ISNUMBER(F987)),F987,"")</f>
        <v/>
      </c>
    </row>
    <row r="988">
      <c r="A988" s="19" t="inlineStr">
        <is>
          <t>User1104</t>
        </is>
      </c>
      <c r="B988" s="60" t="n">
        <v>45748</v>
      </c>
      <c r="C988" s="21" t="n">
        <v>148</v>
      </c>
      <c r="D988" s="21" t="n">
        <v>143.99</v>
      </c>
      <c r="E988" s="21" t="n">
        <v>75.98999999999995</v>
      </c>
      <c r="F988" s="27">
        <f>IFERROR(IF(OR(C988="",D988="",C988=0),"",D988/C988),"")</f>
        <v/>
      </c>
      <c r="G988" s="21">
        <f>IFERROR(INDEX(Users!$A$2:$A$310,MATCH(A988,Users!$B$2:$B$310,0)),"")</f>
        <v/>
      </c>
      <c r="H988" s="21">
        <f>IFERROR(INDEX(Users!$D$2:$D$310,MATCH(A988,Users!$B$2:$B$310,0)),"")</f>
        <v/>
      </c>
      <c r="I988" s="19">
        <f>AND(G988="Service A",H988="Band 3")</f>
        <v/>
      </c>
      <c r="J988" s="33">
        <f>IF(AND(YEAR(B988)=2025,G988="Service B",OR(H988="Band 3",H988="Band 5"),ISNUMBER(F988)),F988,"")</f>
        <v/>
      </c>
    </row>
    <row r="989">
      <c r="A989" s="19" t="inlineStr">
        <is>
          <t>User1104</t>
        </is>
      </c>
      <c r="B989" s="60" t="n">
        <v>45778</v>
      </c>
      <c r="C989" s="21" t="n">
        <v>148</v>
      </c>
      <c r="D989" s="21" t="n">
        <v>62.08666666666668</v>
      </c>
      <c r="E989" s="21" t="n">
        <v>35.17000000000001</v>
      </c>
      <c r="F989" s="27">
        <f>IFERROR(IF(OR(C989="",D989="",C989=0),"",D989/C989),"")</f>
        <v/>
      </c>
      <c r="G989" s="21">
        <f>IFERROR(INDEX(Users!$A$2:$A$310,MATCH(A989,Users!$B$2:$B$310,0)),"")</f>
        <v/>
      </c>
      <c r="H989" s="21">
        <f>IFERROR(INDEX(Users!$D$2:$D$310,MATCH(A989,Users!$B$2:$B$310,0)),"")</f>
        <v/>
      </c>
      <c r="I989" s="19">
        <f>AND(G989="Service A",H989="Band 3")</f>
        <v/>
      </c>
      <c r="J989" s="33">
        <f>IF(AND(YEAR(B989)=2025,G989="Service B",OR(H989="Band 3",H989="Band 5"),ISNUMBER(F989)),F989,"")</f>
        <v/>
      </c>
    </row>
    <row r="990">
      <c r="A990" s="19" t="inlineStr">
        <is>
          <t>User1104</t>
        </is>
      </c>
      <c r="B990" s="60" t="n">
        <v>45809</v>
      </c>
      <c r="C990" s="21" t="n">
        <v>155.4</v>
      </c>
      <c r="D990" s="21" t="n">
        <v>155.5466666666667</v>
      </c>
      <c r="E990" s="21" t="n">
        <v>90.12999999999998</v>
      </c>
      <c r="F990" s="27">
        <f>IFERROR(IF(OR(C990="",D990="",C990=0),"",D990/C990),"")</f>
        <v/>
      </c>
      <c r="G990" s="21">
        <f>IFERROR(INDEX(Users!$A$2:$A$310,MATCH(A990,Users!$B$2:$B$310,0)),"")</f>
        <v/>
      </c>
      <c r="H990" s="21">
        <f>IFERROR(INDEX(Users!$D$2:$D$310,MATCH(A990,Users!$B$2:$B$310,0)),"")</f>
        <v/>
      </c>
      <c r="I990" s="19">
        <f>AND(G990="Service A",H990="Band 3")</f>
        <v/>
      </c>
      <c r="J990" s="33">
        <f>IF(AND(YEAR(B990)=2025,G990="Service B",OR(H990="Band 3",H990="Band 5"),ISNUMBER(F990)),F990,"")</f>
        <v/>
      </c>
    </row>
    <row r="991">
      <c r="A991" s="19" t="inlineStr">
        <is>
          <t>User1104</t>
        </is>
      </c>
      <c r="B991" s="60" t="n">
        <v>45839</v>
      </c>
      <c r="C991" s="21" t="n">
        <v>170.2</v>
      </c>
      <c r="D991" s="21" t="n">
        <v>163.44</v>
      </c>
      <c r="E991" s="21" t="n">
        <v>91.44</v>
      </c>
      <c r="F991" s="27">
        <f>IFERROR(IF(OR(C991="",D991="",C991=0),"",D991/C991),"")</f>
        <v/>
      </c>
      <c r="G991" s="21">
        <f>IFERROR(INDEX(Users!$A$2:$A$310,MATCH(A991,Users!$B$2:$B$310,0)),"")</f>
        <v/>
      </c>
      <c r="H991" s="21">
        <f>IFERROR(INDEX(Users!$D$2:$D$310,MATCH(A991,Users!$B$2:$B$310,0)),"")</f>
        <v/>
      </c>
      <c r="I991" s="19">
        <f>AND(G991="Service A",H991="Band 3")</f>
        <v/>
      </c>
      <c r="J991" s="33">
        <f>IF(AND(YEAR(B991)=2025,G991="Service B",OR(H991="Band 3",H991="Band 5"),ISNUMBER(F991)),F991,"")</f>
        <v/>
      </c>
    </row>
    <row r="992">
      <c r="A992" s="19" t="inlineStr">
        <is>
          <t>User1104</t>
        </is>
      </c>
      <c r="B992" s="60" t="n">
        <v>45870</v>
      </c>
      <c r="C992" s="21" t="n">
        <v>44.40000000000001</v>
      </c>
      <c r="D992" s="21" t="n">
        <v>44.08</v>
      </c>
      <c r="E992" s="21" t="n">
        <v>9.58</v>
      </c>
      <c r="F992" s="27">
        <f>IFERROR(IF(OR(C992="",D992="",C992=0),"",D992/C992),"")</f>
        <v/>
      </c>
      <c r="G992" s="21">
        <f>IFERROR(INDEX(Users!$A$2:$A$310,MATCH(A992,Users!$B$2:$B$310,0)),"")</f>
        <v/>
      </c>
      <c r="H992" s="21">
        <f>IFERROR(INDEX(Users!$D$2:$D$310,MATCH(A992,Users!$B$2:$B$310,0)),"")</f>
        <v/>
      </c>
      <c r="I992" s="19">
        <f>AND(G992="Service A",H992="Band 3")</f>
        <v/>
      </c>
      <c r="J992" s="33">
        <f>IF(AND(YEAR(B992)=2025,G992="Service B",OR(H992="Band 3",H992="Band 5"),ISNUMBER(F992)),F992,"")</f>
        <v/>
      </c>
    </row>
    <row r="993">
      <c r="A993" s="19" t="inlineStr">
        <is>
          <t>User1105</t>
        </is>
      </c>
      <c r="B993" s="60" t="n">
        <v>45689</v>
      </c>
      <c r="C993" s="21" t="n">
        <v>37</v>
      </c>
      <c r="D993" s="21" t="n">
        <v>38.19333333333333</v>
      </c>
      <c r="E993" s="21" t="n">
        <v>8.41</v>
      </c>
      <c r="F993" s="27">
        <f>IFERROR(IF(OR(C993="",D993="",C993=0),"",D993/C993),"")</f>
        <v/>
      </c>
      <c r="G993" s="21">
        <f>IFERROR(INDEX(Users!$A$2:$A$310,MATCH(A993,Users!$B$2:$B$310,0)),"")</f>
        <v/>
      </c>
      <c r="H993" s="21">
        <f>IFERROR(INDEX(Users!$D$2:$D$310,MATCH(A993,Users!$B$2:$B$310,0)),"")</f>
        <v/>
      </c>
      <c r="I993" s="19">
        <f>AND(G993="Service A",H993="Band 3")</f>
        <v/>
      </c>
      <c r="J993" s="33">
        <f>IF(AND(YEAR(B993)=2025,G993="Service B",OR(H993="Band 3",H993="Band 5"),ISNUMBER(F993)),F993,"")</f>
        <v/>
      </c>
    </row>
    <row r="994">
      <c r="A994" s="19" t="inlineStr">
        <is>
          <t>User1105</t>
        </is>
      </c>
      <c r="B994" s="60" t="n">
        <v>45717</v>
      </c>
      <c r="C994" s="21" t="n">
        <v>157.25</v>
      </c>
      <c r="D994" s="21" t="n">
        <v>162.6133333333333</v>
      </c>
      <c r="E994" s="21" t="n">
        <v>42.98</v>
      </c>
      <c r="F994" s="27">
        <f>IFERROR(IF(OR(C994="",D994="",C994=0),"",D994/C994),"")</f>
        <v/>
      </c>
      <c r="G994" s="21">
        <f>IFERROR(INDEX(Users!$A$2:$A$310,MATCH(A994,Users!$B$2:$B$310,0)),"")</f>
        <v/>
      </c>
      <c r="H994" s="21">
        <f>IFERROR(INDEX(Users!$D$2:$D$310,MATCH(A994,Users!$B$2:$B$310,0)),"")</f>
        <v/>
      </c>
      <c r="I994" s="19">
        <f>AND(G994="Service A",H994="Band 3")</f>
        <v/>
      </c>
      <c r="J994" s="33">
        <f>IF(AND(YEAR(B994)=2025,G994="Service B",OR(H994="Band 3",H994="Band 5"),ISNUMBER(F994)),F994,"")</f>
        <v/>
      </c>
    </row>
    <row r="995">
      <c r="A995" s="19" t="inlineStr">
        <is>
          <t>User1105</t>
        </is>
      </c>
      <c r="B995" s="60" t="n">
        <v>45748</v>
      </c>
      <c r="C995" s="21" t="n">
        <v>157.25</v>
      </c>
      <c r="D995" s="21" t="n">
        <v>145.8033333333333</v>
      </c>
      <c r="E995" s="21" t="n">
        <v>64.81999999999999</v>
      </c>
      <c r="F995" s="27">
        <f>IFERROR(IF(OR(C995="",D995="",C995=0),"",D995/C995),"")</f>
        <v/>
      </c>
      <c r="G995" s="21">
        <f>IFERROR(INDEX(Users!$A$2:$A$310,MATCH(A995,Users!$B$2:$B$310,0)),"")</f>
        <v/>
      </c>
      <c r="H995" s="21">
        <f>IFERROR(INDEX(Users!$D$2:$D$310,MATCH(A995,Users!$B$2:$B$310,0)),"")</f>
        <v/>
      </c>
      <c r="I995" s="19">
        <f>AND(G995="Service A",H995="Band 3")</f>
        <v/>
      </c>
      <c r="J995" s="33">
        <f>IF(AND(YEAR(B995)=2025,G995="Service B",OR(H995="Band 3",H995="Band 5"),ISNUMBER(F995)),F995,"")</f>
        <v/>
      </c>
    </row>
    <row r="996">
      <c r="A996" s="19" t="inlineStr">
        <is>
          <t>User1105</t>
        </is>
      </c>
      <c r="B996" s="60" t="n">
        <v>45778</v>
      </c>
      <c r="C996" s="21" t="n">
        <v>138.75</v>
      </c>
      <c r="D996" s="21" t="n">
        <v>143.2133333333333</v>
      </c>
      <c r="E996" s="21" t="n">
        <v>85.38</v>
      </c>
      <c r="F996" s="27">
        <f>IFERROR(IF(OR(C996="",D996="",C996=0),"",D996/C996),"")</f>
        <v/>
      </c>
      <c r="G996" s="21">
        <f>IFERROR(INDEX(Users!$A$2:$A$310,MATCH(A996,Users!$B$2:$B$310,0)),"")</f>
        <v/>
      </c>
      <c r="H996" s="21">
        <f>IFERROR(INDEX(Users!$D$2:$D$310,MATCH(A996,Users!$B$2:$B$310,0)),"")</f>
        <v/>
      </c>
      <c r="I996" s="19">
        <f>AND(G996="Service A",H996="Band 3")</f>
        <v/>
      </c>
      <c r="J996" s="33">
        <f>IF(AND(YEAR(B996)=2025,G996="Service B",OR(H996="Band 3",H996="Band 5"),ISNUMBER(F996)),F996,"")</f>
        <v/>
      </c>
    </row>
    <row r="997">
      <c r="A997" s="19" t="inlineStr">
        <is>
          <t>User1105</t>
        </is>
      </c>
      <c r="B997" s="60" t="n">
        <v>45809</v>
      </c>
      <c r="C997" s="21" t="n">
        <v>157.25</v>
      </c>
      <c r="D997" s="21" t="n">
        <v>159.5233333333333</v>
      </c>
      <c r="E997" s="21" t="n">
        <v>82.23999999999999</v>
      </c>
      <c r="F997" s="27">
        <f>IFERROR(IF(OR(C997="",D997="",C997=0),"",D997/C997),"")</f>
        <v/>
      </c>
      <c r="G997" s="21">
        <f>IFERROR(INDEX(Users!$A$2:$A$310,MATCH(A997,Users!$B$2:$B$310,0)),"")</f>
        <v/>
      </c>
      <c r="H997" s="21">
        <f>IFERROR(INDEX(Users!$D$2:$D$310,MATCH(A997,Users!$B$2:$B$310,0)),"")</f>
        <v/>
      </c>
      <c r="I997" s="19">
        <f>AND(G997="Service A",H997="Band 3")</f>
        <v/>
      </c>
      <c r="J997" s="33">
        <f>IF(AND(YEAR(B997)=2025,G997="Service B",OR(H997="Band 3",H997="Band 5"),ISNUMBER(F997)),F997,"")</f>
        <v/>
      </c>
    </row>
    <row r="998">
      <c r="A998" s="19" t="inlineStr">
        <is>
          <t>User1105</t>
        </is>
      </c>
      <c r="B998" s="60" t="n">
        <v>45839</v>
      </c>
      <c r="C998" s="21" t="n">
        <v>175.75</v>
      </c>
      <c r="D998" s="21" t="n">
        <v>108.9566666666667</v>
      </c>
      <c r="E998" s="21" t="n">
        <v>68.39000000000001</v>
      </c>
      <c r="F998" s="27">
        <f>IFERROR(IF(OR(C998="",D998="",C998=0),"",D998/C998),"")</f>
        <v/>
      </c>
      <c r="G998" s="21">
        <f>IFERROR(INDEX(Users!$A$2:$A$310,MATCH(A998,Users!$B$2:$B$310,0)),"")</f>
        <v/>
      </c>
      <c r="H998" s="21">
        <f>IFERROR(INDEX(Users!$D$2:$D$310,MATCH(A998,Users!$B$2:$B$310,0)),"")</f>
        <v/>
      </c>
      <c r="I998" s="19">
        <f>AND(G998="Service A",H998="Band 3")</f>
        <v/>
      </c>
      <c r="J998" s="33">
        <f>IF(AND(YEAR(B998)=2025,G998="Service B",OR(H998="Band 3",H998="Band 5"),ISNUMBER(F998)),F998,"")</f>
        <v/>
      </c>
    </row>
    <row r="999">
      <c r="A999" s="19" t="inlineStr">
        <is>
          <t>User1105</t>
        </is>
      </c>
      <c r="B999" s="60" t="n">
        <v>45870</v>
      </c>
      <c r="C999" s="21" t="n">
        <v>138.75</v>
      </c>
      <c r="D999" s="21" t="n">
        <v>122.6366666666667</v>
      </c>
      <c r="E999" s="21" t="n">
        <v>81.26999999999998</v>
      </c>
      <c r="F999" s="27">
        <f>IFERROR(IF(OR(C999="",D999="",C999=0),"",D999/C999),"")</f>
        <v/>
      </c>
      <c r="G999" s="21">
        <f>IFERROR(INDEX(Users!$A$2:$A$310,MATCH(A999,Users!$B$2:$B$310,0)),"")</f>
        <v/>
      </c>
      <c r="H999" s="21">
        <f>IFERROR(INDEX(Users!$D$2:$D$310,MATCH(A999,Users!$B$2:$B$310,0)),"")</f>
        <v/>
      </c>
      <c r="I999" s="19">
        <f>AND(G999="Service A",H999="Band 3")</f>
        <v/>
      </c>
      <c r="J999" s="33">
        <f>IF(AND(YEAR(B999)=2025,G999="Service B",OR(H999="Band 3",H999="Band 5"),ISNUMBER(F999)),F999,"")</f>
        <v/>
      </c>
    </row>
    <row r="1000">
      <c r="A1000" s="19" t="inlineStr">
        <is>
          <t>User1105</t>
        </is>
      </c>
      <c r="B1000" s="60" t="n">
        <v>45901</v>
      </c>
      <c r="C1000" s="21" t="n">
        <v>166.5</v>
      </c>
      <c r="D1000" s="21" t="n">
        <v>138.7033333333333</v>
      </c>
      <c r="E1000" s="21" t="n">
        <v>89.81999999999999</v>
      </c>
      <c r="F1000" s="27">
        <f>IFERROR(IF(OR(C1000="",D1000="",C1000=0),"",D1000/C1000),"")</f>
        <v/>
      </c>
      <c r="G1000" s="21">
        <f>IFERROR(INDEX(Users!$A$2:$A$310,MATCH(A1000,Users!$B$2:$B$310,0)),"")</f>
        <v/>
      </c>
      <c r="H1000" s="21">
        <f>IFERROR(INDEX(Users!$D$2:$D$310,MATCH(A1000,Users!$B$2:$B$310,0)),"")</f>
        <v/>
      </c>
      <c r="I1000" s="19">
        <f>AND(G1000="Service A",H1000="Band 3")</f>
        <v/>
      </c>
      <c r="J1000" s="33">
        <f>IF(AND(YEAR(B1000)=2025,G1000="Service B",OR(H1000="Band 3",H1000="Band 5"),ISNUMBER(F1000)),F1000,"")</f>
        <v/>
      </c>
    </row>
    <row r="1001">
      <c r="A1001" s="19" t="inlineStr">
        <is>
          <t>User1105</t>
        </is>
      </c>
      <c r="B1001" s="60" t="n">
        <v>45931</v>
      </c>
      <c r="C1001" s="21" t="n">
        <v>166.5</v>
      </c>
      <c r="D1001" s="21" t="n">
        <v>95.13000000000001</v>
      </c>
      <c r="E1001" s="21" t="n">
        <v>62.18000000000001</v>
      </c>
      <c r="F1001" s="27">
        <f>IFERROR(IF(OR(C1001="",D1001="",C1001=0),"",D1001/C1001),"")</f>
        <v/>
      </c>
      <c r="G1001" s="21">
        <f>IFERROR(INDEX(Users!$A$2:$A$310,MATCH(A1001,Users!$B$2:$B$310,0)),"")</f>
        <v/>
      </c>
      <c r="H1001" s="21">
        <f>IFERROR(INDEX(Users!$D$2:$D$310,MATCH(A1001,Users!$B$2:$B$310,0)),"")</f>
        <v/>
      </c>
      <c r="I1001" s="19">
        <f>AND(G1001="Service A",H1001="Band 3")</f>
        <v/>
      </c>
      <c r="J1001" s="33">
        <f>IF(AND(YEAR(B1001)=2025,G1001="Service B",OR(H1001="Band 3",H1001="Band 5"),ISNUMBER(F1001)),F1001,"")</f>
        <v/>
      </c>
    </row>
    <row r="1002">
      <c r="A1002" s="19" t="inlineStr">
        <is>
          <t>User1105</t>
        </is>
      </c>
      <c r="B1002" s="60" t="n">
        <v>45962</v>
      </c>
      <c r="C1002" s="21" t="n">
        <v>148</v>
      </c>
      <c r="D1002" s="21" t="n">
        <v>157.23</v>
      </c>
      <c r="E1002" s="21" t="n">
        <v>94.18000000000001</v>
      </c>
      <c r="F1002" s="27">
        <f>IFERROR(IF(OR(C1002="",D1002="",C1002=0),"",D1002/C1002),"")</f>
        <v/>
      </c>
      <c r="G1002" s="21">
        <f>IFERROR(INDEX(Users!$A$2:$A$310,MATCH(A1002,Users!$B$2:$B$310,0)),"")</f>
        <v/>
      </c>
      <c r="H1002" s="21">
        <f>IFERROR(INDEX(Users!$D$2:$D$310,MATCH(A1002,Users!$B$2:$B$310,0)),"")</f>
        <v/>
      </c>
      <c r="I1002" s="19">
        <f>AND(G1002="Service A",H1002="Band 3")</f>
        <v/>
      </c>
      <c r="J1002" s="33">
        <f>IF(AND(YEAR(B1002)=2025,G1002="Service B",OR(H1002="Band 3",H1002="Band 5"),ISNUMBER(F1002)),F1002,"")</f>
        <v/>
      </c>
    </row>
    <row r="1003">
      <c r="A1003" s="19" t="inlineStr">
        <is>
          <t>User1105</t>
        </is>
      </c>
      <c r="B1003" s="60" t="n">
        <v>45992</v>
      </c>
      <c r="C1003" s="21" t="n">
        <v>166.5</v>
      </c>
      <c r="D1003" s="21" t="n">
        <v>153.35</v>
      </c>
      <c r="E1003" s="21" t="n">
        <v>102.15</v>
      </c>
      <c r="F1003" s="27">
        <f>IFERROR(IF(OR(C1003="",D1003="",C1003=0),"",D1003/C1003),"")</f>
        <v/>
      </c>
      <c r="G1003" s="21">
        <f>IFERROR(INDEX(Users!$A$2:$A$310,MATCH(A1003,Users!$B$2:$B$310,0)),"")</f>
        <v/>
      </c>
      <c r="H1003" s="21">
        <f>IFERROR(INDEX(Users!$D$2:$D$310,MATCH(A1003,Users!$B$2:$B$310,0)),"")</f>
        <v/>
      </c>
      <c r="I1003" s="19">
        <f>AND(G1003="Service A",H1003="Band 3")</f>
        <v/>
      </c>
      <c r="J1003" s="33">
        <f>IF(AND(YEAR(B1003)=2025,G1003="Service B",OR(H1003="Band 3",H1003="Band 5"),ISNUMBER(F1003)),F1003,"")</f>
        <v/>
      </c>
    </row>
    <row r="1004">
      <c r="A1004" s="19" t="inlineStr">
        <is>
          <t>User1105</t>
        </is>
      </c>
      <c r="B1004" s="60" t="n">
        <v>46023</v>
      </c>
      <c r="C1004" s="21" t="n">
        <v>148</v>
      </c>
      <c r="D1004" s="21" t="n">
        <v>55.42</v>
      </c>
      <c r="E1004" s="21" t="n">
        <v>30.17000000000001</v>
      </c>
      <c r="F1004" s="27">
        <f>IFERROR(IF(OR(C1004="",D1004="",C1004=0),"",D1004/C1004),"")</f>
        <v/>
      </c>
      <c r="G1004" s="21">
        <f>IFERROR(INDEX(Users!$A$2:$A$310,MATCH(A1004,Users!$B$2:$B$310,0)),"")</f>
        <v/>
      </c>
      <c r="H1004" s="21">
        <f>IFERROR(INDEX(Users!$D$2:$D$310,MATCH(A1004,Users!$B$2:$B$310,0)),"")</f>
        <v/>
      </c>
      <c r="I1004" s="19">
        <f>AND(G1004="Service A",H1004="Band 3")</f>
        <v/>
      </c>
      <c r="J1004" s="33">
        <f>IF(AND(YEAR(B1004)=2025,G1004="Service B",OR(H1004="Band 3",H1004="Band 5"),ISNUMBER(F1004)),F1004,"")</f>
        <v/>
      </c>
    </row>
    <row r="1005">
      <c r="A1005" s="19" t="inlineStr">
        <is>
          <t>User1106</t>
        </is>
      </c>
      <c r="B1005" s="60" t="n">
        <v>45658</v>
      </c>
      <c r="C1005" s="21" t="n">
        <v>157.25</v>
      </c>
      <c r="D1005" s="21" t="n">
        <v>156.46</v>
      </c>
      <c r="E1005" s="21" t="n">
        <v>50.67666666666667</v>
      </c>
      <c r="F1005" s="27">
        <f>IFERROR(IF(OR(C1005="",D1005="",C1005=0),"",D1005/C1005),"")</f>
        <v/>
      </c>
      <c r="G1005" s="21">
        <f>IFERROR(INDEX(Users!$A$2:$A$310,MATCH(A1005,Users!$B$2:$B$310,0)),"")</f>
        <v/>
      </c>
      <c r="H1005" s="21">
        <f>IFERROR(INDEX(Users!$D$2:$D$310,MATCH(A1005,Users!$B$2:$B$310,0)),"")</f>
        <v/>
      </c>
      <c r="I1005" s="19">
        <f>AND(G1005="Service A",H1005="Band 3")</f>
        <v/>
      </c>
      <c r="J1005" s="33">
        <f>IF(AND(YEAR(B1005)=2025,G1005="Service B",OR(H1005="Band 3",H1005="Band 5"),ISNUMBER(F1005)),F1005,"")</f>
        <v/>
      </c>
    </row>
    <row r="1006">
      <c r="A1006" s="19" t="inlineStr">
        <is>
          <t>User1106</t>
        </is>
      </c>
      <c r="B1006" s="60" t="n">
        <v>45689</v>
      </c>
      <c r="C1006" s="21" t="n">
        <v>111</v>
      </c>
      <c r="D1006" s="21" t="n">
        <v>74.37666666666669</v>
      </c>
      <c r="E1006" s="21" t="n">
        <v>27.76</v>
      </c>
      <c r="F1006" s="27">
        <f>IFERROR(IF(OR(C1006="",D1006="",C1006=0),"",D1006/C1006),"")</f>
        <v/>
      </c>
      <c r="G1006" s="21">
        <f>IFERROR(INDEX(Users!$A$2:$A$310,MATCH(A1006,Users!$B$2:$B$310,0)),"")</f>
        <v/>
      </c>
      <c r="H1006" s="21">
        <f>IFERROR(INDEX(Users!$D$2:$D$310,MATCH(A1006,Users!$B$2:$B$310,0)),"")</f>
        <v/>
      </c>
      <c r="I1006" s="19">
        <f>AND(G1006="Service A",H1006="Band 3")</f>
        <v/>
      </c>
      <c r="J1006" s="33">
        <f>IF(AND(YEAR(B1006)=2025,G1006="Service B",OR(H1006="Band 3",H1006="Band 5"),ISNUMBER(F1006)),F1006,"")</f>
        <v/>
      </c>
    </row>
    <row r="1007">
      <c r="A1007" s="19" t="inlineStr">
        <is>
          <t>User1107</t>
        </is>
      </c>
      <c r="B1007" s="60" t="n">
        <v>45778</v>
      </c>
      <c r="C1007" s="21" t="n">
        <v>29.6</v>
      </c>
      <c r="D1007" s="21" t="n">
        <v>29.45</v>
      </c>
      <c r="E1007" s="21" t="n"/>
      <c r="F1007" s="27">
        <f>IFERROR(IF(OR(C1007="",D1007="",C1007=0),"",D1007/C1007),"")</f>
        <v/>
      </c>
      <c r="G1007" s="21">
        <f>IFERROR(INDEX(Users!$A$2:$A$310,MATCH(A1007,Users!$B$2:$B$310,0)),"")</f>
        <v/>
      </c>
      <c r="H1007" s="21">
        <f>IFERROR(INDEX(Users!$D$2:$D$310,MATCH(A1007,Users!$B$2:$B$310,0)),"")</f>
        <v/>
      </c>
      <c r="I1007" s="19">
        <f>AND(G1007="Service A",H1007="Band 3")</f>
        <v/>
      </c>
      <c r="J1007" s="33">
        <f>IF(AND(YEAR(B1007)=2025,G1007="Service B",OR(H1007="Band 3",H1007="Band 5"),ISNUMBER(F1007)),F1007,"")</f>
        <v/>
      </c>
    </row>
    <row r="1008">
      <c r="A1008" s="19" t="inlineStr">
        <is>
          <t>User1107</t>
        </is>
      </c>
      <c r="B1008" s="60" t="n">
        <v>45809</v>
      </c>
      <c r="C1008" s="21" t="n">
        <v>155.4</v>
      </c>
      <c r="D1008" s="21" t="n">
        <v>121.7666666666667</v>
      </c>
      <c r="E1008" s="21" t="n"/>
      <c r="F1008" s="27">
        <f>IFERROR(IF(OR(C1008="",D1008="",C1008=0),"",D1008/C1008),"")</f>
        <v/>
      </c>
      <c r="G1008" s="21">
        <f>IFERROR(INDEX(Users!$A$2:$A$310,MATCH(A1008,Users!$B$2:$B$310,0)),"")</f>
        <v/>
      </c>
      <c r="H1008" s="21">
        <f>IFERROR(INDEX(Users!$D$2:$D$310,MATCH(A1008,Users!$B$2:$B$310,0)),"")</f>
        <v/>
      </c>
      <c r="I1008" s="19">
        <f>AND(G1008="Service A",H1008="Band 3")</f>
        <v/>
      </c>
      <c r="J1008" s="33">
        <f>IF(AND(YEAR(B1008)=2025,G1008="Service B",OR(H1008="Band 3",H1008="Band 5"),ISNUMBER(F1008)),F1008,"")</f>
        <v/>
      </c>
    </row>
    <row r="1009">
      <c r="A1009" s="19" t="inlineStr">
        <is>
          <t>User1107</t>
        </is>
      </c>
      <c r="B1009" s="60" t="n">
        <v>45839</v>
      </c>
      <c r="C1009" s="21" t="n">
        <v>170.2</v>
      </c>
      <c r="D1009" s="21" t="n">
        <v>145.7233333333334</v>
      </c>
      <c r="E1009" s="21" t="n">
        <v>19.44</v>
      </c>
      <c r="F1009" s="27">
        <f>IFERROR(IF(OR(C1009="",D1009="",C1009=0),"",D1009/C1009),"")</f>
        <v/>
      </c>
      <c r="G1009" s="21">
        <f>IFERROR(INDEX(Users!$A$2:$A$310,MATCH(A1009,Users!$B$2:$B$310,0)),"")</f>
        <v/>
      </c>
      <c r="H1009" s="21">
        <f>IFERROR(INDEX(Users!$D$2:$D$310,MATCH(A1009,Users!$B$2:$B$310,0)),"")</f>
        <v/>
      </c>
      <c r="I1009" s="19">
        <f>AND(G1009="Service A",H1009="Band 3")</f>
        <v/>
      </c>
      <c r="J1009" s="33">
        <f>IF(AND(YEAR(B1009)=2025,G1009="Service B",OR(H1009="Band 3",H1009="Band 5"),ISNUMBER(F1009)),F1009,"")</f>
        <v/>
      </c>
    </row>
    <row r="1010">
      <c r="A1010" s="19" t="inlineStr">
        <is>
          <t>User1107</t>
        </is>
      </c>
      <c r="B1010" s="60" t="n">
        <v>45870</v>
      </c>
      <c r="C1010" s="21" t="n">
        <v>148</v>
      </c>
      <c r="D1010" s="21" t="n">
        <v>113.0233333333333</v>
      </c>
      <c r="E1010" s="21" t="n">
        <v>48.93999999999997</v>
      </c>
      <c r="F1010" s="27">
        <f>IFERROR(IF(OR(C1010="",D1010="",C1010=0),"",D1010/C1010),"")</f>
        <v/>
      </c>
      <c r="G1010" s="21">
        <f>IFERROR(INDEX(Users!$A$2:$A$310,MATCH(A1010,Users!$B$2:$B$310,0)),"")</f>
        <v/>
      </c>
      <c r="H1010" s="21">
        <f>IFERROR(INDEX(Users!$D$2:$D$310,MATCH(A1010,Users!$B$2:$B$310,0)),"")</f>
        <v/>
      </c>
      <c r="I1010" s="19">
        <f>AND(G1010="Service A",H1010="Band 3")</f>
        <v/>
      </c>
      <c r="J1010" s="33">
        <f>IF(AND(YEAR(B1010)=2025,G1010="Service B",OR(H1010="Band 3",H1010="Band 5"),ISNUMBER(F1010)),F1010,"")</f>
        <v/>
      </c>
    </row>
    <row r="1011">
      <c r="A1011" s="19" t="inlineStr">
        <is>
          <t>User1107</t>
        </is>
      </c>
      <c r="B1011" s="60" t="n">
        <v>45901</v>
      </c>
      <c r="C1011" s="21" t="n">
        <v>162.8</v>
      </c>
      <c r="D1011" s="21" t="n">
        <v>115.7333333333333</v>
      </c>
      <c r="E1011" s="21" t="n">
        <v>34.24999999999999</v>
      </c>
      <c r="F1011" s="27">
        <f>IFERROR(IF(OR(C1011="",D1011="",C1011=0),"",D1011/C1011),"")</f>
        <v/>
      </c>
      <c r="G1011" s="21">
        <f>IFERROR(INDEX(Users!$A$2:$A$310,MATCH(A1011,Users!$B$2:$B$310,0)),"")</f>
        <v/>
      </c>
      <c r="H1011" s="21">
        <f>IFERROR(INDEX(Users!$D$2:$D$310,MATCH(A1011,Users!$B$2:$B$310,0)),"")</f>
        <v/>
      </c>
      <c r="I1011" s="19">
        <f>AND(G1011="Service A",H1011="Band 3")</f>
        <v/>
      </c>
      <c r="J1011" s="33">
        <f>IF(AND(YEAR(B1011)=2025,G1011="Service B",OR(H1011="Band 3",H1011="Band 5"),ISNUMBER(F1011)),F1011,"")</f>
        <v/>
      </c>
    </row>
    <row r="1012">
      <c r="A1012" s="19" t="inlineStr">
        <is>
          <t>User1107</t>
        </is>
      </c>
      <c r="B1012" s="60" t="n">
        <v>45931</v>
      </c>
      <c r="C1012" s="21" t="n">
        <v>170.2</v>
      </c>
      <c r="D1012" s="21" t="n">
        <v>155.86</v>
      </c>
      <c r="E1012" s="21" t="n">
        <v>75.80999999999999</v>
      </c>
      <c r="F1012" s="27">
        <f>IFERROR(IF(OR(C1012="",D1012="",C1012=0),"",D1012/C1012),"")</f>
        <v/>
      </c>
      <c r="G1012" s="21">
        <f>IFERROR(INDEX(Users!$A$2:$A$310,MATCH(A1012,Users!$B$2:$B$310,0)),"")</f>
        <v/>
      </c>
      <c r="H1012" s="21">
        <f>IFERROR(INDEX(Users!$D$2:$D$310,MATCH(A1012,Users!$B$2:$B$310,0)),"")</f>
        <v/>
      </c>
      <c r="I1012" s="19">
        <f>AND(G1012="Service A",H1012="Band 3")</f>
        <v/>
      </c>
      <c r="J1012" s="33">
        <f>IF(AND(YEAR(B1012)=2025,G1012="Service B",OR(H1012="Band 3",H1012="Band 5"),ISNUMBER(F1012)),F1012,"")</f>
        <v/>
      </c>
    </row>
    <row r="1013">
      <c r="A1013" s="19" t="inlineStr">
        <is>
          <t>User1107</t>
        </is>
      </c>
      <c r="B1013" s="60" t="n">
        <v>45962</v>
      </c>
      <c r="C1013" s="21" t="n">
        <v>148</v>
      </c>
      <c r="D1013" s="21" t="n">
        <v>154.5833333333333</v>
      </c>
      <c r="E1013" s="21" t="n">
        <v>35.5</v>
      </c>
      <c r="F1013" s="27">
        <f>IFERROR(IF(OR(C1013="",D1013="",C1013=0),"",D1013/C1013),"")</f>
        <v/>
      </c>
      <c r="G1013" s="21">
        <f>IFERROR(INDEX(Users!$A$2:$A$310,MATCH(A1013,Users!$B$2:$B$310,0)),"")</f>
        <v/>
      </c>
      <c r="H1013" s="21">
        <f>IFERROR(INDEX(Users!$D$2:$D$310,MATCH(A1013,Users!$B$2:$B$310,0)),"")</f>
        <v/>
      </c>
      <c r="I1013" s="19">
        <f>AND(G1013="Service A",H1013="Band 3")</f>
        <v/>
      </c>
      <c r="J1013" s="33">
        <f>IF(AND(YEAR(B1013)=2025,G1013="Service B",OR(H1013="Band 3",H1013="Band 5"),ISNUMBER(F1013)),F1013,"")</f>
        <v/>
      </c>
    </row>
    <row r="1014">
      <c r="A1014" s="19" t="inlineStr">
        <is>
          <t>User1107</t>
        </is>
      </c>
      <c r="B1014" s="60" t="n">
        <v>45992</v>
      </c>
      <c r="C1014" s="21" t="n">
        <v>155.4</v>
      </c>
      <c r="D1014" s="21" t="n">
        <v>81.16666666666666</v>
      </c>
      <c r="E1014" s="21" t="n">
        <v>15.3</v>
      </c>
      <c r="F1014" s="27">
        <f>IFERROR(IF(OR(C1014="",D1014="",C1014=0),"",D1014/C1014),"")</f>
        <v/>
      </c>
      <c r="G1014" s="21">
        <f>IFERROR(INDEX(Users!$A$2:$A$310,MATCH(A1014,Users!$B$2:$B$310,0)),"")</f>
        <v/>
      </c>
      <c r="H1014" s="21">
        <f>IFERROR(INDEX(Users!$D$2:$D$310,MATCH(A1014,Users!$B$2:$B$310,0)),"")</f>
        <v/>
      </c>
      <c r="I1014" s="19">
        <f>AND(G1014="Service A",H1014="Band 3")</f>
        <v/>
      </c>
      <c r="J1014" s="33">
        <f>IF(AND(YEAR(B1014)=2025,G1014="Service B",OR(H1014="Band 3",H1014="Band 5"),ISNUMBER(F1014)),F1014,"")</f>
        <v/>
      </c>
    </row>
    <row r="1015">
      <c r="A1015" s="19" t="inlineStr">
        <is>
          <t>User1107</t>
        </is>
      </c>
      <c r="B1015" s="60" t="n">
        <v>46023</v>
      </c>
      <c r="C1015" s="21" t="n">
        <v>155.4</v>
      </c>
      <c r="D1015" s="21" t="n">
        <v>140.1966666666667</v>
      </c>
      <c r="E1015" s="21" t="n">
        <v>57.02999999999998</v>
      </c>
      <c r="F1015" s="27">
        <f>IFERROR(IF(OR(C1015="",D1015="",C1015=0),"",D1015/C1015),"")</f>
        <v/>
      </c>
      <c r="G1015" s="21">
        <f>IFERROR(INDEX(Users!$A$2:$A$310,MATCH(A1015,Users!$B$2:$B$310,0)),"")</f>
        <v/>
      </c>
      <c r="H1015" s="21">
        <f>IFERROR(INDEX(Users!$D$2:$D$310,MATCH(A1015,Users!$B$2:$B$310,0)),"")</f>
        <v/>
      </c>
      <c r="I1015" s="19">
        <f>AND(G1015="Service A",H1015="Band 3")</f>
        <v/>
      </c>
      <c r="J1015" s="33">
        <f>IF(AND(YEAR(B1015)=2025,G1015="Service B",OR(H1015="Band 3",H1015="Band 5"),ISNUMBER(F1015)),F1015,"")</f>
        <v/>
      </c>
    </row>
    <row r="1016">
      <c r="A1016" s="19" t="inlineStr">
        <is>
          <t>User1109</t>
        </is>
      </c>
      <c r="B1016" s="60" t="n">
        <v>45778</v>
      </c>
      <c r="C1016" s="21" t="n">
        <v>51.8</v>
      </c>
      <c r="D1016" s="21" t="n">
        <v>66.66666666666666</v>
      </c>
      <c r="E1016" s="21" t="n"/>
      <c r="F1016" s="27">
        <f>IFERROR(IF(OR(C1016="",D1016="",C1016=0),"",D1016/C1016),"")</f>
        <v/>
      </c>
      <c r="G1016" s="21">
        <f>IFERROR(INDEX(Users!$A$2:$A$310,MATCH(A1016,Users!$B$2:$B$310,0)),"")</f>
        <v/>
      </c>
      <c r="H1016" s="21">
        <f>IFERROR(INDEX(Users!$D$2:$D$310,MATCH(A1016,Users!$B$2:$B$310,0)),"")</f>
        <v/>
      </c>
      <c r="I1016" s="19">
        <f>AND(G1016="Service A",H1016="Band 3")</f>
        <v/>
      </c>
      <c r="J1016" s="33">
        <f>IF(AND(YEAR(B1016)=2025,G1016="Service B",OR(H1016="Band 3",H1016="Band 5"),ISNUMBER(F1016)),F1016,"")</f>
        <v/>
      </c>
    </row>
    <row r="1017">
      <c r="A1017" s="19" t="inlineStr">
        <is>
          <t>User1109</t>
        </is>
      </c>
      <c r="B1017" s="60" t="n">
        <v>45809</v>
      </c>
      <c r="C1017" s="21" t="n">
        <v>155.4</v>
      </c>
      <c r="D1017" s="21" t="n">
        <v>127.6666666666667</v>
      </c>
      <c r="E1017" s="21" t="n"/>
      <c r="F1017" s="27">
        <f>IFERROR(IF(OR(C1017="",D1017="",C1017=0),"",D1017/C1017),"")</f>
        <v/>
      </c>
      <c r="G1017" s="21">
        <f>IFERROR(INDEX(Users!$A$2:$A$310,MATCH(A1017,Users!$B$2:$B$310,0)),"")</f>
        <v/>
      </c>
      <c r="H1017" s="21">
        <f>IFERROR(INDEX(Users!$D$2:$D$310,MATCH(A1017,Users!$B$2:$B$310,0)),"")</f>
        <v/>
      </c>
      <c r="I1017" s="19">
        <f>AND(G1017="Service A",H1017="Band 3")</f>
        <v/>
      </c>
      <c r="J1017" s="33">
        <f>IF(AND(YEAR(B1017)=2025,G1017="Service B",OR(H1017="Band 3",H1017="Band 5"),ISNUMBER(F1017)),F1017,"")</f>
        <v/>
      </c>
    </row>
    <row r="1018">
      <c r="A1018" s="19" t="inlineStr">
        <is>
          <t>User1109</t>
        </is>
      </c>
      <c r="B1018" s="60" t="n">
        <v>45839</v>
      </c>
      <c r="C1018" s="21" t="n">
        <v>170.2</v>
      </c>
      <c r="D1018" s="21" t="n">
        <v>158.24</v>
      </c>
      <c r="E1018" s="21" t="n">
        <v>20.49</v>
      </c>
      <c r="F1018" s="27">
        <f>IFERROR(IF(OR(C1018="",D1018="",C1018=0),"",D1018/C1018),"")</f>
        <v/>
      </c>
      <c r="G1018" s="21">
        <f>IFERROR(INDEX(Users!$A$2:$A$310,MATCH(A1018,Users!$B$2:$B$310,0)),"")</f>
        <v/>
      </c>
      <c r="H1018" s="21">
        <f>IFERROR(INDEX(Users!$D$2:$D$310,MATCH(A1018,Users!$B$2:$B$310,0)),"")</f>
        <v/>
      </c>
      <c r="I1018" s="19">
        <f>AND(G1018="Service A",H1018="Band 3")</f>
        <v/>
      </c>
      <c r="J1018" s="33">
        <f>IF(AND(YEAR(B1018)=2025,G1018="Service B",OR(H1018="Band 3",H1018="Band 5"),ISNUMBER(F1018)),F1018,"")</f>
        <v/>
      </c>
    </row>
    <row r="1019">
      <c r="A1019" s="19" t="inlineStr">
        <is>
          <t>User1109</t>
        </is>
      </c>
      <c r="B1019" s="60" t="n">
        <v>45870</v>
      </c>
      <c r="C1019" s="21" t="n">
        <v>148</v>
      </c>
      <c r="D1019" s="21" t="n">
        <v>146.24</v>
      </c>
      <c r="E1019" s="21" t="n">
        <v>50.73999999999999</v>
      </c>
      <c r="F1019" s="27">
        <f>IFERROR(IF(OR(C1019="",D1019="",C1019=0),"",D1019/C1019),"")</f>
        <v/>
      </c>
      <c r="G1019" s="21">
        <f>IFERROR(INDEX(Users!$A$2:$A$310,MATCH(A1019,Users!$B$2:$B$310,0)),"")</f>
        <v/>
      </c>
      <c r="H1019" s="21">
        <f>IFERROR(INDEX(Users!$D$2:$D$310,MATCH(A1019,Users!$B$2:$B$310,0)),"")</f>
        <v/>
      </c>
      <c r="I1019" s="19">
        <f>AND(G1019="Service A",H1019="Band 3")</f>
        <v/>
      </c>
      <c r="J1019" s="33">
        <f>IF(AND(YEAR(B1019)=2025,G1019="Service B",OR(H1019="Band 3",H1019="Band 5"),ISNUMBER(F1019)),F1019,"")</f>
        <v/>
      </c>
    </row>
    <row r="1020">
      <c r="A1020" s="19" t="inlineStr">
        <is>
          <t>User1109</t>
        </is>
      </c>
      <c r="B1020" s="60" t="n">
        <v>45901</v>
      </c>
      <c r="C1020" s="21" t="n">
        <v>162.8</v>
      </c>
      <c r="D1020" s="21" t="n">
        <v>164.4566666666667</v>
      </c>
      <c r="E1020" s="21" t="n">
        <v>41.54000000000001</v>
      </c>
      <c r="F1020" s="27">
        <f>IFERROR(IF(OR(C1020="",D1020="",C1020=0),"",D1020/C1020),"")</f>
        <v/>
      </c>
      <c r="G1020" s="21">
        <f>IFERROR(INDEX(Users!$A$2:$A$310,MATCH(A1020,Users!$B$2:$B$310,0)),"")</f>
        <v/>
      </c>
      <c r="H1020" s="21">
        <f>IFERROR(INDEX(Users!$D$2:$D$310,MATCH(A1020,Users!$B$2:$B$310,0)),"")</f>
        <v/>
      </c>
      <c r="I1020" s="19">
        <f>AND(G1020="Service A",H1020="Band 3")</f>
        <v/>
      </c>
      <c r="J1020" s="33">
        <f>IF(AND(YEAR(B1020)=2025,G1020="Service B",OR(H1020="Band 3",H1020="Band 5"),ISNUMBER(F1020)),F1020,"")</f>
        <v/>
      </c>
    </row>
    <row r="1021">
      <c r="A1021" s="19" t="inlineStr">
        <is>
          <t>User1109</t>
        </is>
      </c>
      <c r="B1021" s="60" t="n">
        <v>45931</v>
      </c>
      <c r="C1021" s="21" t="n">
        <v>170.2</v>
      </c>
      <c r="D1021" s="21" t="n">
        <v>130.2466666666667</v>
      </c>
      <c r="E1021" s="21" t="n">
        <v>53.08000000000001</v>
      </c>
      <c r="F1021" s="27">
        <f>IFERROR(IF(OR(C1021="",D1021="",C1021=0),"",D1021/C1021),"")</f>
        <v/>
      </c>
      <c r="G1021" s="21">
        <f>IFERROR(INDEX(Users!$A$2:$A$310,MATCH(A1021,Users!$B$2:$B$310,0)),"")</f>
        <v/>
      </c>
      <c r="H1021" s="21">
        <f>IFERROR(INDEX(Users!$D$2:$D$310,MATCH(A1021,Users!$B$2:$B$310,0)),"")</f>
        <v/>
      </c>
      <c r="I1021" s="19">
        <f>AND(G1021="Service A",H1021="Band 3")</f>
        <v/>
      </c>
      <c r="J1021" s="33">
        <f>IF(AND(YEAR(B1021)=2025,G1021="Service B",OR(H1021="Band 3",H1021="Band 5"),ISNUMBER(F1021)),F1021,"")</f>
        <v/>
      </c>
    </row>
    <row r="1022">
      <c r="A1022" s="19" t="inlineStr">
        <is>
          <t>User1109</t>
        </is>
      </c>
      <c r="B1022" s="60" t="n">
        <v>45962</v>
      </c>
      <c r="C1022" s="21" t="n">
        <v>148</v>
      </c>
      <c r="D1022" s="21" t="n">
        <v>148.9</v>
      </c>
      <c r="E1022" s="21" t="n">
        <v>45.15</v>
      </c>
      <c r="F1022" s="27">
        <f>IFERROR(IF(OR(C1022="",D1022="",C1022=0),"",D1022/C1022),"")</f>
        <v/>
      </c>
      <c r="G1022" s="21">
        <f>IFERROR(INDEX(Users!$A$2:$A$310,MATCH(A1022,Users!$B$2:$B$310,0)),"")</f>
        <v/>
      </c>
      <c r="H1022" s="21">
        <f>IFERROR(INDEX(Users!$D$2:$D$310,MATCH(A1022,Users!$B$2:$B$310,0)),"")</f>
        <v/>
      </c>
      <c r="I1022" s="19">
        <f>AND(G1022="Service A",H1022="Band 3")</f>
        <v/>
      </c>
      <c r="J1022" s="33">
        <f>IF(AND(YEAR(B1022)=2025,G1022="Service B",OR(H1022="Band 3",H1022="Band 5"),ISNUMBER(F1022)),F1022,"")</f>
        <v/>
      </c>
    </row>
    <row r="1023">
      <c r="A1023" s="19" t="inlineStr">
        <is>
          <t>User1109</t>
        </is>
      </c>
      <c r="B1023" s="60" t="n">
        <v>45992</v>
      </c>
      <c r="C1023" s="21" t="n">
        <v>155.4</v>
      </c>
      <c r="D1023" s="21" t="n">
        <v>136.3133333333333</v>
      </c>
      <c r="E1023" s="21" t="n">
        <v>30.73</v>
      </c>
      <c r="F1023" s="27">
        <f>IFERROR(IF(OR(C1023="",D1023="",C1023=0),"",D1023/C1023),"")</f>
        <v/>
      </c>
      <c r="G1023" s="21">
        <f>IFERROR(INDEX(Users!$A$2:$A$310,MATCH(A1023,Users!$B$2:$B$310,0)),"")</f>
        <v/>
      </c>
      <c r="H1023" s="21">
        <f>IFERROR(INDEX(Users!$D$2:$D$310,MATCH(A1023,Users!$B$2:$B$310,0)),"")</f>
        <v/>
      </c>
      <c r="I1023" s="19">
        <f>AND(G1023="Service A",H1023="Band 3")</f>
        <v/>
      </c>
      <c r="J1023" s="33">
        <f>IF(AND(YEAR(B1023)=2025,G1023="Service B",OR(H1023="Band 3",H1023="Band 5"),ISNUMBER(F1023)),F1023,"")</f>
        <v/>
      </c>
    </row>
    <row r="1024">
      <c r="A1024" s="19" t="inlineStr">
        <is>
          <t>User1109</t>
        </is>
      </c>
      <c r="B1024" s="60" t="n">
        <v>46023</v>
      </c>
      <c r="C1024" s="21" t="n">
        <v>155.4</v>
      </c>
      <c r="D1024" s="21" t="n">
        <v>150.22</v>
      </c>
      <c r="E1024" s="21" t="n">
        <v>52.72000000000002</v>
      </c>
      <c r="F1024" s="27">
        <f>IFERROR(IF(OR(C1024="",D1024="",C1024=0),"",D1024/C1024),"")</f>
        <v/>
      </c>
      <c r="G1024" s="21">
        <f>IFERROR(INDEX(Users!$A$2:$A$310,MATCH(A1024,Users!$B$2:$B$310,0)),"")</f>
        <v/>
      </c>
      <c r="H1024" s="21">
        <f>IFERROR(INDEX(Users!$D$2:$D$310,MATCH(A1024,Users!$B$2:$B$310,0)),"")</f>
        <v/>
      </c>
      <c r="I1024" s="19">
        <f>AND(G1024="Service A",H1024="Band 3")</f>
        <v/>
      </c>
      <c r="J1024" s="33">
        <f>IF(AND(YEAR(B1024)=2025,G1024="Service B",OR(H1024="Band 3",H1024="Band 5"),ISNUMBER(F1024)),F1024,"")</f>
        <v/>
      </c>
    </row>
    <row r="1025">
      <c r="A1025" s="19" t="inlineStr">
        <is>
          <t>User1110</t>
        </is>
      </c>
      <c r="B1025" s="60" t="n">
        <v>45658</v>
      </c>
      <c r="C1025" s="21" t="n">
        <v>125.8</v>
      </c>
      <c r="D1025" s="21" t="n">
        <v>106.75</v>
      </c>
      <c r="E1025" s="21" t="n">
        <v>61.25</v>
      </c>
      <c r="F1025" s="27">
        <f>IFERROR(IF(OR(C1025="",D1025="",C1025=0),"",D1025/C1025),"")</f>
        <v/>
      </c>
      <c r="G1025" s="21">
        <f>IFERROR(INDEX(Users!$A$2:$A$310,MATCH(A1025,Users!$B$2:$B$310,0)),"")</f>
        <v/>
      </c>
      <c r="H1025" s="21">
        <f>IFERROR(INDEX(Users!$D$2:$D$310,MATCH(A1025,Users!$B$2:$B$310,0)),"")</f>
        <v/>
      </c>
      <c r="I1025" s="19">
        <f>AND(G1025="Service A",H1025="Band 3")</f>
        <v/>
      </c>
      <c r="J1025" s="33">
        <f>IF(AND(YEAR(B1025)=2025,G1025="Service B",OR(H1025="Band 3",H1025="Band 5"),ISNUMBER(F1025)),F1025,"")</f>
        <v/>
      </c>
    </row>
    <row r="1026">
      <c r="A1026" s="19" t="inlineStr">
        <is>
          <t>User1110</t>
        </is>
      </c>
      <c r="B1026" s="60" t="n">
        <v>45689</v>
      </c>
      <c r="C1026" s="21" t="n">
        <v>118.4</v>
      </c>
      <c r="D1026" s="21" t="n"/>
      <c r="E1026" s="21" t="n"/>
      <c r="F1026" s="27">
        <f>IFERROR(IF(OR(C1026="",D1026="",C1026=0),"",D1026/C1026),"")</f>
        <v/>
      </c>
      <c r="G1026" s="21">
        <f>IFERROR(INDEX(Users!$A$2:$A$310,MATCH(A1026,Users!$B$2:$B$310,0)),"")</f>
        <v/>
      </c>
      <c r="H1026" s="21">
        <f>IFERROR(INDEX(Users!$D$2:$D$310,MATCH(A1026,Users!$B$2:$B$310,0)),"")</f>
        <v/>
      </c>
      <c r="I1026" s="19">
        <f>AND(G1026="Service A",H1026="Band 3")</f>
        <v/>
      </c>
      <c r="J1026" s="33">
        <f>IF(AND(YEAR(B1026)=2025,G1026="Service B",OR(H1026="Band 3",H1026="Band 5"),ISNUMBER(F1026)),F1026,"")</f>
        <v/>
      </c>
    </row>
    <row r="1027">
      <c r="A1027" s="19" t="inlineStr">
        <is>
          <t>User1110</t>
        </is>
      </c>
      <c r="B1027" s="60" t="n">
        <v>45717</v>
      </c>
      <c r="C1027" s="21" t="n">
        <v>118.4</v>
      </c>
      <c r="D1027" s="21" t="n"/>
      <c r="E1027" s="21" t="n"/>
      <c r="F1027" s="27">
        <f>IFERROR(IF(OR(C1027="",D1027="",C1027=0),"",D1027/C1027),"")</f>
        <v/>
      </c>
      <c r="G1027" s="21">
        <f>IFERROR(INDEX(Users!$A$2:$A$310,MATCH(A1027,Users!$B$2:$B$310,0)),"")</f>
        <v/>
      </c>
      <c r="H1027" s="21">
        <f>IFERROR(INDEX(Users!$D$2:$D$310,MATCH(A1027,Users!$B$2:$B$310,0)),"")</f>
        <v/>
      </c>
      <c r="I1027" s="19">
        <f>AND(G1027="Service A",H1027="Band 3")</f>
        <v/>
      </c>
      <c r="J1027" s="33">
        <f>IF(AND(YEAR(B1027)=2025,G1027="Service B",OR(H1027="Band 3",H1027="Band 5"),ISNUMBER(F1027)),F1027,"")</f>
        <v/>
      </c>
    </row>
    <row r="1028">
      <c r="A1028" s="19" t="inlineStr">
        <is>
          <t>User1111</t>
        </is>
      </c>
      <c r="B1028" s="60" t="n">
        <v>45809</v>
      </c>
      <c r="C1028" s="21" t="n">
        <v>157.25</v>
      </c>
      <c r="D1028" s="21" t="n">
        <v>155.5833333333333</v>
      </c>
      <c r="E1028" s="21" t="n">
        <v>0.75</v>
      </c>
      <c r="F1028" s="27">
        <f>IFERROR(IF(OR(C1028="",D1028="",C1028=0),"",D1028/C1028),"")</f>
        <v/>
      </c>
      <c r="G1028" s="21">
        <f>IFERROR(INDEX(Users!$A$2:$A$310,MATCH(A1028,Users!$B$2:$B$310,0)),"")</f>
        <v/>
      </c>
      <c r="H1028" s="21">
        <f>IFERROR(INDEX(Users!$D$2:$D$310,MATCH(A1028,Users!$B$2:$B$310,0)),"")</f>
        <v/>
      </c>
      <c r="I1028" s="19">
        <f>AND(G1028="Service A",H1028="Band 3")</f>
        <v/>
      </c>
      <c r="J1028" s="33">
        <f>IF(AND(YEAR(B1028)=2025,G1028="Service B",OR(H1028="Band 3",H1028="Band 5"),ISNUMBER(F1028)),F1028,"")</f>
        <v/>
      </c>
    </row>
    <row r="1029">
      <c r="A1029" s="19" t="inlineStr">
        <is>
          <t>User1111</t>
        </is>
      </c>
      <c r="B1029" s="60" t="n">
        <v>45839</v>
      </c>
      <c r="C1029" s="21" t="n">
        <v>166.5</v>
      </c>
      <c r="D1029" s="21" t="n">
        <v>150.1666666666667</v>
      </c>
      <c r="E1029" s="21" t="n">
        <v>5</v>
      </c>
      <c r="F1029" s="27">
        <f>IFERROR(IF(OR(C1029="",D1029="",C1029=0),"",D1029/C1029),"")</f>
        <v/>
      </c>
      <c r="G1029" s="21">
        <f>IFERROR(INDEX(Users!$A$2:$A$310,MATCH(A1029,Users!$B$2:$B$310,0)),"")</f>
        <v/>
      </c>
      <c r="H1029" s="21">
        <f>IFERROR(INDEX(Users!$D$2:$D$310,MATCH(A1029,Users!$B$2:$B$310,0)),"")</f>
        <v/>
      </c>
      <c r="I1029" s="19">
        <f>AND(G1029="Service A",H1029="Band 3")</f>
        <v/>
      </c>
      <c r="J1029" s="33">
        <f>IF(AND(YEAR(B1029)=2025,G1029="Service B",OR(H1029="Band 3",H1029="Band 5"),ISNUMBER(F1029)),F1029,"")</f>
        <v/>
      </c>
    </row>
    <row r="1030">
      <c r="A1030" s="19" t="inlineStr">
        <is>
          <t>User1111</t>
        </is>
      </c>
      <c r="B1030" s="60" t="n">
        <v>45870</v>
      </c>
      <c r="C1030" s="21" t="n">
        <v>148</v>
      </c>
      <c r="D1030" s="21" t="n">
        <v>65.43000000000001</v>
      </c>
      <c r="E1030" s="21" t="n">
        <v>6.68</v>
      </c>
      <c r="F1030" s="27">
        <f>IFERROR(IF(OR(C1030="",D1030="",C1030=0),"",D1030/C1030),"")</f>
        <v/>
      </c>
      <c r="G1030" s="21">
        <f>IFERROR(INDEX(Users!$A$2:$A$310,MATCH(A1030,Users!$B$2:$B$310,0)),"")</f>
        <v/>
      </c>
      <c r="H1030" s="21">
        <f>IFERROR(INDEX(Users!$D$2:$D$310,MATCH(A1030,Users!$B$2:$B$310,0)),"")</f>
        <v/>
      </c>
      <c r="I1030" s="19">
        <f>AND(G1030="Service A",H1030="Band 3")</f>
        <v/>
      </c>
      <c r="J1030" s="33">
        <f>IF(AND(YEAR(B1030)=2025,G1030="Service B",OR(H1030="Band 3",H1030="Band 5"),ISNUMBER(F1030)),F1030,"")</f>
        <v/>
      </c>
    </row>
    <row r="1031">
      <c r="A1031" s="19" t="inlineStr">
        <is>
          <t>User1111</t>
        </is>
      </c>
      <c r="B1031" s="60" t="n">
        <v>45901</v>
      </c>
      <c r="C1031" s="21" t="n">
        <v>166.5</v>
      </c>
      <c r="D1031" s="21" t="n">
        <v>168.0133333333334</v>
      </c>
      <c r="E1031" s="21" t="n">
        <v>21.18000000000004</v>
      </c>
      <c r="F1031" s="27">
        <f>IFERROR(IF(OR(C1031="",D1031="",C1031=0),"",D1031/C1031),"")</f>
        <v/>
      </c>
      <c r="G1031" s="21">
        <f>IFERROR(INDEX(Users!$A$2:$A$310,MATCH(A1031,Users!$B$2:$B$310,0)),"")</f>
        <v/>
      </c>
      <c r="H1031" s="21">
        <f>IFERROR(INDEX(Users!$D$2:$D$310,MATCH(A1031,Users!$B$2:$B$310,0)),"")</f>
        <v/>
      </c>
      <c r="I1031" s="19">
        <f>AND(G1031="Service A",H1031="Band 3")</f>
        <v/>
      </c>
      <c r="J1031" s="33">
        <f>IF(AND(YEAR(B1031)=2025,G1031="Service B",OR(H1031="Band 3",H1031="Band 5"),ISNUMBER(F1031)),F1031,"")</f>
        <v/>
      </c>
    </row>
    <row r="1032">
      <c r="A1032" s="19" t="inlineStr">
        <is>
          <t>User1111</t>
        </is>
      </c>
      <c r="B1032" s="60" t="n">
        <v>45931</v>
      </c>
      <c r="C1032" s="21" t="n">
        <v>166.5</v>
      </c>
      <c r="D1032" s="21" t="n">
        <v>122.9733333333333</v>
      </c>
      <c r="E1032" s="21" t="n">
        <v>20.89000000000001</v>
      </c>
      <c r="F1032" s="27">
        <f>IFERROR(IF(OR(C1032="",D1032="",C1032=0),"",D1032/C1032),"")</f>
        <v/>
      </c>
      <c r="G1032" s="21">
        <f>IFERROR(INDEX(Users!$A$2:$A$310,MATCH(A1032,Users!$B$2:$B$310,0)),"")</f>
        <v/>
      </c>
      <c r="H1032" s="21">
        <f>IFERROR(INDEX(Users!$D$2:$D$310,MATCH(A1032,Users!$B$2:$B$310,0)),"")</f>
        <v/>
      </c>
      <c r="I1032" s="19">
        <f>AND(G1032="Service A",H1032="Band 3")</f>
        <v/>
      </c>
      <c r="J1032" s="33">
        <f>IF(AND(YEAR(B1032)=2025,G1032="Service B",OR(H1032="Band 3",H1032="Band 5"),ISNUMBER(F1032)),F1032,"")</f>
        <v/>
      </c>
    </row>
    <row r="1033">
      <c r="A1033" s="19" t="inlineStr">
        <is>
          <t>User1111</t>
        </is>
      </c>
      <c r="B1033" s="60" t="n">
        <v>45962</v>
      </c>
      <c r="C1033" s="21" t="n">
        <v>148</v>
      </c>
      <c r="D1033" s="21" t="n">
        <v>150.6666666666667</v>
      </c>
      <c r="E1033" s="21" t="n">
        <v>12.75</v>
      </c>
      <c r="F1033" s="27">
        <f>IFERROR(IF(OR(C1033="",D1033="",C1033=0),"",D1033/C1033),"")</f>
        <v/>
      </c>
      <c r="G1033" s="21">
        <f>IFERROR(INDEX(Users!$A$2:$A$310,MATCH(A1033,Users!$B$2:$B$310,0)),"")</f>
        <v/>
      </c>
      <c r="H1033" s="21">
        <f>IFERROR(INDEX(Users!$D$2:$D$310,MATCH(A1033,Users!$B$2:$B$310,0)),"")</f>
        <v/>
      </c>
      <c r="I1033" s="19">
        <f>AND(G1033="Service A",H1033="Band 3")</f>
        <v/>
      </c>
      <c r="J1033" s="33">
        <f>IF(AND(YEAR(B1033)=2025,G1033="Service B",OR(H1033="Band 3",H1033="Band 5"),ISNUMBER(F1033)),F1033,"")</f>
        <v/>
      </c>
    </row>
    <row r="1034">
      <c r="A1034" s="19" t="inlineStr">
        <is>
          <t>User1111</t>
        </is>
      </c>
      <c r="B1034" s="60" t="n">
        <v>45992</v>
      </c>
      <c r="C1034" s="21" t="n">
        <v>166.5</v>
      </c>
      <c r="D1034" s="21" t="n">
        <v>160.08</v>
      </c>
      <c r="E1034" s="21" t="n">
        <v>14.58</v>
      </c>
      <c r="F1034" s="27">
        <f>IFERROR(IF(OR(C1034="",D1034="",C1034=0),"",D1034/C1034),"")</f>
        <v/>
      </c>
      <c r="G1034" s="21">
        <f>IFERROR(INDEX(Users!$A$2:$A$310,MATCH(A1034,Users!$B$2:$B$310,0)),"")</f>
        <v/>
      </c>
      <c r="H1034" s="21">
        <f>IFERROR(INDEX(Users!$D$2:$D$310,MATCH(A1034,Users!$B$2:$B$310,0)),"")</f>
        <v/>
      </c>
      <c r="I1034" s="19">
        <f>AND(G1034="Service A",H1034="Band 3")</f>
        <v/>
      </c>
      <c r="J1034" s="33">
        <f>IF(AND(YEAR(B1034)=2025,G1034="Service B",OR(H1034="Band 3",H1034="Band 5"),ISNUMBER(F1034)),F1034,"")</f>
        <v/>
      </c>
    </row>
    <row r="1035">
      <c r="A1035" s="19" t="inlineStr">
        <is>
          <t>User1111</t>
        </is>
      </c>
      <c r="B1035" s="60" t="n">
        <v>46023</v>
      </c>
      <c r="C1035" s="21" t="n">
        <v>157.25</v>
      </c>
      <c r="D1035" s="21" t="n">
        <v>153.15</v>
      </c>
      <c r="E1035" s="21" t="n">
        <v>24.65000000000001</v>
      </c>
      <c r="F1035" s="27">
        <f>IFERROR(IF(OR(C1035="",D1035="",C1035=0),"",D1035/C1035),"")</f>
        <v/>
      </c>
      <c r="G1035" s="21">
        <f>IFERROR(INDEX(Users!$A$2:$A$310,MATCH(A1035,Users!$B$2:$B$310,0)),"")</f>
        <v/>
      </c>
      <c r="H1035" s="21">
        <f>IFERROR(INDEX(Users!$D$2:$D$310,MATCH(A1035,Users!$B$2:$B$310,0)),"")</f>
        <v/>
      </c>
      <c r="I1035" s="19">
        <f>AND(G1035="Service A",H1035="Band 3")</f>
        <v/>
      </c>
      <c r="J1035" s="33">
        <f>IF(AND(YEAR(B1035)=2025,G1035="Service B",OR(H1035="Band 3",H1035="Band 5"),ISNUMBER(F1035)),F1035,"")</f>
        <v/>
      </c>
    </row>
    <row r="1036">
      <c r="A1036" s="19" t="inlineStr">
        <is>
          <t>User1112</t>
        </is>
      </c>
      <c r="B1036" s="60" t="n">
        <v>45658</v>
      </c>
      <c r="C1036" s="21" t="n">
        <v>162.8</v>
      </c>
      <c r="D1036" s="21" t="n">
        <v>162.2333333333333</v>
      </c>
      <c r="E1036" s="21" t="n">
        <v>80.95000000000002</v>
      </c>
      <c r="F1036" s="27">
        <f>IFERROR(IF(OR(C1036="",D1036="",C1036=0),"",D1036/C1036),"")</f>
        <v/>
      </c>
      <c r="G1036" s="21">
        <f>IFERROR(INDEX(Users!$A$2:$A$310,MATCH(A1036,Users!$B$2:$B$310,0)),"")</f>
        <v/>
      </c>
      <c r="H1036" s="21">
        <f>IFERROR(INDEX(Users!$D$2:$D$310,MATCH(A1036,Users!$B$2:$B$310,0)),"")</f>
        <v/>
      </c>
      <c r="I1036" s="19">
        <f>AND(G1036="Service A",H1036="Band 3")</f>
        <v/>
      </c>
      <c r="J1036" s="33">
        <f>IF(AND(YEAR(B1036)=2025,G1036="Service B",OR(H1036="Band 3",H1036="Band 5"),ISNUMBER(F1036)),F1036,"")</f>
        <v/>
      </c>
    </row>
    <row r="1037">
      <c r="A1037" s="19" t="inlineStr">
        <is>
          <t>User1112</t>
        </is>
      </c>
      <c r="B1037" s="60" t="n">
        <v>45689</v>
      </c>
      <c r="C1037" s="21" t="n">
        <v>148</v>
      </c>
      <c r="D1037" s="21" t="n">
        <v>151.0499999999999</v>
      </c>
      <c r="E1037" s="21" t="n">
        <v>67.99999999999999</v>
      </c>
      <c r="F1037" s="27">
        <f>IFERROR(IF(OR(C1037="",D1037="",C1037=0),"",D1037/C1037),"")</f>
        <v/>
      </c>
      <c r="G1037" s="21">
        <f>IFERROR(INDEX(Users!$A$2:$A$310,MATCH(A1037,Users!$B$2:$B$310,0)),"")</f>
        <v/>
      </c>
      <c r="H1037" s="21">
        <f>IFERROR(INDEX(Users!$D$2:$D$310,MATCH(A1037,Users!$B$2:$B$310,0)),"")</f>
        <v/>
      </c>
      <c r="I1037" s="19">
        <f>AND(G1037="Service A",H1037="Band 3")</f>
        <v/>
      </c>
      <c r="J1037" s="33">
        <f>IF(AND(YEAR(B1037)=2025,G1037="Service B",OR(H1037="Band 3",H1037="Band 5"),ISNUMBER(F1037)),F1037,"")</f>
        <v/>
      </c>
    </row>
    <row r="1038">
      <c r="A1038" s="19" t="inlineStr">
        <is>
          <t>User1112</t>
        </is>
      </c>
      <c r="B1038" s="60" t="n">
        <v>45717</v>
      </c>
      <c r="C1038" s="21" t="n">
        <v>155.4</v>
      </c>
      <c r="D1038" s="21" t="n">
        <v>157.0333333333334</v>
      </c>
      <c r="E1038" s="21" t="n">
        <v>89.85000000000002</v>
      </c>
      <c r="F1038" s="27">
        <f>IFERROR(IF(OR(C1038="",D1038="",C1038=0),"",D1038/C1038),"")</f>
        <v/>
      </c>
      <c r="G1038" s="21">
        <f>IFERROR(INDEX(Users!$A$2:$A$310,MATCH(A1038,Users!$B$2:$B$310,0)),"")</f>
        <v/>
      </c>
      <c r="H1038" s="21">
        <f>IFERROR(INDEX(Users!$D$2:$D$310,MATCH(A1038,Users!$B$2:$B$310,0)),"")</f>
        <v/>
      </c>
      <c r="I1038" s="19">
        <f>AND(G1038="Service A",H1038="Band 3")</f>
        <v/>
      </c>
      <c r="J1038" s="33">
        <f>IF(AND(YEAR(B1038)=2025,G1038="Service B",OR(H1038="Band 3",H1038="Band 5"),ISNUMBER(F1038)),F1038,"")</f>
        <v/>
      </c>
    </row>
    <row r="1039">
      <c r="A1039" s="19" t="inlineStr">
        <is>
          <t>User1112</t>
        </is>
      </c>
      <c r="B1039" s="60" t="n">
        <v>45748</v>
      </c>
      <c r="C1039" s="21" t="n">
        <v>148</v>
      </c>
      <c r="D1039" s="21" t="n">
        <v>92.16333333333333</v>
      </c>
      <c r="E1039" s="21" t="n">
        <v>45.18</v>
      </c>
      <c r="F1039" s="27">
        <f>IFERROR(IF(OR(C1039="",D1039="",C1039=0),"",D1039/C1039),"")</f>
        <v/>
      </c>
      <c r="G1039" s="21">
        <f>IFERROR(INDEX(Users!$A$2:$A$310,MATCH(A1039,Users!$B$2:$B$310,0)),"")</f>
        <v/>
      </c>
      <c r="H1039" s="21">
        <f>IFERROR(INDEX(Users!$D$2:$D$310,MATCH(A1039,Users!$B$2:$B$310,0)),"")</f>
        <v/>
      </c>
      <c r="I1039" s="19">
        <f>AND(G1039="Service A",H1039="Band 3")</f>
        <v/>
      </c>
      <c r="J1039" s="33">
        <f>IF(AND(YEAR(B1039)=2025,G1039="Service B",OR(H1039="Band 3",H1039="Band 5"),ISNUMBER(F1039)),F1039,"")</f>
        <v/>
      </c>
    </row>
    <row r="1040">
      <c r="A1040" s="19" t="inlineStr">
        <is>
          <t>User1112</t>
        </is>
      </c>
      <c r="B1040" s="60" t="n">
        <v>45778</v>
      </c>
      <c r="C1040" s="21" t="n">
        <v>148</v>
      </c>
      <c r="D1040" s="21" t="n">
        <v>127.5833333333333</v>
      </c>
      <c r="E1040" s="21" t="n">
        <v>72.00000000000001</v>
      </c>
      <c r="F1040" s="27">
        <f>IFERROR(IF(OR(C1040="",D1040="",C1040=0),"",D1040/C1040),"")</f>
        <v/>
      </c>
      <c r="G1040" s="21">
        <f>IFERROR(INDEX(Users!$A$2:$A$310,MATCH(A1040,Users!$B$2:$B$310,0)),"")</f>
        <v/>
      </c>
      <c r="H1040" s="21">
        <f>IFERROR(INDEX(Users!$D$2:$D$310,MATCH(A1040,Users!$B$2:$B$310,0)),"")</f>
        <v/>
      </c>
      <c r="I1040" s="19">
        <f>AND(G1040="Service A",H1040="Band 3")</f>
        <v/>
      </c>
      <c r="J1040" s="33">
        <f>IF(AND(YEAR(B1040)=2025,G1040="Service B",OR(H1040="Band 3",H1040="Band 5"),ISNUMBER(F1040)),F1040,"")</f>
        <v/>
      </c>
    </row>
    <row r="1041">
      <c r="A1041" s="19" t="inlineStr">
        <is>
          <t>User1112</t>
        </is>
      </c>
      <c r="B1041" s="60" t="n">
        <v>45809</v>
      </c>
      <c r="C1041" s="21" t="n">
        <v>155.4</v>
      </c>
      <c r="D1041" s="21" t="n">
        <v>156.8094444444444</v>
      </c>
      <c r="E1041" s="21" t="n">
        <v>82.33999999999999</v>
      </c>
      <c r="F1041" s="27">
        <f>IFERROR(IF(OR(C1041="",D1041="",C1041=0),"",D1041/C1041),"")</f>
        <v/>
      </c>
      <c r="G1041" s="21">
        <f>IFERROR(INDEX(Users!$A$2:$A$310,MATCH(A1041,Users!$B$2:$B$310,0)),"")</f>
        <v/>
      </c>
      <c r="H1041" s="21">
        <f>IFERROR(INDEX(Users!$D$2:$D$310,MATCH(A1041,Users!$B$2:$B$310,0)),"")</f>
        <v/>
      </c>
      <c r="I1041" s="19">
        <f>AND(G1041="Service A",H1041="Band 3")</f>
        <v/>
      </c>
      <c r="J1041" s="33">
        <f>IF(AND(YEAR(B1041)=2025,G1041="Service B",OR(H1041="Band 3",H1041="Band 5"),ISNUMBER(F1041)),F1041,"")</f>
        <v/>
      </c>
    </row>
    <row r="1042">
      <c r="A1042" s="19" t="inlineStr">
        <is>
          <t>User1112</t>
        </is>
      </c>
      <c r="B1042" s="60" t="n">
        <v>45839</v>
      </c>
      <c r="C1042" s="21" t="n">
        <v>170.2</v>
      </c>
      <c r="D1042" s="21" t="n">
        <v>131.4266666666667</v>
      </c>
      <c r="E1042" s="21" t="n">
        <v>62.96000000000006</v>
      </c>
      <c r="F1042" s="27">
        <f>IFERROR(IF(OR(C1042="",D1042="",C1042=0),"",D1042/C1042),"")</f>
        <v/>
      </c>
      <c r="G1042" s="21">
        <f>IFERROR(INDEX(Users!$A$2:$A$310,MATCH(A1042,Users!$B$2:$B$310,0)),"")</f>
        <v/>
      </c>
      <c r="H1042" s="21">
        <f>IFERROR(INDEX(Users!$D$2:$D$310,MATCH(A1042,Users!$B$2:$B$310,0)),"")</f>
        <v/>
      </c>
      <c r="I1042" s="19">
        <f>AND(G1042="Service A",H1042="Band 3")</f>
        <v/>
      </c>
      <c r="J1042" s="33">
        <f>IF(AND(YEAR(B1042)=2025,G1042="Service B",OR(H1042="Band 3",H1042="Band 5"),ISNUMBER(F1042)),F1042,"")</f>
        <v/>
      </c>
    </row>
    <row r="1043">
      <c r="A1043" s="19" t="inlineStr">
        <is>
          <t>User1112</t>
        </is>
      </c>
      <c r="B1043" s="60" t="n">
        <v>45870</v>
      </c>
      <c r="C1043" s="21" t="n">
        <v>148</v>
      </c>
      <c r="D1043" s="21" t="n">
        <v>79.53999999999998</v>
      </c>
      <c r="E1043" s="21" t="n">
        <v>36.98999999999999</v>
      </c>
      <c r="F1043" s="27">
        <f>IFERROR(IF(OR(C1043="",D1043="",C1043=0),"",D1043/C1043),"")</f>
        <v/>
      </c>
      <c r="G1043" s="21">
        <f>IFERROR(INDEX(Users!$A$2:$A$310,MATCH(A1043,Users!$B$2:$B$310,0)),"")</f>
        <v/>
      </c>
      <c r="H1043" s="21">
        <f>IFERROR(INDEX(Users!$D$2:$D$310,MATCH(A1043,Users!$B$2:$B$310,0)),"")</f>
        <v/>
      </c>
      <c r="I1043" s="19">
        <f>AND(G1043="Service A",H1043="Band 3")</f>
        <v/>
      </c>
      <c r="J1043" s="33">
        <f>IF(AND(YEAR(B1043)=2025,G1043="Service B",OR(H1043="Band 3",H1043="Band 5"),ISNUMBER(F1043)),F1043,"")</f>
        <v/>
      </c>
    </row>
    <row r="1044">
      <c r="A1044" s="19" t="inlineStr">
        <is>
          <t>User1112</t>
        </is>
      </c>
      <c r="B1044" s="60" t="n">
        <v>45901</v>
      </c>
      <c r="C1044" s="21" t="n">
        <v>162.8</v>
      </c>
      <c r="D1044" s="21" t="n">
        <v>163.98</v>
      </c>
      <c r="E1044" s="21" t="n">
        <v>102.78</v>
      </c>
      <c r="F1044" s="27">
        <f>IFERROR(IF(OR(C1044="",D1044="",C1044=0),"",D1044/C1044),"")</f>
        <v/>
      </c>
      <c r="G1044" s="21">
        <f>IFERROR(INDEX(Users!$A$2:$A$310,MATCH(A1044,Users!$B$2:$B$310,0)),"")</f>
        <v/>
      </c>
      <c r="H1044" s="21">
        <f>IFERROR(INDEX(Users!$D$2:$D$310,MATCH(A1044,Users!$B$2:$B$310,0)),"")</f>
        <v/>
      </c>
      <c r="I1044" s="19">
        <f>AND(G1044="Service A",H1044="Band 3")</f>
        <v/>
      </c>
      <c r="J1044" s="33">
        <f>IF(AND(YEAR(B1044)=2025,G1044="Service B",OR(H1044="Band 3",H1044="Band 5"),ISNUMBER(F1044)),F1044,"")</f>
        <v/>
      </c>
    </row>
    <row r="1045">
      <c r="A1045" s="19" t="inlineStr">
        <is>
          <t>User1112</t>
        </is>
      </c>
      <c r="B1045" s="60" t="n">
        <v>45931</v>
      </c>
      <c r="C1045" s="21" t="n">
        <v>170.2</v>
      </c>
      <c r="D1045" s="21" t="n">
        <v>106.5833333333333</v>
      </c>
      <c r="E1045" s="21" t="n">
        <v>41.9</v>
      </c>
      <c r="F1045" s="27">
        <f>IFERROR(IF(OR(C1045="",D1045="",C1045=0),"",D1045/C1045),"")</f>
        <v/>
      </c>
      <c r="G1045" s="21">
        <f>IFERROR(INDEX(Users!$A$2:$A$310,MATCH(A1045,Users!$B$2:$B$310,0)),"")</f>
        <v/>
      </c>
      <c r="H1045" s="21">
        <f>IFERROR(INDEX(Users!$D$2:$D$310,MATCH(A1045,Users!$B$2:$B$310,0)),"")</f>
        <v/>
      </c>
      <c r="I1045" s="19">
        <f>AND(G1045="Service A",H1045="Band 3")</f>
        <v/>
      </c>
      <c r="J1045" s="33">
        <f>IF(AND(YEAR(B1045)=2025,G1045="Service B",OR(H1045="Band 3",H1045="Band 5"),ISNUMBER(F1045)),F1045,"")</f>
        <v/>
      </c>
    </row>
    <row r="1046">
      <c r="A1046" s="19" t="inlineStr">
        <is>
          <t>User1112</t>
        </is>
      </c>
      <c r="B1046" s="60" t="n">
        <v>45962</v>
      </c>
      <c r="C1046" s="21" t="n">
        <v>148</v>
      </c>
      <c r="D1046" s="21" t="n">
        <v>137.9833333333333</v>
      </c>
      <c r="E1046" s="21" t="n">
        <v>34.55</v>
      </c>
      <c r="F1046" s="27">
        <f>IFERROR(IF(OR(C1046="",D1046="",C1046=0),"",D1046/C1046),"")</f>
        <v/>
      </c>
      <c r="G1046" s="21">
        <f>IFERROR(INDEX(Users!$A$2:$A$310,MATCH(A1046,Users!$B$2:$B$310,0)),"")</f>
        <v/>
      </c>
      <c r="H1046" s="21">
        <f>IFERROR(INDEX(Users!$D$2:$D$310,MATCH(A1046,Users!$B$2:$B$310,0)),"")</f>
        <v/>
      </c>
      <c r="I1046" s="19">
        <f>AND(G1046="Service A",H1046="Band 3")</f>
        <v/>
      </c>
      <c r="J1046" s="33">
        <f>IF(AND(YEAR(B1046)=2025,G1046="Service B",OR(H1046="Band 3",H1046="Band 5"),ISNUMBER(F1046)),F1046,"")</f>
        <v/>
      </c>
    </row>
    <row r="1047">
      <c r="A1047" s="19" t="inlineStr">
        <is>
          <t>User1112</t>
        </is>
      </c>
      <c r="B1047" s="60" t="n">
        <v>45992</v>
      </c>
      <c r="C1047" s="21" t="n">
        <v>155.4</v>
      </c>
      <c r="D1047" s="21" t="n">
        <v>130.5966666666667</v>
      </c>
      <c r="E1047" s="21" t="n">
        <v>54.53000000000001</v>
      </c>
      <c r="F1047" s="27">
        <f>IFERROR(IF(OR(C1047="",D1047="",C1047=0),"",D1047/C1047),"")</f>
        <v/>
      </c>
      <c r="G1047" s="21">
        <f>IFERROR(INDEX(Users!$A$2:$A$310,MATCH(A1047,Users!$B$2:$B$310,0)),"")</f>
        <v/>
      </c>
      <c r="H1047" s="21">
        <f>IFERROR(INDEX(Users!$D$2:$D$310,MATCH(A1047,Users!$B$2:$B$310,0)),"")</f>
        <v/>
      </c>
      <c r="I1047" s="19">
        <f>AND(G1047="Service A",H1047="Band 3")</f>
        <v/>
      </c>
      <c r="J1047" s="33">
        <f>IF(AND(YEAR(B1047)=2025,G1047="Service B",OR(H1047="Band 3",H1047="Band 5"),ISNUMBER(F1047)),F1047,"")</f>
        <v/>
      </c>
    </row>
    <row r="1048">
      <c r="A1048" s="19" t="inlineStr">
        <is>
          <t>User1112</t>
        </is>
      </c>
      <c r="B1048" s="60" t="n">
        <v>46023</v>
      </c>
      <c r="C1048" s="21" t="n">
        <v>155.4</v>
      </c>
      <c r="D1048" s="21" t="n">
        <v>150.9233333333333</v>
      </c>
      <c r="E1048" s="21" t="n">
        <v>59.34</v>
      </c>
      <c r="F1048" s="27">
        <f>IFERROR(IF(OR(C1048="",D1048="",C1048=0),"",D1048/C1048),"")</f>
        <v/>
      </c>
      <c r="G1048" s="21">
        <f>IFERROR(INDEX(Users!$A$2:$A$310,MATCH(A1048,Users!$B$2:$B$310,0)),"")</f>
        <v/>
      </c>
      <c r="H1048" s="21">
        <f>IFERROR(INDEX(Users!$D$2:$D$310,MATCH(A1048,Users!$B$2:$B$310,0)),"")</f>
        <v/>
      </c>
      <c r="I1048" s="19">
        <f>AND(G1048="Service A",H1048="Band 3")</f>
        <v/>
      </c>
      <c r="J1048" s="33">
        <f>IF(AND(YEAR(B1048)=2025,G1048="Service B",OR(H1048="Band 3",H1048="Band 5"),ISNUMBER(F1048)),F1048,"")</f>
        <v/>
      </c>
    </row>
    <row r="1049">
      <c r="A1049" s="19" t="inlineStr">
        <is>
          <t>User1113</t>
        </is>
      </c>
      <c r="B1049" s="60" t="n">
        <v>45658</v>
      </c>
      <c r="C1049" s="21" t="n">
        <v>166.5</v>
      </c>
      <c r="D1049" s="21" t="n">
        <v>125</v>
      </c>
      <c r="E1049" s="21" t="n">
        <v>76.5</v>
      </c>
      <c r="F1049" s="27">
        <f>IFERROR(IF(OR(C1049="",D1049="",C1049=0),"",D1049/C1049),"")</f>
        <v/>
      </c>
      <c r="G1049" s="21">
        <f>IFERROR(INDEX(Users!$A$2:$A$310,MATCH(A1049,Users!$B$2:$B$310,0)),"")</f>
        <v/>
      </c>
      <c r="H1049" s="21">
        <f>IFERROR(INDEX(Users!$D$2:$D$310,MATCH(A1049,Users!$B$2:$B$310,0)),"")</f>
        <v/>
      </c>
      <c r="I1049" s="19">
        <f>AND(G1049="Service A",H1049="Band 3")</f>
        <v/>
      </c>
      <c r="J1049" s="33">
        <f>IF(AND(YEAR(B1049)=2025,G1049="Service B",OR(H1049="Band 3",H1049="Band 5"),ISNUMBER(F1049)),F1049,"")</f>
        <v/>
      </c>
    </row>
    <row r="1050">
      <c r="A1050" s="19" t="inlineStr">
        <is>
          <t>User1113</t>
        </is>
      </c>
      <c r="B1050" s="60" t="n">
        <v>45689</v>
      </c>
      <c r="C1050" s="21" t="n">
        <v>148</v>
      </c>
      <c r="D1050" s="21" t="n">
        <v>63.5</v>
      </c>
      <c r="E1050" s="21" t="n">
        <v>41</v>
      </c>
      <c r="F1050" s="27">
        <f>IFERROR(IF(OR(C1050="",D1050="",C1050=0),"",D1050/C1050),"")</f>
        <v/>
      </c>
      <c r="G1050" s="21">
        <f>IFERROR(INDEX(Users!$A$2:$A$310,MATCH(A1050,Users!$B$2:$B$310,0)),"")</f>
        <v/>
      </c>
      <c r="H1050" s="21">
        <f>IFERROR(INDEX(Users!$D$2:$D$310,MATCH(A1050,Users!$B$2:$B$310,0)),"")</f>
        <v/>
      </c>
      <c r="I1050" s="19">
        <f>AND(G1050="Service A",H1050="Band 3")</f>
        <v/>
      </c>
      <c r="J1050" s="33">
        <f>IF(AND(YEAR(B1050)=2025,G1050="Service B",OR(H1050="Band 3",H1050="Band 5"),ISNUMBER(F1050)),F1050,"")</f>
        <v/>
      </c>
    </row>
    <row r="1051">
      <c r="A1051" s="19" t="inlineStr">
        <is>
          <t>User1113</t>
        </is>
      </c>
      <c r="B1051" s="60" t="n">
        <v>45717</v>
      </c>
      <c r="C1051" s="21" t="n">
        <v>157.25</v>
      </c>
      <c r="D1051" s="21" t="n">
        <v>90</v>
      </c>
      <c r="E1051" s="21" t="n">
        <v>40.5</v>
      </c>
      <c r="F1051" s="27">
        <f>IFERROR(IF(OR(C1051="",D1051="",C1051=0),"",D1051/C1051),"")</f>
        <v/>
      </c>
      <c r="G1051" s="21">
        <f>IFERROR(INDEX(Users!$A$2:$A$310,MATCH(A1051,Users!$B$2:$B$310,0)),"")</f>
        <v/>
      </c>
      <c r="H1051" s="21">
        <f>IFERROR(INDEX(Users!$D$2:$D$310,MATCH(A1051,Users!$B$2:$B$310,0)),"")</f>
        <v/>
      </c>
      <c r="I1051" s="19">
        <f>AND(G1051="Service A",H1051="Band 3")</f>
        <v/>
      </c>
      <c r="J1051" s="33">
        <f>IF(AND(YEAR(B1051)=2025,G1051="Service B",OR(H1051="Band 3",H1051="Band 5"),ISNUMBER(F1051)),F1051,"")</f>
        <v/>
      </c>
    </row>
    <row r="1052">
      <c r="A1052" s="19" t="inlineStr">
        <is>
          <t>User1113</t>
        </is>
      </c>
      <c r="B1052" s="60" t="n">
        <v>45748</v>
      </c>
      <c r="C1052" s="21" t="n">
        <v>138.75</v>
      </c>
      <c r="D1052" s="21" t="n">
        <v>93.99000000000001</v>
      </c>
      <c r="E1052" s="21" t="n">
        <v>43.99</v>
      </c>
      <c r="F1052" s="27">
        <f>IFERROR(IF(OR(C1052="",D1052="",C1052=0),"",D1052/C1052),"")</f>
        <v/>
      </c>
      <c r="G1052" s="21">
        <f>IFERROR(INDEX(Users!$A$2:$A$310,MATCH(A1052,Users!$B$2:$B$310,0)),"")</f>
        <v/>
      </c>
      <c r="H1052" s="21">
        <f>IFERROR(INDEX(Users!$D$2:$D$310,MATCH(A1052,Users!$B$2:$B$310,0)),"")</f>
        <v/>
      </c>
      <c r="I1052" s="19">
        <f>AND(G1052="Service A",H1052="Band 3")</f>
        <v/>
      </c>
      <c r="J1052" s="33">
        <f>IF(AND(YEAR(B1052)=2025,G1052="Service B",OR(H1052="Band 3",H1052="Band 5"),ISNUMBER(F1052)),F1052,"")</f>
        <v/>
      </c>
    </row>
    <row r="1053">
      <c r="A1053" s="19" t="inlineStr">
        <is>
          <t>User1113</t>
        </is>
      </c>
      <c r="B1053" s="60" t="n">
        <v>45778</v>
      </c>
      <c r="C1053" s="21" t="n">
        <v>83.25</v>
      </c>
      <c r="D1053" s="21" t="n">
        <v>69.5</v>
      </c>
      <c r="E1053" s="21" t="n">
        <v>41.5</v>
      </c>
      <c r="F1053" s="27">
        <f>IFERROR(IF(OR(C1053="",D1053="",C1053=0),"",D1053/C1053),"")</f>
        <v/>
      </c>
      <c r="G1053" s="21">
        <f>IFERROR(INDEX(Users!$A$2:$A$310,MATCH(A1053,Users!$B$2:$B$310,0)),"")</f>
        <v/>
      </c>
      <c r="H1053" s="21">
        <f>IFERROR(INDEX(Users!$D$2:$D$310,MATCH(A1053,Users!$B$2:$B$310,0)),"")</f>
        <v/>
      </c>
      <c r="I1053" s="19">
        <f>AND(G1053="Service A",H1053="Band 3")</f>
        <v/>
      </c>
      <c r="J1053" s="33">
        <f>IF(AND(YEAR(B1053)=2025,G1053="Service B",OR(H1053="Band 3",H1053="Band 5"),ISNUMBER(F1053)),F1053,"")</f>
        <v/>
      </c>
    </row>
    <row r="1054">
      <c r="A1054" s="19" t="inlineStr">
        <is>
          <t>User1114</t>
        </is>
      </c>
      <c r="B1054" s="60" t="n">
        <v>45658</v>
      </c>
      <c r="C1054" s="21" t="n">
        <v>162.8</v>
      </c>
      <c r="D1054" s="21" t="n">
        <v>141.8675</v>
      </c>
      <c r="E1054" s="21" t="n">
        <v>85.45999999999999</v>
      </c>
      <c r="F1054" s="27">
        <f>IFERROR(IF(OR(C1054="",D1054="",C1054=0),"",D1054/C1054),"")</f>
        <v/>
      </c>
      <c r="G1054" s="21">
        <f>IFERROR(INDEX(Users!$A$2:$A$310,MATCH(A1054,Users!$B$2:$B$310,0)),"")</f>
        <v/>
      </c>
      <c r="H1054" s="21">
        <f>IFERROR(INDEX(Users!$D$2:$D$310,MATCH(A1054,Users!$B$2:$B$310,0)),"")</f>
        <v/>
      </c>
      <c r="I1054" s="19">
        <f>AND(G1054="Service A",H1054="Band 3")</f>
        <v/>
      </c>
      <c r="J1054" s="33">
        <f>IF(AND(YEAR(B1054)=2025,G1054="Service B",OR(H1054="Band 3",H1054="Band 5"),ISNUMBER(F1054)),F1054,"")</f>
        <v/>
      </c>
    </row>
    <row r="1055">
      <c r="A1055" s="19" t="inlineStr">
        <is>
          <t>User1114</t>
        </is>
      </c>
      <c r="B1055" s="60" t="n">
        <v>45689</v>
      </c>
      <c r="C1055" s="21" t="n">
        <v>148</v>
      </c>
      <c r="D1055" s="21" t="n">
        <v>107.0519444444444</v>
      </c>
      <c r="E1055" s="21" t="n">
        <v>69.42</v>
      </c>
      <c r="F1055" s="27">
        <f>IFERROR(IF(OR(C1055="",D1055="",C1055=0),"",D1055/C1055),"")</f>
        <v/>
      </c>
      <c r="G1055" s="21">
        <f>IFERROR(INDEX(Users!$A$2:$A$310,MATCH(A1055,Users!$B$2:$B$310,0)),"")</f>
        <v/>
      </c>
      <c r="H1055" s="21">
        <f>IFERROR(INDEX(Users!$D$2:$D$310,MATCH(A1055,Users!$B$2:$B$310,0)),"")</f>
        <v/>
      </c>
      <c r="I1055" s="19">
        <f>AND(G1055="Service A",H1055="Band 3")</f>
        <v/>
      </c>
      <c r="J1055" s="33">
        <f>IF(AND(YEAR(B1055)=2025,G1055="Service B",OR(H1055="Band 3",H1055="Band 5"),ISNUMBER(F1055)),F1055,"")</f>
        <v/>
      </c>
    </row>
    <row r="1056">
      <c r="A1056" s="19" t="inlineStr">
        <is>
          <t>User1114</t>
        </is>
      </c>
      <c r="B1056" s="60" t="n">
        <v>45717</v>
      </c>
      <c r="C1056" s="21" t="n">
        <v>155.4</v>
      </c>
      <c r="D1056" s="21" t="n">
        <v>136.2494444444444</v>
      </c>
      <c r="E1056" s="21" t="n">
        <v>62.45999999999999</v>
      </c>
      <c r="F1056" s="27">
        <f>IFERROR(IF(OR(C1056="",D1056="",C1056=0),"",D1056/C1056),"")</f>
        <v/>
      </c>
      <c r="G1056" s="21">
        <f>IFERROR(INDEX(Users!$A$2:$A$310,MATCH(A1056,Users!$B$2:$B$310,0)),"")</f>
        <v/>
      </c>
      <c r="H1056" s="21">
        <f>IFERROR(INDEX(Users!$D$2:$D$310,MATCH(A1056,Users!$B$2:$B$310,0)),"")</f>
        <v/>
      </c>
      <c r="I1056" s="19">
        <f>AND(G1056="Service A",H1056="Band 3")</f>
        <v/>
      </c>
      <c r="J1056" s="33">
        <f>IF(AND(YEAR(B1056)=2025,G1056="Service B",OR(H1056="Band 3",H1056="Band 5"),ISNUMBER(F1056)),F1056,"")</f>
        <v/>
      </c>
    </row>
    <row r="1057">
      <c r="A1057" s="19" t="inlineStr">
        <is>
          <t>User1114</t>
        </is>
      </c>
      <c r="B1057" s="60" t="n">
        <v>45748</v>
      </c>
      <c r="C1057" s="21" t="n">
        <v>148</v>
      </c>
      <c r="D1057" s="21" t="n">
        <v>115.5547222222222</v>
      </c>
      <c r="E1057" s="21" t="n">
        <v>69.97</v>
      </c>
      <c r="F1057" s="27">
        <f>IFERROR(IF(OR(C1057="",D1057="",C1057=0),"",D1057/C1057),"")</f>
        <v/>
      </c>
      <c r="G1057" s="21">
        <f>IFERROR(INDEX(Users!$A$2:$A$310,MATCH(A1057,Users!$B$2:$B$310,0)),"")</f>
        <v/>
      </c>
      <c r="H1057" s="21">
        <f>IFERROR(INDEX(Users!$D$2:$D$310,MATCH(A1057,Users!$B$2:$B$310,0)),"")</f>
        <v/>
      </c>
      <c r="I1057" s="19">
        <f>AND(G1057="Service A",H1057="Band 3")</f>
        <v/>
      </c>
      <c r="J1057" s="33">
        <f>IF(AND(YEAR(B1057)=2025,G1057="Service B",OR(H1057="Band 3",H1057="Band 5"),ISNUMBER(F1057)),F1057,"")</f>
        <v/>
      </c>
    </row>
    <row r="1058">
      <c r="A1058" s="19" t="inlineStr">
        <is>
          <t>User1114</t>
        </is>
      </c>
      <c r="B1058" s="60" t="n">
        <v>45778</v>
      </c>
      <c r="C1058" s="21" t="n">
        <v>148</v>
      </c>
      <c r="D1058" s="21" t="n">
        <v>106.6388888888889</v>
      </c>
      <c r="E1058" s="21" t="n">
        <v>63.89000000000001</v>
      </c>
      <c r="F1058" s="27">
        <f>IFERROR(IF(OR(C1058="",D1058="",C1058=0),"",D1058/C1058),"")</f>
        <v/>
      </c>
      <c r="G1058" s="21">
        <f>IFERROR(INDEX(Users!$A$2:$A$310,MATCH(A1058,Users!$B$2:$B$310,0)),"")</f>
        <v/>
      </c>
      <c r="H1058" s="21">
        <f>IFERROR(INDEX(Users!$D$2:$D$310,MATCH(A1058,Users!$B$2:$B$310,0)),"")</f>
        <v/>
      </c>
      <c r="I1058" s="19">
        <f>AND(G1058="Service A",H1058="Band 3")</f>
        <v/>
      </c>
      <c r="J1058" s="33">
        <f>IF(AND(YEAR(B1058)=2025,G1058="Service B",OR(H1058="Band 3",H1058="Band 5"),ISNUMBER(F1058)),F1058,"")</f>
        <v/>
      </c>
    </row>
    <row r="1059">
      <c r="A1059" s="19" t="inlineStr">
        <is>
          <t>User1114</t>
        </is>
      </c>
      <c r="B1059" s="60" t="n">
        <v>45809</v>
      </c>
      <c r="C1059" s="21" t="n">
        <v>155.4</v>
      </c>
      <c r="D1059" s="21" t="n">
        <v>102.4558333333333</v>
      </c>
      <c r="E1059" s="21" t="n">
        <v>70.43000000000001</v>
      </c>
      <c r="F1059" s="27">
        <f>IFERROR(IF(OR(C1059="",D1059="",C1059=0),"",D1059/C1059),"")</f>
        <v/>
      </c>
      <c r="G1059" s="21">
        <f>IFERROR(INDEX(Users!$A$2:$A$310,MATCH(A1059,Users!$B$2:$B$310,0)),"")</f>
        <v/>
      </c>
      <c r="H1059" s="21">
        <f>IFERROR(INDEX(Users!$D$2:$D$310,MATCH(A1059,Users!$B$2:$B$310,0)),"")</f>
        <v/>
      </c>
      <c r="I1059" s="19">
        <f>AND(G1059="Service A",H1059="Band 3")</f>
        <v/>
      </c>
      <c r="J1059" s="33">
        <f>IF(AND(YEAR(B1059)=2025,G1059="Service B",OR(H1059="Band 3",H1059="Band 5"),ISNUMBER(F1059)),F1059,"")</f>
        <v/>
      </c>
    </row>
    <row r="1060">
      <c r="A1060" s="19" t="inlineStr">
        <is>
          <t>User1114</t>
        </is>
      </c>
      <c r="B1060" s="60" t="n">
        <v>45839</v>
      </c>
      <c r="C1060" s="21" t="n">
        <v>170.2</v>
      </c>
      <c r="D1060" s="21" t="n">
        <v>127.3058333333333</v>
      </c>
      <c r="E1060" s="21" t="n">
        <v>91.47</v>
      </c>
      <c r="F1060" s="27">
        <f>IFERROR(IF(OR(C1060="",D1060="",C1060=0),"",D1060/C1060),"")</f>
        <v/>
      </c>
      <c r="G1060" s="21">
        <f>IFERROR(INDEX(Users!$A$2:$A$310,MATCH(A1060,Users!$B$2:$B$310,0)),"")</f>
        <v/>
      </c>
      <c r="H1060" s="21">
        <f>IFERROR(INDEX(Users!$D$2:$D$310,MATCH(A1060,Users!$B$2:$B$310,0)),"")</f>
        <v/>
      </c>
      <c r="I1060" s="19">
        <f>AND(G1060="Service A",H1060="Band 3")</f>
        <v/>
      </c>
      <c r="J1060" s="33">
        <f>IF(AND(YEAR(B1060)=2025,G1060="Service B",OR(H1060="Band 3",H1060="Band 5"),ISNUMBER(F1060)),F1060,"")</f>
        <v/>
      </c>
    </row>
    <row r="1061">
      <c r="A1061" s="19" t="inlineStr">
        <is>
          <t>User1114</t>
        </is>
      </c>
      <c r="B1061" s="60" t="n">
        <v>45870</v>
      </c>
      <c r="C1061" s="21" t="n">
        <v>148</v>
      </c>
      <c r="D1061" s="21" t="n">
        <v>114.0602777777778</v>
      </c>
      <c r="E1061" s="21" t="n">
        <v>73.95</v>
      </c>
      <c r="F1061" s="27">
        <f>IFERROR(IF(OR(C1061="",D1061="",C1061=0),"",D1061/C1061),"")</f>
        <v/>
      </c>
      <c r="G1061" s="21">
        <f>IFERROR(INDEX(Users!$A$2:$A$310,MATCH(A1061,Users!$B$2:$B$310,0)),"")</f>
        <v/>
      </c>
      <c r="H1061" s="21">
        <f>IFERROR(INDEX(Users!$D$2:$D$310,MATCH(A1061,Users!$B$2:$B$310,0)),"")</f>
        <v/>
      </c>
      <c r="I1061" s="19">
        <f>AND(G1061="Service A",H1061="Band 3")</f>
        <v/>
      </c>
      <c r="J1061" s="33">
        <f>IF(AND(YEAR(B1061)=2025,G1061="Service B",OR(H1061="Band 3",H1061="Band 5"),ISNUMBER(F1061)),F1061,"")</f>
        <v/>
      </c>
    </row>
    <row r="1062">
      <c r="A1062" s="19" t="inlineStr">
        <is>
          <t>User1114</t>
        </is>
      </c>
      <c r="B1062" s="60" t="n">
        <v>45901</v>
      </c>
      <c r="C1062" s="21" t="n">
        <v>162.8</v>
      </c>
      <c r="D1062" s="21" t="n">
        <v>77.82749999999999</v>
      </c>
      <c r="E1062" s="21" t="n">
        <v>57.90999999999999</v>
      </c>
      <c r="F1062" s="27">
        <f>IFERROR(IF(OR(C1062="",D1062="",C1062=0),"",D1062/C1062),"")</f>
        <v/>
      </c>
      <c r="G1062" s="21">
        <f>IFERROR(INDEX(Users!$A$2:$A$310,MATCH(A1062,Users!$B$2:$B$310,0)),"")</f>
        <v/>
      </c>
      <c r="H1062" s="21">
        <f>IFERROR(INDEX(Users!$D$2:$D$310,MATCH(A1062,Users!$B$2:$B$310,0)),"")</f>
        <v/>
      </c>
      <c r="I1062" s="19">
        <f>AND(G1062="Service A",H1062="Band 3")</f>
        <v/>
      </c>
      <c r="J1062" s="33">
        <f>IF(AND(YEAR(B1062)=2025,G1062="Service B",OR(H1062="Band 3",H1062="Band 5"),ISNUMBER(F1062)),F1062,"")</f>
        <v/>
      </c>
    </row>
    <row r="1063">
      <c r="A1063" s="19" t="inlineStr">
        <is>
          <t>User1114</t>
        </is>
      </c>
      <c r="B1063" s="60" t="n">
        <v>45931</v>
      </c>
      <c r="C1063" s="21" t="n">
        <v>170.2</v>
      </c>
      <c r="D1063" s="21" t="n">
        <v>125.1772222222222</v>
      </c>
      <c r="E1063" s="21" t="n">
        <v>77.48</v>
      </c>
      <c r="F1063" s="27">
        <f>IFERROR(IF(OR(C1063="",D1063="",C1063=0),"",D1063/C1063),"")</f>
        <v/>
      </c>
      <c r="G1063" s="21">
        <f>IFERROR(INDEX(Users!$A$2:$A$310,MATCH(A1063,Users!$B$2:$B$310,0)),"")</f>
        <v/>
      </c>
      <c r="H1063" s="21">
        <f>IFERROR(INDEX(Users!$D$2:$D$310,MATCH(A1063,Users!$B$2:$B$310,0)),"")</f>
        <v/>
      </c>
      <c r="I1063" s="19">
        <f>AND(G1063="Service A",H1063="Band 3")</f>
        <v/>
      </c>
      <c r="J1063" s="33">
        <f>IF(AND(YEAR(B1063)=2025,G1063="Service B",OR(H1063="Band 3",H1063="Band 5"),ISNUMBER(F1063)),F1063,"")</f>
        <v/>
      </c>
    </row>
    <row r="1064">
      <c r="A1064" s="19" t="inlineStr">
        <is>
          <t>User1114</t>
        </is>
      </c>
      <c r="B1064" s="60" t="n">
        <v>45962</v>
      </c>
      <c r="C1064" s="21" t="n">
        <v>148</v>
      </c>
      <c r="D1064" s="21" t="n">
        <v>122.7375</v>
      </c>
      <c r="E1064" s="21" t="n">
        <v>72.63</v>
      </c>
      <c r="F1064" s="27">
        <f>IFERROR(IF(OR(C1064="",D1064="",C1064=0),"",D1064/C1064),"")</f>
        <v/>
      </c>
      <c r="G1064" s="21">
        <f>IFERROR(INDEX(Users!$A$2:$A$310,MATCH(A1064,Users!$B$2:$B$310,0)),"")</f>
        <v/>
      </c>
      <c r="H1064" s="21">
        <f>IFERROR(INDEX(Users!$D$2:$D$310,MATCH(A1064,Users!$B$2:$B$310,0)),"")</f>
        <v/>
      </c>
      <c r="I1064" s="19">
        <f>AND(G1064="Service A",H1064="Band 3")</f>
        <v/>
      </c>
      <c r="J1064" s="33">
        <f>IF(AND(YEAR(B1064)=2025,G1064="Service B",OR(H1064="Band 3",H1064="Band 5"),ISNUMBER(F1064)),F1064,"")</f>
        <v/>
      </c>
    </row>
    <row r="1065">
      <c r="A1065" s="19" t="inlineStr">
        <is>
          <t>User1114</t>
        </is>
      </c>
      <c r="B1065" s="60" t="n">
        <v>45992</v>
      </c>
      <c r="C1065" s="21" t="n">
        <v>155.4</v>
      </c>
      <c r="D1065" s="21" t="n">
        <v>96.58222222222221</v>
      </c>
      <c r="E1065" s="21" t="n">
        <v>56.02</v>
      </c>
      <c r="F1065" s="27">
        <f>IFERROR(IF(OR(C1065="",D1065="",C1065=0),"",D1065/C1065),"")</f>
        <v/>
      </c>
      <c r="G1065" s="21">
        <f>IFERROR(INDEX(Users!$A$2:$A$310,MATCH(A1065,Users!$B$2:$B$310,0)),"")</f>
        <v/>
      </c>
      <c r="H1065" s="21">
        <f>IFERROR(INDEX(Users!$D$2:$D$310,MATCH(A1065,Users!$B$2:$B$310,0)),"")</f>
        <v/>
      </c>
      <c r="I1065" s="19">
        <f>AND(G1065="Service A",H1065="Band 3")</f>
        <v/>
      </c>
      <c r="J1065" s="33">
        <f>IF(AND(YEAR(B1065)=2025,G1065="Service B",OR(H1065="Band 3",H1065="Band 5"),ISNUMBER(F1065)),F1065,"")</f>
        <v/>
      </c>
    </row>
    <row r="1066">
      <c r="A1066" s="19" t="inlineStr">
        <is>
          <t>User1114</t>
        </is>
      </c>
      <c r="B1066" s="60" t="n">
        <v>46023</v>
      </c>
      <c r="C1066" s="21" t="n">
        <v>155.4</v>
      </c>
      <c r="D1066" s="21" t="n">
        <v>132.4522222222222</v>
      </c>
      <c r="E1066" s="21" t="n">
        <v>67.53999999999999</v>
      </c>
      <c r="F1066" s="27">
        <f>IFERROR(IF(OR(C1066="",D1066="",C1066=0),"",D1066/C1066),"")</f>
        <v/>
      </c>
      <c r="G1066" s="21">
        <f>IFERROR(INDEX(Users!$A$2:$A$310,MATCH(A1066,Users!$B$2:$B$310,0)),"")</f>
        <v/>
      </c>
      <c r="H1066" s="21">
        <f>IFERROR(INDEX(Users!$D$2:$D$310,MATCH(A1066,Users!$B$2:$B$310,0)),"")</f>
        <v/>
      </c>
      <c r="I1066" s="19">
        <f>AND(G1066="Service A",H1066="Band 3")</f>
        <v/>
      </c>
      <c r="J1066" s="33">
        <f>IF(AND(YEAR(B1066)=2025,G1066="Service B",OR(H1066="Band 3",H1066="Band 5"),ISNUMBER(F1066)),F1066,"")</f>
        <v/>
      </c>
    </row>
    <row r="1067">
      <c r="A1067" s="19" t="inlineStr">
        <is>
          <t>User1115</t>
        </is>
      </c>
      <c r="B1067" s="60" t="n">
        <v>45658</v>
      </c>
      <c r="C1067" s="21" t="n">
        <v>133.2</v>
      </c>
      <c r="D1067" s="21" t="n">
        <v>31.27</v>
      </c>
      <c r="E1067" s="21" t="n">
        <v>31.27</v>
      </c>
      <c r="F1067" s="27">
        <f>IFERROR(IF(OR(C1067="",D1067="",C1067=0),"",D1067/C1067),"")</f>
        <v/>
      </c>
      <c r="G1067" s="21">
        <f>IFERROR(INDEX(Users!$A$2:$A$310,MATCH(A1067,Users!$B$2:$B$310,0)),"")</f>
        <v/>
      </c>
      <c r="H1067" s="21">
        <f>IFERROR(INDEX(Users!$D$2:$D$310,MATCH(A1067,Users!$B$2:$B$310,0)),"")</f>
        <v/>
      </c>
      <c r="I1067" s="19">
        <f>AND(G1067="Service A",H1067="Band 3")</f>
        <v/>
      </c>
      <c r="J1067" s="33">
        <f>IF(AND(YEAR(B1067)=2025,G1067="Service B",OR(H1067="Band 3",H1067="Band 5"),ISNUMBER(F1067)),F1067,"")</f>
        <v/>
      </c>
    </row>
    <row r="1068">
      <c r="A1068" s="19" t="inlineStr">
        <is>
          <t>User1116</t>
        </is>
      </c>
      <c r="B1068" s="60" t="n">
        <v>45901</v>
      </c>
      <c r="C1068" s="21" t="n">
        <v>51.8</v>
      </c>
      <c r="D1068" s="21" t="n"/>
      <c r="E1068" s="21" t="n"/>
      <c r="F1068" s="27">
        <f>IFERROR(IF(OR(C1068="",D1068="",C1068=0),"",D1068/C1068),"")</f>
        <v/>
      </c>
      <c r="G1068" s="21">
        <f>IFERROR(INDEX(Users!$A$2:$A$310,MATCH(A1068,Users!$B$2:$B$310,0)),"")</f>
        <v/>
      </c>
      <c r="H1068" s="21">
        <f>IFERROR(INDEX(Users!$D$2:$D$310,MATCH(A1068,Users!$B$2:$B$310,0)),"")</f>
        <v/>
      </c>
      <c r="I1068" s="19">
        <f>AND(G1068="Service A",H1068="Band 3")</f>
        <v/>
      </c>
      <c r="J1068" s="33">
        <f>IF(AND(YEAR(B1068)=2025,G1068="Service B",OR(H1068="Band 3",H1068="Band 5"),ISNUMBER(F1068)),F1068,"")</f>
        <v/>
      </c>
    </row>
    <row r="1069">
      <c r="A1069" s="19" t="inlineStr">
        <is>
          <t>User1116</t>
        </is>
      </c>
      <c r="B1069" s="60" t="n">
        <v>45931</v>
      </c>
      <c r="C1069" s="21" t="n">
        <v>170.2000000000001</v>
      </c>
      <c r="D1069" s="21" t="n">
        <v>139.5166666666667</v>
      </c>
      <c r="E1069" s="21" t="n">
        <v>25.55</v>
      </c>
      <c r="F1069" s="27">
        <f>IFERROR(IF(OR(C1069="",D1069="",C1069=0),"",D1069/C1069),"")</f>
        <v/>
      </c>
      <c r="G1069" s="21">
        <f>IFERROR(INDEX(Users!$A$2:$A$310,MATCH(A1069,Users!$B$2:$B$310,0)),"")</f>
        <v/>
      </c>
      <c r="H1069" s="21">
        <f>IFERROR(INDEX(Users!$D$2:$D$310,MATCH(A1069,Users!$B$2:$B$310,0)),"")</f>
        <v/>
      </c>
      <c r="I1069" s="19">
        <f>AND(G1069="Service A",H1069="Band 3")</f>
        <v/>
      </c>
      <c r="J1069" s="33">
        <f>IF(AND(YEAR(B1069)=2025,G1069="Service B",OR(H1069="Band 3",H1069="Band 5"),ISNUMBER(F1069)),F1069,"")</f>
        <v/>
      </c>
    </row>
    <row r="1070">
      <c r="A1070" s="19" t="inlineStr">
        <is>
          <t>User1116</t>
        </is>
      </c>
      <c r="B1070" s="60" t="n">
        <v>45962</v>
      </c>
      <c r="C1070" s="21" t="n">
        <v>148.0000000000001</v>
      </c>
      <c r="D1070" s="21" t="n">
        <v>156.65</v>
      </c>
      <c r="E1070" s="21" t="n">
        <v>34.3</v>
      </c>
      <c r="F1070" s="27">
        <f>IFERROR(IF(OR(C1070="",D1070="",C1070=0),"",D1070/C1070),"")</f>
        <v/>
      </c>
      <c r="G1070" s="21">
        <f>IFERROR(INDEX(Users!$A$2:$A$310,MATCH(A1070,Users!$B$2:$B$310,0)),"")</f>
        <v/>
      </c>
      <c r="H1070" s="21">
        <f>IFERROR(INDEX(Users!$D$2:$D$310,MATCH(A1070,Users!$B$2:$B$310,0)),"")</f>
        <v/>
      </c>
      <c r="I1070" s="19">
        <f>AND(G1070="Service A",H1070="Band 3")</f>
        <v/>
      </c>
      <c r="J1070" s="33">
        <f>IF(AND(YEAR(B1070)=2025,G1070="Service B",OR(H1070="Band 3",H1070="Band 5"),ISNUMBER(F1070)),F1070,"")</f>
        <v/>
      </c>
    </row>
    <row r="1071">
      <c r="A1071" s="19" t="inlineStr">
        <is>
          <t>User1116</t>
        </is>
      </c>
      <c r="B1071" s="60" t="n">
        <v>45992</v>
      </c>
      <c r="C1071" s="21" t="n">
        <v>155.4000000000001</v>
      </c>
      <c r="D1071" s="21" t="n">
        <v>138.4966666666667</v>
      </c>
      <c r="E1071" s="21" t="n">
        <v>66.08</v>
      </c>
      <c r="F1071" s="27">
        <f>IFERROR(IF(OR(C1071="",D1071="",C1071=0),"",D1071/C1071),"")</f>
        <v/>
      </c>
      <c r="G1071" s="21">
        <f>IFERROR(INDEX(Users!$A$2:$A$310,MATCH(A1071,Users!$B$2:$B$310,0)),"")</f>
        <v/>
      </c>
      <c r="H1071" s="21">
        <f>IFERROR(INDEX(Users!$D$2:$D$310,MATCH(A1071,Users!$B$2:$B$310,0)),"")</f>
        <v/>
      </c>
      <c r="I1071" s="19">
        <f>AND(G1071="Service A",H1071="Band 3")</f>
        <v/>
      </c>
      <c r="J1071" s="33">
        <f>IF(AND(YEAR(B1071)=2025,G1071="Service B",OR(H1071="Band 3",H1071="Band 5"),ISNUMBER(F1071)),F1071,"")</f>
        <v/>
      </c>
    </row>
    <row r="1072">
      <c r="A1072" s="19" t="inlineStr">
        <is>
          <t>User1116</t>
        </is>
      </c>
      <c r="B1072" s="60" t="n">
        <v>46023</v>
      </c>
      <c r="C1072" s="21" t="n">
        <v>155.4000000000001</v>
      </c>
      <c r="D1072" s="21" t="n">
        <v>164.7333333333332</v>
      </c>
      <c r="E1072" s="21" t="n">
        <v>79.1999999999999</v>
      </c>
      <c r="F1072" s="27">
        <f>IFERROR(IF(OR(C1072="",D1072="",C1072=0),"",D1072/C1072),"")</f>
        <v/>
      </c>
      <c r="G1072" s="21">
        <f>IFERROR(INDEX(Users!$A$2:$A$310,MATCH(A1072,Users!$B$2:$B$310,0)),"")</f>
        <v/>
      </c>
      <c r="H1072" s="21">
        <f>IFERROR(INDEX(Users!$D$2:$D$310,MATCH(A1072,Users!$B$2:$B$310,0)),"")</f>
        <v/>
      </c>
      <c r="I1072" s="19">
        <f>AND(G1072="Service A",H1072="Band 3")</f>
        <v/>
      </c>
      <c r="J1072" s="33">
        <f>IF(AND(YEAR(B1072)=2025,G1072="Service B",OR(H1072="Band 3",H1072="Band 5"),ISNUMBER(F1072)),F1072,"")</f>
        <v/>
      </c>
    </row>
    <row r="1073">
      <c r="A1073" s="19" t="inlineStr">
        <is>
          <t>User1117</t>
        </is>
      </c>
      <c r="B1073" s="60" t="n">
        <v>45658</v>
      </c>
      <c r="C1073" s="21" t="n">
        <v>162.8</v>
      </c>
      <c r="D1073" s="21" t="n">
        <v>104.9933333333333</v>
      </c>
      <c r="E1073" s="21" t="n">
        <v>77.01000000000001</v>
      </c>
      <c r="F1073" s="27">
        <f>IFERROR(IF(OR(C1073="",D1073="",C1073=0),"",D1073/C1073),"")</f>
        <v/>
      </c>
      <c r="G1073" s="21">
        <f>IFERROR(INDEX(Users!$A$2:$A$310,MATCH(A1073,Users!$B$2:$B$310,0)),"")</f>
        <v/>
      </c>
      <c r="H1073" s="21">
        <f>IFERROR(INDEX(Users!$D$2:$D$310,MATCH(A1073,Users!$B$2:$B$310,0)),"")</f>
        <v/>
      </c>
      <c r="I1073" s="19">
        <f>AND(G1073="Service A",H1073="Band 3")</f>
        <v/>
      </c>
      <c r="J1073" s="33">
        <f>IF(AND(YEAR(B1073)=2025,G1073="Service B",OR(H1073="Band 3",H1073="Band 5"),ISNUMBER(F1073)),F1073,"")</f>
        <v/>
      </c>
    </row>
    <row r="1074">
      <c r="A1074" s="19" t="inlineStr">
        <is>
          <t>User1117</t>
        </is>
      </c>
      <c r="B1074" s="60" t="n">
        <v>45689</v>
      </c>
      <c r="C1074" s="21" t="n">
        <v>148</v>
      </c>
      <c r="D1074" s="21" t="n">
        <v>119.09</v>
      </c>
      <c r="E1074" s="21" t="n">
        <v>91.84</v>
      </c>
      <c r="F1074" s="27">
        <f>IFERROR(IF(OR(C1074="",D1074="",C1074=0),"",D1074/C1074),"")</f>
        <v/>
      </c>
      <c r="G1074" s="21">
        <f>IFERROR(INDEX(Users!$A$2:$A$310,MATCH(A1074,Users!$B$2:$B$310,0)),"")</f>
        <v/>
      </c>
      <c r="H1074" s="21">
        <f>IFERROR(INDEX(Users!$D$2:$D$310,MATCH(A1074,Users!$B$2:$B$310,0)),"")</f>
        <v/>
      </c>
      <c r="I1074" s="19">
        <f>AND(G1074="Service A",H1074="Band 3")</f>
        <v/>
      </c>
      <c r="J1074" s="33">
        <f>IF(AND(YEAR(B1074)=2025,G1074="Service B",OR(H1074="Band 3",H1074="Band 5"),ISNUMBER(F1074)),F1074,"")</f>
        <v/>
      </c>
    </row>
    <row r="1075">
      <c r="A1075" s="19" t="inlineStr">
        <is>
          <t>User1117</t>
        </is>
      </c>
      <c r="B1075" s="60" t="n">
        <v>45717</v>
      </c>
      <c r="C1075" s="21" t="n">
        <v>155.4</v>
      </c>
      <c r="D1075" s="21" t="n">
        <v>143.74</v>
      </c>
      <c r="E1075" s="21" t="n">
        <v>111.99</v>
      </c>
      <c r="F1075" s="27">
        <f>IFERROR(IF(OR(C1075="",D1075="",C1075=0),"",D1075/C1075),"")</f>
        <v/>
      </c>
      <c r="G1075" s="21">
        <f>IFERROR(INDEX(Users!$A$2:$A$310,MATCH(A1075,Users!$B$2:$B$310,0)),"")</f>
        <v/>
      </c>
      <c r="H1075" s="21">
        <f>IFERROR(INDEX(Users!$D$2:$D$310,MATCH(A1075,Users!$B$2:$B$310,0)),"")</f>
        <v/>
      </c>
      <c r="I1075" s="19">
        <f>AND(G1075="Service A",H1075="Band 3")</f>
        <v/>
      </c>
      <c r="J1075" s="33">
        <f>IF(AND(YEAR(B1075)=2025,G1075="Service B",OR(H1075="Band 3",H1075="Band 5"),ISNUMBER(F1075)),F1075,"")</f>
        <v/>
      </c>
    </row>
    <row r="1076">
      <c r="A1076" s="19" t="inlineStr">
        <is>
          <t>User1117</t>
        </is>
      </c>
      <c r="B1076" s="60" t="n">
        <v>45748</v>
      </c>
      <c r="C1076" s="21" t="n">
        <v>148</v>
      </c>
      <c r="D1076" s="21" t="n">
        <v>140.1666666666667</v>
      </c>
      <c r="E1076" s="21" t="n">
        <v>95.25</v>
      </c>
      <c r="F1076" s="27">
        <f>IFERROR(IF(OR(C1076="",D1076="",C1076=0),"",D1076/C1076),"")</f>
        <v/>
      </c>
      <c r="G1076" s="21">
        <f>IFERROR(INDEX(Users!$A$2:$A$310,MATCH(A1076,Users!$B$2:$B$310,0)),"")</f>
        <v/>
      </c>
      <c r="H1076" s="21">
        <f>IFERROR(INDEX(Users!$D$2:$D$310,MATCH(A1076,Users!$B$2:$B$310,0)),"")</f>
        <v/>
      </c>
      <c r="I1076" s="19">
        <f>AND(G1076="Service A",H1076="Band 3")</f>
        <v/>
      </c>
      <c r="J1076" s="33">
        <f>IF(AND(YEAR(B1076)=2025,G1076="Service B",OR(H1076="Band 3",H1076="Band 5"),ISNUMBER(F1076)),F1076,"")</f>
        <v/>
      </c>
    </row>
    <row r="1077">
      <c r="A1077" s="19" t="inlineStr">
        <is>
          <t>User1117</t>
        </is>
      </c>
      <c r="B1077" s="60" t="n">
        <v>45778</v>
      </c>
      <c r="C1077" s="21" t="n">
        <v>148</v>
      </c>
      <c r="D1077" s="21" t="n">
        <v>88.5</v>
      </c>
      <c r="E1077" s="21" t="n">
        <v>58</v>
      </c>
      <c r="F1077" s="27">
        <f>IFERROR(IF(OR(C1077="",D1077="",C1077=0),"",D1077/C1077),"")</f>
        <v/>
      </c>
      <c r="G1077" s="21">
        <f>IFERROR(INDEX(Users!$A$2:$A$310,MATCH(A1077,Users!$B$2:$B$310,0)),"")</f>
        <v/>
      </c>
      <c r="H1077" s="21">
        <f>IFERROR(INDEX(Users!$D$2:$D$310,MATCH(A1077,Users!$B$2:$B$310,0)),"")</f>
        <v/>
      </c>
      <c r="I1077" s="19">
        <f>AND(G1077="Service A",H1077="Band 3")</f>
        <v/>
      </c>
      <c r="J1077" s="33">
        <f>IF(AND(YEAR(B1077)=2025,G1077="Service B",OR(H1077="Band 3",H1077="Band 5"),ISNUMBER(F1077)),F1077,"")</f>
        <v/>
      </c>
    </row>
    <row r="1078">
      <c r="A1078" s="19" t="inlineStr">
        <is>
          <t>User1117</t>
        </is>
      </c>
      <c r="B1078" s="60" t="n">
        <v>45809</v>
      </c>
      <c r="C1078" s="21" t="n">
        <v>155.4</v>
      </c>
      <c r="D1078" s="21" t="n">
        <v>111.5166666666667</v>
      </c>
      <c r="E1078" s="21" t="n">
        <v>57.35000000000001</v>
      </c>
      <c r="F1078" s="27">
        <f>IFERROR(IF(OR(C1078="",D1078="",C1078=0),"",D1078/C1078),"")</f>
        <v/>
      </c>
      <c r="G1078" s="21">
        <f>IFERROR(INDEX(Users!$A$2:$A$310,MATCH(A1078,Users!$B$2:$B$310,0)),"")</f>
        <v/>
      </c>
      <c r="H1078" s="21">
        <f>IFERROR(INDEX(Users!$D$2:$D$310,MATCH(A1078,Users!$B$2:$B$310,0)),"")</f>
        <v/>
      </c>
      <c r="I1078" s="19">
        <f>AND(G1078="Service A",H1078="Band 3")</f>
        <v/>
      </c>
      <c r="J1078" s="33">
        <f>IF(AND(YEAR(B1078)=2025,G1078="Service B",OR(H1078="Band 3",H1078="Band 5"),ISNUMBER(F1078)),F1078,"")</f>
        <v/>
      </c>
    </row>
    <row r="1079">
      <c r="A1079" s="19" t="inlineStr">
        <is>
          <t>User1117</t>
        </is>
      </c>
      <c r="B1079" s="60" t="n">
        <v>45839</v>
      </c>
      <c r="C1079" s="21" t="n">
        <v>170.2</v>
      </c>
      <c r="D1079" s="21" t="n">
        <v>165.7433333333333</v>
      </c>
      <c r="E1079" s="21" t="n">
        <v>51.41</v>
      </c>
      <c r="F1079" s="27">
        <f>IFERROR(IF(OR(C1079="",D1079="",C1079=0),"",D1079/C1079),"")</f>
        <v/>
      </c>
      <c r="G1079" s="21">
        <f>IFERROR(INDEX(Users!$A$2:$A$310,MATCH(A1079,Users!$B$2:$B$310,0)),"")</f>
        <v/>
      </c>
      <c r="H1079" s="21">
        <f>IFERROR(INDEX(Users!$D$2:$D$310,MATCH(A1079,Users!$B$2:$B$310,0)),"")</f>
        <v/>
      </c>
      <c r="I1079" s="19">
        <f>AND(G1079="Service A",H1079="Band 3")</f>
        <v/>
      </c>
      <c r="J1079" s="33">
        <f>IF(AND(YEAR(B1079)=2025,G1079="Service B",OR(H1079="Band 3",H1079="Band 5"),ISNUMBER(F1079)),F1079,"")</f>
        <v/>
      </c>
    </row>
    <row r="1080">
      <c r="A1080" s="19" t="inlineStr">
        <is>
          <t>User1117</t>
        </is>
      </c>
      <c r="B1080" s="60" t="n">
        <v>45870</v>
      </c>
      <c r="C1080" s="21" t="n">
        <v>148</v>
      </c>
      <c r="D1080" s="21" t="n">
        <v>136.6633333333333</v>
      </c>
      <c r="E1080" s="21" t="n">
        <v>97.33</v>
      </c>
      <c r="F1080" s="27">
        <f>IFERROR(IF(OR(C1080="",D1080="",C1080=0),"",D1080/C1080),"")</f>
        <v/>
      </c>
      <c r="G1080" s="21">
        <f>IFERROR(INDEX(Users!$A$2:$A$310,MATCH(A1080,Users!$B$2:$B$310,0)),"")</f>
        <v/>
      </c>
      <c r="H1080" s="21">
        <f>IFERROR(INDEX(Users!$D$2:$D$310,MATCH(A1080,Users!$B$2:$B$310,0)),"")</f>
        <v/>
      </c>
      <c r="I1080" s="19">
        <f>AND(G1080="Service A",H1080="Band 3")</f>
        <v/>
      </c>
      <c r="J1080" s="33">
        <f>IF(AND(YEAR(B1080)=2025,G1080="Service B",OR(H1080="Band 3",H1080="Band 5"),ISNUMBER(F1080)),F1080,"")</f>
        <v/>
      </c>
    </row>
    <row r="1081">
      <c r="A1081" s="19" t="inlineStr">
        <is>
          <t>User1117</t>
        </is>
      </c>
      <c r="B1081" s="60" t="n">
        <v>45901</v>
      </c>
      <c r="C1081" s="21" t="n">
        <v>162.8</v>
      </c>
      <c r="D1081" s="21" t="n">
        <v>72.08</v>
      </c>
      <c r="E1081" s="21" t="n">
        <v>41.58</v>
      </c>
      <c r="F1081" s="27">
        <f>IFERROR(IF(OR(C1081="",D1081="",C1081=0),"",D1081/C1081),"")</f>
        <v/>
      </c>
      <c r="G1081" s="21">
        <f>IFERROR(INDEX(Users!$A$2:$A$310,MATCH(A1081,Users!$B$2:$B$310,0)),"")</f>
        <v/>
      </c>
      <c r="H1081" s="21">
        <f>IFERROR(INDEX(Users!$D$2:$D$310,MATCH(A1081,Users!$B$2:$B$310,0)),"")</f>
        <v/>
      </c>
      <c r="I1081" s="19">
        <f>AND(G1081="Service A",H1081="Band 3")</f>
        <v/>
      </c>
      <c r="J1081" s="33">
        <f>IF(AND(YEAR(B1081)=2025,G1081="Service B",OR(H1081="Band 3",H1081="Band 5"),ISNUMBER(F1081)),F1081,"")</f>
        <v/>
      </c>
    </row>
    <row r="1082">
      <c r="A1082" s="19" t="inlineStr">
        <is>
          <t>User1117</t>
        </is>
      </c>
      <c r="B1082" s="60" t="n">
        <v>45931</v>
      </c>
      <c r="C1082" s="21" t="n">
        <v>170.2</v>
      </c>
      <c r="D1082" s="21" t="n">
        <v>136.66</v>
      </c>
      <c r="E1082" s="21" t="n">
        <v>95.16</v>
      </c>
      <c r="F1082" s="27">
        <f>IFERROR(IF(OR(C1082="",D1082="",C1082=0),"",D1082/C1082),"")</f>
        <v/>
      </c>
      <c r="G1082" s="21">
        <f>IFERROR(INDEX(Users!$A$2:$A$310,MATCH(A1082,Users!$B$2:$B$310,0)),"")</f>
        <v/>
      </c>
      <c r="H1082" s="21">
        <f>IFERROR(INDEX(Users!$D$2:$D$310,MATCH(A1082,Users!$B$2:$B$310,0)),"")</f>
        <v/>
      </c>
      <c r="I1082" s="19">
        <f>AND(G1082="Service A",H1082="Band 3")</f>
        <v/>
      </c>
      <c r="J1082" s="33">
        <f>IF(AND(YEAR(B1082)=2025,G1082="Service B",OR(H1082="Band 3",H1082="Band 5"),ISNUMBER(F1082)),F1082,"")</f>
        <v/>
      </c>
    </row>
    <row r="1083">
      <c r="A1083" s="19" t="inlineStr">
        <is>
          <t>User1117</t>
        </is>
      </c>
      <c r="B1083" s="60" t="n">
        <v>45962</v>
      </c>
      <c r="C1083" s="21" t="n">
        <v>148</v>
      </c>
      <c r="D1083" s="21" t="n">
        <v>120.49</v>
      </c>
      <c r="E1083" s="21" t="n">
        <v>93.73999999999999</v>
      </c>
      <c r="F1083" s="27">
        <f>IFERROR(IF(OR(C1083="",D1083="",C1083=0),"",D1083/C1083),"")</f>
        <v/>
      </c>
      <c r="G1083" s="21">
        <f>IFERROR(INDEX(Users!$A$2:$A$310,MATCH(A1083,Users!$B$2:$B$310,0)),"")</f>
        <v/>
      </c>
      <c r="H1083" s="21">
        <f>IFERROR(INDEX(Users!$D$2:$D$310,MATCH(A1083,Users!$B$2:$B$310,0)),"")</f>
        <v/>
      </c>
      <c r="I1083" s="19">
        <f>AND(G1083="Service A",H1083="Band 3")</f>
        <v/>
      </c>
      <c r="J1083" s="33">
        <f>IF(AND(YEAR(B1083)=2025,G1083="Service B",OR(H1083="Band 3",H1083="Band 5"),ISNUMBER(F1083)),F1083,"")</f>
        <v/>
      </c>
    </row>
    <row r="1084">
      <c r="A1084" s="19" t="inlineStr">
        <is>
          <t>User1117</t>
        </is>
      </c>
      <c r="B1084" s="60" t="n">
        <v>45992</v>
      </c>
      <c r="C1084" s="21" t="n">
        <v>155.4</v>
      </c>
      <c r="D1084" s="21" t="n">
        <v>118.41</v>
      </c>
      <c r="E1084" s="21" t="n">
        <v>88.16000000000001</v>
      </c>
      <c r="F1084" s="27">
        <f>IFERROR(IF(OR(C1084="",D1084="",C1084=0),"",D1084/C1084),"")</f>
        <v/>
      </c>
      <c r="G1084" s="21">
        <f>IFERROR(INDEX(Users!$A$2:$A$310,MATCH(A1084,Users!$B$2:$B$310,0)),"")</f>
        <v/>
      </c>
      <c r="H1084" s="21">
        <f>IFERROR(INDEX(Users!$D$2:$D$310,MATCH(A1084,Users!$B$2:$B$310,0)),"")</f>
        <v/>
      </c>
      <c r="I1084" s="19">
        <f>AND(G1084="Service A",H1084="Band 3")</f>
        <v/>
      </c>
      <c r="J1084" s="33">
        <f>IF(AND(YEAR(B1084)=2025,G1084="Service B",OR(H1084="Band 3",H1084="Band 5"),ISNUMBER(F1084)),F1084,"")</f>
        <v/>
      </c>
    </row>
    <row r="1085">
      <c r="A1085" s="19" t="inlineStr">
        <is>
          <t>User1117</t>
        </is>
      </c>
      <c r="B1085" s="60" t="n">
        <v>46023</v>
      </c>
      <c r="C1085" s="21" t="n">
        <v>155.4</v>
      </c>
      <c r="D1085" s="21" t="n">
        <v>139.8866666666667</v>
      </c>
      <c r="E1085" s="21" t="n">
        <v>90.96999999999998</v>
      </c>
      <c r="F1085" s="27">
        <f>IFERROR(IF(OR(C1085="",D1085="",C1085=0),"",D1085/C1085),"")</f>
        <v/>
      </c>
      <c r="G1085" s="21">
        <f>IFERROR(INDEX(Users!$A$2:$A$310,MATCH(A1085,Users!$B$2:$B$310,0)),"")</f>
        <v/>
      </c>
      <c r="H1085" s="21">
        <f>IFERROR(INDEX(Users!$D$2:$D$310,MATCH(A1085,Users!$B$2:$B$310,0)),"")</f>
        <v/>
      </c>
      <c r="I1085" s="19">
        <f>AND(G1085="Service A",H1085="Band 3")</f>
        <v/>
      </c>
      <c r="J1085" s="33">
        <f>IF(AND(YEAR(B1085)=2025,G1085="Service B",OR(H1085="Band 3",H1085="Band 5"),ISNUMBER(F1085)),F1085,"")</f>
        <v/>
      </c>
    </row>
    <row r="1086">
      <c r="A1086" s="19" t="inlineStr">
        <is>
          <t>User1118</t>
        </is>
      </c>
      <c r="B1086" s="60" t="n">
        <v>45658</v>
      </c>
      <c r="C1086" s="21" t="n">
        <v>162.8</v>
      </c>
      <c r="D1086" s="21" t="n">
        <v>141.2433333333333</v>
      </c>
      <c r="E1086" s="21" t="n">
        <v>74.66</v>
      </c>
      <c r="F1086" s="27">
        <f>IFERROR(IF(OR(C1086="",D1086="",C1086=0),"",D1086/C1086),"")</f>
        <v/>
      </c>
      <c r="G1086" s="21">
        <f>IFERROR(INDEX(Users!$A$2:$A$310,MATCH(A1086,Users!$B$2:$B$310,0)),"")</f>
        <v/>
      </c>
      <c r="H1086" s="21">
        <f>IFERROR(INDEX(Users!$D$2:$D$310,MATCH(A1086,Users!$B$2:$B$310,0)),"")</f>
        <v/>
      </c>
      <c r="I1086" s="19">
        <f>AND(G1086="Service A",H1086="Band 3")</f>
        <v/>
      </c>
      <c r="J1086" s="33">
        <f>IF(AND(YEAR(B1086)=2025,G1086="Service B",OR(H1086="Band 3",H1086="Band 5"),ISNUMBER(F1086)),F1086,"")</f>
        <v/>
      </c>
    </row>
    <row r="1087">
      <c r="A1087" s="19" t="inlineStr">
        <is>
          <t>User1118</t>
        </is>
      </c>
      <c r="B1087" s="60" t="n">
        <v>45689</v>
      </c>
      <c r="C1087" s="21" t="n">
        <v>148</v>
      </c>
      <c r="D1087" s="21" t="n">
        <v>128.4766666666667</v>
      </c>
      <c r="E1087" s="21" t="n">
        <v>82.16</v>
      </c>
      <c r="F1087" s="27">
        <f>IFERROR(IF(OR(C1087="",D1087="",C1087=0),"",D1087/C1087),"")</f>
        <v/>
      </c>
      <c r="G1087" s="21">
        <f>IFERROR(INDEX(Users!$A$2:$A$310,MATCH(A1087,Users!$B$2:$B$310,0)),"")</f>
        <v/>
      </c>
      <c r="H1087" s="21">
        <f>IFERROR(INDEX(Users!$D$2:$D$310,MATCH(A1087,Users!$B$2:$B$310,0)),"")</f>
        <v/>
      </c>
      <c r="I1087" s="19">
        <f>AND(G1087="Service A",H1087="Band 3")</f>
        <v/>
      </c>
      <c r="J1087" s="33">
        <f>IF(AND(YEAR(B1087)=2025,G1087="Service B",OR(H1087="Band 3",H1087="Band 5"),ISNUMBER(F1087)),F1087,"")</f>
        <v/>
      </c>
    </row>
    <row r="1088">
      <c r="A1088" s="19" t="inlineStr">
        <is>
          <t>User1118</t>
        </is>
      </c>
      <c r="B1088" s="60" t="n">
        <v>45717</v>
      </c>
      <c r="C1088" s="21" t="n">
        <v>155.4</v>
      </c>
      <c r="D1088" s="21" t="n">
        <v>116.6533333333333</v>
      </c>
      <c r="E1088" s="21" t="n">
        <v>55.42</v>
      </c>
      <c r="F1088" s="27">
        <f>IFERROR(IF(OR(C1088="",D1088="",C1088=0),"",D1088/C1088),"")</f>
        <v/>
      </c>
      <c r="G1088" s="21">
        <f>IFERROR(INDEX(Users!$A$2:$A$310,MATCH(A1088,Users!$B$2:$B$310,0)),"")</f>
        <v/>
      </c>
      <c r="H1088" s="21">
        <f>IFERROR(INDEX(Users!$D$2:$D$310,MATCH(A1088,Users!$B$2:$B$310,0)),"")</f>
        <v/>
      </c>
      <c r="I1088" s="19">
        <f>AND(G1088="Service A",H1088="Band 3")</f>
        <v/>
      </c>
      <c r="J1088" s="33">
        <f>IF(AND(YEAR(B1088)=2025,G1088="Service B",OR(H1088="Band 3",H1088="Band 5"),ISNUMBER(F1088)),F1088,"")</f>
        <v/>
      </c>
    </row>
    <row r="1089">
      <c r="A1089" s="19" t="inlineStr">
        <is>
          <t>User1118</t>
        </is>
      </c>
      <c r="B1089" s="60" t="n">
        <v>45748</v>
      </c>
      <c r="C1089" s="21" t="n">
        <v>148</v>
      </c>
      <c r="D1089" s="21" t="n">
        <v>137.58</v>
      </c>
      <c r="E1089" s="21" t="n">
        <v>104.78</v>
      </c>
      <c r="F1089" s="27">
        <f>IFERROR(IF(OR(C1089="",D1089="",C1089=0),"",D1089/C1089),"")</f>
        <v/>
      </c>
      <c r="G1089" s="21">
        <f>IFERROR(INDEX(Users!$A$2:$A$310,MATCH(A1089,Users!$B$2:$B$310,0)),"")</f>
        <v/>
      </c>
      <c r="H1089" s="21">
        <f>IFERROR(INDEX(Users!$D$2:$D$310,MATCH(A1089,Users!$B$2:$B$310,0)),"")</f>
        <v/>
      </c>
      <c r="I1089" s="19">
        <f>AND(G1089="Service A",H1089="Band 3")</f>
        <v/>
      </c>
      <c r="J1089" s="33">
        <f>IF(AND(YEAR(B1089)=2025,G1089="Service B",OR(H1089="Band 3",H1089="Band 5"),ISNUMBER(F1089)),F1089,"")</f>
        <v/>
      </c>
    </row>
    <row r="1090">
      <c r="A1090" s="19" t="inlineStr">
        <is>
          <t>User1118</t>
        </is>
      </c>
      <c r="B1090" s="60" t="n">
        <v>45778</v>
      </c>
      <c r="C1090" s="21" t="n">
        <v>148</v>
      </c>
      <c r="D1090" s="21" t="n">
        <v>90.07666666666665</v>
      </c>
      <c r="E1090" s="21" t="n">
        <v>60.91</v>
      </c>
      <c r="F1090" s="27">
        <f>IFERROR(IF(OR(C1090="",D1090="",C1090=0),"",D1090/C1090),"")</f>
        <v/>
      </c>
      <c r="G1090" s="21">
        <f>IFERROR(INDEX(Users!$A$2:$A$310,MATCH(A1090,Users!$B$2:$B$310,0)),"")</f>
        <v/>
      </c>
      <c r="H1090" s="21">
        <f>IFERROR(INDEX(Users!$D$2:$D$310,MATCH(A1090,Users!$B$2:$B$310,0)),"")</f>
        <v/>
      </c>
      <c r="I1090" s="19">
        <f>AND(G1090="Service A",H1090="Band 3")</f>
        <v/>
      </c>
      <c r="J1090" s="33">
        <f>IF(AND(YEAR(B1090)=2025,G1090="Service B",OR(H1090="Band 3",H1090="Band 5"),ISNUMBER(F1090)),F1090,"")</f>
        <v/>
      </c>
    </row>
    <row r="1091">
      <c r="A1091" s="19" t="inlineStr">
        <is>
          <t>User1118</t>
        </is>
      </c>
      <c r="B1091" s="60" t="n">
        <v>45809</v>
      </c>
      <c r="C1091" s="21" t="n">
        <v>155.4</v>
      </c>
      <c r="D1091" s="21" t="n">
        <v>137.7466666666667</v>
      </c>
      <c r="E1091" s="21" t="n">
        <v>92.08</v>
      </c>
      <c r="F1091" s="27">
        <f>IFERROR(IF(OR(C1091="",D1091="",C1091=0),"",D1091/C1091),"")</f>
        <v/>
      </c>
      <c r="G1091" s="21">
        <f>IFERROR(INDEX(Users!$A$2:$A$310,MATCH(A1091,Users!$B$2:$B$310,0)),"")</f>
        <v/>
      </c>
      <c r="H1091" s="21">
        <f>IFERROR(INDEX(Users!$D$2:$D$310,MATCH(A1091,Users!$B$2:$B$310,0)),"")</f>
        <v/>
      </c>
      <c r="I1091" s="19">
        <f>AND(G1091="Service A",H1091="Band 3")</f>
        <v/>
      </c>
      <c r="J1091" s="33">
        <f>IF(AND(YEAR(B1091)=2025,G1091="Service B",OR(H1091="Band 3",H1091="Band 5"),ISNUMBER(F1091)),F1091,"")</f>
        <v/>
      </c>
    </row>
    <row r="1092">
      <c r="A1092" s="19" t="inlineStr">
        <is>
          <t>User1118</t>
        </is>
      </c>
      <c r="B1092" s="60" t="n">
        <v>45839</v>
      </c>
      <c r="C1092" s="21" t="n">
        <v>170.2</v>
      </c>
      <c r="D1092" s="21" t="n">
        <v>124.7433333333333</v>
      </c>
      <c r="E1092" s="21" t="n">
        <v>76.41</v>
      </c>
      <c r="F1092" s="27">
        <f>IFERROR(IF(OR(C1092="",D1092="",C1092=0),"",D1092/C1092),"")</f>
        <v/>
      </c>
      <c r="G1092" s="21">
        <f>IFERROR(INDEX(Users!$A$2:$A$310,MATCH(A1092,Users!$B$2:$B$310,0)),"")</f>
        <v/>
      </c>
      <c r="H1092" s="21">
        <f>IFERROR(INDEX(Users!$D$2:$D$310,MATCH(A1092,Users!$B$2:$B$310,0)),"")</f>
        <v/>
      </c>
      <c r="I1092" s="19">
        <f>AND(G1092="Service A",H1092="Band 3")</f>
        <v/>
      </c>
      <c r="J1092" s="33">
        <f>IF(AND(YEAR(B1092)=2025,G1092="Service B",OR(H1092="Band 3",H1092="Band 5"),ISNUMBER(F1092)),F1092,"")</f>
        <v/>
      </c>
    </row>
    <row r="1093">
      <c r="A1093" s="19" t="inlineStr">
        <is>
          <t>User1118</t>
        </is>
      </c>
      <c r="B1093" s="60" t="n">
        <v>45870</v>
      </c>
      <c r="C1093" s="21" t="n">
        <v>148</v>
      </c>
      <c r="D1093" s="21" t="n">
        <v>132.15</v>
      </c>
      <c r="E1093" s="21" t="n">
        <v>100.15</v>
      </c>
      <c r="F1093" s="27">
        <f>IFERROR(IF(OR(C1093="",D1093="",C1093=0),"",D1093/C1093),"")</f>
        <v/>
      </c>
      <c r="G1093" s="21">
        <f>IFERROR(INDEX(Users!$A$2:$A$310,MATCH(A1093,Users!$B$2:$B$310,0)),"")</f>
        <v/>
      </c>
      <c r="H1093" s="21">
        <f>IFERROR(INDEX(Users!$D$2:$D$310,MATCH(A1093,Users!$B$2:$B$310,0)),"")</f>
        <v/>
      </c>
      <c r="I1093" s="19">
        <f>AND(G1093="Service A",H1093="Band 3")</f>
        <v/>
      </c>
      <c r="J1093" s="33">
        <f>IF(AND(YEAR(B1093)=2025,G1093="Service B",OR(H1093="Band 3",H1093="Band 5"),ISNUMBER(F1093)),F1093,"")</f>
        <v/>
      </c>
    </row>
    <row r="1094">
      <c r="A1094" s="19" t="inlineStr">
        <is>
          <t>User1118</t>
        </is>
      </c>
      <c r="B1094" s="60" t="n">
        <v>45901</v>
      </c>
      <c r="C1094" s="21" t="n">
        <v>162.8</v>
      </c>
      <c r="D1094" s="21" t="n">
        <v>94.65666666666668</v>
      </c>
      <c r="E1094" s="21" t="n">
        <v>70.99000000000001</v>
      </c>
      <c r="F1094" s="27">
        <f>IFERROR(IF(OR(C1094="",D1094="",C1094=0),"",D1094/C1094),"")</f>
        <v/>
      </c>
      <c r="G1094" s="21">
        <f>IFERROR(INDEX(Users!$A$2:$A$310,MATCH(A1094,Users!$B$2:$B$310,0)),"")</f>
        <v/>
      </c>
      <c r="H1094" s="21">
        <f>IFERROR(INDEX(Users!$D$2:$D$310,MATCH(A1094,Users!$B$2:$B$310,0)),"")</f>
        <v/>
      </c>
      <c r="I1094" s="19">
        <f>AND(G1094="Service A",H1094="Band 3")</f>
        <v/>
      </c>
      <c r="J1094" s="33">
        <f>IF(AND(YEAR(B1094)=2025,G1094="Service B",OR(H1094="Band 3",H1094="Band 5"),ISNUMBER(F1094)),F1094,"")</f>
        <v/>
      </c>
    </row>
    <row r="1095">
      <c r="A1095" s="19" t="inlineStr">
        <is>
          <t>User1118</t>
        </is>
      </c>
      <c r="B1095" s="60" t="n">
        <v>45931</v>
      </c>
      <c r="C1095" s="21" t="n">
        <v>170.2</v>
      </c>
      <c r="D1095" s="21" t="n">
        <v>149.8366666666667</v>
      </c>
      <c r="E1095" s="21" t="n">
        <v>103.67</v>
      </c>
      <c r="F1095" s="27">
        <f>IFERROR(IF(OR(C1095="",D1095="",C1095=0),"",D1095/C1095),"")</f>
        <v/>
      </c>
      <c r="G1095" s="21">
        <f>IFERROR(INDEX(Users!$A$2:$A$310,MATCH(A1095,Users!$B$2:$B$310,0)),"")</f>
        <v/>
      </c>
      <c r="H1095" s="21">
        <f>IFERROR(INDEX(Users!$D$2:$D$310,MATCH(A1095,Users!$B$2:$B$310,0)),"")</f>
        <v/>
      </c>
      <c r="I1095" s="19">
        <f>AND(G1095="Service A",H1095="Band 3")</f>
        <v/>
      </c>
      <c r="J1095" s="33">
        <f>IF(AND(YEAR(B1095)=2025,G1095="Service B",OR(H1095="Band 3",H1095="Band 5"),ISNUMBER(F1095)),F1095,"")</f>
        <v/>
      </c>
    </row>
    <row r="1096">
      <c r="A1096" s="19" t="inlineStr">
        <is>
          <t>User1118</t>
        </is>
      </c>
      <c r="B1096" s="60" t="n">
        <v>45962</v>
      </c>
      <c r="C1096" s="21" t="n">
        <v>148</v>
      </c>
      <c r="D1096" s="21" t="n">
        <v>136.75</v>
      </c>
      <c r="E1096" s="21" t="n">
        <v>99.5</v>
      </c>
      <c r="F1096" s="27">
        <f>IFERROR(IF(OR(C1096="",D1096="",C1096=0),"",D1096/C1096),"")</f>
        <v/>
      </c>
      <c r="G1096" s="21">
        <f>IFERROR(INDEX(Users!$A$2:$A$310,MATCH(A1096,Users!$B$2:$B$310,0)),"")</f>
        <v/>
      </c>
      <c r="H1096" s="21">
        <f>IFERROR(INDEX(Users!$D$2:$D$310,MATCH(A1096,Users!$B$2:$B$310,0)),"")</f>
        <v/>
      </c>
      <c r="I1096" s="19">
        <f>AND(G1096="Service A",H1096="Band 3")</f>
        <v/>
      </c>
      <c r="J1096" s="33">
        <f>IF(AND(YEAR(B1096)=2025,G1096="Service B",OR(H1096="Band 3",H1096="Band 5"),ISNUMBER(F1096)),F1096,"")</f>
        <v/>
      </c>
    </row>
    <row r="1097">
      <c r="A1097" s="19" t="inlineStr">
        <is>
          <t>User1118</t>
        </is>
      </c>
      <c r="B1097" s="60" t="n">
        <v>45992</v>
      </c>
      <c r="C1097" s="21" t="n">
        <v>155.4</v>
      </c>
      <c r="D1097" s="21" t="n">
        <v>143.8</v>
      </c>
      <c r="E1097" s="21" t="n">
        <v>111.5</v>
      </c>
      <c r="F1097" s="27">
        <f>IFERROR(IF(OR(C1097="",D1097="",C1097=0),"",D1097/C1097),"")</f>
        <v/>
      </c>
      <c r="G1097" s="21">
        <f>IFERROR(INDEX(Users!$A$2:$A$310,MATCH(A1097,Users!$B$2:$B$310,0)),"")</f>
        <v/>
      </c>
      <c r="H1097" s="21">
        <f>IFERROR(INDEX(Users!$D$2:$D$310,MATCH(A1097,Users!$B$2:$B$310,0)),"")</f>
        <v/>
      </c>
      <c r="I1097" s="19">
        <f>AND(G1097="Service A",H1097="Band 3")</f>
        <v/>
      </c>
      <c r="J1097" s="33">
        <f>IF(AND(YEAR(B1097)=2025,G1097="Service B",OR(H1097="Band 3",H1097="Band 5"),ISNUMBER(F1097)),F1097,"")</f>
        <v/>
      </c>
    </row>
    <row r="1098">
      <c r="A1098" s="19" t="inlineStr">
        <is>
          <t>User1118</t>
        </is>
      </c>
      <c r="B1098" s="60" t="n">
        <v>46023</v>
      </c>
      <c r="C1098" s="21" t="n">
        <v>118.4</v>
      </c>
      <c r="D1098" s="21" t="n">
        <v>103.32</v>
      </c>
      <c r="E1098" s="21" t="n">
        <v>62.67</v>
      </c>
      <c r="F1098" s="27">
        <f>IFERROR(IF(OR(C1098="",D1098="",C1098=0),"",D1098/C1098),"")</f>
        <v/>
      </c>
      <c r="G1098" s="21">
        <f>IFERROR(INDEX(Users!$A$2:$A$310,MATCH(A1098,Users!$B$2:$B$310,0)),"")</f>
        <v/>
      </c>
      <c r="H1098" s="21">
        <f>IFERROR(INDEX(Users!$D$2:$D$310,MATCH(A1098,Users!$B$2:$B$310,0)),"")</f>
        <v/>
      </c>
      <c r="I1098" s="19">
        <f>AND(G1098="Service A",H1098="Band 3")</f>
        <v/>
      </c>
      <c r="J1098" s="33">
        <f>IF(AND(YEAR(B1098)=2025,G1098="Service B",OR(H1098="Band 3",H1098="Band 5"),ISNUMBER(F1098)),F1098,"")</f>
        <v/>
      </c>
    </row>
    <row r="1099">
      <c r="A1099" s="19" t="inlineStr">
        <is>
          <t>User1119</t>
        </is>
      </c>
      <c r="B1099" s="60" t="n">
        <v>45658</v>
      </c>
      <c r="C1099" s="21" t="n">
        <v>162.8</v>
      </c>
      <c r="D1099" s="21" t="n">
        <v>169</v>
      </c>
      <c r="E1099" s="21" t="n">
        <v>116.25</v>
      </c>
      <c r="F1099" s="27">
        <f>IFERROR(IF(OR(C1099="",D1099="",C1099=0),"",D1099/C1099),"")</f>
        <v/>
      </c>
      <c r="G1099" s="21">
        <f>IFERROR(INDEX(Users!$A$2:$A$310,MATCH(A1099,Users!$B$2:$B$310,0)),"")</f>
        <v/>
      </c>
      <c r="H1099" s="21">
        <f>IFERROR(INDEX(Users!$D$2:$D$310,MATCH(A1099,Users!$B$2:$B$310,0)),"")</f>
        <v/>
      </c>
      <c r="I1099" s="19">
        <f>AND(G1099="Service A",H1099="Band 3")</f>
        <v/>
      </c>
      <c r="J1099" s="33">
        <f>IF(AND(YEAR(B1099)=2025,G1099="Service B",OR(H1099="Band 3",H1099="Band 5"),ISNUMBER(F1099)),F1099,"")</f>
        <v/>
      </c>
    </row>
    <row r="1100">
      <c r="A1100" s="19" t="inlineStr">
        <is>
          <t>User1119</t>
        </is>
      </c>
      <c r="B1100" s="60" t="n">
        <v>45689</v>
      </c>
      <c r="C1100" s="21" t="n">
        <v>148</v>
      </c>
      <c r="D1100" s="21" t="n">
        <v>108.75</v>
      </c>
      <c r="E1100" s="21" t="n">
        <v>75</v>
      </c>
      <c r="F1100" s="27">
        <f>IFERROR(IF(OR(C1100="",D1100="",C1100=0),"",D1100/C1100),"")</f>
        <v/>
      </c>
      <c r="G1100" s="21">
        <f>IFERROR(INDEX(Users!$A$2:$A$310,MATCH(A1100,Users!$B$2:$B$310,0)),"")</f>
        <v/>
      </c>
      <c r="H1100" s="21">
        <f>IFERROR(INDEX(Users!$D$2:$D$310,MATCH(A1100,Users!$B$2:$B$310,0)),"")</f>
        <v/>
      </c>
      <c r="I1100" s="19">
        <f>AND(G1100="Service A",H1100="Band 3")</f>
        <v/>
      </c>
      <c r="J1100" s="33">
        <f>IF(AND(YEAR(B1100)=2025,G1100="Service B",OR(H1100="Band 3",H1100="Band 5"),ISNUMBER(F1100)),F1100,"")</f>
        <v/>
      </c>
    </row>
    <row r="1101">
      <c r="A1101" s="19" t="inlineStr">
        <is>
          <t>User1119</t>
        </is>
      </c>
      <c r="B1101" s="60" t="n">
        <v>45717</v>
      </c>
      <c r="C1101" s="21" t="n">
        <v>155.4</v>
      </c>
      <c r="D1101" s="21" t="n">
        <v>127.75</v>
      </c>
      <c r="E1101" s="21" t="n">
        <v>90</v>
      </c>
      <c r="F1101" s="27">
        <f>IFERROR(IF(OR(C1101="",D1101="",C1101=0),"",D1101/C1101),"")</f>
        <v/>
      </c>
      <c r="G1101" s="21">
        <f>IFERROR(INDEX(Users!$A$2:$A$310,MATCH(A1101,Users!$B$2:$B$310,0)),"")</f>
        <v/>
      </c>
      <c r="H1101" s="21">
        <f>IFERROR(INDEX(Users!$D$2:$D$310,MATCH(A1101,Users!$B$2:$B$310,0)),"")</f>
        <v/>
      </c>
      <c r="I1101" s="19">
        <f>AND(G1101="Service A",H1101="Band 3")</f>
        <v/>
      </c>
      <c r="J1101" s="33">
        <f>IF(AND(YEAR(B1101)=2025,G1101="Service B",OR(H1101="Band 3",H1101="Band 5"),ISNUMBER(F1101)),F1101,"")</f>
        <v/>
      </c>
    </row>
    <row r="1102">
      <c r="A1102" s="19" t="inlineStr">
        <is>
          <t>User1119</t>
        </is>
      </c>
      <c r="B1102" s="60" t="n">
        <v>45748</v>
      </c>
      <c r="C1102" s="21" t="n">
        <v>148</v>
      </c>
      <c r="D1102" s="21" t="n">
        <v>146.5</v>
      </c>
      <c r="E1102" s="21" t="n">
        <v>114.75</v>
      </c>
      <c r="F1102" s="27">
        <f>IFERROR(IF(OR(C1102="",D1102="",C1102=0),"",D1102/C1102),"")</f>
        <v/>
      </c>
      <c r="G1102" s="21">
        <f>IFERROR(INDEX(Users!$A$2:$A$310,MATCH(A1102,Users!$B$2:$B$310,0)),"")</f>
        <v/>
      </c>
      <c r="H1102" s="21">
        <f>IFERROR(INDEX(Users!$D$2:$D$310,MATCH(A1102,Users!$B$2:$B$310,0)),"")</f>
        <v/>
      </c>
      <c r="I1102" s="19">
        <f>AND(G1102="Service A",H1102="Band 3")</f>
        <v/>
      </c>
      <c r="J1102" s="33">
        <f>IF(AND(YEAR(B1102)=2025,G1102="Service B",OR(H1102="Band 3",H1102="Band 5"),ISNUMBER(F1102)),F1102,"")</f>
        <v/>
      </c>
    </row>
    <row r="1103">
      <c r="A1103" s="19" t="inlineStr">
        <is>
          <t>User1119</t>
        </is>
      </c>
      <c r="B1103" s="60" t="n">
        <v>45778</v>
      </c>
      <c r="C1103" s="21" t="n">
        <v>148</v>
      </c>
      <c r="D1103" s="21" t="n">
        <v>122</v>
      </c>
      <c r="E1103" s="21" t="n">
        <v>90</v>
      </c>
      <c r="F1103" s="27">
        <f>IFERROR(IF(OR(C1103="",D1103="",C1103=0),"",D1103/C1103),"")</f>
        <v/>
      </c>
      <c r="G1103" s="21">
        <f>IFERROR(INDEX(Users!$A$2:$A$310,MATCH(A1103,Users!$B$2:$B$310,0)),"")</f>
        <v/>
      </c>
      <c r="H1103" s="21">
        <f>IFERROR(INDEX(Users!$D$2:$D$310,MATCH(A1103,Users!$B$2:$B$310,0)),"")</f>
        <v/>
      </c>
      <c r="I1103" s="19">
        <f>AND(G1103="Service A",H1103="Band 3")</f>
        <v/>
      </c>
      <c r="J1103" s="33">
        <f>IF(AND(YEAR(B1103)=2025,G1103="Service B",OR(H1103="Band 3",H1103="Band 5"),ISNUMBER(F1103)),F1103,"")</f>
        <v/>
      </c>
    </row>
    <row r="1104">
      <c r="A1104" s="19" t="inlineStr">
        <is>
          <t>User1119</t>
        </is>
      </c>
      <c r="B1104" s="60" t="n">
        <v>45809</v>
      </c>
      <c r="C1104" s="21" t="n">
        <v>155.4</v>
      </c>
      <c r="D1104" s="21" t="n">
        <v>142.25</v>
      </c>
      <c r="E1104" s="21" t="n">
        <v>108</v>
      </c>
      <c r="F1104" s="27">
        <f>IFERROR(IF(OR(C1104="",D1104="",C1104=0),"",D1104/C1104),"")</f>
        <v/>
      </c>
      <c r="G1104" s="21">
        <f>IFERROR(INDEX(Users!$A$2:$A$310,MATCH(A1104,Users!$B$2:$B$310,0)),"")</f>
        <v/>
      </c>
      <c r="H1104" s="21">
        <f>IFERROR(INDEX(Users!$D$2:$D$310,MATCH(A1104,Users!$B$2:$B$310,0)),"")</f>
        <v/>
      </c>
      <c r="I1104" s="19">
        <f>AND(G1104="Service A",H1104="Band 3")</f>
        <v/>
      </c>
      <c r="J1104" s="33">
        <f>IF(AND(YEAR(B1104)=2025,G1104="Service B",OR(H1104="Band 3",H1104="Band 5"),ISNUMBER(F1104)),F1104,"")</f>
        <v/>
      </c>
    </row>
    <row r="1105">
      <c r="A1105" s="19" t="inlineStr">
        <is>
          <t>User1119</t>
        </is>
      </c>
      <c r="B1105" s="60" t="n">
        <v>45839</v>
      </c>
      <c r="C1105" s="21" t="n">
        <v>170.2</v>
      </c>
      <c r="D1105" s="21" t="n">
        <v>139</v>
      </c>
      <c r="E1105" s="21" t="n">
        <v>101.75</v>
      </c>
      <c r="F1105" s="27">
        <f>IFERROR(IF(OR(C1105="",D1105="",C1105=0),"",D1105/C1105),"")</f>
        <v/>
      </c>
      <c r="G1105" s="21">
        <f>IFERROR(INDEX(Users!$A$2:$A$310,MATCH(A1105,Users!$B$2:$B$310,0)),"")</f>
        <v/>
      </c>
      <c r="H1105" s="21">
        <f>IFERROR(INDEX(Users!$D$2:$D$310,MATCH(A1105,Users!$B$2:$B$310,0)),"")</f>
        <v/>
      </c>
      <c r="I1105" s="19">
        <f>AND(G1105="Service A",H1105="Band 3")</f>
        <v/>
      </c>
      <c r="J1105" s="33">
        <f>IF(AND(YEAR(B1105)=2025,G1105="Service B",OR(H1105="Band 3",H1105="Band 5"),ISNUMBER(F1105)),F1105,"")</f>
        <v/>
      </c>
    </row>
    <row r="1106">
      <c r="A1106" s="19" t="inlineStr">
        <is>
          <t>User1119</t>
        </is>
      </c>
      <c r="B1106" s="60" t="n">
        <v>45870</v>
      </c>
      <c r="C1106" s="21" t="n">
        <v>148</v>
      </c>
      <c r="D1106" s="21" t="n">
        <v>145.75</v>
      </c>
      <c r="E1106" s="21" t="n">
        <v>110.75</v>
      </c>
      <c r="F1106" s="27">
        <f>IFERROR(IF(OR(C1106="",D1106="",C1106=0),"",D1106/C1106),"")</f>
        <v/>
      </c>
      <c r="G1106" s="21">
        <f>IFERROR(INDEX(Users!$A$2:$A$310,MATCH(A1106,Users!$B$2:$B$310,0)),"")</f>
        <v/>
      </c>
      <c r="H1106" s="21">
        <f>IFERROR(INDEX(Users!$D$2:$D$310,MATCH(A1106,Users!$B$2:$B$310,0)),"")</f>
        <v/>
      </c>
      <c r="I1106" s="19">
        <f>AND(G1106="Service A",H1106="Band 3")</f>
        <v/>
      </c>
      <c r="J1106" s="33">
        <f>IF(AND(YEAR(B1106)=2025,G1106="Service B",OR(H1106="Band 3",H1106="Band 5"),ISNUMBER(F1106)),F1106,"")</f>
        <v/>
      </c>
    </row>
    <row r="1107">
      <c r="A1107" s="19" t="inlineStr">
        <is>
          <t>User1119</t>
        </is>
      </c>
      <c r="B1107" s="60" t="n">
        <v>45901</v>
      </c>
      <c r="C1107" s="21" t="n">
        <v>162.8</v>
      </c>
      <c r="D1107" s="21" t="n">
        <v>155.08</v>
      </c>
      <c r="E1107" s="21" t="n">
        <v>117.83</v>
      </c>
      <c r="F1107" s="27">
        <f>IFERROR(IF(OR(C1107="",D1107="",C1107=0),"",D1107/C1107),"")</f>
        <v/>
      </c>
      <c r="G1107" s="21">
        <f>IFERROR(INDEX(Users!$A$2:$A$310,MATCH(A1107,Users!$B$2:$B$310,0)),"")</f>
        <v/>
      </c>
      <c r="H1107" s="21">
        <f>IFERROR(INDEX(Users!$D$2:$D$310,MATCH(A1107,Users!$B$2:$B$310,0)),"")</f>
        <v/>
      </c>
      <c r="I1107" s="19">
        <f>AND(G1107="Service A",H1107="Band 3")</f>
        <v/>
      </c>
      <c r="J1107" s="33">
        <f>IF(AND(YEAR(B1107)=2025,G1107="Service B",OR(H1107="Band 3",H1107="Band 5"),ISNUMBER(F1107)),F1107,"")</f>
        <v/>
      </c>
    </row>
    <row r="1108">
      <c r="A1108" s="19" t="inlineStr">
        <is>
          <t>User1119</t>
        </is>
      </c>
      <c r="B1108" s="60" t="n">
        <v>45931</v>
      </c>
      <c r="C1108" s="21" t="n">
        <v>170.2</v>
      </c>
      <c r="D1108" s="21" t="n">
        <v>146.5</v>
      </c>
      <c r="E1108" s="21" t="n">
        <v>102.25</v>
      </c>
      <c r="F1108" s="27">
        <f>IFERROR(IF(OR(C1108="",D1108="",C1108=0),"",D1108/C1108),"")</f>
        <v/>
      </c>
      <c r="G1108" s="21">
        <f>IFERROR(INDEX(Users!$A$2:$A$310,MATCH(A1108,Users!$B$2:$B$310,0)),"")</f>
        <v/>
      </c>
      <c r="H1108" s="21">
        <f>IFERROR(INDEX(Users!$D$2:$D$310,MATCH(A1108,Users!$B$2:$B$310,0)),"")</f>
        <v/>
      </c>
      <c r="I1108" s="19">
        <f>AND(G1108="Service A",H1108="Band 3")</f>
        <v/>
      </c>
      <c r="J1108" s="33">
        <f>IF(AND(YEAR(B1108)=2025,G1108="Service B",OR(H1108="Band 3",H1108="Band 5"),ISNUMBER(F1108)),F1108,"")</f>
        <v/>
      </c>
    </row>
    <row r="1109">
      <c r="A1109" s="19" t="inlineStr">
        <is>
          <t>User1119</t>
        </is>
      </c>
      <c r="B1109" s="60" t="n">
        <v>45962</v>
      </c>
      <c r="C1109" s="21" t="n">
        <v>148</v>
      </c>
      <c r="D1109" s="21" t="n">
        <v>107</v>
      </c>
      <c r="E1109" s="21" t="n">
        <v>79.25</v>
      </c>
      <c r="F1109" s="27">
        <f>IFERROR(IF(OR(C1109="",D1109="",C1109=0),"",D1109/C1109),"")</f>
        <v/>
      </c>
      <c r="G1109" s="21">
        <f>IFERROR(INDEX(Users!$A$2:$A$310,MATCH(A1109,Users!$B$2:$B$310,0)),"")</f>
        <v/>
      </c>
      <c r="H1109" s="21">
        <f>IFERROR(INDEX(Users!$D$2:$D$310,MATCH(A1109,Users!$B$2:$B$310,0)),"")</f>
        <v/>
      </c>
      <c r="I1109" s="19">
        <f>AND(G1109="Service A",H1109="Band 3")</f>
        <v/>
      </c>
      <c r="J1109" s="33">
        <f>IF(AND(YEAR(B1109)=2025,G1109="Service B",OR(H1109="Band 3",H1109="Band 5"),ISNUMBER(F1109)),F1109,"")</f>
        <v/>
      </c>
    </row>
    <row r="1110">
      <c r="A1110" s="19" t="inlineStr">
        <is>
          <t>User1119</t>
        </is>
      </c>
      <c r="B1110" s="60" t="n">
        <v>45992</v>
      </c>
      <c r="C1110" s="21" t="n">
        <v>155.4</v>
      </c>
      <c r="D1110" s="21" t="n">
        <v>137</v>
      </c>
      <c r="E1110" s="21" t="n">
        <v>89.75</v>
      </c>
      <c r="F1110" s="27">
        <f>IFERROR(IF(OR(C1110="",D1110="",C1110=0),"",D1110/C1110),"")</f>
        <v/>
      </c>
      <c r="G1110" s="21">
        <f>IFERROR(INDEX(Users!$A$2:$A$310,MATCH(A1110,Users!$B$2:$B$310,0)),"")</f>
        <v/>
      </c>
      <c r="H1110" s="21">
        <f>IFERROR(INDEX(Users!$D$2:$D$310,MATCH(A1110,Users!$B$2:$B$310,0)),"")</f>
        <v/>
      </c>
      <c r="I1110" s="19">
        <f>AND(G1110="Service A",H1110="Band 3")</f>
        <v/>
      </c>
      <c r="J1110" s="33">
        <f>IF(AND(YEAR(B1110)=2025,G1110="Service B",OR(H1110="Band 3",H1110="Band 5"),ISNUMBER(F1110)),F1110,"")</f>
        <v/>
      </c>
    </row>
    <row r="1111">
      <c r="A1111" s="19" t="inlineStr">
        <is>
          <t>User1119</t>
        </is>
      </c>
      <c r="B1111" s="60" t="n">
        <v>46023</v>
      </c>
      <c r="C1111" s="21" t="n">
        <v>155.4</v>
      </c>
      <c r="D1111" s="21" t="n">
        <v>130.42</v>
      </c>
      <c r="E1111" s="21" t="n">
        <v>84.67</v>
      </c>
      <c r="F1111" s="27">
        <f>IFERROR(IF(OR(C1111="",D1111="",C1111=0),"",D1111/C1111),"")</f>
        <v/>
      </c>
      <c r="G1111" s="21">
        <f>IFERROR(INDEX(Users!$A$2:$A$310,MATCH(A1111,Users!$B$2:$B$310,0)),"")</f>
        <v/>
      </c>
      <c r="H1111" s="21">
        <f>IFERROR(INDEX(Users!$D$2:$D$310,MATCH(A1111,Users!$B$2:$B$310,0)),"")</f>
        <v/>
      </c>
      <c r="I1111" s="19">
        <f>AND(G1111="Service A",H1111="Band 3")</f>
        <v/>
      </c>
      <c r="J1111" s="33">
        <f>IF(AND(YEAR(B1111)=2025,G1111="Service B",OR(H1111="Band 3",H1111="Band 5"),ISNUMBER(F1111)),F1111,"")</f>
        <v/>
      </c>
    </row>
    <row r="1112">
      <c r="A1112" s="19" t="inlineStr">
        <is>
          <t>User1120</t>
        </is>
      </c>
      <c r="B1112" s="60" t="n">
        <v>45689</v>
      </c>
      <c r="C1112" s="21" t="n">
        <v>37</v>
      </c>
      <c r="D1112" s="21" t="n"/>
      <c r="E1112" s="21" t="n"/>
      <c r="F1112" s="27">
        <f>IFERROR(IF(OR(C1112="",D1112="",C1112=0),"",D1112/C1112),"")</f>
        <v/>
      </c>
      <c r="G1112" s="21">
        <f>IFERROR(INDEX(Users!$A$2:$A$310,MATCH(A1112,Users!$B$2:$B$310,0)),"")</f>
        <v/>
      </c>
      <c r="H1112" s="21">
        <f>IFERROR(INDEX(Users!$D$2:$D$310,MATCH(A1112,Users!$B$2:$B$310,0)),"")</f>
        <v/>
      </c>
      <c r="I1112" s="19">
        <f>AND(G1112="Service A",H1112="Band 3")</f>
        <v/>
      </c>
      <c r="J1112" s="33">
        <f>IF(AND(YEAR(B1112)=2025,G1112="Service B",OR(H1112="Band 3",H1112="Band 5"),ISNUMBER(F1112)),F1112,"")</f>
        <v/>
      </c>
    </row>
    <row r="1113">
      <c r="A1113" s="19" t="inlineStr">
        <is>
          <t>User1120</t>
        </is>
      </c>
      <c r="B1113" s="60" t="n">
        <v>45717</v>
      </c>
      <c r="C1113" s="21" t="n">
        <v>155.4</v>
      </c>
      <c r="D1113" s="21" t="n">
        <v>15.40666666666667</v>
      </c>
      <c r="E1113" s="21" t="n">
        <v>0.34</v>
      </c>
      <c r="F1113" s="27">
        <f>IFERROR(IF(OR(C1113="",D1113="",C1113=0),"",D1113/C1113),"")</f>
        <v/>
      </c>
      <c r="G1113" s="21">
        <f>IFERROR(INDEX(Users!$A$2:$A$310,MATCH(A1113,Users!$B$2:$B$310,0)),"")</f>
        <v/>
      </c>
      <c r="H1113" s="21">
        <f>IFERROR(INDEX(Users!$D$2:$D$310,MATCH(A1113,Users!$B$2:$B$310,0)),"")</f>
        <v/>
      </c>
      <c r="I1113" s="19">
        <f>AND(G1113="Service A",H1113="Band 3")</f>
        <v/>
      </c>
      <c r="J1113" s="33">
        <f>IF(AND(YEAR(B1113)=2025,G1113="Service B",OR(H1113="Band 3",H1113="Band 5"),ISNUMBER(F1113)),F1113,"")</f>
        <v/>
      </c>
    </row>
    <row r="1114">
      <c r="A1114" s="19" t="inlineStr">
        <is>
          <t>User1120</t>
        </is>
      </c>
      <c r="B1114" s="60" t="n">
        <v>45748</v>
      </c>
      <c r="C1114" s="21" t="n">
        <v>148</v>
      </c>
      <c r="D1114" s="21" t="n">
        <v>68.41</v>
      </c>
      <c r="E1114" s="21" t="n">
        <v>13.91</v>
      </c>
      <c r="F1114" s="27">
        <f>IFERROR(IF(OR(C1114="",D1114="",C1114=0),"",D1114/C1114),"")</f>
        <v/>
      </c>
      <c r="G1114" s="21">
        <f>IFERROR(INDEX(Users!$A$2:$A$310,MATCH(A1114,Users!$B$2:$B$310,0)),"")</f>
        <v/>
      </c>
      <c r="H1114" s="21">
        <f>IFERROR(INDEX(Users!$D$2:$D$310,MATCH(A1114,Users!$B$2:$B$310,0)),"")</f>
        <v/>
      </c>
      <c r="I1114" s="19">
        <f>AND(G1114="Service A",H1114="Band 3")</f>
        <v/>
      </c>
      <c r="J1114" s="33">
        <f>IF(AND(YEAR(B1114)=2025,G1114="Service B",OR(H1114="Band 3",H1114="Band 5"),ISNUMBER(F1114)),F1114,"")</f>
        <v/>
      </c>
    </row>
    <row r="1115">
      <c r="A1115" s="19" t="inlineStr">
        <is>
          <t>User1120</t>
        </is>
      </c>
      <c r="B1115" s="60" t="n">
        <v>45778</v>
      </c>
      <c r="C1115" s="21" t="n">
        <v>148</v>
      </c>
      <c r="D1115" s="21" t="n">
        <v>35.34</v>
      </c>
      <c r="E1115" s="21" t="n">
        <v>11.84</v>
      </c>
      <c r="F1115" s="27">
        <f>IFERROR(IF(OR(C1115="",D1115="",C1115=0),"",D1115/C1115),"")</f>
        <v/>
      </c>
      <c r="G1115" s="21">
        <f>IFERROR(INDEX(Users!$A$2:$A$310,MATCH(A1115,Users!$B$2:$B$310,0)),"")</f>
        <v/>
      </c>
      <c r="H1115" s="21">
        <f>IFERROR(INDEX(Users!$D$2:$D$310,MATCH(A1115,Users!$B$2:$B$310,0)),"")</f>
        <v/>
      </c>
      <c r="I1115" s="19">
        <f>AND(G1115="Service A",H1115="Band 3")</f>
        <v/>
      </c>
      <c r="J1115" s="33">
        <f>IF(AND(YEAR(B1115)=2025,G1115="Service B",OR(H1115="Band 3",H1115="Band 5"),ISNUMBER(F1115)),F1115,"")</f>
        <v/>
      </c>
    </row>
    <row r="1116">
      <c r="A1116" s="19" t="inlineStr">
        <is>
          <t>User1120</t>
        </is>
      </c>
      <c r="B1116" s="60" t="n">
        <v>45809</v>
      </c>
      <c r="C1116" s="21" t="n">
        <v>155.4</v>
      </c>
      <c r="D1116" s="21" t="n">
        <v>72.33</v>
      </c>
      <c r="E1116" s="21" t="n">
        <v>24.83</v>
      </c>
      <c r="F1116" s="27">
        <f>IFERROR(IF(OR(C1116="",D1116="",C1116=0),"",D1116/C1116),"")</f>
        <v/>
      </c>
      <c r="G1116" s="21">
        <f>IFERROR(INDEX(Users!$A$2:$A$310,MATCH(A1116,Users!$B$2:$B$310,0)),"")</f>
        <v/>
      </c>
      <c r="H1116" s="21">
        <f>IFERROR(INDEX(Users!$D$2:$D$310,MATCH(A1116,Users!$B$2:$B$310,0)),"")</f>
        <v/>
      </c>
      <c r="I1116" s="19">
        <f>AND(G1116="Service A",H1116="Band 3")</f>
        <v/>
      </c>
      <c r="J1116" s="33">
        <f>IF(AND(YEAR(B1116)=2025,G1116="Service B",OR(H1116="Band 3",H1116="Band 5"),ISNUMBER(F1116)),F1116,"")</f>
        <v/>
      </c>
    </row>
    <row r="1117">
      <c r="A1117" s="19" t="inlineStr">
        <is>
          <t>User1120</t>
        </is>
      </c>
      <c r="B1117" s="60" t="n">
        <v>45839</v>
      </c>
      <c r="C1117" s="21" t="n">
        <v>170.2</v>
      </c>
      <c r="D1117" s="21" t="n">
        <v>54.43</v>
      </c>
      <c r="E1117" s="21" t="n">
        <v>26.43</v>
      </c>
      <c r="F1117" s="27">
        <f>IFERROR(IF(OR(C1117="",D1117="",C1117=0),"",D1117/C1117),"")</f>
        <v/>
      </c>
      <c r="G1117" s="21">
        <f>IFERROR(INDEX(Users!$A$2:$A$310,MATCH(A1117,Users!$B$2:$B$310,0)),"")</f>
        <v/>
      </c>
      <c r="H1117" s="21">
        <f>IFERROR(INDEX(Users!$D$2:$D$310,MATCH(A1117,Users!$B$2:$B$310,0)),"")</f>
        <v/>
      </c>
      <c r="I1117" s="19">
        <f>AND(G1117="Service A",H1117="Band 3")</f>
        <v/>
      </c>
      <c r="J1117" s="33">
        <f>IF(AND(YEAR(B1117)=2025,G1117="Service B",OR(H1117="Band 3",H1117="Band 5"),ISNUMBER(F1117)),F1117,"")</f>
        <v/>
      </c>
    </row>
    <row r="1118">
      <c r="A1118" s="19" t="inlineStr">
        <is>
          <t>User1120</t>
        </is>
      </c>
      <c r="B1118" s="60" t="n">
        <v>45870</v>
      </c>
      <c r="C1118" s="21" t="n">
        <v>148</v>
      </c>
      <c r="D1118" s="21" t="n">
        <v>1.97</v>
      </c>
      <c r="E1118" s="21" t="n">
        <v>0.9699999999999999</v>
      </c>
      <c r="F1118" s="27">
        <f>IFERROR(IF(OR(C1118="",D1118="",C1118=0),"",D1118/C1118),"")</f>
        <v/>
      </c>
      <c r="G1118" s="21">
        <f>IFERROR(INDEX(Users!$A$2:$A$310,MATCH(A1118,Users!$B$2:$B$310,0)),"")</f>
        <v/>
      </c>
      <c r="H1118" s="21">
        <f>IFERROR(INDEX(Users!$D$2:$D$310,MATCH(A1118,Users!$B$2:$B$310,0)),"")</f>
        <v/>
      </c>
      <c r="I1118" s="19">
        <f>AND(G1118="Service A",H1118="Band 3")</f>
        <v/>
      </c>
      <c r="J1118" s="33">
        <f>IF(AND(YEAR(B1118)=2025,G1118="Service B",OR(H1118="Band 3",H1118="Band 5"),ISNUMBER(F1118)),F1118,"")</f>
        <v/>
      </c>
    </row>
    <row r="1119">
      <c r="A1119" s="19" t="inlineStr">
        <is>
          <t>User1120</t>
        </is>
      </c>
      <c r="B1119" s="60" t="n">
        <v>45901</v>
      </c>
      <c r="C1119" s="21" t="n">
        <v>162.8</v>
      </c>
      <c r="D1119" s="21" t="n">
        <v>73.50666666666666</v>
      </c>
      <c r="E1119" s="21" t="n">
        <v>39.34</v>
      </c>
      <c r="F1119" s="27">
        <f>IFERROR(IF(OR(C1119="",D1119="",C1119=0),"",D1119/C1119),"")</f>
        <v/>
      </c>
      <c r="G1119" s="21">
        <f>IFERROR(INDEX(Users!$A$2:$A$310,MATCH(A1119,Users!$B$2:$B$310,0)),"")</f>
        <v/>
      </c>
      <c r="H1119" s="21">
        <f>IFERROR(INDEX(Users!$D$2:$D$310,MATCH(A1119,Users!$B$2:$B$310,0)),"")</f>
        <v/>
      </c>
      <c r="I1119" s="19">
        <f>AND(G1119="Service A",H1119="Band 3")</f>
        <v/>
      </c>
      <c r="J1119" s="33">
        <f>IF(AND(YEAR(B1119)=2025,G1119="Service B",OR(H1119="Band 3",H1119="Band 5"),ISNUMBER(F1119)),F1119,"")</f>
        <v/>
      </c>
    </row>
    <row r="1120">
      <c r="A1120" s="19" t="inlineStr">
        <is>
          <t>User1120</t>
        </is>
      </c>
      <c r="B1120" s="60" t="n">
        <v>45931</v>
      </c>
      <c r="C1120" s="21" t="n">
        <v>170.2</v>
      </c>
      <c r="D1120" s="21" t="n">
        <v>51</v>
      </c>
      <c r="E1120" s="21" t="n">
        <v>34</v>
      </c>
      <c r="F1120" s="27">
        <f>IFERROR(IF(OR(C1120="",D1120="",C1120=0),"",D1120/C1120),"")</f>
        <v/>
      </c>
      <c r="G1120" s="21">
        <f>IFERROR(INDEX(Users!$A$2:$A$310,MATCH(A1120,Users!$B$2:$B$310,0)),"")</f>
        <v/>
      </c>
      <c r="H1120" s="21">
        <f>IFERROR(INDEX(Users!$D$2:$D$310,MATCH(A1120,Users!$B$2:$B$310,0)),"")</f>
        <v/>
      </c>
      <c r="I1120" s="19">
        <f>AND(G1120="Service A",H1120="Band 3")</f>
        <v/>
      </c>
      <c r="J1120" s="33">
        <f>IF(AND(YEAR(B1120)=2025,G1120="Service B",OR(H1120="Band 3",H1120="Band 5"),ISNUMBER(F1120)),F1120,"")</f>
        <v/>
      </c>
    </row>
    <row r="1121">
      <c r="A1121" s="19" t="inlineStr">
        <is>
          <t>User1120</t>
        </is>
      </c>
      <c r="B1121" s="60" t="n">
        <v>45962</v>
      </c>
      <c r="C1121" s="21" t="n">
        <v>148</v>
      </c>
      <c r="D1121" s="21" t="n">
        <v>53.59</v>
      </c>
      <c r="E1121" s="21" t="n">
        <v>23.59</v>
      </c>
      <c r="F1121" s="27">
        <f>IFERROR(IF(OR(C1121="",D1121="",C1121=0),"",D1121/C1121),"")</f>
        <v/>
      </c>
      <c r="G1121" s="21">
        <f>IFERROR(INDEX(Users!$A$2:$A$310,MATCH(A1121,Users!$B$2:$B$310,0)),"")</f>
        <v/>
      </c>
      <c r="H1121" s="21">
        <f>IFERROR(INDEX(Users!$D$2:$D$310,MATCH(A1121,Users!$B$2:$B$310,0)),"")</f>
        <v/>
      </c>
      <c r="I1121" s="19">
        <f>AND(G1121="Service A",H1121="Band 3")</f>
        <v/>
      </c>
      <c r="J1121" s="33">
        <f>IF(AND(YEAR(B1121)=2025,G1121="Service B",OR(H1121="Band 3",H1121="Band 5"),ISNUMBER(F1121)),F1121,"")</f>
        <v/>
      </c>
    </row>
    <row r="1122">
      <c r="A1122" s="19" t="inlineStr">
        <is>
          <t>User1120</t>
        </is>
      </c>
      <c r="B1122" s="60" t="n">
        <v>45992</v>
      </c>
      <c r="C1122" s="21" t="n">
        <v>155.4</v>
      </c>
      <c r="D1122" s="21" t="n">
        <v>24.87</v>
      </c>
      <c r="E1122" s="21" t="n">
        <v>24.87</v>
      </c>
      <c r="F1122" s="27">
        <f>IFERROR(IF(OR(C1122="",D1122="",C1122=0),"",D1122/C1122),"")</f>
        <v/>
      </c>
      <c r="G1122" s="21">
        <f>IFERROR(INDEX(Users!$A$2:$A$310,MATCH(A1122,Users!$B$2:$B$310,0)),"")</f>
        <v/>
      </c>
      <c r="H1122" s="21">
        <f>IFERROR(INDEX(Users!$D$2:$D$310,MATCH(A1122,Users!$B$2:$B$310,0)),"")</f>
        <v/>
      </c>
      <c r="I1122" s="19">
        <f>AND(G1122="Service A",H1122="Band 3")</f>
        <v/>
      </c>
      <c r="J1122" s="33">
        <f>IF(AND(YEAR(B1122)=2025,G1122="Service B",OR(H1122="Band 3",H1122="Band 5"),ISNUMBER(F1122)),F1122,"")</f>
        <v/>
      </c>
    </row>
    <row r="1123">
      <c r="A1123" s="19" t="inlineStr">
        <is>
          <t>User1120</t>
        </is>
      </c>
      <c r="B1123" s="60" t="n">
        <v>46023</v>
      </c>
      <c r="C1123" s="21" t="n">
        <v>155.4</v>
      </c>
      <c r="D1123" s="21" t="n">
        <v>14.37</v>
      </c>
      <c r="E1123" s="21" t="n">
        <v>12.87</v>
      </c>
      <c r="F1123" s="27">
        <f>IFERROR(IF(OR(C1123="",D1123="",C1123=0),"",D1123/C1123),"")</f>
        <v/>
      </c>
      <c r="G1123" s="21">
        <f>IFERROR(INDEX(Users!$A$2:$A$310,MATCH(A1123,Users!$B$2:$B$310,0)),"")</f>
        <v/>
      </c>
      <c r="H1123" s="21">
        <f>IFERROR(INDEX(Users!$D$2:$D$310,MATCH(A1123,Users!$B$2:$B$310,0)),"")</f>
        <v/>
      </c>
      <c r="I1123" s="19">
        <f>AND(G1123="Service A",H1123="Band 3")</f>
        <v/>
      </c>
      <c r="J1123" s="33">
        <f>IF(AND(YEAR(B1123)=2025,G1123="Service B",OR(H1123="Band 3",H1123="Band 5"),ISNUMBER(F1123)),F1123,"")</f>
        <v/>
      </c>
    </row>
    <row r="1124">
      <c r="A1124" s="19" t="inlineStr">
        <is>
          <t>User1121</t>
        </is>
      </c>
      <c r="B1124" s="60" t="n">
        <v>45658</v>
      </c>
      <c r="C1124" s="21" t="n"/>
      <c r="D1124" s="21" t="n"/>
      <c r="E1124" s="21" t="n"/>
      <c r="F1124" s="27">
        <f>IFERROR(IF(OR(C1124="",D1124="",C1124=0),"",D1124/C1124),"")</f>
        <v/>
      </c>
      <c r="G1124" s="21">
        <f>IFERROR(INDEX(Users!$A$2:$A$310,MATCH(A1124,Users!$B$2:$B$310,0)),"")</f>
        <v/>
      </c>
      <c r="H1124" s="21">
        <f>IFERROR(INDEX(Users!$D$2:$D$310,MATCH(A1124,Users!$B$2:$B$310,0)),"")</f>
        <v/>
      </c>
      <c r="I1124" s="19">
        <f>AND(G1124="Service A",H1124="Band 3")</f>
        <v/>
      </c>
      <c r="J1124" s="33">
        <f>IF(AND(YEAR(B1124)=2025,G1124="Service B",OR(H1124="Band 3",H1124="Band 5"),ISNUMBER(F1124)),F1124,"")</f>
        <v/>
      </c>
    </row>
    <row r="1125">
      <c r="A1125" s="19" t="inlineStr">
        <is>
          <t>User1122</t>
        </is>
      </c>
      <c r="B1125" s="60" t="n">
        <v>45658</v>
      </c>
      <c r="C1125" s="21" t="n">
        <v>112.2</v>
      </c>
      <c r="D1125" s="21" t="n">
        <v>100.5866666666667</v>
      </c>
      <c r="E1125" s="21" t="n">
        <v>47.67</v>
      </c>
      <c r="F1125" s="27">
        <f>IFERROR(IF(OR(C1125="",D1125="",C1125=0),"",D1125/C1125),"")</f>
        <v/>
      </c>
      <c r="G1125" s="21">
        <f>IFERROR(INDEX(Users!$A$2:$A$310,MATCH(A1125,Users!$B$2:$B$310,0)),"")</f>
        <v/>
      </c>
      <c r="H1125" s="21">
        <f>IFERROR(INDEX(Users!$D$2:$D$310,MATCH(A1125,Users!$B$2:$B$310,0)),"")</f>
        <v/>
      </c>
      <c r="I1125" s="19">
        <f>AND(G1125="Service A",H1125="Band 3")</f>
        <v/>
      </c>
      <c r="J1125" s="33">
        <f>IF(AND(YEAR(B1125)=2025,G1125="Service B",OR(H1125="Band 3",H1125="Band 5"),ISNUMBER(F1125)),F1125,"")</f>
        <v/>
      </c>
    </row>
    <row r="1126">
      <c r="A1126" s="19" t="inlineStr">
        <is>
          <t>User1122</t>
        </is>
      </c>
      <c r="B1126" s="60" t="n">
        <v>45689</v>
      </c>
      <c r="C1126" s="21" t="n">
        <v>102</v>
      </c>
      <c r="D1126" s="21" t="n">
        <v>105.82</v>
      </c>
      <c r="E1126" s="21" t="n">
        <v>67.56999999999999</v>
      </c>
      <c r="F1126" s="27">
        <f>IFERROR(IF(OR(C1126="",D1126="",C1126=0),"",D1126/C1126),"")</f>
        <v/>
      </c>
      <c r="G1126" s="21">
        <f>IFERROR(INDEX(Users!$A$2:$A$310,MATCH(A1126,Users!$B$2:$B$310,0)),"")</f>
        <v/>
      </c>
      <c r="H1126" s="21">
        <f>IFERROR(INDEX(Users!$D$2:$D$310,MATCH(A1126,Users!$B$2:$B$310,0)),"")</f>
        <v/>
      </c>
      <c r="I1126" s="19">
        <f>AND(G1126="Service A",H1126="Band 3")</f>
        <v/>
      </c>
      <c r="J1126" s="33">
        <f>IF(AND(YEAR(B1126)=2025,G1126="Service B",OR(H1126="Band 3",H1126="Band 5"),ISNUMBER(F1126)),F1126,"")</f>
        <v/>
      </c>
    </row>
    <row r="1127">
      <c r="A1127" s="19" t="inlineStr">
        <is>
          <t>User1122</t>
        </is>
      </c>
      <c r="B1127" s="60" t="n">
        <v>45717</v>
      </c>
      <c r="C1127" s="21" t="n">
        <v>107.1</v>
      </c>
      <c r="D1127" s="21" t="n">
        <v>120.5933333333333</v>
      </c>
      <c r="E1127" s="21" t="n">
        <v>68.76000000000001</v>
      </c>
      <c r="F1127" s="27">
        <f>IFERROR(IF(OR(C1127="",D1127="",C1127=0),"",D1127/C1127),"")</f>
        <v/>
      </c>
      <c r="G1127" s="21">
        <f>IFERROR(INDEX(Users!$A$2:$A$310,MATCH(A1127,Users!$B$2:$B$310,0)),"")</f>
        <v/>
      </c>
      <c r="H1127" s="21">
        <f>IFERROR(INDEX(Users!$D$2:$D$310,MATCH(A1127,Users!$B$2:$B$310,0)),"")</f>
        <v/>
      </c>
      <c r="I1127" s="19">
        <f>AND(G1127="Service A",H1127="Band 3")</f>
        <v/>
      </c>
      <c r="J1127" s="33">
        <f>IF(AND(YEAR(B1127)=2025,G1127="Service B",OR(H1127="Band 3",H1127="Band 5"),ISNUMBER(F1127)),F1127,"")</f>
        <v/>
      </c>
    </row>
    <row r="1128">
      <c r="A1128" s="19" t="inlineStr">
        <is>
          <t>User1122</t>
        </is>
      </c>
      <c r="B1128" s="60" t="n">
        <v>45748</v>
      </c>
      <c r="C1128" s="21" t="n">
        <v>102</v>
      </c>
      <c r="D1128" s="21" t="n">
        <v>90.07666666666665</v>
      </c>
      <c r="E1128" s="21" t="n">
        <v>32.41</v>
      </c>
      <c r="F1128" s="27">
        <f>IFERROR(IF(OR(C1128="",D1128="",C1128=0),"",D1128/C1128),"")</f>
        <v/>
      </c>
      <c r="G1128" s="21">
        <f>IFERROR(INDEX(Users!$A$2:$A$310,MATCH(A1128,Users!$B$2:$B$310,0)),"")</f>
        <v/>
      </c>
      <c r="H1128" s="21">
        <f>IFERROR(INDEX(Users!$D$2:$D$310,MATCH(A1128,Users!$B$2:$B$310,0)),"")</f>
        <v/>
      </c>
      <c r="I1128" s="19">
        <f>AND(G1128="Service A",H1128="Band 3")</f>
        <v/>
      </c>
      <c r="J1128" s="33">
        <f>IF(AND(YEAR(B1128)=2025,G1128="Service B",OR(H1128="Band 3",H1128="Band 5"),ISNUMBER(F1128)),F1128,"")</f>
        <v/>
      </c>
    </row>
    <row r="1129">
      <c r="A1129" s="19" t="inlineStr">
        <is>
          <t>User1122</t>
        </is>
      </c>
      <c r="B1129" s="60" t="n">
        <v>45778</v>
      </c>
      <c r="C1129" s="21" t="n">
        <v>102</v>
      </c>
      <c r="D1129" s="21" t="n">
        <v>20.5</v>
      </c>
      <c r="E1129" s="21" t="n">
        <v>13.75</v>
      </c>
      <c r="F1129" s="27">
        <f>IFERROR(IF(OR(C1129="",D1129="",C1129=0),"",D1129/C1129),"")</f>
        <v/>
      </c>
      <c r="G1129" s="21">
        <f>IFERROR(INDEX(Users!$A$2:$A$310,MATCH(A1129,Users!$B$2:$B$310,0)),"")</f>
        <v/>
      </c>
      <c r="H1129" s="21">
        <f>IFERROR(INDEX(Users!$D$2:$D$310,MATCH(A1129,Users!$B$2:$B$310,0)),"")</f>
        <v/>
      </c>
      <c r="I1129" s="19">
        <f>AND(G1129="Service A",H1129="Band 3")</f>
        <v/>
      </c>
      <c r="J1129" s="33">
        <f>IF(AND(YEAR(B1129)=2025,G1129="Service B",OR(H1129="Band 3",H1129="Band 5"),ISNUMBER(F1129)),F1129,"")</f>
        <v/>
      </c>
    </row>
    <row r="1130">
      <c r="A1130" s="19" t="inlineStr">
        <is>
          <t>User1122</t>
        </is>
      </c>
      <c r="B1130" s="60" t="n">
        <v>45809</v>
      </c>
      <c r="C1130" s="21" t="n">
        <v>107.1</v>
      </c>
      <c r="D1130" s="21" t="n">
        <v>106.34</v>
      </c>
      <c r="E1130" s="21" t="n">
        <v>83.09</v>
      </c>
      <c r="F1130" s="27">
        <f>IFERROR(IF(OR(C1130="",D1130="",C1130=0),"",D1130/C1130),"")</f>
        <v/>
      </c>
      <c r="G1130" s="21">
        <f>IFERROR(INDEX(Users!$A$2:$A$310,MATCH(A1130,Users!$B$2:$B$310,0)),"")</f>
        <v/>
      </c>
      <c r="H1130" s="21">
        <f>IFERROR(INDEX(Users!$D$2:$D$310,MATCH(A1130,Users!$B$2:$B$310,0)),"")</f>
        <v/>
      </c>
      <c r="I1130" s="19">
        <f>AND(G1130="Service A",H1130="Band 3")</f>
        <v/>
      </c>
      <c r="J1130" s="33">
        <f>IF(AND(YEAR(B1130)=2025,G1130="Service B",OR(H1130="Band 3",H1130="Band 5"),ISNUMBER(F1130)),F1130,"")</f>
        <v/>
      </c>
    </row>
    <row r="1131">
      <c r="A1131" s="19" t="inlineStr">
        <is>
          <t>User1122</t>
        </is>
      </c>
      <c r="B1131" s="60" t="n">
        <v>45839</v>
      </c>
      <c r="C1131" s="21" t="n">
        <v>117.3</v>
      </c>
      <c r="D1131" s="21" t="n">
        <v>111.3466666666667</v>
      </c>
      <c r="E1131" s="21" t="n">
        <v>77.43000000000001</v>
      </c>
      <c r="F1131" s="27">
        <f>IFERROR(IF(OR(C1131="",D1131="",C1131=0),"",D1131/C1131),"")</f>
        <v/>
      </c>
      <c r="G1131" s="21">
        <f>IFERROR(INDEX(Users!$A$2:$A$310,MATCH(A1131,Users!$B$2:$B$310,0)),"")</f>
        <v/>
      </c>
      <c r="H1131" s="21">
        <f>IFERROR(INDEX(Users!$D$2:$D$310,MATCH(A1131,Users!$B$2:$B$310,0)),"")</f>
        <v/>
      </c>
      <c r="I1131" s="19">
        <f>AND(G1131="Service A",H1131="Band 3")</f>
        <v/>
      </c>
      <c r="J1131" s="33">
        <f>IF(AND(YEAR(B1131)=2025,G1131="Service B",OR(H1131="Band 3",H1131="Band 5"),ISNUMBER(F1131)),F1131,"")</f>
        <v/>
      </c>
    </row>
    <row r="1132">
      <c r="A1132" s="19" t="inlineStr">
        <is>
          <t>User1122</t>
        </is>
      </c>
      <c r="B1132" s="60" t="n">
        <v>45870</v>
      </c>
      <c r="C1132" s="21" t="n">
        <v>102</v>
      </c>
      <c r="D1132" s="21" t="n">
        <v>75.59666666666668</v>
      </c>
      <c r="E1132" s="21" t="n">
        <v>54.18000000000001</v>
      </c>
      <c r="F1132" s="27">
        <f>IFERROR(IF(OR(C1132="",D1132="",C1132=0),"",D1132/C1132),"")</f>
        <v/>
      </c>
      <c r="G1132" s="21">
        <f>IFERROR(INDEX(Users!$A$2:$A$310,MATCH(A1132,Users!$B$2:$B$310,0)),"")</f>
        <v/>
      </c>
      <c r="H1132" s="21">
        <f>IFERROR(INDEX(Users!$D$2:$D$310,MATCH(A1132,Users!$B$2:$B$310,0)),"")</f>
        <v/>
      </c>
      <c r="I1132" s="19">
        <f>AND(G1132="Service A",H1132="Band 3")</f>
        <v/>
      </c>
      <c r="J1132" s="33">
        <f>IF(AND(YEAR(B1132)=2025,G1132="Service B",OR(H1132="Band 3",H1132="Band 5"),ISNUMBER(F1132)),F1132,"")</f>
        <v/>
      </c>
    </row>
    <row r="1133">
      <c r="A1133" s="19" t="inlineStr">
        <is>
          <t>User1122</t>
        </is>
      </c>
      <c r="B1133" s="60" t="n">
        <v>45901</v>
      </c>
      <c r="C1133" s="21" t="n">
        <v>112.2</v>
      </c>
      <c r="D1133" s="21" t="n">
        <v>113.5166666666667</v>
      </c>
      <c r="E1133" s="21" t="n">
        <v>80.85000000000001</v>
      </c>
      <c r="F1133" s="27">
        <f>IFERROR(IF(OR(C1133="",D1133="",C1133=0),"",D1133/C1133),"")</f>
        <v/>
      </c>
      <c r="G1133" s="21">
        <f>IFERROR(INDEX(Users!$A$2:$A$310,MATCH(A1133,Users!$B$2:$B$310,0)),"")</f>
        <v/>
      </c>
      <c r="H1133" s="21">
        <f>IFERROR(INDEX(Users!$D$2:$D$310,MATCH(A1133,Users!$B$2:$B$310,0)),"")</f>
        <v/>
      </c>
      <c r="I1133" s="19">
        <f>AND(G1133="Service A",H1133="Band 3")</f>
        <v/>
      </c>
      <c r="J1133" s="33">
        <f>IF(AND(YEAR(B1133)=2025,G1133="Service B",OR(H1133="Band 3",H1133="Band 5"),ISNUMBER(F1133)),F1133,"")</f>
        <v/>
      </c>
    </row>
    <row r="1134">
      <c r="A1134" s="19" t="inlineStr">
        <is>
          <t>User1122</t>
        </is>
      </c>
      <c r="B1134" s="60" t="n">
        <v>45931</v>
      </c>
      <c r="C1134" s="21" t="n">
        <v>117.3</v>
      </c>
      <c r="D1134" s="21" t="n">
        <v>90.15333333333334</v>
      </c>
      <c r="E1134" s="21" t="n">
        <v>53.81999999999999</v>
      </c>
      <c r="F1134" s="27">
        <f>IFERROR(IF(OR(C1134="",D1134="",C1134=0),"",D1134/C1134),"")</f>
        <v/>
      </c>
      <c r="G1134" s="21">
        <f>IFERROR(INDEX(Users!$A$2:$A$310,MATCH(A1134,Users!$B$2:$B$310,0)),"")</f>
        <v/>
      </c>
      <c r="H1134" s="21">
        <f>IFERROR(INDEX(Users!$D$2:$D$310,MATCH(A1134,Users!$B$2:$B$310,0)),"")</f>
        <v/>
      </c>
      <c r="I1134" s="19">
        <f>AND(G1134="Service A",H1134="Band 3")</f>
        <v/>
      </c>
      <c r="J1134" s="33">
        <f>IF(AND(YEAR(B1134)=2025,G1134="Service B",OR(H1134="Band 3",H1134="Band 5"),ISNUMBER(F1134)),F1134,"")</f>
        <v/>
      </c>
    </row>
    <row r="1135">
      <c r="A1135" s="19" t="inlineStr">
        <is>
          <t>User1122</t>
        </is>
      </c>
      <c r="B1135" s="60" t="n">
        <v>45962</v>
      </c>
      <c r="C1135" s="21" t="n">
        <v>102</v>
      </c>
      <c r="D1135" s="21" t="n">
        <v>92.11333333333334</v>
      </c>
      <c r="E1135" s="21" t="n">
        <v>65.03</v>
      </c>
      <c r="F1135" s="27">
        <f>IFERROR(IF(OR(C1135="",D1135="",C1135=0),"",D1135/C1135),"")</f>
        <v/>
      </c>
      <c r="G1135" s="21">
        <f>IFERROR(INDEX(Users!$A$2:$A$310,MATCH(A1135,Users!$B$2:$B$310,0)),"")</f>
        <v/>
      </c>
      <c r="H1135" s="21">
        <f>IFERROR(INDEX(Users!$D$2:$D$310,MATCH(A1135,Users!$B$2:$B$310,0)),"")</f>
        <v/>
      </c>
      <c r="I1135" s="19">
        <f>AND(G1135="Service A",H1135="Band 3")</f>
        <v/>
      </c>
      <c r="J1135" s="33">
        <f>IF(AND(YEAR(B1135)=2025,G1135="Service B",OR(H1135="Band 3",H1135="Band 5"),ISNUMBER(F1135)),F1135,"")</f>
        <v/>
      </c>
    </row>
    <row r="1136">
      <c r="A1136" s="19" t="inlineStr">
        <is>
          <t>User1122</t>
        </is>
      </c>
      <c r="B1136" s="60" t="n">
        <v>45992</v>
      </c>
      <c r="C1136" s="21" t="n">
        <v>107.1</v>
      </c>
      <c r="D1136" s="21" t="n">
        <v>97.31999999999999</v>
      </c>
      <c r="E1136" s="21" t="n">
        <v>67.81999999999999</v>
      </c>
      <c r="F1136" s="27">
        <f>IFERROR(IF(OR(C1136="",D1136="",C1136=0),"",D1136/C1136),"")</f>
        <v/>
      </c>
      <c r="G1136" s="21">
        <f>IFERROR(INDEX(Users!$A$2:$A$310,MATCH(A1136,Users!$B$2:$B$310,0)),"")</f>
        <v/>
      </c>
      <c r="H1136" s="21">
        <f>IFERROR(INDEX(Users!$D$2:$D$310,MATCH(A1136,Users!$B$2:$B$310,0)),"")</f>
        <v/>
      </c>
      <c r="I1136" s="19">
        <f>AND(G1136="Service A",H1136="Band 3")</f>
        <v/>
      </c>
      <c r="J1136" s="33">
        <f>IF(AND(YEAR(B1136)=2025,G1136="Service B",OR(H1136="Band 3",H1136="Band 5"),ISNUMBER(F1136)),F1136,"")</f>
        <v/>
      </c>
    </row>
    <row r="1137">
      <c r="A1137" s="19" t="inlineStr">
        <is>
          <t>User1122</t>
        </is>
      </c>
      <c r="B1137" s="60" t="n">
        <v>46023</v>
      </c>
      <c r="C1137" s="21" t="n">
        <v>107.1</v>
      </c>
      <c r="D1137" s="21" t="n">
        <v>81.67333333333335</v>
      </c>
      <c r="E1137" s="21" t="n">
        <v>60.59</v>
      </c>
      <c r="F1137" s="27">
        <f>IFERROR(IF(OR(C1137="",D1137="",C1137=0),"",D1137/C1137),"")</f>
        <v/>
      </c>
      <c r="G1137" s="21">
        <f>IFERROR(INDEX(Users!$A$2:$A$310,MATCH(A1137,Users!$B$2:$B$310,0)),"")</f>
        <v/>
      </c>
      <c r="H1137" s="21">
        <f>IFERROR(INDEX(Users!$D$2:$D$310,MATCH(A1137,Users!$B$2:$B$310,0)),"")</f>
        <v/>
      </c>
      <c r="I1137" s="19">
        <f>AND(G1137="Service A",H1137="Band 3")</f>
        <v/>
      </c>
      <c r="J1137" s="33">
        <f>IF(AND(YEAR(B1137)=2025,G1137="Service B",OR(H1137="Band 3",H1137="Band 5"),ISNUMBER(F1137)),F1137,"")</f>
        <v/>
      </c>
    </row>
    <row r="1138">
      <c r="A1138" s="19" t="inlineStr">
        <is>
          <t>User1123</t>
        </is>
      </c>
      <c r="B1138" s="60" t="n">
        <v>45658</v>
      </c>
      <c r="C1138" s="21" t="n">
        <v>162.8</v>
      </c>
      <c r="D1138" s="21" t="n">
        <v>159.6455555555555</v>
      </c>
      <c r="E1138" s="21" t="n">
        <v>136.12</v>
      </c>
      <c r="F1138" s="27">
        <f>IFERROR(IF(OR(C1138="",D1138="",C1138=0),"",D1138/C1138),"")</f>
        <v/>
      </c>
      <c r="G1138" s="21">
        <f>IFERROR(INDEX(Users!$A$2:$A$310,MATCH(A1138,Users!$B$2:$B$310,0)),"")</f>
        <v/>
      </c>
      <c r="H1138" s="21">
        <f>IFERROR(INDEX(Users!$D$2:$D$310,MATCH(A1138,Users!$B$2:$B$310,0)),"")</f>
        <v/>
      </c>
      <c r="I1138" s="19">
        <f>AND(G1138="Service A",H1138="Band 3")</f>
        <v/>
      </c>
      <c r="J1138" s="33">
        <f>IF(AND(YEAR(B1138)=2025,G1138="Service B",OR(H1138="Band 3",H1138="Band 5"),ISNUMBER(F1138)),F1138,"")</f>
        <v/>
      </c>
    </row>
    <row r="1139">
      <c r="A1139" s="19" t="inlineStr">
        <is>
          <t>User1123</t>
        </is>
      </c>
      <c r="B1139" s="60" t="n">
        <v>45689</v>
      </c>
      <c r="C1139" s="21" t="n">
        <v>148</v>
      </c>
      <c r="D1139" s="21" t="n">
        <v>135.285</v>
      </c>
      <c r="E1139" s="21" t="n">
        <v>119.14</v>
      </c>
      <c r="F1139" s="27">
        <f>IFERROR(IF(OR(C1139="",D1139="",C1139=0),"",D1139/C1139),"")</f>
        <v/>
      </c>
      <c r="G1139" s="21">
        <f>IFERROR(INDEX(Users!$A$2:$A$310,MATCH(A1139,Users!$B$2:$B$310,0)),"")</f>
        <v/>
      </c>
      <c r="H1139" s="21">
        <f>IFERROR(INDEX(Users!$D$2:$D$310,MATCH(A1139,Users!$B$2:$B$310,0)),"")</f>
        <v/>
      </c>
      <c r="I1139" s="19">
        <f>AND(G1139="Service A",H1139="Band 3")</f>
        <v/>
      </c>
      <c r="J1139" s="33">
        <f>IF(AND(YEAR(B1139)=2025,G1139="Service B",OR(H1139="Band 3",H1139="Band 5"),ISNUMBER(F1139)),F1139,"")</f>
        <v/>
      </c>
    </row>
    <row r="1140">
      <c r="A1140" s="19" t="inlineStr">
        <is>
          <t>User1123</t>
        </is>
      </c>
      <c r="B1140" s="60" t="n">
        <v>45717</v>
      </c>
      <c r="C1140" s="21" t="n">
        <v>155.4</v>
      </c>
      <c r="D1140" s="21" t="n">
        <v>103.5191666666667</v>
      </c>
      <c r="E1140" s="21" t="n">
        <v>92.31999999999999</v>
      </c>
      <c r="F1140" s="27">
        <f>IFERROR(IF(OR(C1140="",D1140="",C1140=0),"",D1140/C1140),"")</f>
        <v/>
      </c>
      <c r="G1140" s="21">
        <f>IFERROR(INDEX(Users!$A$2:$A$310,MATCH(A1140,Users!$B$2:$B$310,0)),"")</f>
        <v/>
      </c>
      <c r="H1140" s="21">
        <f>IFERROR(INDEX(Users!$D$2:$D$310,MATCH(A1140,Users!$B$2:$B$310,0)),"")</f>
        <v/>
      </c>
      <c r="I1140" s="19">
        <f>AND(G1140="Service A",H1140="Band 3")</f>
        <v/>
      </c>
      <c r="J1140" s="33">
        <f>IF(AND(YEAR(B1140)=2025,G1140="Service B",OR(H1140="Band 3",H1140="Band 5"),ISNUMBER(F1140)),F1140,"")</f>
        <v/>
      </c>
    </row>
    <row r="1141">
      <c r="A1141" s="19" t="inlineStr">
        <is>
          <t>User1123</t>
        </is>
      </c>
      <c r="B1141" s="60" t="n">
        <v>45748</v>
      </c>
      <c r="C1141" s="21" t="n">
        <v>148</v>
      </c>
      <c r="D1141" s="21" t="n">
        <v>102.3633333333333</v>
      </c>
      <c r="E1141" s="21" t="n">
        <v>76.42</v>
      </c>
      <c r="F1141" s="27">
        <f>IFERROR(IF(OR(C1141="",D1141="",C1141=0),"",D1141/C1141),"")</f>
        <v/>
      </c>
      <c r="G1141" s="21">
        <f>IFERROR(INDEX(Users!$A$2:$A$310,MATCH(A1141,Users!$B$2:$B$310,0)),"")</f>
        <v/>
      </c>
      <c r="H1141" s="21">
        <f>IFERROR(INDEX(Users!$D$2:$D$310,MATCH(A1141,Users!$B$2:$B$310,0)),"")</f>
        <v/>
      </c>
      <c r="I1141" s="19">
        <f>AND(G1141="Service A",H1141="Band 3")</f>
        <v/>
      </c>
      <c r="J1141" s="33">
        <f>IF(AND(YEAR(B1141)=2025,G1141="Service B",OR(H1141="Band 3",H1141="Band 5"),ISNUMBER(F1141)),F1141,"")</f>
        <v/>
      </c>
    </row>
    <row r="1142">
      <c r="A1142" s="19" t="inlineStr">
        <is>
          <t>User1123</t>
        </is>
      </c>
      <c r="B1142" s="60" t="n">
        <v>45778</v>
      </c>
      <c r="C1142" s="21" t="n">
        <v>148</v>
      </c>
      <c r="D1142" s="21" t="n">
        <v>117.1402777777778</v>
      </c>
      <c r="E1142" s="21" t="n">
        <v>100.85</v>
      </c>
      <c r="F1142" s="27">
        <f>IFERROR(IF(OR(C1142="",D1142="",C1142=0),"",D1142/C1142),"")</f>
        <v/>
      </c>
      <c r="G1142" s="21">
        <f>IFERROR(INDEX(Users!$A$2:$A$310,MATCH(A1142,Users!$B$2:$B$310,0)),"")</f>
        <v/>
      </c>
      <c r="H1142" s="21">
        <f>IFERROR(INDEX(Users!$D$2:$D$310,MATCH(A1142,Users!$B$2:$B$310,0)),"")</f>
        <v/>
      </c>
      <c r="I1142" s="19">
        <f>AND(G1142="Service A",H1142="Band 3")</f>
        <v/>
      </c>
      <c r="J1142" s="33">
        <f>IF(AND(YEAR(B1142)=2025,G1142="Service B",OR(H1142="Band 3",H1142="Band 5"),ISNUMBER(F1142)),F1142,"")</f>
        <v/>
      </c>
    </row>
    <row r="1143">
      <c r="A1143" s="19" t="inlineStr">
        <is>
          <t>User1123</t>
        </is>
      </c>
      <c r="B1143" s="60" t="n">
        <v>45809</v>
      </c>
      <c r="C1143" s="21" t="n">
        <v>155.4</v>
      </c>
      <c r="D1143" s="21" t="n">
        <v>67.5461111111111</v>
      </c>
      <c r="E1143" s="21" t="n">
        <v>52.27</v>
      </c>
      <c r="F1143" s="27">
        <f>IFERROR(IF(OR(C1143="",D1143="",C1143=0),"",D1143/C1143),"")</f>
        <v/>
      </c>
      <c r="G1143" s="21">
        <f>IFERROR(INDEX(Users!$A$2:$A$310,MATCH(A1143,Users!$B$2:$B$310,0)),"")</f>
        <v/>
      </c>
      <c r="H1143" s="21">
        <f>IFERROR(INDEX(Users!$D$2:$D$310,MATCH(A1143,Users!$B$2:$B$310,0)),"")</f>
        <v/>
      </c>
      <c r="I1143" s="19">
        <f>AND(G1143="Service A",H1143="Band 3")</f>
        <v/>
      </c>
      <c r="J1143" s="33">
        <f>IF(AND(YEAR(B1143)=2025,G1143="Service B",OR(H1143="Band 3",H1143="Band 5"),ISNUMBER(F1143)),F1143,"")</f>
        <v/>
      </c>
    </row>
    <row r="1144">
      <c r="A1144" s="19" t="inlineStr">
        <is>
          <t>User1123</t>
        </is>
      </c>
      <c r="B1144" s="60" t="n">
        <v>45839</v>
      </c>
      <c r="C1144" s="21" t="n">
        <v>170.2</v>
      </c>
      <c r="D1144" s="21" t="n">
        <v>135.8294444444444</v>
      </c>
      <c r="E1144" s="21" t="n">
        <v>109.23</v>
      </c>
      <c r="F1144" s="27">
        <f>IFERROR(IF(OR(C1144="",D1144="",C1144=0),"",D1144/C1144),"")</f>
        <v/>
      </c>
      <c r="G1144" s="21">
        <f>IFERROR(INDEX(Users!$A$2:$A$310,MATCH(A1144,Users!$B$2:$B$310,0)),"")</f>
        <v/>
      </c>
      <c r="H1144" s="21">
        <f>IFERROR(INDEX(Users!$D$2:$D$310,MATCH(A1144,Users!$B$2:$B$310,0)),"")</f>
        <v/>
      </c>
      <c r="I1144" s="19">
        <f>AND(G1144="Service A",H1144="Band 3")</f>
        <v/>
      </c>
      <c r="J1144" s="33">
        <f>IF(AND(YEAR(B1144)=2025,G1144="Service B",OR(H1144="Band 3",H1144="Band 5"),ISNUMBER(F1144)),F1144,"")</f>
        <v/>
      </c>
    </row>
    <row r="1145">
      <c r="A1145" s="19" t="inlineStr">
        <is>
          <t>User1123</t>
        </is>
      </c>
      <c r="B1145" s="60" t="n">
        <v>45870</v>
      </c>
      <c r="C1145" s="21" t="n">
        <v>148</v>
      </c>
      <c r="D1145" s="21" t="n">
        <v>94.32527777777779</v>
      </c>
      <c r="E1145" s="21" t="n">
        <v>78.02000000000001</v>
      </c>
      <c r="F1145" s="27">
        <f>IFERROR(IF(OR(C1145="",D1145="",C1145=0),"",D1145/C1145),"")</f>
        <v/>
      </c>
      <c r="G1145" s="21">
        <f>IFERROR(INDEX(Users!$A$2:$A$310,MATCH(A1145,Users!$B$2:$B$310,0)),"")</f>
        <v/>
      </c>
      <c r="H1145" s="21">
        <f>IFERROR(INDEX(Users!$D$2:$D$310,MATCH(A1145,Users!$B$2:$B$310,0)),"")</f>
        <v/>
      </c>
      <c r="I1145" s="19">
        <f>AND(G1145="Service A",H1145="Band 3")</f>
        <v/>
      </c>
      <c r="J1145" s="33">
        <f>IF(AND(YEAR(B1145)=2025,G1145="Service B",OR(H1145="Band 3",H1145="Band 5"),ISNUMBER(F1145)),F1145,"")</f>
        <v/>
      </c>
    </row>
    <row r="1146">
      <c r="A1146" s="19" t="inlineStr">
        <is>
          <t>User1123</t>
        </is>
      </c>
      <c r="B1146" s="60" t="n">
        <v>45901</v>
      </c>
      <c r="C1146" s="21" t="n">
        <v>162.8</v>
      </c>
      <c r="D1146" s="21" t="n">
        <v>147.1091666666667</v>
      </c>
      <c r="E1146" s="21" t="n">
        <v>132.39</v>
      </c>
      <c r="F1146" s="27">
        <f>IFERROR(IF(OR(C1146="",D1146="",C1146=0),"",D1146/C1146),"")</f>
        <v/>
      </c>
      <c r="G1146" s="21">
        <f>IFERROR(INDEX(Users!$A$2:$A$310,MATCH(A1146,Users!$B$2:$B$310,0)),"")</f>
        <v/>
      </c>
      <c r="H1146" s="21">
        <f>IFERROR(INDEX(Users!$D$2:$D$310,MATCH(A1146,Users!$B$2:$B$310,0)),"")</f>
        <v/>
      </c>
      <c r="I1146" s="19">
        <f>AND(G1146="Service A",H1146="Band 3")</f>
        <v/>
      </c>
      <c r="J1146" s="33">
        <f>IF(AND(YEAR(B1146)=2025,G1146="Service B",OR(H1146="Band 3",H1146="Band 5"),ISNUMBER(F1146)),F1146,"")</f>
        <v/>
      </c>
    </row>
    <row r="1147">
      <c r="A1147" s="19" t="inlineStr">
        <is>
          <t>User1123</t>
        </is>
      </c>
      <c r="B1147" s="60" t="n">
        <v>45931</v>
      </c>
      <c r="C1147" s="21" t="n">
        <v>170.2</v>
      </c>
      <c r="D1147" s="21" t="n">
        <v>89.33444444444446</v>
      </c>
      <c r="E1147" s="21" t="n">
        <v>73.01000000000002</v>
      </c>
      <c r="F1147" s="27">
        <f>IFERROR(IF(OR(C1147="",D1147="",C1147=0),"",D1147/C1147),"")</f>
        <v/>
      </c>
      <c r="G1147" s="21">
        <f>IFERROR(INDEX(Users!$A$2:$A$310,MATCH(A1147,Users!$B$2:$B$310,0)),"")</f>
        <v/>
      </c>
      <c r="H1147" s="21">
        <f>IFERROR(INDEX(Users!$D$2:$D$310,MATCH(A1147,Users!$B$2:$B$310,0)),"")</f>
        <v/>
      </c>
      <c r="I1147" s="19">
        <f>AND(G1147="Service A",H1147="Band 3")</f>
        <v/>
      </c>
      <c r="J1147" s="33">
        <f>IF(AND(YEAR(B1147)=2025,G1147="Service B",OR(H1147="Band 3",H1147="Band 5"),ISNUMBER(F1147)),F1147,"")</f>
        <v/>
      </c>
    </row>
    <row r="1148">
      <c r="A1148" s="19" t="inlineStr">
        <is>
          <t>User1123</t>
        </is>
      </c>
      <c r="B1148" s="60" t="n">
        <v>45962</v>
      </c>
      <c r="C1148" s="21" t="n">
        <v>148</v>
      </c>
      <c r="D1148" s="21" t="n">
        <v>90.36194444444445</v>
      </c>
      <c r="E1148" s="21" t="n">
        <v>84.63</v>
      </c>
      <c r="F1148" s="27">
        <f>IFERROR(IF(OR(C1148="",D1148="",C1148=0),"",D1148/C1148),"")</f>
        <v/>
      </c>
      <c r="G1148" s="21">
        <f>IFERROR(INDEX(Users!$A$2:$A$310,MATCH(A1148,Users!$B$2:$B$310,0)),"")</f>
        <v/>
      </c>
      <c r="H1148" s="21">
        <f>IFERROR(INDEX(Users!$D$2:$D$310,MATCH(A1148,Users!$B$2:$B$310,0)),"")</f>
        <v/>
      </c>
      <c r="I1148" s="19">
        <f>AND(G1148="Service A",H1148="Band 3")</f>
        <v/>
      </c>
      <c r="J1148" s="33">
        <f>IF(AND(YEAR(B1148)=2025,G1148="Service B",OR(H1148="Band 3",H1148="Band 5"),ISNUMBER(F1148)),F1148,"")</f>
        <v/>
      </c>
    </row>
    <row r="1149">
      <c r="A1149" s="19" t="inlineStr">
        <is>
          <t>User1123</t>
        </is>
      </c>
      <c r="B1149" s="60" t="n">
        <v>45992</v>
      </c>
      <c r="C1149" s="21" t="n">
        <v>155.4</v>
      </c>
      <c r="D1149" s="21" t="n"/>
      <c r="E1149" s="21" t="n"/>
      <c r="F1149" s="27">
        <f>IFERROR(IF(OR(C1149="",D1149="",C1149=0),"",D1149/C1149),"")</f>
        <v/>
      </c>
      <c r="G1149" s="21">
        <f>IFERROR(INDEX(Users!$A$2:$A$310,MATCH(A1149,Users!$B$2:$B$310,0)),"")</f>
        <v/>
      </c>
      <c r="H1149" s="21">
        <f>IFERROR(INDEX(Users!$D$2:$D$310,MATCH(A1149,Users!$B$2:$B$310,0)),"")</f>
        <v/>
      </c>
      <c r="I1149" s="19">
        <f>AND(G1149="Service A",H1149="Band 3")</f>
        <v/>
      </c>
      <c r="J1149" s="33">
        <f>IF(AND(YEAR(B1149)=2025,G1149="Service B",OR(H1149="Band 3",H1149="Band 5"),ISNUMBER(F1149)),F1149,"")</f>
        <v/>
      </c>
    </row>
    <row r="1150">
      <c r="A1150" s="19" t="inlineStr">
        <is>
          <t>User1123</t>
        </is>
      </c>
      <c r="B1150" s="60" t="n">
        <v>46023</v>
      </c>
      <c r="C1150" s="21" t="n">
        <v>155.4</v>
      </c>
      <c r="D1150" s="21" t="n">
        <v>24.93333333333333</v>
      </c>
      <c r="E1150" s="21" t="n"/>
      <c r="F1150" s="27">
        <f>IFERROR(IF(OR(C1150="",D1150="",C1150=0),"",D1150/C1150),"")</f>
        <v/>
      </c>
      <c r="G1150" s="21">
        <f>IFERROR(INDEX(Users!$A$2:$A$310,MATCH(A1150,Users!$B$2:$B$310,0)),"")</f>
        <v/>
      </c>
      <c r="H1150" s="21">
        <f>IFERROR(INDEX(Users!$D$2:$D$310,MATCH(A1150,Users!$B$2:$B$310,0)),"")</f>
        <v/>
      </c>
      <c r="I1150" s="19">
        <f>AND(G1150="Service A",H1150="Band 3")</f>
        <v/>
      </c>
      <c r="J1150" s="33">
        <f>IF(AND(YEAR(B1150)=2025,G1150="Service B",OR(H1150="Band 3",H1150="Band 5"),ISNUMBER(F1150)),F1150,"")</f>
        <v/>
      </c>
    </row>
    <row r="1151">
      <c r="A1151" s="19" t="inlineStr">
        <is>
          <t>User1124</t>
        </is>
      </c>
      <c r="B1151" s="60" t="n">
        <v>45689</v>
      </c>
      <c r="C1151" s="21" t="n">
        <v>37</v>
      </c>
      <c r="D1151" s="21" t="n">
        <v>37.33333333333333</v>
      </c>
      <c r="E1151" s="21" t="n">
        <v>3</v>
      </c>
      <c r="F1151" s="27">
        <f>IFERROR(IF(OR(C1151="",D1151="",C1151=0),"",D1151/C1151),"")</f>
        <v/>
      </c>
      <c r="G1151" s="21">
        <f>IFERROR(INDEX(Users!$A$2:$A$310,MATCH(A1151,Users!$B$2:$B$310,0)),"")</f>
        <v/>
      </c>
      <c r="H1151" s="21">
        <f>IFERROR(INDEX(Users!$D$2:$D$310,MATCH(A1151,Users!$B$2:$B$310,0)),"")</f>
        <v/>
      </c>
      <c r="I1151" s="19">
        <f>AND(G1151="Service A",H1151="Band 3")</f>
        <v/>
      </c>
      <c r="J1151" s="33">
        <f>IF(AND(YEAR(B1151)=2025,G1151="Service B",OR(H1151="Band 3",H1151="Band 5"),ISNUMBER(F1151)),F1151,"")</f>
        <v/>
      </c>
    </row>
    <row r="1152">
      <c r="A1152" s="19" t="inlineStr">
        <is>
          <t>User1124</t>
        </is>
      </c>
      <c r="B1152" s="60" t="n">
        <v>45717</v>
      </c>
      <c r="C1152" s="21" t="n">
        <v>155.4</v>
      </c>
      <c r="D1152" s="21" t="n">
        <v>142.9833333333334</v>
      </c>
      <c r="E1152" s="21" t="n"/>
      <c r="F1152" s="27">
        <f>IFERROR(IF(OR(C1152="",D1152="",C1152=0),"",D1152/C1152),"")</f>
        <v/>
      </c>
      <c r="G1152" s="21">
        <f>IFERROR(INDEX(Users!$A$2:$A$310,MATCH(A1152,Users!$B$2:$B$310,0)),"")</f>
        <v/>
      </c>
      <c r="H1152" s="21">
        <f>IFERROR(INDEX(Users!$D$2:$D$310,MATCH(A1152,Users!$B$2:$B$310,0)),"")</f>
        <v/>
      </c>
      <c r="I1152" s="19">
        <f>AND(G1152="Service A",H1152="Band 3")</f>
        <v/>
      </c>
      <c r="J1152" s="33">
        <f>IF(AND(YEAR(B1152)=2025,G1152="Service B",OR(H1152="Band 3",H1152="Band 5"),ISNUMBER(F1152)),F1152,"")</f>
        <v/>
      </c>
    </row>
    <row r="1153">
      <c r="A1153" s="19" t="inlineStr">
        <is>
          <t>User1124</t>
        </is>
      </c>
      <c r="B1153" s="60" t="n">
        <v>45748</v>
      </c>
      <c r="C1153" s="21" t="n">
        <v>148</v>
      </c>
      <c r="D1153" s="21" t="n">
        <v>153.1900000000001</v>
      </c>
      <c r="E1153" s="21" t="n">
        <v>14.84</v>
      </c>
      <c r="F1153" s="27">
        <f>IFERROR(IF(OR(C1153="",D1153="",C1153=0),"",D1153/C1153),"")</f>
        <v/>
      </c>
      <c r="G1153" s="21">
        <f>IFERROR(INDEX(Users!$A$2:$A$310,MATCH(A1153,Users!$B$2:$B$310,0)),"")</f>
        <v/>
      </c>
      <c r="H1153" s="21">
        <f>IFERROR(INDEX(Users!$D$2:$D$310,MATCH(A1153,Users!$B$2:$B$310,0)),"")</f>
        <v/>
      </c>
      <c r="I1153" s="19">
        <f>AND(G1153="Service A",H1153="Band 3")</f>
        <v/>
      </c>
      <c r="J1153" s="33">
        <f>IF(AND(YEAR(B1153)=2025,G1153="Service B",OR(H1153="Band 3",H1153="Band 5"),ISNUMBER(F1153)),F1153,"")</f>
        <v/>
      </c>
    </row>
    <row r="1154">
      <c r="A1154" s="19" t="inlineStr">
        <is>
          <t>User1124</t>
        </is>
      </c>
      <c r="B1154" s="60" t="n">
        <v>45778</v>
      </c>
      <c r="C1154" s="21" t="n">
        <v>148</v>
      </c>
      <c r="D1154" s="21" t="n">
        <v>142.2033333333333</v>
      </c>
      <c r="E1154" s="21" t="n">
        <v>62.42</v>
      </c>
      <c r="F1154" s="27">
        <f>IFERROR(IF(OR(C1154="",D1154="",C1154=0),"",D1154/C1154),"")</f>
        <v/>
      </c>
      <c r="G1154" s="21">
        <f>IFERROR(INDEX(Users!$A$2:$A$310,MATCH(A1154,Users!$B$2:$B$310,0)),"")</f>
        <v/>
      </c>
      <c r="H1154" s="21">
        <f>IFERROR(INDEX(Users!$D$2:$D$310,MATCH(A1154,Users!$B$2:$B$310,0)),"")</f>
        <v/>
      </c>
      <c r="I1154" s="19">
        <f>AND(G1154="Service A",H1154="Band 3")</f>
        <v/>
      </c>
      <c r="J1154" s="33">
        <f>IF(AND(YEAR(B1154)=2025,G1154="Service B",OR(H1154="Band 3",H1154="Band 5"),ISNUMBER(F1154)),F1154,"")</f>
        <v/>
      </c>
    </row>
    <row r="1155">
      <c r="A1155" s="19" t="inlineStr">
        <is>
          <t>User1124</t>
        </is>
      </c>
      <c r="B1155" s="60" t="n">
        <v>45809</v>
      </c>
      <c r="C1155" s="21" t="n">
        <v>155.4</v>
      </c>
      <c r="D1155" s="21" t="n">
        <v>105.75</v>
      </c>
      <c r="E1155" s="21" t="n">
        <v>68.25</v>
      </c>
      <c r="F1155" s="27">
        <f>IFERROR(IF(OR(C1155="",D1155="",C1155=0),"",D1155/C1155),"")</f>
        <v/>
      </c>
      <c r="G1155" s="21">
        <f>IFERROR(INDEX(Users!$A$2:$A$310,MATCH(A1155,Users!$B$2:$B$310,0)),"")</f>
        <v/>
      </c>
      <c r="H1155" s="21">
        <f>IFERROR(INDEX(Users!$D$2:$D$310,MATCH(A1155,Users!$B$2:$B$310,0)),"")</f>
        <v/>
      </c>
      <c r="I1155" s="19">
        <f>AND(G1155="Service A",H1155="Band 3")</f>
        <v/>
      </c>
      <c r="J1155" s="33">
        <f>IF(AND(YEAR(B1155)=2025,G1155="Service B",OR(H1155="Band 3",H1155="Band 5"),ISNUMBER(F1155)),F1155,"")</f>
        <v/>
      </c>
    </row>
    <row r="1156">
      <c r="A1156" s="19" t="inlineStr">
        <is>
          <t>User1124</t>
        </is>
      </c>
      <c r="B1156" s="60" t="n">
        <v>45839</v>
      </c>
      <c r="C1156" s="21" t="n">
        <v>170.2</v>
      </c>
      <c r="D1156" s="21" t="n">
        <v>152.9</v>
      </c>
      <c r="E1156" s="21" t="n">
        <v>102.25</v>
      </c>
      <c r="F1156" s="27">
        <f>IFERROR(IF(OR(C1156="",D1156="",C1156=0),"",D1156/C1156),"")</f>
        <v/>
      </c>
      <c r="G1156" s="21">
        <f>IFERROR(INDEX(Users!$A$2:$A$310,MATCH(A1156,Users!$B$2:$B$310,0)),"")</f>
        <v/>
      </c>
      <c r="H1156" s="21">
        <f>IFERROR(INDEX(Users!$D$2:$D$310,MATCH(A1156,Users!$B$2:$B$310,0)),"")</f>
        <v/>
      </c>
      <c r="I1156" s="19">
        <f>AND(G1156="Service A",H1156="Band 3")</f>
        <v/>
      </c>
      <c r="J1156" s="33">
        <f>IF(AND(YEAR(B1156)=2025,G1156="Service B",OR(H1156="Band 3",H1156="Band 5"),ISNUMBER(F1156)),F1156,"")</f>
        <v/>
      </c>
    </row>
    <row r="1157">
      <c r="A1157" s="19" t="inlineStr">
        <is>
          <t>User1124</t>
        </is>
      </c>
      <c r="B1157" s="60" t="n">
        <v>45870</v>
      </c>
      <c r="C1157" s="21" t="n">
        <v>148</v>
      </c>
      <c r="D1157" s="21" t="n">
        <v>141.3</v>
      </c>
      <c r="E1157" s="21" t="n">
        <v>103.75</v>
      </c>
      <c r="F1157" s="27">
        <f>IFERROR(IF(OR(C1157="",D1157="",C1157=0),"",D1157/C1157),"")</f>
        <v/>
      </c>
      <c r="G1157" s="21">
        <f>IFERROR(INDEX(Users!$A$2:$A$310,MATCH(A1157,Users!$B$2:$B$310,0)),"")</f>
        <v/>
      </c>
      <c r="H1157" s="21">
        <f>IFERROR(INDEX(Users!$D$2:$D$310,MATCH(A1157,Users!$B$2:$B$310,0)),"")</f>
        <v/>
      </c>
      <c r="I1157" s="19">
        <f>AND(G1157="Service A",H1157="Band 3")</f>
        <v/>
      </c>
      <c r="J1157" s="33">
        <f>IF(AND(YEAR(B1157)=2025,G1157="Service B",OR(H1157="Band 3",H1157="Band 5"),ISNUMBER(F1157)),F1157,"")</f>
        <v/>
      </c>
    </row>
    <row r="1158">
      <c r="A1158" s="19" t="inlineStr">
        <is>
          <t>User1124</t>
        </is>
      </c>
      <c r="B1158" s="60" t="n">
        <v>45901</v>
      </c>
      <c r="C1158" s="21" t="n">
        <v>162.8</v>
      </c>
      <c r="D1158" s="21" t="n">
        <v>161.65</v>
      </c>
      <c r="E1158" s="21" t="n">
        <v>104</v>
      </c>
      <c r="F1158" s="27">
        <f>IFERROR(IF(OR(C1158="",D1158="",C1158=0),"",D1158/C1158),"")</f>
        <v/>
      </c>
      <c r="G1158" s="21">
        <f>IFERROR(INDEX(Users!$A$2:$A$310,MATCH(A1158,Users!$B$2:$B$310,0)),"")</f>
        <v/>
      </c>
      <c r="H1158" s="21">
        <f>IFERROR(INDEX(Users!$D$2:$D$310,MATCH(A1158,Users!$B$2:$B$310,0)),"")</f>
        <v/>
      </c>
      <c r="I1158" s="19">
        <f>AND(G1158="Service A",H1158="Band 3")</f>
        <v/>
      </c>
      <c r="J1158" s="33">
        <f>IF(AND(YEAR(B1158)=2025,G1158="Service B",OR(H1158="Band 3",H1158="Band 5"),ISNUMBER(F1158)),F1158,"")</f>
        <v/>
      </c>
    </row>
    <row r="1159">
      <c r="A1159" s="19" t="inlineStr">
        <is>
          <t>User1124</t>
        </is>
      </c>
      <c r="B1159" s="60" t="n">
        <v>45931</v>
      </c>
      <c r="C1159" s="21" t="n">
        <v>170.2</v>
      </c>
      <c r="D1159" s="21" t="n">
        <v>164.25</v>
      </c>
      <c r="E1159" s="21" t="n">
        <v>116</v>
      </c>
      <c r="F1159" s="27">
        <f>IFERROR(IF(OR(C1159="",D1159="",C1159=0),"",D1159/C1159),"")</f>
        <v/>
      </c>
      <c r="G1159" s="21">
        <f>IFERROR(INDEX(Users!$A$2:$A$310,MATCH(A1159,Users!$B$2:$B$310,0)),"")</f>
        <v/>
      </c>
      <c r="H1159" s="21">
        <f>IFERROR(INDEX(Users!$D$2:$D$310,MATCH(A1159,Users!$B$2:$B$310,0)),"")</f>
        <v/>
      </c>
      <c r="I1159" s="19">
        <f>AND(G1159="Service A",H1159="Band 3")</f>
        <v/>
      </c>
      <c r="J1159" s="33">
        <f>IF(AND(YEAR(B1159)=2025,G1159="Service B",OR(H1159="Band 3",H1159="Band 5"),ISNUMBER(F1159)),F1159,"")</f>
        <v/>
      </c>
    </row>
    <row r="1160">
      <c r="A1160" s="19" t="inlineStr">
        <is>
          <t>User1124</t>
        </is>
      </c>
      <c r="B1160" s="60" t="n">
        <v>45962</v>
      </c>
      <c r="C1160" s="21" t="n">
        <v>148</v>
      </c>
      <c r="D1160" s="21" t="n">
        <v>146.75</v>
      </c>
      <c r="E1160" s="21" t="n">
        <v>92.5</v>
      </c>
      <c r="F1160" s="27">
        <f>IFERROR(IF(OR(C1160="",D1160="",C1160=0),"",D1160/C1160),"")</f>
        <v/>
      </c>
      <c r="G1160" s="21">
        <f>IFERROR(INDEX(Users!$A$2:$A$310,MATCH(A1160,Users!$B$2:$B$310,0)),"")</f>
        <v/>
      </c>
      <c r="H1160" s="21">
        <f>IFERROR(INDEX(Users!$D$2:$D$310,MATCH(A1160,Users!$B$2:$B$310,0)),"")</f>
        <v/>
      </c>
      <c r="I1160" s="19">
        <f>AND(G1160="Service A",H1160="Band 3")</f>
        <v/>
      </c>
      <c r="J1160" s="33">
        <f>IF(AND(YEAR(B1160)=2025,G1160="Service B",OR(H1160="Band 3",H1160="Band 5"),ISNUMBER(F1160)),F1160,"")</f>
        <v/>
      </c>
    </row>
    <row r="1161">
      <c r="A1161" s="19" t="inlineStr">
        <is>
          <t>User1124</t>
        </is>
      </c>
      <c r="B1161" s="60" t="n">
        <v>45992</v>
      </c>
      <c r="C1161" s="21" t="n">
        <v>155.4</v>
      </c>
      <c r="D1161" s="21" t="n">
        <v>120</v>
      </c>
      <c r="E1161" s="21" t="n">
        <v>87.75</v>
      </c>
      <c r="F1161" s="27">
        <f>IFERROR(IF(OR(C1161="",D1161="",C1161=0),"",D1161/C1161),"")</f>
        <v/>
      </c>
      <c r="G1161" s="21">
        <f>IFERROR(INDEX(Users!$A$2:$A$310,MATCH(A1161,Users!$B$2:$B$310,0)),"")</f>
        <v/>
      </c>
      <c r="H1161" s="21">
        <f>IFERROR(INDEX(Users!$D$2:$D$310,MATCH(A1161,Users!$B$2:$B$310,0)),"")</f>
        <v/>
      </c>
      <c r="I1161" s="19">
        <f>AND(G1161="Service A",H1161="Band 3")</f>
        <v/>
      </c>
      <c r="J1161" s="33">
        <f>IF(AND(YEAR(B1161)=2025,G1161="Service B",OR(H1161="Band 3",H1161="Band 5"),ISNUMBER(F1161)),F1161,"")</f>
        <v/>
      </c>
    </row>
    <row r="1162">
      <c r="A1162" s="19" t="inlineStr">
        <is>
          <t>User1124</t>
        </is>
      </c>
      <c r="B1162" s="60" t="n">
        <v>46023</v>
      </c>
      <c r="C1162" s="21" t="n">
        <v>155.4</v>
      </c>
      <c r="D1162" s="21" t="n">
        <v>153.65</v>
      </c>
      <c r="E1162" s="21" t="n">
        <v>109.25</v>
      </c>
      <c r="F1162" s="27">
        <f>IFERROR(IF(OR(C1162="",D1162="",C1162=0),"",D1162/C1162),"")</f>
        <v/>
      </c>
      <c r="G1162" s="21">
        <f>IFERROR(INDEX(Users!$A$2:$A$310,MATCH(A1162,Users!$B$2:$B$310,0)),"")</f>
        <v/>
      </c>
      <c r="H1162" s="21">
        <f>IFERROR(INDEX(Users!$D$2:$D$310,MATCH(A1162,Users!$B$2:$B$310,0)),"")</f>
        <v/>
      </c>
      <c r="I1162" s="19">
        <f>AND(G1162="Service A",H1162="Band 3")</f>
        <v/>
      </c>
      <c r="J1162" s="33">
        <f>IF(AND(YEAR(B1162)=2025,G1162="Service B",OR(H1162="Band 3",H1162="Band 5"),ISNUMBER(F1162)),F1162,"")</f>
        <v/>
      </c>
    </row>
    <row r="1163">
      <c r="A1163" s="19" t="inlineStr">
        <is>
          <t>User1125</t>
        </is>
      </c>
      <c r="B1163" s="60" t="n">
        <v>45658</v>
      </c>
      <c r="C1163" s="21" t="n">
        <v>162.8</v>
      </c>
      <c r="D1163" s="21" t="n">
        <v>148.3366666666667</v>
      </c>
      <c r="E1163" s="21" t="n">
        <v>119.42</v>
      </c>
      <c r="F1163" s="27">
        <f>IFERROR(IF(OR(C1163="",D1163="",C1163=0),"",D1163/C1163),"")</f>
        <v/>
      </c>
      <c r="G1163" s="21">
        <f>IFERROR(INDEX(Users!$A$2:$A$310,MATCH(A1163,Users!$B$2:$B$310,0)),"")</f>
        <v/>
      </c>
      <c r="H1163" s="21">
        <f>IFERROR(INDEX(Users!$D$2:$D$310,MATCH(A1163,Users!$B$2:$B$310,0)),"")</f>
        <v/>
      </c>
      <c r="I1163" s="19">
        <f>AND(G1163="Service A",H1163="Band 3")</f>
        <v/>
      </c>
      <c r="J1163" s="33">
        <f>IF(AND(YEAR(B1163)=2025,G1163="Service B",OR(H1163="Band 3",H1163="Band 5"),ISNUMBER(F1163)),F1163,"")</f>
        <v/>
      </c>
    </row>
    <row r="1164">
      <c r="A1164" s="19" t="inlineStr">
        <is>
          <t>User1125</t>
        </is>
      </c>
      <c r="B1164" s="60" t="n">
        <v>45689</v>
      </c>
      <c r="C1164" s="21" t="n">
        <v>148</v>
      </c>
      <c r="D1164" s="21" t="n">
        <v>144.09</v>
      </c>
      <c r="E1164" s="21" t="n">
        <v>102.84</v>
      </c>
      <c r="F1164" s="27">
        <f>IFERROR(IF(OR(C1164="",D1164="",C1164=0),"",D1164/C1164),"")</f>
        <v/>
      </c>
      <c r="G1164" s="21">
        <f>IFERROR(INDEX(Users!$A$2:$A$310,MATCH(A1164,Users!$B$2:$B$310,0)),"")</f>
        <v/>
      </c>
      <c r="H1164" s="21">
        <f>IFERROR(INDEX(Users!$D$2:$D$310,MATCH(A1164,Users!$B$2:$B$310,0)),"")</f>
        <v/>
      </c>
      <c r="I1164" s="19">
        <f>AND(G1164="Service A",H1164="Band 3")</f>
        <v/>
      </c>
      <c r="J1164" s="33">
        <f>IF(AND(YEAR(B1164)=2025,G1164="Service B",OR(H1164="Band 3",H1164="Band 5"),ISNUMBER(F1164)),F1164,"")</f>
        <v/>
      </c>
    </row>
    <row r="1165">
      <c r="A1165" s="19" t="inlineStr">
        <is>
          <t>User1125</t>
        </is>
      </c>
      <c r="B1165" s="60" t="n">
        <v>45717</v>
      </c>
      <c r="C1165" s="21" t="n">
        <v>155.4</v>
      </c>
      <c r="D1165" s="21" t="n">
        <v>152.7333333333333</v>
      </c>
      <c r="E1165" s="21" t="n">
        <v>125.9</v>
      </c>
      <c r="F1165" s="27">
        <f>IFERROR(IF(OR(C1165="",D1165="",C1165=0),"",D1165/C1165),"")</f>
        <v/>
      </c>
      <c r="G1165" s="21">
        <f>IFERROR(INDEX(Users!$A$2:$A$310,MATCH(A1165,Users!$B$2:$B$310,0)),"")</f>
        <v/>
      </c>
      <c r="H1165" s="21">
        <f>IFERROR(INDEX(Users!$D$2:$D$310,MATCH(A1165,Users!$B$2:$B$310,0)),"")</f>
        <v/>
      </c>
      <c r="I1165" s="19">
        <f>AND(G1165="Service A",H1165="Band 3")</f>
        <v/>
      </c>
      <c r="J1165" s="33">
        <f>IF(AND(YEAR(B1165)=2025,G1165="Service B",OR(H1165="Band 3",H1165="Band 5"),ISNUMBER(F1165)),F1165,"")</f>
        <v/>
      </c>
    </row>
    <row r="1166">
      <c r="A1166" s="19" t="inlineStr">
        <is>
          <t>User1125</t>
        </is>
      </c>
      <c r="B1166" s="60" t="n">
        <v>45748</v>
      </c>
      <c r="C1166" s="21" t="n">
        <v>148</v>
      </c>
      <c r="D1166" s="21" t="n">
        <v>125.09</v>
      </c>
      <c r="E1166" s="21" t="n">
        <v>102.09</v>
      </c>
      <c r="F1166" s="27">
        <f>IFERROR(IF(OR(C1166="",D1166="",C1166=0),"",D1166/C1166),"")</f>
        <v/>
      </c>
      <c r="G1166" s="21">
        <f>IFERROR(INDEX(Users!$A$2:$A$310,MATCH(A1166,Users!$B$2:$B$310,0)),"")</f>
        <v/>
      </c>
      <c r="H1166" s="21">
        <f>IFERROR(INDEX(Users!$D$2:$D$310,MATCH(A1166,Users!$B$2:$B$310,0)),"")</f>
        <v/>
      </c>
      <c r="I1166" s="19">
        <f>AND(G1166="Service A",H1166="Band 3")</f>
        <v/>
      </c>
      <c r="J1166" s="33">
        <f>IF(AND(YEAR(B1166)=2025,G1166="Service B",OR(H1166="Band 3",H1166="Band 5"),ISNUMBER(F1166)),F1166,"")</f>
        <v/>
      </c>
    </row>
    <row r="1167">
      <c r="A1167" s="19" t="inlineStr">
        <is>
          <t>User1125</t>
        </is>
      </c>
      <c r="B1167" s="60" t="n">
        <v>45778</v>
      </c>
      <c r="C1167" s="21" t="n">
        <v>148</v>
      </c>
      <c r="D1167" s="21" t="n">
        <v>137.8266666666667</v>
      </c>
      <c r="E1167" s="21" t="n">
        <v>101.91</v>
      </c>
      <c r="F1167" s="27">
        <f>IFERROR(IF(OR(C1167="",D1167="",C1167=0),"",D1167/C1167),"")</f>
        <v/>
      </c>
      <c r="G1167" s="21">
        <f>IFERROR(INDEX(Users!$A$2:$A$310,MATCH(A1167,Users!$B$2:$B$310,0)),"")</f>
        <v/>
      </c>
      <c r="H1167" s="21">
        <f>IFERROR(INDEX(Users!$D$2:$D$310,MATCH(A1167,Users!$B$2:$B$310,0)),"")</f>
        <v/>
      </c>
      <c r="I1167" s="19">
        <f>AND(G1167="Service A",H1167="Band 3")</f>
        <v/>
      </c>
      <c r="J1167" s="33">
        <f>IF(AND(YEAR(B1167)=2025,G1167="Service B",OR(H1167="Band 3",H1167="Band 5"),ISNUMBER(F1167)),F1167,"")</f>
        <v/>
      </c>
    </row>
    <row r="1168">
      <c r="A1168" s="19" t="inlineStr">
        <is>
          <t>User1125</t>
        </is>
      </c>
      <c r="B1168" s="60" t="n">
        <v>45809</v>
      </c>
      <c r="C1168" s="21" t="n">
        <v>155.4</v>
      </c>
      <c r="D1168" s="21" t="n">
        <v>143.82</v>
      </c>
      <c r="E1168" s="21" t="n">
        <v>114.42</v>
      </c>
      <c r="F1168" s="27">
        <f>IFERROR(IF(OR(C1168="",D1168="",C1168=0),"",D1168/C1168),"")</f>
        <v/>
      </c>
      <c r="G1168" s="21">
        <f>IFERROR(INDEX(Users!$A$2:$A$310,MATCH(A1168,Users!$B$2:$B$310,0)),"")</f>
        <v/>
      </c>
      <c r="H1168" s="21">
        <f>IFERROR(INDEX(Users!$D$2:$D$310,MATCH(A1168,Users!$B$2:$B$310,0)),"")</f>
        <v/>
      </c>
      <c r="I1168" s="19">
        <f>AND(G1168="Service A",H1168="Band 3")</f>
        <v/>
      </c>
      <c r="J1168" s="33">
        <f>IF(AND(YEAR(B1168)=2025,G1168="Service B",OR(H1168="Band 3",H1168="Band 5"),ISNUMBER(F1168)),F1168,"")</f>
        <v/>
      </c>
    </row>
    <row r="1169">
      <c r="A1169" s="19" t="inlineStr">
        <is>
          <t>User1125</t>
        </is>
      </c>
      <c r="B1169" s="60" t="n">
        <v>45839</v>
      </c>
      <c r="C1169" s="21" t="n">
        <v>170.2</v>
      </c>
      <c r="D1169" s="21" t="n">
        <v>139.6666666666667</v>
      </c>
      <c r="E1169" s="21" t="n">
        <v>108</v>
      </c>
      <c r="F1169" s="27">
        <f>IFERROR(IF(OR(C1169="",D1169="",C1169=0),"",D1169/C1169),"")</f>
        <v/>
      </c>
      <c r="G1169" s="21">
        <f>IFERROR(INDEX(Users!$A$2:$A$310,MATCH(A1169,Users!$B$2:$B$310,0)),"")</f>
        <v/>
      </c>
      <c r="H1169" s="21">
        <f>IFERROR(INDEX(Users!$D$2:$D$310,MATCH(A1169,Users!$B$2:$B$310,0)),"")</f>
        <v/>
      </c>
      <c r="I1169" s="19">
        <f>AND(G1169="Service A",H1169="Band 3")</f>
        <v/>
      </c>
      <c r="J1169" s="33">
        <f>IF(AND(YEAR(B1169)=2025,G1169="Service B",OR(H1169="Band 3",H1169="Band 5"),ISNUMBER(F1169)),F1169,"")</f>
        <v/>
      </c>
    </row>
    <row r="1170">
      <c r="A1170" s="19" t="inlineStr">
        <is>
          <t>User1125</t>
        </is>
      </c>
      <c r="B1170" s="60" t="n">
        <v>45870</v>
      </c>
      <c r="C1170" s="21" t="n">
        <v>148</v>
      </c>
      <c r="D1170" s="21" t="n">
        <v>59.78666666666667</v>
      </c>
      <c r="E1170" s="21" t="n">
        <v>45.17</v>
      </c>
      <c r="F1170" s="27">
        <f>IFERROR(IF(OR(C1170="",D1170="",C1170=0),"",D1170/C1170),"")</f>
        <v/>
      </c>
      <c r="G1170" s="21">
        <f>IFERROR(INDEX(Users!$A$2:$A$310,MATCH(A1170,Users!$B$2:$B$310,0)),"")</f>
        <v/>
      </c>
      <c r="H1170" s="21">
        <f>IFERROR(INDEX(Users!$D$2:$D$310,MATCH(A1170,Users!$B$2:$B$310,0)),"")</f>
        <v/>
      </c>
      <c r="I1170" s="19">
        <f>AND(G1170="Service A",H1170="Band 3")</f>
        <v/>
      </c>
      <c r="J1170" s="33">
        <f>IF(AND(YEAR(B1170)=2025,G1170="Service B",OR(H1170="Band 3",H1170="Band 5"),ISNUMBER(F1170)),F1170,"")</f>
        <v/>
      </c>
    </row>
    <row r="1171">
      <c r="A1171" s="19" t="inlineStr">
        <is>
          <t>User1125</t>
        </is>
      </c>
      <c r="B1171" s="60" t="n">
        <v>45901</v>
      </c>
      <c r="C1171" s="21" t="n">
        <v>162.8</v>
      </c>
      <c r="D1171" s="21" t="n">
        <v>162.0066666666667</v>
      </c>
      <c r="E1171" s="21" t="n">
        <v>123.84</v>
      </c>
      <c r="F1171" s="27">
        <f>IFERROR(IF(OR(C1171="",D1171="",C1171=0),"",D1171/C1171),"")</f>
        <v/>
      </c>
      <c r="G1171" s="21">
        <f>IFERROR(INDEX(Users!$A$2:$A$310,MATCH(A1171,Users!$B$2:$B$310,0)),"")</f>
        <v/>
      </c>
      <c r="H1171" s="21">
        <f>IFERROR(INDEX(Users!$D$2:$D$310,MATCH(A1171,Users!$B$2:$B$310,0)),"")</f>
        <v/>
      </c>
      <c r="I1171" s="19">
        <f>AND(G1171="Service A",H1171="Band 3")</f>
        <v/>
      </c>
      <c r="J1171" s="33">
        <f>IF(AND(YEAR(B1171)=2025,G1171="Service B",OR(H1171="Band 3",H1171="Band 5"),ISNUMBER(F1171)),F1171,"")</f>
        <v/>
      </c>
    </row>
    <row r="1172">
      <c r="A1172" s="19" t="inlineStr">
        <is>
          <t>User1125</t>
        </is>
      </c>
      <c r="B1172" s="60" t="n">
        <v>45931</v>
      </c>
      <c r="C1172" s="21" t="n">
        <v>170.2</v>
      </c>
      <c r="D1172" s="21" t="n">
        <v>161.75</v>
      </c>
      <c r="E1172" s="21" t="n">
        <v>118</v>
      </c>
      <c r="F1172" s="27">
        <f>IFERROR(IF(OR(C1172="",D1172="",C1172=0),"",D1172/C1172),"")</f>
        <v/>
      </c>
      <c r="G1172" s="21">
        <f>IFERROR(INDEX(Users!$A$2:$A$310,MATCH(A1172,Users!$B$2:$B$310,0)),"")</f>
        <v/>
      </c>
      <c r="H1172" s="21">
        <f>IFERROR(INDEX(Users!$D$2:$D$310,MATCH(A1172,Users!$B$2:$B$310,0)),"")</f>
        <v/>
      </c>
      <c r="I1172" s="19">
        <f>AND(G1172="Service A",H1172="Band 3")</f>
        <v/>
      </c>
      <c r="J1172" s="33">
        <f>IF(AND(YEAR(B1172)=2025,G1172="Service B",OR(H1172="Band 3",H1172="Band 5"),ISNUMBER(F1172)),F1172,"")</f>
        <v/>
      </c>
    </row>
    <row r="1173">
      <c r="A1173" s="19" t="inlineStr">
        <is>
          <t>User1125</t>
        </is>
      </c>
      <c r="B1173" s="60" t="n">
        <v>45962</v>
      </c>
      <c r="C1173" s="21" t="n">
        <v>148</v>
      </c>
      <c r="D1173" s="21" t="n">
        <v>143.9466666666667</v>
      </c>
      <c r="E1173" s="21" t="n">
        <v>108.83</v>
      </c>
      <c r="F1173" s="27">
        <f>IFERROR(IF(OR(C1173="",D1173="",C1173=0),"",D1173/C1173),"")</f>
        <v/>
      </c>
      <c r="G1173" s="21">
        <f>IFERROR(INDEX(Users!$A$2:$A$310,MATCH(A1173,Users!$B$2:$B$310,0)),"")</f>
        <v/>
      </c>
      <c r="H1173" s="21">
        <f>IFERROR(INDEX(Users!$D$2:$D$310,MATCH(A1173,Users!$B$2:$B$310,0)),"")</f>
        <v/>
      </c>
      <c r="I1173" s="19">
        <f>AND(G1173="Service A",H1173="Band 3")</f>
        <v/>
      </c>
      <c r="J1173" s="33">
        <f>IF(AND(YEAR(B1173)=2025,G1173="Service B",OR(H1173="Band 3",H1173="Band 5"),ISNUMBER(F1173)),F1173,"")</f>
        <v/>
      </c>
    </row>
    <row r="1174">
      <c r="A1174" s="19" t="inlineStr">
        <is>
          <t>User1125</t>
        </is>
      </c>
      <c r="B1174" s="60" t="n">
        <v>45992</v>
      </c>
      <c r="C1174" s="21" t="n">
        <v>155.4</v>
      </c>
      <c r="D1174" s="21" t="n">
        <v>99.36333333333334</v>
      </c>
      <c r="E1174" s="21" t="n">
        <v>68.83</v>
      </c>
      <c r="F1174" s="27">
        <f>IFERROR(IF(OR(C1174="",D1174="",C1174=0),"",D1174/C1174),"")</f>
        <v/>
      </c>
      <c r="G1174" s="21">
        <f>IFERROR(INDEX(Users!$A$2:$A$310,MATCH(A1174,Users!$B$2:$B$310,0)),"")</f>
        <v/>
      </c>
      <c r="H1174" s="21">
        <f>IFERROR(INDEX(Users!$D$2:$D$310,MATCH(A1174,Users!$B$2:$B$310,0)),"")</f>
        <v/>
      </c>
      <c r="I1174" s="19">
        <f>AND(G1174="Service A",H1174="Band 3")</f>
        <v/>
      </c>
      <c r="J1174" s="33">
        <f>IF(AND(YEAR(B1174)=2025,G1174="Service B",OR(H1174="Band 3",H1174="Band 5"),ISNUMBER(F1174)),F1174,"")</f>
        <v/>
      </c>
    </row>
    <row r="1175">
      <c r="A1175" s="19" t="inlineStr">
        <is>
          <t>User1125</t>
        </is>
      </c>
      <c r="B1175" s="60" t="n">
        <v>46023</v>
      </c>
      <c r="C1175" s="21" t="n">
        <v>155.4</v>
      </c>
      <c r="D1175" s="21" t="n">
        <v>139.3266666666667</v>
      </c>
      <c r="E1175" s="21" t="n">
        <v>105.16</v>
      </c>
      <c r="F1175" s="27">
        <f>IFERROR(IF(OR(C1175="",D1175="",C1175=0),"",D1175/C1175),"")</f>
        <v/>
      </c>
      <c r="G1175" s="21">
        <f>IFERROR(INDEX(Users!$A$2:$A$310,MATCH(A1175,Users!$B$2:$B$310,0)),"")</f>
        <v/>
      </c>
      <c r="H1175" s="21">
        <f>IFERROR(INDEX(Users!$D$2:$D$310,MATCH(A1175,Users!$B$2:$B$310,0)),"")</f>
        <v/>
      </c>
      <c r="I1175" s="19">
        <f>AND(G1175="Service A",H1175="Band 3")</f>
        <v/>
      </c>
      <c r="J1175" s="33">
        <f>IF(AND(YEAR(B1175)=2025,G1175="Service B",OR(H1175="Band 3",H1175="Band 5"),ISNUMBER(F1175)),F1175,"")</f>
        <v/>
      </c>
    </row>
    <row r="1176">
      <c r="A1176" s="19" t="inlineStr">
        <is>
          <t>User1126</t>
        </is>
      </c>
      <c r="B1176" s="60" t="n">
        <v>45658</v>
      </c>
      <c r="C1176" s="21" t="n">
        <v>162.8</v>
      </c>
      <c r="D1176" s="21" t="n">
        <v>110.5966666666667</v>
      </c>
      <c r="E1176" s="21" t="n">
        <v>78.08</v>
      </c>
      <c r="F1176" s="27">
        <f>IFERROR(IF(OR(C1176="",D1176="",C1176=0),"",D1176/C1176),"")</f>
        <v/>
      </c>
      <c r="G1176" s="21">
        <f>IFERROR(INDEX(Users!$A$2:$A$310,MATCH(A1176,Users!$B$2:$B$310,0)),"")</f>
        <v/>
      </c>
      <c r="H1176" s="21">
        <f>IFERROR(INDEX(Users!$D$2:$D$310,MATCH(A1176,Users!$B$2:$B$310,0)),"")</f>
        <v/>
      </c>
      <c r="I1176" s="19">
        <f>AND(G1176="Service A",H1176="Band 3")</f>
        <v/>
      </c>
      <c r="J1176" s="33">
        <f>IF(AND(YEAR(B1176)=2025,G1176="Service B",OR(H1176="Band 3",H1176="Band 5"),ISNUMBER(F1176)),F1176,"")</f>
        <v/>
      </c>
    </row>
    <row r="1177">
      <c r="A1177" s="19" t="inlineStr">
        <is>
          <t>User1126</t>
        </is>
      </c>
      <c r="B1177" s="60" t="n">
        <v>45689</v>
      </c>
      <c r="C1177" s="21" t="n">
        <v>148</v>
      </c>
      <c r="D1177" s="21" t="n">
        <v>135.65</v>
      </c>
      <c r="E1177" s="21" t="n">
        <v>104.45</v>
      </c>
      <c r="F1177" s="27">
        <f>IFERROR(IF(OR(C1177="",D1177="",C1177=0),"",D1177/C1177),"")</f>
        <v/>
      </c>
      <c r="G1177" s="21">
        <f>IFERROR(INDEX(Users!$A$2:$A$310,MATCH(A1177,Users!$B$2:$B$310,0)),"")</f>
        <v/>
      </c>
      <c r="H1177" s="21">
        <f>IFERROR(INDEX(Users!$D$2:$D$310,MATCH(A1177,Users!$B$2:$B$310,0)),"")</f>
        <v/>
      </c>
      <c r="I1177" s="19">
        <f>AND(G1177="Service A",H1177="Band 3")</f>
        <v/>
      </c>
      <c r="J1177" s="33">
        <f>IF(AND(YEAR(B1177)=2025,G1177="Service B",OR(H1177="Band 3",H1177="Band 5"),ISNUMBER(F1177)),F1177,"")</f>
        <v/>
      </c>
    </row>
    <row r="1178">
      <c r="A1178" s="19" t="inlineStr">
        <is>
          <t>User1126</t>
        </is>
      </c>
      <c r="B1178" s="60" t="n">
        <v>45717</v>
      </c>
      <c r="C1178" s="21" t="n">
        <v>155.4</v>
      </c>
      <c r="D1178" s="21" t="n">
        <v>155.7933333333334</v>
      </c>
      <c r="E1178" s="21" t="n">
        <v>108.96</v>
      </c>
      <c r="F1178" s="27">
        <f>IFERROR(IF(OR(C1178="",D1178="",C1178=0),"",D1178/C1178),"")</f>
        <v/>
      </c>
      <c r="G1178" s="21">
        <f>IFERROR(INDEX(Users!$A$2:$A$310,MATCH(A1178,Users!$B$2:$B$310,0)),"")</f>
        <v/>
      </c>
      <c r="H1178" s="21">
        <f>IFERROR(INDEX(Users!$D$2:$D$310,MATCH(A1178,Users!$B$2:$B$310,0)),"")</f>
        <v/>
      </c>
      <c r="I1178" s="19">
        <f>AND(G1178="Service A",H1178="Band 3")</f>
        <v/>
      </c>
      <c r="J1178" s="33">
        <f>IF(AND(YEAR(B1178)=2025,G1178="Service B",OR(H1178="Band 3",H1178="Band 5"),ISNUMBER(F1178)),F1178,"")</f>
        <v/>
      </c>
    </row>
    <row r="1179">
      <c r="A1179" s="19" t="inlineStr">
        <is>
          <t>User1126</t>
        </is>
      </c>
      <c r="B1179" s="60" t="n">
        <v>45748</v>
      </c>
      <c r="C1179" s="21" t="n">
        <v>148</v>
      </c>
      <c r="D1179" s="21" t="n">
        <v>56.32666666666667</v>
      </c>
      <c r="E1179" s="21" t="n">
        <v>46.31</v>
      </c>
      <c r="F1179" s="27">
        <f>IFERROR(IF(OR(C1179="",D1179="",C1179=0),"",D1179/C1179),"")</f>
        <v/>
      </c>
      <c r="G1179" s="21">
        <f>IFERROR(INDEX(Users!$A$2:$A$310,MATCH(A1179,Users!$B$2:$B$310,0)),"")</f>
        <v/>
      </c>
      <c r="H1179" s="21">
        <f>IFERROR(INDEX(Users!$D$2:$D$310,MATCH(A1179,Users!$B$2:$B$310,0)),"")</f>
        <v/>
      </c>
      <c r="I1179" s="19">
        <f>AND(G1179="Service A",H1179="Band 3")</f>
        <v/>
      </c>
      <c r="J1179" s="33">
        <f>IF(AND(YEAR(B1179)=2025,G1179="Service B",OR(H1179="Band 3",H1179="Band 5"),ISNUMBER(F1179)),F1179,"")</f>
        <v/>
      </c>
    </row>
    <row r="1180">
      <c r="A1180" s="19" t="inlineStr">
        <is>
          <t>User1126</t>
        </is>
      </c>
      <c r="B1180" s="60" t="n">
        <v>45778</v>
      </c>
      <c r="C1180" s="21" t="n">
        <v>148</v>
      </c>
      <c r="D1180" s="21" t="n"/>
      <c r="E1180" s="21" t="n"/>
      <c r="F1180" s="27">
        <f>IFERROR(IF(OR(C1180="",D1180="",C1180=0),"",D1180/C1180),"")</f>
        <v/>
      </c>
      <c r="G1180" s="21">
        <f>IFERROR(INDEX(Users!$A$2:$A$310,MATCH(A1180,Users!$B$2:$B$310,0)),"")</f>
        <v/>
      </c>
      <c r="H1180" s="21">
        <f>IFERROR(INDEX(Users!$D$2:$D$310,MATCH(A1180,Users!$B$2:$B$310,0)),"")</f>
        <v/>
      </c>
      <c r="I1180" s="19">
        <f>AND(G1180="Service A",H1180="Band 3")</f>
        <v/>
      </c>
      <c r="J1180" s="33">
        <f>IF(AND(YEAR(B1180)=2025,G1180="Service B",OR(H1180="Band 3",H1180="Band 5"),ISNUMBER(F1180)),F1180,"")</f>
        <v/>
      </c>
    </row>
    <row r="1181">
      <c r="A1181" s="19" t="inlineStr">
        <is>
          <t>User1126</t>
        </is>
      </c>
      <c r="B1181" s="60" t="n">
        <v>45809</v>
      </c>
      <c r="C1181" s="21" t="n">
        <v>155.4</v>
      </c>
      <c r="D1181" s="21" t="n">
        <v>153.7366666666667</v>
      </c>
      <c r="E1181" s="21" t="n">
        <v>121.07</v>
      </c>
      <c r="F1181" s="27">
        <f>IFERROR(IF(OR(C1181="",D1181="",C1181=0),"",D1181/C1181),"")</f>
        <v/>
      </c>
      <c r="G1181" s="21">
        <f>IFERROR(INDEX(Users!$A$2:$A$310,MATCH(A1181,Users!$B$2:$B$310,0)),"")</f>
        <v/>
      </c>
      <c r="H1181" s="21">
        <f>IFERROR(INDEX(Users!$D$2:$D$310,MATCH(A1181,Users!$B$2:$B$310,0)),"")</f>
        <v/>
      </c>
      <c r="I1181" s="19">
        <f>AND(G1181="Service A",H1181="Band 3")</f>
        <v/>
      </c>
      <c r="J1181" s="33">
        <f>IF(AND(YEAR(B1181)=2025,G1181="Service B",OR(H1181="Band 3",H1181="Band 5"),ISNUMBER(F1181)),F1181,"")</f>
        <v/>
      </c>
    </row>
    <row r="1182">
      <c r="A1182" s="19" t="inlineStr">
        <is>
          <t>User1126</t>
        </is>
      </c>
      <c r="B1182" s="60" t="n">
        <v>45839</v>
      </c>
      <c r="C1182" s="21" t="n">
        <v>170.2</v>
      </c>
      <c r="D1182" s="21" t="n">
        <v>171.8666666666667</v>
      </c>
      <c r="E1182" s="21" t="n">
        <v>114.7</v>
      </c>
      <c r="F1182" s="27">
        <f>IFERROR(IF(OR(C1182="",D1182="",C1182=0),"",D1182/C1182),"")</f>
        <v/>
      </c>
      <c r="G1182" s="21">
        <f>IFERROR(INDEX(Users!$A$2:$A$310,MATCH(A1182,Users!$B$2:$B$310,0)),"")</f>
        <v/>
      </c>
      <c r="H1182" s="21">
        <f>IFERROR(INDEX(Users!$D$2:$D$310,MATCH(A1182,Users!$B$2:$B$310,0)),"")</f>
        <v/>
      </c>
      <c r="I1182" s="19">
        <f>AND(G1182="Service A",H1182="Band 3")</f>
        <v/>
      </c>
      <c r="J1182" s="33">
        <f>IF(AND(YEAR(B1182)=2025,G1182="Service B",OR(H1182="Band 3",H1182="Band 5"),ISNUMBER(F1182)),F1182,"")</f>
        <v/>
      </c>
    </row>
    <row r="1183">
      <c r="A1183" s="19" t="inlineStr">
        <is>
          <t>User1126</t>
        </is>
      </c>
      <c r="B1183" s="60" t="n">
        <v>45870</v>
      </c>
      <c r="C1183" s="21" t="n">
        <v>148</v>
      </c>
      <c r="D1183" s="21" t="n">
        <v>88.69666666666666</v>
      </c>
      <c r="E1183" s="21" t="n">
        <v>64.83</v>
      </c>
      <c r="F1183" s="27">
        <f>IFERROR(IF(OR(C1183="",D1183="",C1183=0),"",D1183/C1183),"")</f>
        <v/>
      </c>
      <c r="G1183" s="21">
        <f>IFERROR(INDEX(Users!$A$2:$A$310,MATCH(A1183,Users!$B$2:$B$310,0)),"")</f>
        <v/>
      </c>
      <c r="H1183" s="21">
        <f>IFERROR(INDEX(Users!$D$2:$D$310,MATCH(A1183,Users!$B$2:$B$310,0)),"")</f>
        <v/>
      </c>
      <c r="I1183" s="19">
        <f>AND(G1183="Service A",H1183="Band 3")</f>
        <v/>
      </c>
      <c r="J1183" s="33">
        <f>IF(AND(YEAR(B1183)=2025,G1183="Service B",OR(H1183="Band 3",H1183="Band 5"),ISNUMBER(F1183)),F1183,"")</f>
        <v/>
      </c>
    </row>
    <row r="1184">
      <c r="A1184" s="19" t="inlineStr">
        <is>
          <t>User1126</t>
        </is>
      </c>
      <c r="B1184" s="60" t="n">
        <v>45901</v>
      </c>
      <c r="C1184" s="21" t="n">
        <v>162.8</v>
      </c>
      <c r="D1184" s="21" t="n">
        <v>115.59</v>
      </c>
      <c r="E1184" s="21" t="n">
        <v>83.39</v>
      </c>
      <c r="F1184" s="27">
        <f>IFERROR(IF(OR(C1184="",D1184="",C1184=0),"",D1184/C1184),"")</f>
        <v/>
      </c>
      <c r="G1184" s="21">
        <f>IFERROR(INDEX(Users!$A$2:$A$310,MATCH(A1184,Users!$B$2:$B$310,0)),"")</f>
        <v/>
      </c>
      <c r="H1184" s="21">
        <f>IFERROR(INDEX(Users!$D$2:$D$310,MATCH(A1184,Users!$B$2:$B$310,0)),"")</f>
        <v/>
      </c>
      <c r="I1184" s="19">
        <f>AND(G1184="Service A",H1184="Band 3")</f>
        <v/>
      </c>
      <c r="J1184" s="33">
        <f>IF(AND(YEAR(B1184)=2025,G1184="Service B",OR(H1184="Band 3",H1184="Band 5"),ISNUMBER(F1184)),F1184,"")</f>
        <v/>
      </c>
    </row>
    <row r="1185">
      <c r="A1185" s="19" t="inlineStr">
        <is>
          <t>User1126</t>
        </is>
      </c>
      <c r="B1185" s="60" t="n">
        <v>45931</v>
      </c>
      <c r="C1185" s="21" t="n">
        <v>170.2</v>
      </c>
      <c r="D1185" s="21" t="n">
        <v>158.45</v>
      </c>
      <c r="E1185" s="21" t="n">
        <v>78.25</v>
      </c>
      <c r="F1185" s="27">
        <f>IFERROR(IF(OR(C1185="",D1185="",C1185=0),"",D1185/C1185),"")</f>
        <v/>
      </c>
      <c r="G1185" s="21">
        <f>IFERROR(INDEX(Users!$A$2:$A$310,MATCH(A1185,Users!$B$2:$B$310,0)),"")</f>
        <v/>
      </c>
      <c r="H1185" s="21">
        <f>IFERROR(INDEX(Users!$D$2:$D$310,MATCH(A1185,Users!$B$2:$B$310,0)),"")</f>
        <v/>
      </c>
      <c r="I1185" s="19">
        <f>AND(G1185="Service A",H1185="Band 3")</f>
        <v/>
      </c>
      <c r="J1185" s="33">
        <f>IF(AND(YEAR(B1185)=2025,G1185="Service B",OR(H1185="Band 3",H1185="Band 5"),ISNUMBER(F1185)),F1185,"")</f>
        <v/>
      </c>
    </row>
    <row r="1186">
      <c r="A1186" s="19" t="inlineStr">
        <is>
          <t>User1126</t>
        </is>
      </c>
      <c r="B1186" s="60" t="n">
        <v>45962</v>
      </c>
      <c r="C1186" s="21" t="n">
        <v>148</v>
      </c>
      <c r="D1186" s="21" t="n">
        <v>140.6766666666666</v>
      </c>
      <c r="E1186" s="21" t="n">
        <v>112.66</v>
      </c>
      <c r="F1186" s="27">
        <f>IFERROR(IF(OR(C1186="",D1186="",C1186=0),"",D1186/C1186),"")</f>
        <v/>
      </c>
      <c r="G1186" s="21">
        <f>IFERROR(INDEX(Users!$A$2:$A$310,MATCH(A1186,Users!$B$2:$B$310,0)),"")</f>
        <v/>
      </c>
      <c r="H1186" s="21">
        <f>IFERROR(INDEX(Users!$D$2:$D$310,MATCH(A1186,Users!$B$2:$B$310,0)),"")</f>
        <v/>
      </c>
      <c r="I1186" s="19">
        <f>AND(G1186="Service A",H1186="Band 3")</f>
        <v/>
      </c>
      <c r="J1186" s="33">
        <f>IF(AND(YEAR(B1186)=2025,G1186="Service B",OR(H1186="Band 3",H1186="Band 5"),ISNUMBER(F1186)),F1186,"")</f>
        <v/>
      </c>
    </row>
    <row r="1187">
      <c r="A1187" s="19" t="inlineStr">
        <is>
          <t>User1126</t>
        </is>
      </c>
      <c r="B1187" s="60" t="n">
        <v>45992</v>
      </c>
      <c r="C1187" s="21" t="n">
        <v>155.4</v>
      </c>
      <c r="D1187" s="21" t="n">
        <v>141.2766666666666</v>
      </c>
      <c r="E1187" s="21" t="n">
        <v>105.76</v>
      </c>
      <c r="F1187" s="27">
        <f>IFERROR(IF(OR(C1187="",D1187="",C1187=0),"",D1187/C1187),"")</f>
        <v/>
      </c>
      <c r="G1187" s="21">
        <f>IFERROR(INDEX(Users!$A$2:$A$310,MATCH(A1187,Users!$B$2:$B$310,0)),"")</f>
        <v/>
      </c>
      <c r="H1187" s="21">
        <f>IFERROR(INDEX(Users!$D$2:$D$310,MATCH(A1187,Users!$B$2:$B$310,0)),"")</f>
        <v/>
      </c>
      <c r="I1187" s="19">
        <f>AND(G1187="Service A",H1187="Band 3")</f>
        <v/>
      </c>
      <c r="J1187" s="33">
        <f>IF(AND(YEAR(B1187)=2025,G1187="Service B",OR(H1187="Band 3",H1187="Band 5"),ISNUMBER(F1187)),F1187,"")</f>
        <v/>
      </c>
    </row>
    <row r="1188">
      <c r="A1188" s="19" t="inlineStr">
        <is>
          <t>User1126</t>
        </is>
      </c>
      <c r="B1188" s="60" t="n">
        <v>46023</v>
      </c>
      <c r="C1188" s="21" t="n">
        <v>155.4</v>
      </c>
      <c r="D1188" s="21" t="n">
        <v>102.3433333333333</v>
      </c>
      <c r="E1188" s="21" t="n">
        <v>64.91</v>
      </c>
      <c r="F1188" s="27">
        <f>IFERROR(IF(OR(C1188="",D1188="",C1188=0),"",D1188/C1188),"")</f>
        <v/>
      </c>
      <c r="G1188" s="21">
        <f>IFERROR(INDEX(Users!$A$2:$A$310,MATCH(A1188,Users!$B$2:$B$310,0)),"")</f>
        <v/>
      </c>
      <c r="H1188" s="21">
        <f>IFERROR(INDEX(Users!$D$2:$D$310,MATCH(A1188,Users!$B$2:$B$310,0)),"")</f>
        <v/>
      </c>
      <c r="I1188" s="19">
        <f>AND(G1188="Service A",H1188="Band 3")</f>
        <v/>
      </c>
      <c r="J1188" s="33">
        <f>IF(AND(YEAR(B1188)=2025,G1188="Service B",OR(H1188="Band 3",H1188="Band 5"),ISNUMBER(F1188)),F1188,"")</f>
        <v/>
      </c>
    </row>
    <row r="1189">
      <c r="A1189" s="19" t="inlineStr">
        <is>
          <t>User1128</t>
        </is>
      </c>
      <c r="B1189" s="60" t="n">
        <v>45658</v>
      </c>
      <c r="C1189" s="21" t="n">
        <v>162.8</v>
      </c>
      <c r="D1189" s="21" t="n">
        <v>180.2138888888889</v>
      </c>
      <c r="E1189" s="21" t="n">
        <v>17.33</v>
      </c>
      <c r="F1189" s="27">
        <f>IFERROR(IF(OR(C1189="",D1189="",C1189=0),"",D1189/C1189),"")</f>
        <v/>
      </c>
      <c r="G1189" s="21">
        <f>IFERROR(INDEX(Users!$A$2:$A$310,MATCH(A1189,Users!$B$2:$B$310,0)),"")</f>
        <v/>
      </c>
      <c r="H1189" s="21">
        <f>IFERROR(INDEX(Users!$D$2:$D$310,MATCH(A1189,Users!$B$2:$B$310,0)),"")</f>
        <v/>
      </c>
      <c r="I1189" s="19">
        <f>AND(G1189="Service A",H1189="Band 3")</f>
        <v/>
      </c>
      <c r="J1189" s="33">
        <f>IF(AND(YEAR(B1189)=2025,G1189="Service B",OR(H1189="Band 3",H1189="Band 5"),ISNUMBER(F1189)),F1189,"")</f>
        <v/>
      </c>
    </row>
    <row r="1190">
      <c r="A1190" s="19" t="inlineStr">
        <is>
          <t>User1128</t>
        </is>
      </c>
      <c r="B1190" s="60" t="n">
        <v>45689</v>
      </c>
      <c r="C1190" s="21" t="n">
        <v>148</v>
      </c>
      <c r="D1190" s="21" t="n">
        <v>130.6033333333333</v>
      </c>
      <c r="E1190" s="21" t="n">
        <v>44.42</v>
      </c>
      <c r="F1190" s="27">
        <f>IFERROR(IF(OR(C1190="",D1190="",C1190=0),"",D1190/C1190),"")</f>
        <v/>
      </c>
      <c r="G1190" s="21">
        <f>IFERROR(INDEX(Users!$A$2:$A$310,MATCH(A1190,Users!$B$2:$B$310,0)),"")</f>
        <v/>
      </c>
      <c r="H1190" s="21">
        <f>IFERROR(INDEX(Users!$D$2:$D$310,MATCH(A1190,Users!$B$2:$B$310,0)),"")</f>
        <v/>
      </c>
      <c r="I1190" s="19">
        <f>AND(G1190="Service A",H1190="Band 3")</f>
        <v/>
      </c>
      <c r="J1190" s="33">
        <f>IF(AND(YEAR(B1190)=2025,G1190="Service B",OR(H1190="Band 3",H1190="Band 5"),ISNUMBER(F1190)),F1190,"")</f>
        <v/>
      </c>
    </row>
    <row r="1191">
      <c r="A1191" s="19" t="inlineStr">
        <is>
          <t>User1128</t>
        </is>
      </c>
      <c r="B1191" s="60" t="n">
        <v>45717</v>
      </c>
      <c r="C1191" s="21" t="n">
        <v>155.4</v>
      </c>
      <c r="D1191" s="21" t="n">
        <v>142.29</v>
      </c>
      <c r="E1191" s="21" t="n">
        <v>61.49</v>
      </c>
      <c r="F1191" s="27">
        <f>IFERROR(IF(OR(C1191="",D1191="",C1191=0),"",D1191/C1191),"")</f>
        <v/>
      </c>
      <c r="G1191" s="21">
        <f>IFERROR(INDEX(Users!$A$2:$A$310,MATCH(A1191,Users!$B$2:$B$310,0)),"")</f>
        <v/>
      </c>
      <c r="H1191" s="21">
        <f>IFERROR(INDEX(Users!$D$2:$D$310,MATCH(A1191,Users!$B$2:$B$310,0)),"")</f>
        <v/>
      </c>
      <c r="I1191" s="19">
        <f>AND(G1191="Service A",H1191="Band 3")</f>
        <v/>
      </c>
      <c r="J1191" s="33">
        <f>IF(AND(YEAR(B1191)=2025,G1191="Service B",OR(H1191="Band 3",H1191="Band 5"),ISNUMBER(F1191)),F1191,"")</f>
        <v/>
      </c>
    </row>
    <row r="1192">
      <c r="A1192" s="19" t="inlineStr">
        <is>
          <t>User1128</t>
        </is>
      </c>
      <c r="B1192" s="60" t="n">
        <v>45748</v>
      </c>
      <c r="C1192" s="21" t="n">
        <v>148</v>
      </c>
      <c r="D1192" s="21" t="n">
        <v>107.0866666666667</v>
      </c>
      <c r="E1192" s="21" t="n">
        <v>56.17</v>
      </c>
      <c r="F1192" s="27">
        <f>IFERROR(IF(OR(C1192="",D1192="",C1192=0),"",D1192/C1192),"")</f>
        <v/>
      </c>
      <c r="G1192" s="21">
        <f>IFERROR(INDEX(Users!$A$2:$A$310,MATCH(A1192,Users!$B$2:$B$310,0)),"")</f>
        <v/>
      </c>
      <c r="H1192" s="21">
        <f>IFERROR(INDEX(Users!$D$2:$D$310,MATCH(A1192,Users!$B$2:$B$310,0)),"")</f>
        <v/>
      </c>
      <c r="I1192" s="19">
        <f>AND(G1192="Service A",H1192="Band 3")</f>
        <v/>
      </c>
      <c r="J1192" s="33">
        <f>IF(AND(YEAR(B1192)=2025,G1192="Service B",OR(H1192="Band 3",H1192="Band 5"),ISNUMBER(F1192)),F1192,"")</f>
        <v/>
      </c>
    </row>
    <row r="1193">
      <c r="A1193" s="19" t="inlineStr">
        <is>
          <t>User1128</t>
        </is>
      </c>
      <c r="B1193" s="60" t="n">
        <v>45778</v>
      </c>
      <c r="C1193" s="21" t="n">
        <v>148</v>
      </c>
      <c r="D1193" s="21" t="n">
        <v>128.0733333333334</v>
      </c>
      <c r="E1193" s="21" t="n">
        <v>47.74</v>
      </c>
      <c r="F1193" s="27">
        <f>IFERROR(IF(OR(C1193="",D1193="",C1193=0),"",D1193/C1193),"")</f>
        <v/>
      </c>
      <c r="G1193" s="21">
        <f>IFERROR(INDEX(Users!$A$2:$A$310,MATCH(A1193,Users!$B$2:$B$310,0)),"")</f>
        <v/>
      </c>
      <c r="H1193" s="21">
        <f>IFERROR(INDEX(Users!$D$2:$D$310,MATCH(A1193,Users!$B$2:$B$310,0)),"")</f>
        <v/>
      </c>
      <c r="I1193" s="19">
        <f>AND(G1193="Service A",H1193="Band 3")</f>
        <v/>
      </c>
      <c r="J1193" s="33">
        <f>IF(AND(YEAR(B1193)=2025,G1193="Service B",OR(H1193="Band 3",H1193="Band 5"),ISNUMBER(F1193)),F1193,"")</f>
        <v/>
      </c>
    </row>
    <row r="1194">
      <c r="A1194" s="19" t="inlineStr">
        <is>
          <t>User1128</t>
        </is>
      </c>
      <c r="B1194" s="60" t="n">
        <v>45809</v>
      </c>
      <c r="C1194" s="21" t="n">
        <v>155.4</v>
      </c>
      <c r="D1194" s="21" t="n">
        <v>109.41</v>
      </c>
      <c r="E1194" s="21" t="n">
        <v>35.91</v>
      </c>
      <c r="F1194" s="27">
        <f>IFERROR(IF(OR(C1194="",D1194="",C1194=0),"",D1194/C1194),"")</f>
        <v/>
      </c>
      <c r="G1194" s="21">
        <f>IFERROR(INDEX(Users!$A$2:$A$310,MATCH(A1194,Users!$B$2:$B$310,0)),"")</f>
        <v/>
      </c>
      <c r="H1194" s="21">
        <f>IFERROR(INDEX(Users!$D$2:$D$310,MATCH(A1194,Users!$B$2:$B$310,0)),"")</f>
        <v/>
      </c>
      <c r="I1194" s="19">
        <f>AND(G1194="Service A",H1194="Band 3")</f>
        <v/>
      </c>
      <c r="J1194" s="33">
        <f>IF(AND(YEAR(B1194)=2025,G1194="Service B",OR(H1194="Band 3",H1194="Band 5"),ISNUMBER(F1194)),F1194,"")</f>
        <v/>
      </c>
    </row>
    <row r="1195">
      <c r="A1195" s="19" t="inlineStr">
        <is>
          <t>User1128</t>
        </is>
      </c>
      <c r="B1195" s="60" t="n">
        <v>45839</v>
      </c>
      <c r="C1195" s="21" t="n">
        <v>170.2</v>
      </c>
      <c r="D1195" s="21" t="n">
        <v>160.2816666666666</v>
      </c>
      <c r="E1195" s="21" t="n">
        <v>86.41999999999999</v>
      </c>
      <c r="F1195" s="27">
        <f>IFERROR(IF(OR(C1195="",D1195="",C1195=0),"",D1195/C1195),"")</f>
        <v/>
      </c>
      <c r="G1195" s="21">
        <f>IFERROR(INDEX(Users!$A$2:$A$310,MATCH(A1195,Users!$B$2:$B$310,0)),"")</f>
        <v/>
      </c>
      <c r="H1195" s="21">
        <f>IFERROR(INDEX(Users!$D$2:$D$310,MATCH(A1195,Users!$B$2:$B$310,0)),"")</f>
        <v/>
      </c>
      <c r="I1195" s="19">
        <f>AND(G1195="Service A",H1195="Band 3")</f>
        <v/>
      </c>
      <c r="J1195" s="33">
        <f>IF(AND(YEAR(B1195)=2025,G1195="Service B",OR(H1195="Band 3",H1195="Band 5"),ISNUMBER(F1195)),F1195,"")</f>
        <v/>
      </c>
    </row>
    <row r="1196">
      <c r="A1196" s="19" t="inlineStr">
        <is>
          <t>User1128</t>
        </is>
      </c>
      <c r="B1196" s="60" t="n">
        <v>45870</v>
      </c>
      <c r="C1196" s="21" t="n">
        <v>148</v>
      </c>
      <c r="D1196" s="21" t="n">
        <v>78.08</v>
      </c>
      <c r="E1196" s="21" t="n">
        <v>40.58</v>
      </c>
      <c r="F1196" s="27">
        <f>IFERROR(IF(OR(C1196="",D1196="",C1196=0),"",D1196/C1196),"")</f>
        <v/>
      </c>
      <c r="G1196" s="21">
        <f>IFERROR(INDEX(Users!$A$2:$A$310,MATCH(A1196,Users!$B$2:$B$310,0)),"")</f>
        <v/>
      </c>
      <c r="H1196" s="21">
        <f>IFERROR(INDEX(Users!$D$2:$D$310,MATCH(A1196,Users!$B$2:$B$310,0)),"")</f>
        <v/>
      </c>
      <c r="I1196" s="19">
        <f>AND(G1196="Service A",H1196="Band 3")</f>
        <v/>
      </c>
      <c r="J1196" s="33">
        <f>IF(AND(YEAR(B1196)=2025,G1196="Service B",OR(H1196="Band 3",H1196="Band 5"),ISNUMBER(F1196)),F1196,"")</f>
        <v/>
      </c>
    </row>
    <row r="1197">
      <c r="A1197" s="19" t="inlineStr">
        <is>
          <t>User1128</t>
        </is>
      </c>
      <c r="B1197" s="60" t="n">
        <v>45901</v>
      </c>
      <c r="C1197" s="21" t="n">
        <v>162.8</v>
      </c>
      <c r="D1197" s="21" t="n">
        <v>139.67</v>
      </c>
      <c r="E1197" s="21" t="n">
        <v>61.92</v>
      </c>
      <c r="F1197" s="27">
        <f>IFERROR(IF(OR(C1197="",D1197="",C1197=0),"",D1197/C1197),"")</f>
        <v/>
      </c>
      <c r="G1197" s="21">
        <f>IFERROR(INDEX(Users!$A$2:$A$310,MATCH(A1197,Users!$B$2:$B$310,0)),"")</f>
        <v/>
      </c>
      <c r="H1197" s="21">
        <f>IFERROR(INDEX(Users!$D$2:$D$310,MATCH(A1197,Users!$B$2:$B$310,0)),"")</f>
        <v/>
      </c>
      <c r="I1197" s="19">
        <f>AND(G1197="Service A",H1197="Band 3")</f>
        <v/>
      </c>
      <c r="J1197" s="33">
        <f>IF(AND(YEAR(B1197)=2025,G1197="Service B",OR(H1197="Band 3",H1197="Band 5"),ISNUMBER(F1197)),F1197,"")</f>
        <v/>
      </c>
    </row>
    <row r="1198">
      <c r="A1198" s="19" t="inlineStr">
        <is>
          <t>User1128</t>
        </is>
      </c>
      <c r="B1198" s="60" t="n">
        <v>45931</v>
      </c>
      <c r="C1198" s="21" t="n">
        <v>170.2</v>
      </c>
      <c r="D1198" s="21" t="n">
        <v>140.49</v>
      </c>
      <c r="E1198" s="21" t="n">
        <v>72.98999999999999</v>
      </c>
      <c r="F1198" s="27">
        <f>IFERROR(IF(OR(C1198="",D1198="",C1198=0),"",D1198/C1198),"")</f>
        <v/>
      </c>
      <c r="G1198" s="21">
        <f>IFERROR(INDEX(Users!$A$2:$A$310,MATCH(A1198,Users!$B$2:$B$310,0)),"")</f>
        <v/>
      </c>
      <c r="H1198" s="21">
        <f>IFERROR(INDEX(Users!$D$2:$D$310,MATCH(A1198,Users!$B$2:$B$310,0)),"")</f>
        <v/>
      </c>
      <c r="I1198" s="19">
        <f>AND(G1198="Service A",H1198="Band 3")</f>
        <v/>
      </c>
      <c r="J1198" s="33">
        <f>IF(AND(YEAR(B1198)=2025,G1198="Service B",OR(H1198="Band 3",H1198="Band 5"),ISNUMBER(F1198)),F1198,"")</f>
        <v/>
      </c>
    </row>
    <row r="1199">
      <c r="A1199" s="19" t="inlineStr">
        <is>
          <t>User1128</t>
        </is>
      </c>
      <c r="B1199" s="60" t="n">
        <v>45962</v>
      </c>
      <c r="C1199" s="21" t="n">
        <v>148</v>
      </c>
      <c r="D1199" s="21" t="n">
        <v>134.99</v>
      </c>
      <c r="E1199" s="21" t="n">
        <v>45.99</v>
      </c>
      <c r="F1199" s="27">
        <f>IFERROR(IF(OR(C1199="",D1199="",C1199=0),"",D1199/C1199),"")</f>
        <v/>
      </c>
      <c r="G1199" s="21">
        <f>IFERROR(INDEX(Users!$A$2:$A$310,MATCH(A1199,Users!$B$2:$B$310,0)),"")</f>
        <v/>
      </c>
      <c r="H1199" s="21">
        <f>IFERROR(INDEX(Users!$D$2:$D$310,MATCH(A1199,Users!$B$2:$B$310,0)),"")</f>
        <v/>
      </c>
      <c r="I1199" s="19">
        <f>AND(G1199="Service A",H1199="Band 3")</f>
        <v/>
      </c>
      <c r="J1199" s="33">
        <f>IF(AND(YEAR(B1199)=2025,G1199="Service B",OR(H1199="Band 3",H1199="Band 5"),ISNUMBER(F1199)),F1199,"")</f>
        <v/>
      </c>
    </row>
    <row r="1200">
      <c r="A1200" s="19" t="inlineStr">
        <is>
          <t>User1128</t>
        </is>
      </c>
      <c r="B1200" s="60" t="n">
        <v>45992</v>
      </c>
      <c r="C1200" s="21" t="n">
        <v>155.4</v>
      </c>
      <c r="D1200" s="21" t="n">
        <v>113.5533333333333</v>
      </c>
      <c r="E1200" s="21" t="n">
        <v>49.32</v>
      </c>
      <c r="F1200" s="27">
        <f>IFERROR(IF(OR(C1200="",D1200="",C1200=0),"",D1200/C1200),"")</f>
        <v/>
      </c>
      <c r="G1200" s="21">
        <f>IFERROR(INDEX(Users!$A$2:$A$310,MATCH(A1200,Users!$B$2:$B$310,0)),"")</f>
        <v/>
      </c>
      <c r="H1200" s="21">
        <f>IFERROR(INDEX(Users!$D$2:$D$310,MATCH(A1200,Users!$B$2:$B$310,0)),"")</f>
        <v/>
      </c>
      <c r="I1200" s="19">
        <f>AND(G1200="Service A",H1200="Band 3")</f>
        <v/>
      </c>
      <c r="J1200" s="33">
        <f>IF(AND(YEAR(B1200)=2025,G1200="Service B",OR(H1200="Band 3",H1200="Band 5"),ISNUMBER(F1200)),F1200,"")</f>
        <v/>
      </c>
    </row>
    <row r="1201">
      <c r="A1201" s="19" t="inlineStr">
        <is>
          <t>User1128</t>
        </is>
      </c>
      <c r="B1201" s="60" t="n">
        <v>46023</v>
      </c>
      <c r="C1201" s="21" t="n">
        <v>155.4</v>
      </c>
      <c r="D1201" s="21" t="n">
        <v>127.75</v>
      </c>
      <c r="E1201" s="21" t="n">
        <v>55.25</v>
      </c>
      <c r="F1201" s="27">
        <f>IFERROR(IF(OR(C1201="",D1201="",C1201=0),"",D1201/C1201),"")</f>
        <v/>
      </c>
      <c r="G1201" s="21">
        <f>IFERROR(INDEX(Users!$A$2:$A$310,MATCH(A1201,Users!$B$2:$B$310,0)),"")</f>
        <v/>
      </c>
      <c r="H1201" s="21">
        <f>IFERROR(INDEX(Users!$D$2:$D$310,MATCH(A1201,Users!$B$2:$B$310,0)),"")</f>
        <v/>
      </c>
      <c r="I1201" s="19">
        <f>AND(G1201="Service A",H1201="Band 3")</f>
        <v/>
      </c>
      <c r="J1201" s="33">
        <f>IF(AND(YEAR(B1201)=2025,G1201="Service B",OR(H1201="Band 3",H1201="Band 5"),ISNUMBER(F1201)),F1201,"")</f>
        <v/>
      </c>
    </row>
    <row r="1202">
      <c r="A1202" s="19" t="inlineStr">
        <is>
          <t>User1129</t>
        </is>
      </c>
      <c r="B1202" s="60" t="n">
        <v>45658</v>
      </c>
      <c r="C1202" s="21" t="n">
        <v>162.8</v>
      </c>
      <c r="D1202" s="21" t="n">
        <v>108.7866666666666</v>
      </c>
      <c r="E1202" s="21" t="n">
        <v>77.36999999999998</v>
      </c>
      <c r="F1202" s="27">
        <f>IFERROR(IF(OR(C1202="",D1202="",C1202=0),"",D1202/C1202),"")</f>
        <v/>
      </c>
      <c r="G1202" s="21">
        <f>IFERROR(INDEX(Users!$A$2:$A$310,MATCH(A1202,Users!$B$2:$B$310,0)),"")</f>
        <v/>
      </c>
      <c r="H1202" s="21">
        <f>IFERROR(INDEX(Users!$D$2:$D$310,MATCH(A1202,Users!$B$2:$B$310,0)),"")</f>
        <v/>
      </c>
      <c r="I1202" s="19">
        <f>AND(G1202="Service A",H1202="Band 3")</f>
        <v/>
      </c>
      <c r="J1202" s="33">
        <f>IF(AND(YEAR(B1202)=2025,G1202="Service B",OR(H1202="Band 3",H1202="Band 5"),ISNUMBER(F1202)),F1202,"")</f>
        <v/>
      </c>
    </row>
    <row r="1203">
      <c r="A1203" s="19" t="inlineStr">
        <is>
          <t>User1129</t>
        </is>
      </c>
      <c r="B1203" s="60" t="n">
        <v>45689</v>
      </c>
      <c r="C1203" s="21" t="n">
        <v>148</v>
      </c>
      <c r="D1203" s="21" t="n">
        <v>95.27666666666667</v>
      </c>
      <c r="E1203" s="21" t="n">
        <v>59.61</v>
      </c>
      <c r="F1203" s="27">
        <f>IFERROR(IF(OR(C1203="",D1203="",C1203=0),"",D1203/C1203),"")</f>
        <v/>
      </c>
      <c r="G1203" s="21">
        <f>IFERROR(INDEX(Users!$A$2:$A$310,MATCH(A1203,Users!$B$2:$B$310,0)),"")</f>
        <v/>
      </c>
      <c r="H1203" s="21">
        <f>IFERROR(INDEX(Users!$D$2:$D$310,MATCH(A1203,Users!$B$2:$B$310,0)),"")</f>
        <v/>
      </c>
      <c r="I1203" s="19">
        <f>AND(G1203="Service A",H1203="Band 3")</f>
        <v/>
      </c>
      <c r="J1203" s="33">
        <f>IF(AND(YEAR(B1203)=2025,G1203="Service B",OR(H1203="Band 3",H1203="Band 5"),ISNUMBER(F1203)),F1203,"")</f>
        <v/>
      </c>
    </row>
    <row r="1204">
      <c r="A1204" s="19" t="inlineStr">
        <is>
          <t>User1129</t>
        </is>
      </c>
      <c r="B1204" s="60" t="n">
        <v>45717</v>
      </c>
      <c r="C1204" s="21" t="n">
        <v>155.4</v>
      </c>
      <c r="D1204" s="21" t="n">
        <v>151.13</v>
      </c>
      <c r="E1204" s="21" t="n">
        <v>108.48</v>
      </c>
      <c r="F1204" s="27">
        <f>IFERROR(IF(OR(C1204="",D1204="",C1204=0),"",D1204/C1204),"")</f>
        <v/>
      </c>
      <c r="G1204" s="21">
        <f>IFERROR(INDEX(Users!$A$2:$A$310,MATCH(A1204,Users!$B$2:$B$310,0)),"")</f>
        <v/>
      </c>
      <c r="H1204" s="21">
        <f>IFERROR(INDEX(Users!$D$2:$D$310,MATCH(A1204,Users!$B$2:$B$310,0)),"")</f>
        <v/>
      </c>
      <c r="I1204" s="19">
        <f>AND(G1204="Service A",H1204="Band 3")</f>
        <v/>
      </c>
      <c r="J1204" s="33">
        <f>IF(AND(YEAR(B1204)=2025,G1204="Service B",OR(H1204="Band 3",H1204="Band 5"),ISNUMBER(F1204)),F1204,"")</f>
        <v/>
      </c>
    </row>
    <row r="1205">
      <c r="A1205" s="19" t="inlineStr">
        <is>
          <t>User1129</t>
        </is>
      </c>
      <c r="B1205" s="60" t="n">
        <v>45748</v>
      </c>
      <c r="C1205" s="21" t="n">
        <v>148</v>
      </c>
      <c r="D1205" s="21" t="n">
        <v>125.0733333333333</v>
      </c>
      <c r="E1205" s="21" t="n">
        <v>86.08999999999999</v>
      </c>
      <c r="F1205" s="27">
        <f>IFERROR(IF(OR(C1205="",D1205="",C1205=0),"",D1205/C1205),"")</f>
        <v/>
      </c>
      <c r="G1205" s="21">
        <f>IFERROR(INDEX(Users!$A$2:$A$310,MATCH(A1205,Users!$B$2:$B$310,0)),"")</f>
        <v/>
      </c>
      <c r="H1205" s="21">
        <f>IFERROR(INDEX(Users!$D$2:$D$310,MATCH(A1205,Users!$B$2:$B$310,0)),"")</f>
        <v/>
      </c>
      <c r="I1205" s="19">
        <f>AND(G1205="Service A",H1205="Band 3")</f>
        <v/>
      </c>
      <c r="J1205" s="33">
        <f>IF(AND(YEAR(B1205)=2025,G1205="Service B",OR(H1205="Band 3",H1205="Band 5"),ISNUMBER(F1205)),F1205,"")</f>
        <v/>
      </c>
    </row>
    <row r="1206">
      <c r="A1206" s="19" t="inlineStr">
        <is>
          <t>User1129</t>
        </is>
      </c>
      <c r="B1206" s="60" t="n">
        <v>45778</v>
      </c>
      <c r="C1206" s="21" t="n">
        <v>148</v>
      </c>
      <c r="D1206" s="21" t="n">
        <v>106.9233333333333</v>
      </c>
      <c r="E1206" s="21" t="n">
        <v>74.84</v>
      </c>
      <c r="F1206" s="27">
        <f>IFERROR(IF(OR(C1206="",D1206="",C1206=0),"",D1206/C1206),"")</f>
        <v/>
      </c>
      <c r="G1206" s="21">
        <f>IFERROR(INDEX(Users!$A$2:$A$310,MATCH(A1206,Users!$B$2:$B$310,0)),"")</f>
        <v/>
      </c>
      <c r="H1206" s="21">
        <f>IFERROR(INDEX(Users!$D$2:$D$310,MATCH(A1206,Users!$B$2:$B$310,0)),"")</f>
        <v/>
      </c>
      <c r="I1206" s="19">
        <f>AND(G1206="Service A",H1206="Band 3")</f>
        <v/>
      </c>
      <c r="J1206" s="33">
        <f>IF(AND(YEAR(B1206)=2025,G1206="Service B",OR(H1206="Band 3",H1206="Band 5"),ISNUMBER(F1206)),F1206,"")</f>
        <v/>
      </c>
    </row>
    <row r="1207">
      <c r="A1207" s="19" t="inlineStr">
        <is>
          <t>User1129</t>
        </is>
      </c>
      <c r="B1207" s="60" t="n">
        <v>45809</v>
      </c>
      <c r="C1207" s="21" t="n">
        <v>155.4</v>
      </c>
      <c r="D1207" s="21" t="n">
        <v>151.4333333333333</v>
      </c>
      <c r="E1207" s="21" t="n">
        <v>106.6</v>
      </c>
      <c r="F1207" s="27">
        <f>IFERROR(IF(OR(C1207="",D1207="",C1207=0),"",D1207/C1207),"")</f>
        <v/>
      </c>
      <c r="G1207" s="21">
        <f>IFERROR(INDEX(Users!$A$2:$A$310,MATCH(A1207,Users!$B$2:$B$310,0)),"")</f>
        <v/>
      </c>
      <c r="H1207" s="21">
        <f>IFERROR(INDEX(Users!$D$2:$D$310,MATCH(A1207,Users!$B$2:$B$310,0)),"")</f>
        <v/>
      </c>
      <c r="I1207" s="19">
        <f>AND(G1207="Service A",H1207="Band 3")</f>
        <v/>
      </c>
      <c r="J1207" s="33">
        <f>IF(AND(YEAR(B1207)=2025,G1207="Service B",OR(H1207="Band 3",H1207="Band 5"),ISNUMBER(F1207)),F1207,"")</f>
        <v/>
      </c>
    </row>
    <row r="1208">
      <c r="A1208" s="19" t="inlineStr">
        <is>
          <t>User1129</t>
        </is>
      </c>
      <c r="B1208" s="60" t="n">
        <v>45839</v>
      </c>
      <c r="C1208" s="21" t="n">
        <v>170.2</v>
      </c>
      <c r="D1208" s="21" t="n">
        <v>169.6</v>
      </c>
      <c r="E1208" s="21" t="n">
        <v>131.35</v>
      </c>
      <c r="F1208" s="27">
        <f>IFERROR(IF(OR(C1208="",D1208="",C1208=0),"",D1208/C1208),"")</f>
        <v/>
      </c>
      <c r="G1208" s="21">
        <f>IFERROR(INDEX(Users!$A$2:$A$310,MATCH(A1208,Users!$B$2:$B$310,0)),"")</f>
        <v/>
      </c>
      <c r="H1208" s="21">
        <f>IFERROR(INDEX(Users!$D$2:$D$310,MATCH(A1208,Users!$B$2:$B$310,0)),"")</f>
        <v/>
      </c>
      <c r="I1208" s="19">
        <f>AND(G1208="Service A",H1208="Band 3")</f>
        <v/>
      </c>
      <c r="J1208" s="33">
        <f>IF(AND(YEAR(B1208)=2025,G1208="Service B",OR(H1208="Band 3",H1208="Band 5"),ISNUMBER(F1208)),F1208,"")</f>
        <v/>
      </c>
    </row>
    <row r="1209">
      <c r="A1209" s="19" t="inlineStr">
        <is>
          <t>User1129</t>
        </is>
      </c>
      <c r="B1209" s="60" t="n">
        <v>45870</v>
      </c>
      <c r="C1209" s="21" t="n">
        <v>148</v>
      </c>
      <c r="D1209" s="21" t="n">
        <v>137.1166666666667</v>
      </c>
      <c r="E1209" s="21" t="n">
        <v>105.45</v>
      </c>
      <c r="F1209" s="27">
        <f>IFERROR(IF(OR(C1209="",D1209="",C1209=0),"",D1209/C1209),"")</f>
        <v/>
      </c>
      <c r="G1209" s="21">
        <f>IFERROR(INDEX(Users!$A$2:$A$310,MATCH(A1209,Users!$B$2:$B$310,0)),"")</f>
        <v/>
      </c>
      <c r="H1209" s="21">
        <f>IFERROR(INDEX(Users!$D$2:$D$310,MATCH(A1209,Users!$B$2:$B$310,0)),"")</f>
        <v/>
      </c>
      <c r="I1209" s="19">
        <f>AND(G1209="Service A",H1209="Band 3")</f>
        <v/>
      </c>
      <c r="J1209" s="33">
        <f>IF(AND(YEAR(B1209)=2025,G1209="Service B",OR(H1209="Band 3",H1209="Band 5"),ISNUMBER(F1209)),F1209,"")</f>
        <v/>
      </c>
    </row>
    <row r="1210">
      <c r="A1210" s="19" t="inlineStr">
        <is>
          <t>User1129</t>
        </is>
      </c>
      <c r="B1210" s="60" t="n">
        <v>45901</v>
      </c>
      <c r="C1210" s="21" t="n">
        <v>162.8</v>
      </c>
      <c r="D1210" s="21" t="n">
        <v>104.8633333333333</v>
      </c>
      <c r="E1210" s="21" t="n">
        <v>74.03000000000002</v>
      </c>
      <c r="F1210" s="27">
        <f>IFERROR(IF(OR(C1210="",D1210="",C1210=0),"",D1210/C1210),"")</f>
        <v/>
      </c>
      <c r="G1210" s="21">
        <f>IFERROR(INDEX(Users!$A$2:$A$310,MATCH(A1210,Users!$B$2:$B$310,0)),"")</f>
        <v/>
      </c>
      <c r="H1210" s="21">
        <f>IFERROR(INDEX(Users!$D$2:$D$310,MATCH(A1210,Users!$B$2:$B$310,0)),"")</f>
        <v/>
      </c>
      <c r="I1210" s="19">
        <f>AND(G1210="Service A",H1210="Band 3")</f>
        <v/>
      </c>
      <c r="J1210" s="33">
        <f>IF(AND(YEAR(B1210)=2025,G1210="Service B",OR(H1210="Band 3",H1210="Band 5"),ISNUMBER(F1210)),F1210,"")</f>
        <v/>
      </c>
    </row>
    <row r="1211">
      <c r="A1211" s="19" t="inlineStr">
        <is>
          <t>User1129</t>
        </is>
      </c>
      <c r="B1211" s="60" t="n">
        <v>45931</v>
      </c>
      <c r="C1211" s="21" t="n">
        <v>170.2</v>
      </c>
      <c r="D1211" s="21" t="n">
        <v>104.5066666666667</v>
      </c>
      <c r="E1211" s="21" t="n">
        <v>63.34</v>
      </c>
      <c r="F1211" s="27">
        <f>IFERROR(IF(OR(C1211="",D1211="",C1211=0),"",D1211/C1211),"")</f>
        <v/>
      </c>
      <c r="G1211" s="21">
        <f>IFERROR(INDEX(Users!$A$2:$A$310,MATCH(A1211,Users!$B$2:$B$310,0)),"")</f>
        <v/>
      </c>
      <c r="H1211" s="21">
        <f>IFERROR(INDEX(Users!$D$2:$D$310,MATCH(A1211,Users!$B$2:$B$310,0)),"")</f>
        <v/>
      </c>
      <c r="I1211" s="19">
        <f>AND(G1211="Service A",H1211="Band 3")</f>
        <v/>
      </c>
      <c r="J1211" s="33">
        <f>IF(AND(YEAR(B1211)=2025,G1211="Service B",OR(H1211="Band 3",H1211="Band 5"),ISNUMBER(F1211)),F1211,"")</f>
        <v/>
      </c>
    </row>
    <row r="1212">
      <c r="A1212" s="19" t="inlineStr">
        <is>
          <t>User1129</t>
        </is>
      </c>
      <c r="B1212" s="60" t="n">
        <v>45962</v>
      </c>
      <c r="C1212" s="21" t="n">
        <v>148</v>
      </c>
      <c r="D1212" s="21" t="n">
        <v>117.54</v>
      </c>
      <c r="E1212" s="21" t="n">
        <v>82.04000000000001</v>
      </c>
      <c r="F1212" s="27">
        <f>IFERROR(IF(OR(C1212="",D1212="",C1212=0),"",D1212/C1212),"")</f>
        <v/>
      </c>
      <c r="G1212" s="21">
        <f>IFERROR(INDEX(Users!$A$2:$A$310,MATCH(A1212,Users!$B$2:$B$310,0)),"")</f>
        <v/>
      </c>
      <c r="H1212" s="21">
        <f>IFERROR(INDEX(Users!$D$2:$D$310,MATCH(A1212,Users!$B$2:$B$310,0)),"")</f>
        <v/>
      </c>
      <c r="I1212" s="19">
        <f>AND(G1212="Service A",H1212="Band 3")</f>
        <v/>
      </c>
      <c r="J1212" s="33">
        <f>IF(AND(YEAR(B1212)=2025,G1212="Service B",OR(H1212="Band 3",H1212="Band 5"),ISNUMBER(F1212)),F1212,"")</f>
        <v/>
      </c>
    </row>
    <row r="1213">
      <c r="A1213" s="19" t="inlineStr">
        <is>
          <t>User1129</t>
        </is>
      </c>
      <c r="B1213" s="60" t="n">
        <v>45992</v>
      </c>
      <c r="C1213" s="21" t="n">
        <v>155.4</v>
      </c>
      <c r="D1213" s="21" t="n">
        <v>120.8533333333333</v>
      </c>
      <c r="E1213" s="21" t="n">
        <v>88.02000000000001</v>
      </c>
      <c r="F1213" s="27">
        <f>IFERROR(IF(OR(C1213="",D1213="",C1213=0),"",D1213/C1213),"")</f>
        <v/>
      </c>
      <c r="G1213" s="21">
        <f>IFERROR(INDEX(Users!$A$2:$A$310,MATCH(A1213,Users!$B$2:$B$310,0)),"")</f>
        <v/>
      </c>
      <c r="H1213" s="21">
        <f>IFERROR(INDEX(Users!$D$2:$D$310,MATCH(A1213,Users!$B$2:$B$310,0)),"")</f>
        <v/>
      </c>
      <c r="I1213" s="19">
        <f>AND(G1213="Service A",H1213="Band 3")</f>
        <v/>
      </c>
      <c r="J1213" s="33">
        <f>IF(AND(YEAR(B1213)=2025,G1213="Service B",OR(H1213="Band 3",H1213="Band 5"),ISNUMBER(F1213)),F1213,"")</f>
        <v/>
      </c>
    </row>
    <row r="1214">
      <c r="A1214" s="19" t="inlineStr">
        <is>
          <t>User1129</t>
        </is>
      </c>
      <c r="B1214" s="60" t="n">
        <v>46023</v>
      </c>
      <c r="C1214" s="21" t="n">
        <v>155.4</v>
      </c>
      <c r="D1214" s="21" t="n">
        <v>102.8466666666667</v>
      </c>
      <c r="E1214" s="21" t="n">
        <v>71.18000000000001</v>
      </c>
      <c r="F1214" s="27">
        <f>IFERROR(IF(OR(C1214="",D1214="",C1214=0),"",D1214/C1214),"")</f>
        <v/>
      </c>
      <c r="G1214" s="21">
        <f>IFERROR(INDEX(Users!$A$2:$A$310,MATCH(A1214,Users!$B$2:$B$310,0)),"")</f>
        <v/>
      </c>
      <c r="H1214" s="21">
        <f>IFERROR(INDEX(Users!$D$2:$D$310,MATCH(A1214,Users!$B$2:$B$310,0)),"")</f>
        <v/>
      </c>
      <c r="I1214" s="19">
        <f>AND(G1214="Service A",H1214="Band 3")</f>
        <v/>
      </c>
      <c r="J1214" s="33">
        <f>IF(AND(YEAR(B1214)=2025,G1214="Service B",OR(H1214="Band 3",H1214="Band 5"),ISNUMBER(F1214)),F1214,"")</f>
        <v/>
      </c>
    </row>
    <row r="1215">
      <c r="A1215" s="19" t="inlineStr">
        <is>
          <t>User1131</t>
        </is>
      </c>
      <c r="B1215" s="60" t="n">
        <v>45658</v>
      </c>
      <c r="C1215" s="21" t="n">
        <v>162.8</v>
      </c>
      <c r="D1215" s="21" t="n"/>
      <c r="E1215" s="21" t="n"/>
      <c r="F1215" s="27">
        <f>IFERROR(IF(OR(C1215="",D1215="",C1215=0),"",D1215/C1215),"")</f>
        <v/>
      </c>
      <c r="G1215" s="21">
        <f>IFERROR(INDEX(Users!$A$2:$A$310,MATCH(A1215,Users!$B$2:$B$310,0)),"")</f>
        <v/>
      </c>
      <c r="H1215" s="21">
        <f>IFERROR(INDEX(Users!$D$2:$D$310,MATCH(A1215,Users!$B$2:$B$310,0)),"")</f>
        <v/>
      </c>
      <c r="I1215" s="19">
        <f>AND(G1215="Service A",H1215="Band 3")</f>
        <v/>
      </c>
      <c r="J1215" s="33">
        <f>IF(AND(YEAR(B1215)=2025,G1215="Service B",OR(H1215="Band 3",H1215="Band 5"),ISNUMBER(F1215)),F1215,"")</f>
        <v/>
      </c>
    </row>
    <row r="1216">
      <c r="A1216" s="19" t="inlineStr">
        <is>
          <t>User1131</t>
        </is>
      </c>
      <c r="B1216" s="60" t="n">
        <v>45689</v>
      </c>
      <c r="C1216" s="21" t="n">
        <v>148</v>
      </c>
      <c r="D1216" s="21" t="n">
        <v>36</v>
      </c>
      <c r="E1216" s="21" t="n"/>
      <c r="F1216" s="27">
        <f>IFERROR(IF(OR(C1216="",D1216="",C1216=0),"",D1216/C1216),"")</f>
        <v/>
      </c>
      <c r="G1216" s="21">
        <f>IFERROR(INDEX(Users!$A$2:$A$310,MATCH(A1216,Users!$B$2:$B$310,0)),"")</f>
        <v/>
      </c>
      <c r="H1216" s="21">
        <f>IFERROR(INDEX(Users!$D$2:$D$310,MATCH(A1216,Users!$B$2:$B$310,0)),"")</f>
        <v/>
      </c>
      <c r="I1216" s="19">
        <f>AND(G1216="Service A",H1216="Band 3")</f>
        <v/>
      </c>
      <c r="J1216" s="33">
        <f>IF(AND(YEAR(B1216)=2025,G1216="Service B",OR(H1216="Band 3",H1216="Band 5"),ISNUMBER(F1216)),F1216,"")</f>
        <v/>
      </c>
    </row>
    <row r="1217">
      <c r="A1217" s="19" t="inlineStr">
        <is>
          <t>User1131</t>
        </is>
      </c>
      <c r="B1217" s="60" t="n">
        <v>45717</v>
      </c>
      <c r="C1217" s="21" t="n">
        <v>155.4</v>
      </c>
      <c r="D1217" s="21" t="n">
        <v>94.11</v>
      </c>
      <c r="E1217" s="21" t="n">
        <v>10.61</v>
      </c>
      <c r="F1217" s="27">
        <f>IFERROR(IF(OR(C1217="",D1217="",C1217=0),"",D1217/C1217),"")</f>
        <v/>
      </c>
      <c r="G1217" s="21">
        <f>IFERROR(INDEX(Users!$A$2:$A$310,MATCH(A1217,Users!$B$2:$B$310,0)),"")</f>
        <v/>
      </c>
      <c r="H1217" s="21">
        <f>IFERROR(INDEX(Users!$D$2:$D$310,MATCH(A1217,Users!$B$2:$B$310,0)),"")</f>
        <v/>
      </c>
      <c r="I1217" s="19">
        <f>AND(G1217="Service A",H1217="Band 3")</f>
        <v/>
      </c>
      <c r="J1217" s="33">
        <f>IF(AND(YEAR(B1217)=2025,G1217="Service B",OR(H1217="Band 3",H1217="Band 5"),ISNUMBER(F1217)),F1217,"")</f>
        <v/>
      </c>
    </row>
    <row r="1218">
      <c r="A1218" s="19" t="inlineStr">
        <is>
          <t>User1131</t>
        </is>
      </c>
      <c r="B1218" s="60" t="n">
        <v>45748</v>
      </c>
      <c r="C1218" s="21" t="n">
        <v>148</v>
      </c>
      <c r="D1218" s="21" t="n">
        <v>159.59</v>
      </c>
      <c r="E1218" s="21" t="n">
        <v>58.84</v>
      </c>
      <c r="F1218" s="27">
        <f>IFERROR(IF(OR(C1218="",D1218="",C1218=0),"",D1218/C1218),"")</f>
        <v/>
      </c>
      <c r="G1218" s="21">
        <f>IFERROR(INDEX(Users!$A$2:$A$310,MATCH(A1218,Users!$B$2:$B$310,0)),"")</f>
        <v/>
      </c>
      <c r="H1218" s="21">
        <f>IFERROR(INDEX(Users!$D$2:$D$310,MATCH(A1218,Users!$B$2:$B$310,0)),"")</f>
        <v/>
      </c>
      <c r="I1218" s="19">
        <f>AND(G1218="Service A",H1218="Band 3")</f>
        <v/>
      </c>
      <c r="J1218" s="33">
        <f>IF(AND(YEAR(B1218)=2025,G1218="Service B",OR(H1218="Band 3",H1218="Band 5"),ISNUMBER(F1218)),F1218,"")</f>
        <v/>
      </c>
    </row>
    <row r="1219">
      <c r="A1219" s="19" t="inlineStr">
        <is>
          <t>User1131</t>
        </is>
      </c>
      <c r="B1219" s="60" t="n">
        <v>45778</v>
      </c>
      <c r="C1219" s="21" t="n">
        <v>148</v>
      </c>
      <c r="D1219" s="21" t="n">
        <v>139.58</v>
      </c>
      <c r="E1219" s="21" t="n">
        <v>86.66333333333334</v>
      </c>
      <c r="F1219" s="27">
        <f>IFERROR(IF(OR(C1219="",D1219="",C1219=0),"",D1219/C1219),"")</f>
        <v/>
      </c>
      <c r="G1219" s="21">
        <f>IFERROR(INDEX(Users!$A$2:$A$310,MATCH(A1219,Users!$B$2:$B$310,0)),"")</f>
        <v/>
      </c>
      <c r="H1219" s="21">
        <f>IFERROR(INDEX(Users!$D$2:$D$310,MATCH(A1219,Users!$B$2:$B$310,0)),"")</f>
        <v/>
      </c>
      <c r="I1219" s="19">
        <f>AND(G1219="Service A",H1219="Band 3")</f>
        <v/>
      </c>
      <c r="J1219" s="33">
        <f>IF(AND(YEAR(B1219)=2025,G1219="Service B",OR(H1219="Band 3",H1219="Band 5"),ISNUMBER(F1219)),F1219,"")</f>
        <v/>
      </c>
    </row>
    <row r="1220">
      <c r="A1220" s="19" t="inlineStr">
        <is>
          <t>User1131</t>
        </is>
      </c>
      <c r="B1220" s="60" t="n">
        <v>45809</v>
      </c>
      <c r="C1220" s="21" t="n">
        <v>155.4</v>
      </c>
      <c r="D1220" s="21" t="n">
        <v>139.5</v>
      </c>
      <c r="E1220" s="21" t="n">
        <v>47.58333333333334</v>
      </c>
      <c r="F1220" s="27">
        <f>IFERROR(IF(OR(C1220="",D1220="",C1220=0),"",D1220/C1220),"")</f>
        <v/>
      </c>
      <c r="G1220" s="21">
        <f>IFERROR(INDEX(Users!$A$2:$A$310,MATCH(A1220,Users!$B$2:$B$310,0)),"")</f>
        <v/>
      </c>
      <c r="H1220" s="21">
        <f>IFERROR(INDEX(Users!$D$2:$D$310,MATCH(A1220,Users!$B$2:$B$310,0)),"")</f>
        <v/>
      </c>
      <c r="I1220" s="19">
        <f>AND(G1220="Service A",H1220="Band 3")</f>
        <v/>
      </c>
      <c r="J1220" s="33">
        <f>IF(AND(YEAR(B1220)=2025,G1220="Service B",OR(H1220="Band 3",H1220="Band 5"),ISNUMBER(F1220)),F1220,"")</f>
        <v/>
      </c>
    </row>
    <row r="1221">
      <c r="A1221" s="19" t="inlineStr">
        <is>
          <t>User1131</t>
        </is>
      </c>
      <c r="B1221" s="60" t="n">
        <v>45839</v>
      </c>
      <c r="C1221" s="21" t="n">
        <v>170.2</v>
      </c>
      <c r="D1221" s="21" t="n">
        <v>147.3</v>
      </c>
      <c r="E1221" s="21" t="n">
        <v>3.5</v>
      </c>
      <c r="F1221" s="27">
        <f>IFERROR(IF(OR(C1221="",D1221="",C1221=0),"",D1221/C1221),"")</f>
        <v/>
      </c>
      <c r="G1221" s="21">
        <f>IFERROR(INDEX(Users!$A$2:$A$310,MATCH(A1221,Users!$B$2:$B$310,0)),"")</f>
        <v/>
      </c>
      <c r="H1221" s="21">
        <f>IFERROR(INDEX(Users!$D$2:$D$310,MATCH(A1221,Users!$B$2:$B$310,0)),"")</f>
        <v/>
      </c>
      <c r="I1221" s="19">
        <f>AND(G1221="Service A",H1221="Band 3")</f>
        <v/>
      </c>
      <c r="J1221" s="33">
        <f>IF(AND(YEAR(B1221)=2025,G1221="Service B",OR(H1221="Band 3",H1221="Band 5"),ISNUMBER(F1221)),F1221,"")</f>
        <v/>
      </c>
    </row>
    <row r="1222">
      <c r="A1222" s="19" t="inlineStr">
        <is>
          <t>User1131</t>
        </is>
      </c>
      <c r="B1222" s="60" t="n">
        <v>45870</v>
      </c>
      <c r="C1222" s="21" t="n">
        <v>148</v>
      </c>
      <c r="D1222" s="21" t="n">
        <v>93.92</v>
      </c>
      <c r="E1222" s="21" t="n">
        <v>34.67</v>
      </c>
      <c r="F1222" s="27">
        <f>IFERROR(IF(OR(C1222="",D1222="",C1222=0),"",D1222/C1222),"")</f>
        <v/>
      </c>
      <c r="G1222" s="21">
        <f>IFERROR(INDEX(Users!$A$2:$A$310,MATCH(A1222,Users!$B$2:$B$310,0)),"")</f>
        <v/>
      </c>
      <c r="H1222" s="21">
        <f>IFERROR(INDEX(Users!$D$2:$D$310,MATCH(A1222,Users!$B$2:$B$310,0)),"")</f>
        <v/>
      </c>
      <c r="I1222" s="19">
        <f>AND(G1222="Service A",H1222="Band 3")</f>
        <v/>
      </c>
      <c r="J1222" s="33">
        <f>IF(AND(YEAR(B1222)=2025,G1222="Service B",OR(H1222="Band 3",H1222="Band 5"),ISNUMBER(F1222)),F1222,"")</f>
        <v/>
      </c>
    </row>
    <row r="1223">
      <c r="A1223" s="19" t="inlineStr">
        <is>
          <t>User1131</t>
        </is>
      </c>
      <c r="B1223" s="60" t="n">
        <v>45901</v>
      </c>
      <c r="C1223" s="21" t="n">
        <v>162.8</v>
      </c>
      <c r="D1223" s="21" t="n">
        <v>98.25</v>
      </c>
      <c r="E1223" s="21" t="n">
        <v>38.33333333333334</v>
      </c>
      <c r="F1223" s="27">
        <f>IFERROR(IF(OR(C1223="",D1223="",C1223=0),"",D1223/C1223),"")</f>
        <v/>
      </c>
      <c r="G1223" s="21">
        <f>IFERROR(INDEX(Users!$A$2:$A$310,MATCH(A1223,Users!$B$2:$B$310,0)),"")</f>
        <v/>
      </c>
      <c r="H1223" s="21">
        <f>IFERROR(INDEX(Users!$D$2:$D$310,MATCH(A1223,Users!$B$2:$B$310,0)),"")</f>
        <v/>
      </c>
      <c r="I1223" s="19">
        <f>AND(G1223="Service A",H1223="Band 3")</f>
        <v/>
      </c>
      <c r="J1223" s="33">
        <f>IF(AND(YEAR(B1223)=2025,G1223="Service B",OR(H1223="Band 3",H1223="Band 5"),ISNUMBER(F1223)),F1223,"")</f>
        <v/>
      </c>
    </row>
    <row r="1224">
      <c r="A1224" s="19" t="inlineStr">
        <is>
          <t>User1131</t>
        </is>
      </c>
      <c r="B1224" s="60" t="n">
        <v>45931</v>
      </c>
      <c r="C1224" s="21" t="n">
        <v>170.2</v>
      </c>
      <c r="D1224" s="21" t="n">
        <v>156</v>
      </c>
      <c r="E1224" s="21" t="n">
        <v>20.5</v>
      </c>
      <c r="F1224" s="27">
        <f>IFERROR(IF(OR(C1224="",D1224="",C1224=0),"",D1224/C1224),"")</f>
        <v/>
      </c>
      <c r="G1224" s="21">
        <f>IFERROR(INDEX(Users!$A$2:$A$310,MATCH(A1224,Users!$B$2:$B$310,0)),"")</f>
        <v/>
      </c>
      <c r="H1224" s="21">
        <f>IFERROR(INDEX(Users!$D$2:$D$310,MATCH(A1224,Users!$B$2:$B$310,0)),"")</f>
        <v/>
      </c>
      <c r="I1224" s="19">
        <f>AND(G1224="Service A",H1224="Band 3")</f>
        <v/>
      </c>
      <c r="J1224" s="33">
        <f>IF(AND(YEAR(B1224)=2025,G1224="Service B",OR(H1224="Band 3",H1224="Band 5"),ISNUMBER(F1224)),F1224,"")</f>
        <v/>
      </c>
    </row>
    <row r="1225">
      <c r="A1225" s="19" t="inlineStr">
        <is>
          <t>User1131</t>
        </is>
      </c>
      <c r="B1225" s="60" t="n">
        <v>45962</v>
      </c>
      <c r="C1225" s="21" t="n">
        <v>148</v>
      </c>
      <c r="D1225" s="21" t="n">
        <v>12.5</v>
      </c>
      <c r="E1225" s="21" t="n">
        <v>4.5</v>
      </c>
      <c r="F1225" s="27">
        <f>IFERROR(IF(OR(C1225="",D1225="",C1225=0),"",D1225/C1225),"")</f>
        <v/>
      </c>
      <c r="G1225" s="21">
        <f>IFERROR(INDEX(Users!$A$2:$A$310,MATCH(A1225,Users!$B$2:$B$310,0)),"")</f>
        <v/>
      </c>
      <c r="H1225" s="21">
        <f>IFERROR(INDEX(Users!$D$2:$D$310,MATCH(A1225,Users!$B$2:$B$310,0)),"")</f>
        <v/>
      </c>
      <c r="I1225" s="19">
        <f>AND(G1225="Service A",H1225="Band 3")</f>
        <v/>
      </c>
      <c r="J1225" s="33">
        <f>IF(AND(YEAR(B1225)=2025,G1225="Service B",OR(H1225="Band 3",H1225="Band 5"),ISNUMBER(F1225)),F1225,"")</f>
        <v/>
      </c>
    </row>
    <row r="1226">
      <c r="A1226" s="19" t="inlineStr">
        <is>
          <t>User1131</t>
        </is>
      </c>
      <c r="B1226" s="60" t="n">
        <v>45992</v>
      </c>
      <c r="C1226" s="21" t="n">
        <v>155.4</v>
      </c>
      <c r="D1226" s="21" t="n">
        <v>23.08</v>
      </c>
      <c r="E1226" s="21" t="n">
        <v>23.08</v>
      </c>
      <c r="F1226" s="27">
        <f>IFERROR(IF(OR(C1226="",D1226="",C1226=0),"",D1226/C1226),"")</f>
        <v/>
      </c>
      <c r="G1226" s="21">
        <f>IFERROR(INDEX(Users!$A$2:$A$310,MATCH(A1226,Users!$B$2:$B$310,0)),"")</f>
        <v/>
      </c>
      <c r="H1226" s="21">
        <f>IFERROR(INDEX(Users!$D$2:$D$310,MATCH(A1226,Users!$B$2:$B$310,0)),"")</f>
        <v/>
      </c>
      <c r="I1226" s="19">
        <f>AND(G1226="Service A",H1226="Band 3")</f>
        <v/>
      </c>
      <c r="J1226" s="33">
        <f>IF(AND(YEAR(B1226)=2025,G1226="Service B",OR(H1226="Band 3",H1226="Band 5"),ISNUMBER(F1226)),F1226,"")</f>
        <v/>
      </c>
    </row>
    <row r="1227">
      <c r="A1227" s="19" t="inlineStr">
        <is>
          <t>User1131</t>
        </is>
      </c>
      <c r="B1227" s="60" t="n">
        <v>46023</v>
      </c>
      <c r="C1227" s="21" t="n">
        <v>155.4</v>
      </c>
      <c r="D1227" s="21" t="n">
        <v>11.08</v>
      </c>
      <c r="E1227" s="21" t="n">
        <v>11.08</v>
      </c>
      <c r="F1227" s="27">
        <f>IFERROR(IF(OR(C1227="",D1227="",C1227=0),"",D1227/C1227),"")</f>
        <v/>
      </c>
      <c r="G1227" s="21">
        <f>IFERROR(INDEX(Users!$A$2:$A$310,MATCH(A1227,Users!$B$2:$B$310,0)),"")</f>
        <v/>
      </c>
      <c r="H1227" s="21">
        <f>IFERROR(INDEX(Users!$D$2:$D$310,MATCH(A1227,Users!$B$2:$B$310,0)),"")</f>
        <v/>
      </c>
      <c r="I1227" s="19">
        <f>AND(G1227="Service A",H1227="Band 3")</f>
        <v/>
      </c>
      <c r="J1227" s="33">
        <f>IF(AND(YEAR(B1227)=2025,G1227="Service B",OR(H1227="Band 3",H1227="Band 5"),ISNUMBER(F1227)),F1227,"")</f>
        <v/>
      </c>
    </row>
    <row r="1228">
      <c r="A1228" s="19" t="inlineStr">
        <is>
          <t>User1132</t>
        </is>
      </c>
      <c r="B1228" s="60" t="n">
        <v>45658</v>
      </c>
      <c r="C1228" s="21" t="n">
        <v>162.8</v>
      </c>
      <c r="D1228" s="21" t="n">
        <v>136.9833333333333</v>
      </c>
      <c r="E1228" s="21" t="n">
        <v>115.5</v>
      </c>
      <c r="F1228" s="27">
        <f>IFERROR(IF(OR(C1228="",D1228="",C1228=0),"",D1228/C1228),"")</f>
        <v/>
      </c>
      <c r="G1228" s="21">
        <f>IFERROR(INDEX(Users!$A$2:$A$310,MATCH(A1228,Users!$B$2:$B$310,0)),"")</f>
        <v/>
      </c>
      <c r="H1228" s="21">
        <f>IFERROR(INDEX(Users!$D$2:$D$310,MATCH(A1228,Users!$B$2:$B$310,0)),"")</f>
        <v/>
      </c>
      <c r="I1228" s="19">
        <f>AND(G1228="Service A",H1228="Band 3")</f>
        <v/>
      </c>
      <c r="J1228" s="33">
        <f>IF(AND(YEAR(B1228)=2025,G1228="Service B",OR(H1228="Band 3",H1228="Band 5"),ISNUMBER(F1228)),F1228,"")</f>
        <v/>
      </c>
    </row>
    <row r="1229">
      <c r="A1229" s="19" t="inlineStr">
        <is>
          <t>User1132</t>
        </is>
      </c>
      <c r="B1229" s="60" t="n">
        <v>45689</v>
      </c>
      <c r="C1229" s="21" t="n">
        <v>148</v>
      </c>
      <c r="D1229" s="21" t="n">
        <v>103.78</v>
      </c>
      <c r="E1229" s="21" t="n">
        <v>81.58000000000001</v>
      </c>
      <c r="F1229" s="27">
        <f>IFERROR(IF(OR(C1229="",D1229="",C1229=0),"",D1229/C1229),"")</f>
        <v/>
      </c>
      <c r="G1229" s="21">
        <f>IFERROR(INDEX(Users!$A$2:$A$310,MATCH(A1229,Users!$B$2:$B$310,0)),"")</f>
        <v/>
      </c>
      <c r="H1229" s="21">
        <f>IFERROR(INDEX(Users!$D$2:$D$310,MATCH(A1229,Users!$B$2:$B$310,0)),"")</f>
        <v/>
      </c>
      <c r="I1229" s="19">
        <f>AND(G1229="Service A",H1229="Band 3")</f>
        <v/>
      </c>
      <c r="J1229" s="33">
        <f>IF(AND(YEAR(B1229)=2025,G1229="Service B",OR(H1229="Band 3",H1229="Band 5"),ISNUMBER(F1229)),F1229,"")</f>
        <v/>
      </c>
    </row>
    <row r="1230">
      <c r="A1230" s="19" t="inlineStr">
        <is>
          <t>User1132</t>
        </is>
      </c>
      <c r="B1230" s="60" t="n">
        <v>45717</v>
      </c>
      <c r="C1230" s="21" t="n">
        <v>155.4</v>
      </c>
      <c r="D1230" s="21" t="n">
        <v>93.03333333333333</v>
      </c>
      <c r="E1230" s="21" t="n">
        <v>69.95</v>
      </c>
      <c r="F1230" s="27">
        <f>IFERROR(IF(OR(C1230="",D1230="",C1230=0),"",D1230/C1230),"")</f>
        <v/>
      </c>
      <c r="G1230" s="21">
        <f>IFERROR(INDEX(Users!$A$2:$A$310,MATCH(A1230,Users!$B$2:$B$310,0)),"")</f>
        <v/>
      </c>
      <c r="H1230" s="21">
        <f>IFERROR(INDEX(Users!$D$2:$D$310,MATCH(A1230,Users!$B$2:$B$310,0)),"")</f>
        <v/>
      </c>
      <c r="I1230" s="19">
        <f>AND(G1230="Service A",H1230="Band 3")</f>
        <v/>
      </c>
      <c r="J1230" s="33">
        <f>IF(AND(YEAR(B1230)=2025,G1230="Service B",OR(H1230="Band 3",H1230="Band 5"),ISNUMBER(F1230)),F1230,"")</f>
        <v/>
      </c>
    </row>
    <row r="1231">
      <c r="A1231" s="19" t="inlineStr">
        <is>
          <t>User1132</t>
        </is>
      </c>
      <c r="B1231" s="60" t="n">
        <v>45748</v>
      </c>
      <c r="C1231" s="21" t="n">
        <v>148</v>
      </c>
      <c r="D1231" s="21" t="n">
        <v>121.8533333333333</v>
      </c>
      <c r="E1231" s="21" t="n">
        <v>92.62</v>
      </c>
      <c r="F1231" s="27">
        <f>IFERROR(IF(OR(C1231="",D1231="",C1231=0),"",D1231/C1231),"")</f>
        <v/>
      </c>
      <c r="G1231" s="21">
        <f>IFERROR(INDEX(Users!$A$2:$A$310,MATCH(A1231,Users!$B$2:$B$310,0)),"")</f>
        <v/>
      </c>
      <c r="H1231" s="21">
        <f>IFERROR(INDEX(Users!$D$2:$D$310,MATCH(A1231,Users!$B$2:$B$310,0)),"")</f>
        <v/>
      </c>
      <c r="I1231" s="19">
        <f>AND(G1231="Service A",H1231="Band 3")</f>
        <v/>
      </c>
      <c r="J1231" s="33">
        <f>IF(AND(YEAR(B1231)=2025,G1231="Service B",OR(H1231="Band 3",H1231="Band 5"),ISNUMBER(F1231)),F1231,"")</f>
        <v/>
      </c>
    </row>
    <row r="1232">
      <c r="A1232" s="19" t="inlineStr">
        <is>
          <t>User1132</t>
        </is>
      </c>
      <c r="B1232" s="60" t="n">
        <v>45778</v>
      </c>
      <c r="C1232" s="21" t="n">
        <v>148</v>
      </c>
      <c r="D1232" s="21" t="n">
        <v>126.4666666666667</v>
      </c>
      <c r="E1232" s="21" t="n">
        <v>99.80000000000001</v>
      </c>
      <c r="F1232" s="27">
        <f>IFERROR(IF(OR(C1232="",D1232="",C1232=0),"",D1232/C1232),"")</f>
        <v/>
      </c>
      <c r="G1232" s="21">
        <f>IFERROR(INDEX(Users!$A$2:$A$310,MATCH(A1232,Users!$B$2:$B$310,0)),"")</f>
        <v/>
      </c>
      <c r="H1232" s="21">
        <f>IFERROR(INDEX(Users!$D$2:$D$310,MATCH(A1232,Users!$B$2:$B$310,0)),"")</f>
        <v/>
      </c>
      <c r="I1232" s="19">
        <f>AND(G1232="Service A",H1232="Band 3")</f>
        <v/>
      </c>
      <c r="J1232" s="33">
        <f>IF(AND(YEAR(B1232)=2025,G1232="Service B",OR(H1232="Band 3",H1232="Band 5"),ISNUMBER(F1232)),F1232,"")</f>
        <v/>
      </c>
    </row>
    <row r="1233">
      <c r="A1233" s="19" t="inlineStr">
        <is>
          <t>User1132</t>
        </is>
      </c>
      <c r="B1233" s="60" t="n">
        <v>45809</v>
      </c>
      <c r="C1233" s="21" t="n">
        <v>155.4</v>
      </c>
      <c r="D1233" s="21" t="n">
        <v>142.8333333333333</v>
      </c>
      <c r="E1233" s="21" t="n">
        <v>118.95</v>
      </c>
      <c r="F1233" s="27">
        <f>IFERROR(IF(OR(C1233="",D1233="",C1233=0),"",D1233/C1233),"")</f>
        <v/>
      </c>
      <c r="G1233" s="21">
        <f>IFERROR(INDEX(Users!$A$2:$A$310,MATCH(A1233,Users!$B$2:$B$310,0)),"")</f>
        <v/>
      </c>
      <c r="H1233" s="21">
        <f>IFERROR(INDEX(Users!$D$2:$D$310,MATCH(A1233,Users!$B$2:$B$310,0)),"")</f>
        <v/>
      </c>
      <c r="I1233" s="19">
        <f>AND(G1233="Service A",H1233="Band 3")</f>
        <v/>
      </c>
      <c r="J1233" s="33">
        <f>IF(AND(YEAR(B1233)=2025,G1233="Service B",OR(H1233="Band 3",H1233="Band 5"),ISNUMBER(F1233)),F1233,"")</f>
        <v/>
      </c>
    </row>
    <row r="1234">
      <c r="A1234" s="19" t="inlineStr">
        <is>
          <t>User1132</t>
        </is>
      </c>
      <c r="B1234" s="60" t="n">
        <v>45839</v>
      </c>
      <c r="C1234" s="21" t="n">
        <v>170.2</v>
      </c>
      <c r="D1234" s="21" t="n">
        <v>166.93</v>
      </c>
      <c r="E1234" s="21" t="n">
        <v>122.43</v>
      </c>
      <c r="F1234" s="27">
        <f>IFERROR(IF(OR(C1234="",D1234="",C1234=0),"",D1234/C1234),"")</f>
        <v/>
      </c>
      <c r="G1234" s="21">
        <f>IFERROR(INDEX(Users!$A$2:$A$310,MATCH(A1234,Users!$B$2:$B$310,0)),"")</f>
        <v/>
      </c>
      <c r="H1234" s="21">
        <f>IFERROR(INDEX(Users!$D$2:$D$310,MATCH(A1234,Users!$B$2:$B$310,0)),"")</f>
        <v/>
      </c>
      <c r="I1234" s="19">
        <f>AND(G1234="Service A",H1234="Band 3")</f>
        <v/>
      </c>
      <c r="J1234" s="33">
        <f>IF(AND(YEAR(B1234)=2025,G1234="Service B",OR(H1234="Band 3",H1234="Band 5"),ISNUMBER(F1234)),F1234,"")</f>
        <v/>
      </c>
    </row>
    <row r="1235">
      <c r="A1235" s="19" t="inlineStr">
        <is>
          <t>User1132</t>
        </is>
      </c>
      <c r="B1235" s="60" t="n">
        <v>45870</v>
      </c>
      <c r="C1235" s="21" t="n">
        <v>148</v>
      </c>
      <c r="D1235" s="21" t="n">
        <v>133.5533333333333</v>
      </c>
      <c r="E1235" s="21" t="n">
        <v>110.72</v>
      </c>
      <c r="F1235" s="27">
        <f>IFERROR(IF(OR(C1235="",D1235="",C1235=0),"",D1235/C1235),"")</f>
        <v/>
      </c>
      <c r="G1235" s="21">
        <f>IFERROR(INDEX(Users!$A$2:$A$310,MATCH(A1235,Users!$B$2:$B$310,0)),"")</f>
        <v/>
      </c>
      <c r="H1235" s="21">
        <f>IFERROR(INDEX(Users!$D$2:$D$310,MATCH(A1235,Users!$B$2:$B$310,0)),"")</f>
        <v/>
      </c>
      <c r="I1235" s="19">
        <f>AND(G1235="Service A",H1235="Band 3")</f>
        <v/>
      </c>
      <c r="J1235" s="33">
        <f>IF(AND(YEAR(B1235)=2025,G1235="Service B",OR(H1235="Band 3",H1235="Band 5"),ISNUMBER(F1235)),F1235,"")</f>
        <v/>
      </c>
    </row>
    <row r="1236">
      <c r="A1236" s="19" t="inlineStr">
        <is>
          <t>User1132</t>
        </is>
      </c>
      <c r="B1236" s="60" t="n">
        <v>45901</v>
      </c>
      <c r="C1236" s="21" t="n">
        <v>162.8</v>
      </c>
      <c r="D1236" s="21" t="n">
        <v>128.0833333333333</v>
      </c>
      <c r="E1236" s="21" t="n">
        <v>96.95</v>
      </c>
      <c r="F1236" s="27">
        <f>IFERROR(IF(OR(C1236="",D1236="",C1236=0),"",D1236/C1236),"")</f>
        <v/>
      </c>
      <c r="G1236" s="21">
        <f>IFERROR(INDEX(Users!$A$2:$A$310,MATCH(A1236,Users!$B$2:$B$310,0)),"")</f>
        <v/>
      </c>
      <c r="H1236" s="21">
        <f>IFERROR(INDEX(Users!$D$2:$D$310,MATCH(A1236,Users!$B$2:$B$310,0)),"")</f>
        <v/>
      </c>
      <c r="I1236" s="19">
        <f>AND(G1236="Service A",H1236="Band 3")</f>
        <v/>
      </c>
      <c r="J1236" s="33">
        <f>IF(AND(YEAR(B1236)=2025,G1236="Service B",OR(H1236="Band 3",H1236="Band 5"),ISNUMBER(F1236)),F1236,"")</f>
        <v/>
      </c>
    </row>
    <row r="1237">
      <c r="A1237" s="19" t="inlineStr">
        <is>
          <t>User1132</t>
        </is>
      </c>
      <c r="B1237" s="60" t="n">
        <v>45931</v>
      </c>
      <c r="C1237" s="21" t="n">
        <v>170.2</v>
      </c>
      <c r="D1237" s="21" t="n">
        <v>60.09333333333334</v>
      </c>
      <c r="E1237" s="21" t="n">
        <v>45.56000000000001</v>
      </c>
      <c r="F1237" s="27">
        <f>IFERROR(IF(OR(C1237="",D1237="",C1237=0),"",D1237/C1237),"")</f>
        <v/>
      </c>
      <c r="G1237" s="21">
        <f>IFERROR(INDEX(Users!$A$2:$A$310,MATCH(A1237,Users!$B$2:$B$310,0)),"")</f>
        <v/>
      </c>
      <c r="H1237" s="21">
        <f>IFERROR(INDEX(Users!$D$2:$D$310,MATCH(A1237,Users!$B$2:$B$310,0)),"")</f>
        <v/>
      </c>
      <c r="I1237" s="19">
        <f>AND(G1237="Service A",H1237="Band 3")</f>
        <v/>
      </c>
      <c r="J1237" s="33">
        <f>IF(AND(YEAR(B1237)=2025,G1237="Service B",OR(H1237="Band 3",H1237="Band 5"),ISNUMBER(F1237)),F1237,"")</f>
        <v/>
      </c>
    </row>
    <row r="1238">
      <c r="A1238" s="19" t="inlineStr">
        <is>
          <t>User1132</t>
        </is>
      </c>
      <c r="B1238" s="60" t="n">
        <v>45962</v>
      </c>
      <c r="C1238" s="21" t="n">
        <v>148</v>
      </c>
      <c r="D1238" s="21" t="n"/>
      <c r="E1238" s="21" t="n"/>
      <c r="F1238" s="27">
        <f>IFERROR(IF(OR(C1238="",D1238="",C1238=0),"",D1238/C1238),"")</f>
        <v/>
      </c>
      <c r="G1238" s="21">
        <f>IFERROR(INDEX(Users!$A$2:$A$310,MATCH(A1238,Users!$B$2:$B$310,0)),"")</f>
        <v/>
      </c>
      <c r="H1238" s="21">
        <f>IFERROR(INDEX(Users!$D$2:$D$310,MATCH(A1238,Users!$B$2:$B$310,0)),"")</f>
        <v/>
      </c>
      <c r="I1238" s="19">
        <f>AND(G1238="Service A",H1238="Band 3")</f>
        <v/>
      </c>
      <c r="J1238" s="33">
        <f>IF(AND(YEAR(B1238)=2025,G1238="Service B",OR(H1238="Band 3",H1238="Band 5"),ISNUMBER(F1238)),F1238,"")</f>
        <v/>
      </c>
    </row>
    <row r="1239">
      <c r="A1239" s="19" t="inlineStr">
        <is>
          <t>User1132</t>
        </is>
      </c>
      <c r="B1239" s="60" t="n">
        <v>45992</v>
      </c>
      <c r="C1239" s="21" t="n">
        <v>7.4</v>
      </c>
      <c r="D1239" s="21" t="n"/>
      <c r="E1239" s="21" t="n"/>
      <c r="F1239" s="27">
        <f>IFERROR(IF(OR(C1239="",D1239="",C1239=0),"",D1239/C1239),"")</f>
        <v/>
      </c>
      <c r="G1239" s="21">
        <f>IFERROR(INDEX(Users!$A$2:$A$310,MATCH(A1239,Users!$B$2:$B$310,0)),"")</f>
        <v/>
      </c>
      <c r="H1239" s="21">
        <f>IFERROR(INDEX(Users!$D$2:$D$310,MATCH(A1239,Users!$B$2:$B$310,0)),"")</f>
        <v/>
      </c>
      <c r="I1239" s="19">
        <f>AND(G1239="Service A",H1239="Band 3")</f>
        <v/>
      </c>
      <c r="J1239" s="33">
        <f>IF(AND(YEAR(B1239)=2025,G1239="Service B",OR(H1239="Band 3",H1239="Band 5"),ISNUMBER(F1239)),F1239,"")</f>
        <v/>
      </c>
    </row>
    <row r="1240">
      <c r="A1240" s="19" t="inlineStr">
        <is>
          <t>User1133</t>
        </is>
      </c>
      <c r="B1240" s="60" t="n">
        <v>45658</v>
      </c>
      <c r="C1240" s="21" t="n">
        <v>162.8</v>
      </c>
      <c r="D1240" s="21" t="n">
        <v>72.22</v>
      </c>
      <c r="E1240" s="21" t="n">
        <v>39.22</v>
      </c>
      <c r="F1240" s="27">
        <f>IFERROR(IF(OR(C1240="",D1240="",C1240=0),"",D1240/C1240),"")</f>
        <v/>
      </c>
      <c r="G1240" s="21">
        <f>IFERROR(INDEX(Users!$A$2:$A$310,MATCH(A1240,Users!$B$2:$B$310,0)),"")</f>
        <v/>
      </c>
      <c r="H1240" s="21">
        <f>IFERROR(INDEX(Users!$D$2:$D$310,MATCH(A1240,Users!$B$2:$B$310,0)),"")</f>
        <v/>
      </c>
      <c r="I1240" s="19">
        <f>AND(G1240="Service A",H1240="Band 3")</f>
        <v/>
      </c>
      <c r="J1240" s="33">
        <f>IF(AND(YEAR(B1240)=2025,G1240="Service B",OR(H1240="Band 3",H1240="Band 5"),ISNUMBER(F1240)),F1240,"")</f>
        <v/>
      </c>
    </row>
    <row r="1241">
      <c r="A1241" s="19" t="inlineStr">
        <is>
          <t>User1133</t>
        </is>
      </c>
      <c r="B1241" s="60" t="n">
        <v>45689</v>
      </c>
      <c r="C1241" s="21" t="n">
        <v>148</v>
      </c>
      <c r="D1241" s="21" t="n">
        <v>150.8133333333333</v>
      </c>
      <c r="E1241" s="21" t="n">
        <v>96.48</v>
      </c>
      <c r="F1241" s="27">
        <f>IFERROR(IF(OR(C1241="",D1241="",C1241=0),"",D1241/C1241),"")</f>
        <v/>
      </c>
      <c r="G1241" s="21">
        <f>IFERROR(INDEX(Users!$A$2:$A$310,MATCH(A1241,Users!$B$2:$B$310,0)),"")</f>
        <v/>
      </c>
      <c r="H1241" s="21">
        <f>IFERROR(INDEX(Users!$D$2:$D$310,MATCH(A1241,Users!$B$2:$B$310,0)),"")</f>
        <v/>
      </c>
      <c r="I1241" s="19">
        <f>AND(G1241="Service A",H1241="Band 3")</f>
        <v/>
      </c>
      <c r="J1241" s="33">
        <f>IF(AND(YEAR(B1241)=2025,G1241="Service B",OR(H1241="Band 3",H1241="Band 5"),ISNUMBER(F1241)),F1241,"")</f>
        <v/>
      </c>
    </row>
    <row r="1242">
      <c r="A1242" s="19" t="inlineStr">
        <is>
          <t>User1133</t>
        </is>
      </c>
      <c r="B1242" s="60" t="n">
        <v>45717</v>
      </c>
      <c r="C1242" s="21" t="n">
        <v>155.4</v>
      </c>
      <c r="D1242" s="21" t="n">
        <v>158.44</v>
      </c>
      <c r="E1242" s="21" t="n">
        <v>97.94000000000001</v>
      </c>
      <c r="F1242" s="27">
        <f>IFERROR(IF(OR(C1242="",D1242="",C1242=0),"",D1242/C1242),"")</f>
        <v/>
      </c>
      <c r="G1242" s="21">
        <f>IFERROR(INDEX(Users!$A$2:$A$310,MATCH(A1242,Users!$B$2:$B$310,0)),"")</f>
        <v/>
      </c>
      <c r="H1242" s="21">
        <f>IFERROR(INDEX(Users!$D$2:$D$310,MATCH(A1242,Users!$B$2:$B$310,0)),"")</f>
        <v/>
      </c>
      <c r="I1242" s="19">
        <f>AND(G1242="Service A",H1242="Band 3")</f>
        <v/>
      </c>
      <c r="J1242" s="33">
        <f>IF(AND(YEAR(B1242)=2025,G1242="Service B",OR(H1242="Band 3",H1242="Band 5"),ISNUMBER(F1242)),F1242,"")</f>
        <v/>
      </c>
    </row>
    <row r="1243">
      <c r="A1243" s="19" t="inlineStr">
        <is>
          <t>User1133</t>
        </is>
      </c>
      <c r="B1243" s="60" t="n">
        <v>45748</v>
      </c>
      <c r="C1243" s="21" t="n">
        <v>148</v>
      </c>
      <c r="D1243" s="21" t="n">
        <v>142.3233333333334</v>
      </c>
      <c r="E1243" s="21" t="n">
        <v>93.24000000000001</v>
      </c>
      <c r="F1243" s="27">
        <f>IFERROR(IF(OR(C1243="",D1243="",C1243=0),"",D1243/C1243),"")</f>
        <v/>
      </c>
      <c r="G1243" s="21">
        <f>IFERROR(INDEX(Users!$A$2:$A$310,MATCH(A1243,Users!$B$2:$B$310,0)),"")</f>
        <v/>
      </c>
      <c r="H1243" s="21">
        <f>IFERROR(INDEX(Users!$D$2:$D$310,MATCH(A1243,Users!$B$2:$B$310,0)),"")</f>
        <v/>
      </c>
      <c r="I1243" s="19">
        <f>AND(G1243="Service A",H1243="Band 3")</f>
        <v/>
      </c>
      <c r="J1243" s="33">
        <f>IF(AND(YEAR(B1243)=2025,G1243="Service B",OR(H1243="Band 3",H1243="Band 5"),ISNUMBER(F1243)),F1243,"")</f>
        <v/>
      </c>
    </row>
    <row r="1244">
      <c r="A1244" s="19" t="inlineStr">
        <is>
          <t>User1133</t>
        </is>
      </c>
      <c r="B1244" s="60" t="n">
        <v>45778</v>
      </c>
      <c r="C1244" s="21" t="n">
        <v>148</v>
      </c>
      <c r="D1244" s="21" t="n">
        <v>95.33333333333334</v>
      </c>
      <c r="E1244" s="21" t="n">
        <v>55.49999999999999</v>
      </c>
      <c r="F1244" s="27">
        <f>IFERROR(IF(OR(C1244="",D1244="",C1244=0),"",D1244/C1244),"")</f>
        <v/>
      </c>
      <c r="G1244" s="21">
        <f>IFERROR(INDEX(Users!$A$2:$A$310,MATCH(A1244,Users!$B$2:$B$310,0)),"")</f>
        <v/>
      </c>
      <c r="H1244" s="21">
        <f>IFERROR(INDEX(Users!$D$2:$D$310,MATCH(A1244,Users!$B$2:$B$310,0)),"")</f>
        <v/>
      </c>
      <c r="I1244" s="19">
        <f>AND(G1244="Service A",H1244="Band 3")</f>
        <v/>
      </c>
      <c r="J1244" s="33">
        <f>IF(AND(YEAR(B1244)=2025,G1244="Service B",OR(H1244="Band 3",H1244="Band 5"),ISNUMBER(F1244)),F1244,"")</f>
        <v/>
      </c>
    </row>
    <row r="1245">
      <c r="A1245" s="19" t="inlineStr">
        <is>
          <t>User1133</t>
        </is>
      </c>
      <c r="B1245" s="60" t="n">
        <v>45809</v>
      </c>
      <c r="C1245" s="21" t="n">
        <v>155.4</v>
      </c>
      <c r="D1245" s="21" t="n">
        <v>146.97</v>
      </c>
      <c r="E1245" s="21" t="n">
        <v>92.52000000000001</v>
      </c>
      <c r="F1245" s="27">
        <f>IFERROR(IF(OR(C1245="",D1245="",C1245=0),"",D1245/C1245),"")</f>
        <v/>
      </c>
      <c r="G1245" s="21">
        <f>IFERROR(INDEX(Users!$A$2:$A$310,MATCH(A1245,Users!$B$2:$B$310,0)),"")</f>
        <v/>
      </c>
      <c r="H1245" s="21">
        <f>IFERROR(INDEX(Users!$D$2:$D$310,MATCH(A1245,Users!$B$2:$B$310,0)),"")</f>
        <v/>
      </c>
      <c r="I1245" s="19">
        <f>AND(G1245="Service A",H1245="Band 3")</f>
        <v/>
      </c>
      <c r="J1245" s="33">
        <f>IF(AND(YEAR(B1245)=2025,G1245="Service B",OR(H1245="Band 3",H1245="Band 5"),ISNUMBER(F1245)),F1245,"")</f>
        <v/>
      </c>
    </row>
    <row r="1246">
      <c r="A1246" s="19" t="inlineStr">
        <is>
          <t>User1133</t>
        </is>
      </c>
      <c r="B1246" s="60" t="n">
        <v>45839</v>
      </c>
      <c r="C1246" s="21" t="n">
        <v>170.2</v>
      </c>
      <c r="D1246" s="21" t="n">
        <v>164.1433333333333</v>
      </c>
      <c r="E1246" s="21" t="n">
        <v>93.56</v>
      </c>
      <c r="F1246" s="27">
        <f>IFERROR(IF(OR(C1246="",D1246="",C1246=0),"",D1246/C1246),"")</f>
        <v/>
      </c>
      <c r="G1246" s="21">
        <f>IFERROR(INDEX(Users!$A$2:$A$310,MATCH(A1246,Users!$B$2:$B$310,0)),"")</f>
        <v/>
      </c>
      <c r="H1246" s="21">
        <f>IFERROR(INDEX(Users!$D$2:$D$310,MATCH(A1246,Users!$B$2:$B$310,0)),"")</f>
        <v/>
      </c>
      <c r="I1246" s="19">
        <f>AND(G1246="Service A",H1246="Band 3")</f>
        <v/>
      </c>
      <c r="J1246" s="33">
        <f>IF(AND(YEAR(B1246)=2025,G1246="Service B",OR(H1246="Band 3",H1246="Band 5"),ISNUMBER(F1246)),F1246,"")</f>
        <v/>
      </c>
    </row>
    <row r="1247">
      <c r="A1247" s="19" t="inlineStr">
        <is>
          <t>User1133</t>
        </is>
      </c>
      <c r="B1247" s="60" t="n">
        <v>45870</v>
      </c>
      <c r="C1247" s="21" t="n">
        <v>148</v>
      </c>
      <c r="D1247" s="21" t="n">
        <v>91.54666666666665</v>
      </c>
      <c r="E1247" s="21" t="n">
        <v>52.13</v>
      </c>
      <c r="F1247" s="27">
        <f>IFERROR(IF(OR(C1247="",D1247="",C1247=0),"",D1247/C1247),"")</f>
        <v/>
      </c>
      <c r="G1247" s="21">
        <f>IFERROR(INDEX(Users!$A$2:$A$310,MATCH(A1247,Users!$B$2:$B$310,0)),"")</f>
        <v/>
      </c>
      <c r="H1247" s="21">
        <f>IFERROR(INDEX(Users!$D$2:$D$310,MATCH(A1247,Users!$B$2:$B$310,0)),"")</f>
        <v/>
      </c>
      <c r="I1247" s="19">
        <f>AND(G1247="Service A",H1247="Band 3")</f>
        <v/>
      </c>
      <c r="J1247" s="33">
        <f>IF(AND(YEAR(B1247)=2025,G1247="Service B",OR(H1247="Band 3",H1247="Band 5"),ISNUMBER(F1247)),F1247,"")</f>
        <v/>
      </c>
    </row>
    <row r="1248">
      <c r="A1248" s="19" t="inlineStr">
        <is>
          <t>User1133</t>
        </is>
      </c>
      <c r="B1248" s="60" t="n">
        <v>45901</v>
      </c>
      <c r="C1248" s="21" t="n">
        <v>162.8</v>
      </c>
      <c r="D1248" s="21" t="n">
        <v>158.9366666666667</v>
      </c>
      <c r="E1248" s="21" t="n">
        <v>75.77</v>
      </c>
      <c r="F1248" s="27">
        <f>IFERROR(IF(OR(C1248="",D1248="",C1248=0),"",D1248/C1248),"")</f>
        <v/>
      </c>
      <c r="G1248" s="21">
        <f>IFERROR(INDEX(Users!$A$2:$A$310,MATCH(A1248,Users!$B$2:$B$310,0)),"")</f>
        <v/>
      </c>
      <c r="H1248" s="21">
        <f>IFERROR(INDEX(Users!$D$2:$D$310,MATCH(A1248,Users!$B$2:$B$310,0)),"")</f>
        <v/>
      </c>
      <c r="I1248" s="19">
        <f>AND(G1248="Service A",H1248="Band 3")</f>
        <v/>
      </c>
      <c r="J1248" s="33">
        <f>IF(AND(YEAR(B1248)=2025,G1248="Service B",OR(H1248="Band 3",H1248="Band 5"),ISNUMBER(F1248)),F1248,"")</f>
        <v/>
      </c>
    </row>
    <row r="1249">
      <c r="A1249" s="19" t="inlineStr">
        <is>
          <t>User1133</t>
        </is>
      </c>
      <c r="B1249" s="60" t="n">
        <v>45931</v>
      </c>
      <c r="C1249" s="21" t="n">
        <v>170.2</v>
      </c>
      <c r="D1249" s="21" t="n">
        <v>104.69</v>
      </c>
      <c r="E1249" s="21" t="n">
        <v>58.19</v>
      </c>
      <c r="F1249" s="27">
        <f>IFERROR(IF(OR(C1249="",D1249="",C1249=0),"",D1249/C1249),"")</f>
        <v/>
      </c>
      <c r="G1249" s="21">
        <f>IFERROR(INDEX(Users!$A$2:$A$310,MATCH(A1249,Users!$B$2:$B$310,0)),"")</f>
        <v/>
      </c>
      <c r="H1249" s="21">
        <f>IFERROR(INDEX(Users!$D$2:$D$310,MATCH(A1249,Users!$B$2:$B$310,0)),"")</f>
        <v/>
      </c>
      <c r="I1249" s="19">
        <f>AND(G1249="Service A",H1249="Band 3")</f>
        <v/>
      </c>
      <c r="J1249" s="33">
        <f>IF(AND(YEAR(B1249)=2025,G1249="Service B",OR(H1249="Band 3",H1249="Band 5"),ISNUMBER(F1249)),F1249,"")</f>
        <v/>
      </c>
    </row>
    <row r="1250">
      <c r="A1250" s="19" t="inlineStr">
        <is>
          <t>User1133</t>
        </is>
      </c>
      <c r="B1250" s="60" t="n">
        <v>45962</v>
      </c>
      <c r="C1250" s="21" t="n">
        <v>148</v>
      </c>
      <c r="D1250" s="21" t="n">
        <v>150.5366666666667</v>
      </c>
      <c r="E1250" s="21" t="n">
        <v>78.12</v>
      </c>
      <c r="F1250" s="27">
        <f>IFERROR(IF(OR(C1250="",D1250="",C1250=0),"",D1250/C1250),"")</f>
        <v/>
      </c>
      <c r="G1250" s="21">
        <f>IFERROR(INDEX(Users!$A$2:$A$310,MATCH(A1250,Users!$B$2:$B$310,0)),"")</f>
        <v/>
      </c>
      <c r="H1250" s="21">
        <f>IFERROR(INDEX(Users!$D$2:$D$310,MATCH(A1250,Users!$B$2:$B$310,0)),"")</f>
        <v/>
      </c>
      <c r="I1250" s="19">
        <f>AND(G1250="Service A",H1250="Band 3")</f>
        <v/>
      </c>
      <c r="J1250" s="33">
        <f>IF(AND(YEAR(B1250)=2025,G1250="Service B",OR(H1250="Band 3",H1250="Band 5"),ISNUMBER(F1250)),F1250,"")</f>
        <v/>
      </c>
    </row>
    <row r="1251">
      <c r="A1251" s="19" t="inlineStr">
        <is>
          <t>User1133</t>
        </is>
      </c>
      <c r="B1251" s="60" t="n">
        <v>45992</v>
      </c>
      <c r="C1251" s="21" t="n">
        <v>155.4</v>
      </c>
      <c r="D1251" s="21" t="n">
        <v>122.14</v>
      </c>
      <c r="E1251" s="21" t="n">
        <v>72.64</v>
      </c>
      <c r="F1251" s="27">
        <f>IFERROR(IF(OR(C1251="",D1251="",C1251=0),"",D1251/C1251),"")</f>
        <v/>
      </c>
      <c r="G1251" s="21">
        <f>IFERROR(INDEX(Users!$A$2:$A$310,MATCH(A1251,Users!$B$2:$B$310,0)),"")</f>
        <v/>
      </c>
      <c r="H1251" s="21">
        <f>IFERROR(INDEX(Users!$D$2:$D$310,MATCH(A1251,Users!$B$2:$B$310,0)),"")</f>
        <v/>
      </c>
      <c r="I1251" s="19">
        <f>AND(G1251="Service A",H1251="Band 3")</f>
        <v/>
      </c>
      <c r="J1251" s="33">
        <f>IF(AND(YEAR(B1251)=2025,G1251="Service B",OR(H1251="Band 3",H1251="Band 5"),ISNUMBER(F1251)),F1251,"")</f>
        <v/>
      </c>
    </row>
    <row r="1252">
      <c r="A1252" s="19" t="inlineStr">
        <is>
          <t>User1133</t>
        </is>
      </c>
      <c r="B1252" s="60" t="n">
        <v>46023</v>
      </c>
      <c r="C1252" s="21" t="n">
        <v>155.4</v>
      </c>
      <c r="D1252" s="21" t="n">
        <v>103.44</v>
      </c>
      <c r="E1252" s="21" t="n">
        <v>63.19</v>
      </c>
      <c r="F1252" s="27">
        <f>IFERROR(IF(OR(C1252="",D1252="",C1252=0),"",D1252/C1252),"")</f>
        <v/>
      </c>
      <c r="G1252" s="21">
        <f>IFERROR(INDEX(Users!$A$2:$A$310,MATCH(A1252,Users!$B$2:$B$310,0)),"")</f>
        <v/>
      </c>
      <c r="H1252" s="21">
        <f>IFERROR(INDEX(Users!$D$2:$D$310,MATCH(A1252,Users!$B$2:$B$310,0)),"")</f>
        <v/>
      </c>
      <c r="I1252" s="19">
        <f>AND(G1252="Service A",H1252="Band 3")</f>
        <v/>
      </c>
      <c r="J1252" s="33">
        <f>IF(AND(YEAR(B1252)=2025,G1252="Service B",OR(H1252="Band 3",H1252="Band 5"),ISNUMBER(F1252)),F1252,"")</f>
        <v/>
      </c>
    </row>
    <row r="1253">
      <c r="A1253" s="19" t="inlineStr">
        <is>
          <t>User1134</t>
        </is>
      </c>
      <c r="B1253" s="60" t="n">
        <v>45658</v>
      </c>
      <c r="C1253" s="21" t="n">
        <v>162.8</v>
      </c>
      <c r="D1253" s="21" t="n">
        <v>117.6066666666667</v>
      </c>
      <c r="E1253" s="21" t="n">
        <v>53.18999999999999</v>
      </c>
      <c r="F1253" s="27">
        <f>IFERROR(IF(OR(C1253="",D1253="",C1253=0),"",D1253/C1253),"")</f>
        <v/>
      </c>
      <c r="G1253" s="21">
        <f>IFERROR(INDEX(Users!$A$2:$A$310,MATCH(A1253,Users!$B$2:$B$310,0)),"")</f>
        <v/>
      </c>
      <c r="H1253" s="21">
        <f>IFERROR(INDEX(Users!$D$2:$D$310,MATCH(A1253,Users!$B$2:$B$310,0)),"")</f>
        <v/>
      </c>
      <c r="I1253" s="19">
        <f>AND(G1253="Service A",H1253="Band 3")</f>
        <v/>
      </c>
      <c r="J1253" s="33">
        <f>IF(AND(YEAR(B1253)=2025,G1253="Service B",OR(H1253="Band 3",H1253="Band 5"),ISNUMBER(F1253)),F1253,"")</f>
        <v/>
      </c>
    </row>
    <row r="1254">
      <c r="A1254" s="19" t="inlineStr">
        <is>
          <t>User1134</t>
        </is>
      </c>
      <c r="B1254" s="60" t="n">
        <v>45689</v>
      </c>
      <c r="C1254" s="21" t="n">
        <v>148</v>
      </c>
      <c r="D1254" s="21" t="n">
        <v>135.02</v>
      </c>
      <c r="E1254" s="21" t="n">
        <v>59.77</v>
      </c>
      <c r="F1254" s="27">
        <f>IFERROR(IF(OR(C1254="",D1254="",C1254=0),"",D1254/C1254),"")</f>
        <v/>
      </c>
      <c r="G1254" s="21">
        <f>IFERROR(INDEX(Users!$A$2:$A$310,MATCH(A1254,Users!$B$2:$B$310,0)),"")</f>
        <v/>
      </c>
      <c r="H1254" s="21">
        <f>IFERROR(INDEX(Users!$D$2:$D$310,MATCH(A1254,Users!$B$2:$B$310,0)),"")</f>
        <v/>
      </c>
      <c r="I1254" s="19">
        <f>AND(G1254="Service A",H1254="Band 3")</f>
        <v/>
      </c>
      <c r="J1254" s="33">
        <f>IF(AND(YEAR(B1254)=2025,G1254="Service B",OR(H1254="Band 3",H1254="Band 5"),ISNUMBER(F1254)),F1254,"")</f>
        <v/>
      </c>
    </row>
    <row r="1255">
      <c r="A1255" s="19" t="inlineStr">
        <is>
          <t>User1134</t>
        </is>
      </c>
      <c r="B1255" s="60" t="n">
        <v>45717</v>
      </c>
      <c r="C1255" s="21" t="n">
        <v>155.4</v>
      </c>
      <c r="D1255" s="21" t="n">
        <v>124.6266666666667</v>
      </c>
      <c r="E1255" s="21" t="n">
        <v>83.71000000000001</v>
      </c>
      <c r="F1255" s="27">
        <f>IFERROR(IF(OR(C1255="",D1255="",C1255=0),"",D1255/C1255),"")</f>
        <v/>
      </c>
      <c r="G1255" s="21">
        <f>IFERROR(INDEX(Users!$A$2:$A$310,MATCH(A1255,Users!$B$2:$B$310,0)),"")</f>
        <v/>
      </c>
      <c r="H1255" s="21">
        <f>IFERROR(INDEX(Users!$D$2:$D$310,MATCH(A1255,Users!$B$2:$B$310,0)),"")</f>
        <v/>
      </c>
      <c r="I1255" s="19">
        <f>AND(G1255="Service A",H1255="Band 3")</f>
        <v/>
      </c>
      <c r="J1255" s="33">
        <f>IF(AND(YEAR(B1255)=2025,G1255="Service B",OR(H1255="Band 3",H1255="Band 5"),ISNUMBER(F1255)),F1255,"")</f>
        <v/>
      </c>
    </row>
    <row r="1256">
      <c r="A1256" s="19" t="inlineStr">
        <is>
          <t>User1134</t>
        </is>
      </c>
      <c r="B1256" s="60" t="n">
        <v>45748</v>
      </c>
      <c r="C1256" s="21" t="n">
        <v>148</v>
      </c>
      <c r="D1256" s="21" t="n">
        <v>148.6499999999999</v>
      </c>
      <c r="E1256" s="21" t="n">
        <v>84.39999999999995</v>
      </c>
      <c r="F1256" s="27">
        <f>IFERROR(IF(OR(C1256="",D1256="",C1256=0),"",D1256/C1256),"")</f>
        <v/>
      </c>
      <c r="G1256" s="21">
        <f>IFERROR(INDEX(Users!$A$2:$A$310,MATCH(A1256,Users!$B$2:$B$310,0)),"")</f>
        <v/>
      </c>
      <c r="H1256" s="21">
        <f>IFERROR(INDEX(Users!$D$2:$D$310,MATCH(A1256,Users!$B$2:$B$310,0)),"")</f>
        <v/>
      </c>
      <c r="I1256" s="19">
        <f>AND(G1256="Service A",H1256="Band 3")</f>
        <v/>
      </c>
      <c r="J1256" s="33">
        <f>IF(AND(YEAR(B1256)=2025,G1256="Service B",OR(H1256="Band 3",H1256="Band 5"),ISNUMBER(F1256)),F1256,"")</f>
        <v/>
      </c>
    </row>
    <row r="1257">
      <c r="A1257" s="19" t="inlineStr">
        <is>
          <t>User1134</t>
        </is>
      </c>
      <c r="B1257" s="60" t="n">
        <v>45778</v>
      </c>
      <c r="C1257" s="21" t="n">
        <v>148</v>
      </c>
      <c r="D1257" s="21" t="n">
        <v>122.2366666666667</v>
      </c>
      <c r="E1257" s="21" t="n">
        <v>53.32000000000001</v>
      </c>
      <c r="F1257" s="27">
        <f>IFERROR(IF(OR(C1257="",D1257="",C1257=0),"",D1257/C1257),"")</f>
        <v/>
      </c>
      <c r="G1257" s="21">
        <f>IFERROR(INDEX(Users!$A$2:$A$310,MATCH(A1257,Users!$B$2:$B$310,0)),"")</f>
        <v/>
      </c>
      <c r="H1257" s="21">
        <f>IFERROR(INDEX(Users!$D$2:$D$310,MATCH(A1257,Users!$B$2:$B$310,0)),"")</f>
        <v/>
      </c>
      <c r="I1257" s="19">
        <f>AND(G1257="Service A",H1257="Band 3")</f>
        <v/>
      </c>
      <c r="J1257" s="33">
        <f>IF(AND(YEAR(B1257)=2025,G1257="Service B",OR(H1257="Band 3",H1257="Band 5"),ISNUMBER(F1257)),F1257,"")</f>
        <v/>
      </c>
    </row>
    <row r="1258">
      <c r="A1258" s="19" t="inlineStr">
        <is>
          <t>User1134</t>
        </is>
      </c>
      <c r="B1258" s="60" t="n">
        <v>45809</v>
      </c>
      <c r="C1258" s="21" t="n">
        <v>155.4</v>
      </c>
      <c r="D1258" s="21" t="n">
        <v>149.2333333333333</v>
      </c>
      <c r="E1258" s="21" t="n">
        <v>92.64999999999999</v>
      </c>
      <c r="F1258" s="27">
        <f>IFERROR(IF(OR(C1258="",D1258="",C1258=0),"",D1258/C1258),"")</f>
        <v/>
      </c>
      <c r="G1258" s="21">
        <f>IFERROR(INDEX(Users!$A$2:$A$310,MATCH(A1258,Users!$B$2:$B$310,0)),"")</f>
        <v/>
      </c>
      <c r="H1258" s="21">
        <f>IFERROR(INDEX(Users!$D$2:$D$310,MATCH(A1258,Users!$B$2:$B$310,0)),"")</f>
        <v/>
      </c>
      <c r="I1258" s="19">
        <f>AND(G1258="Service A",H1258="Band 3")</f>
        <v/>
      </c>
      <c r="J1258" s="33">
        <f>IF(AND(YEAR(B1258)=2025,G1258="Service B",OR(H1258="Band 3",H1258="Band 5"),ISNUMBER(F1258)),F1258,"")</f>
        <v/>
      </c>
    </row>
    <row r="1259">
      <c r="A1259" s="19" t="inlineStr">
        <is>
          <t>User1134</t>
        </is>
      </c>
      <c r="B1259" s="60" t="n">
        <v>45839</v>
      </c>
      <c r="C1259" s="21" t="n">
        <v>170.2</v>
      </c>
      <c r="D1259" s="21" t="n">
        <v>132.4866666666667</v>
      </c>
      <c r="E1259" s="21" t="n">
        <v>70.32000000000001</v>
      </c>
      <c r="F1259" s="27">
        <f>IFERROR(IF(OR(C1259="",D1259="",C1259=0),"",D1259/C1259),"")</f>
        <v/>
      </c>
      <c r="G1259" s="21">
        <f>IFERROR(INDEX(Users!$A$2:$A$310,MATCH(A1259,Users!$B$2:$B$310,0)),"")</f>
        <v/>
      </c>
      <c r="H1259" s="21">
        <f>IFERROR(INDEX(Users!$D$2:$D$310,MATCH(A1259,Users!$B$2:$B$310,0)),"")</f>
        <v/>
      </c>
      <c r="I1259" s="19">
        <f>AND(G1259="Service A",H1259="Band 3")</f>
        <v/>
      </c>
      <c r="J1259" s="33">
        <f>IF(AND(YEAR(B1259)=2025,G1259="Service B",OR(H1259="Band 3",H1259="Band 5"),ISNUMBER(F1259)),F1259,"")</f>
        <v/>
      </c>
    </row>
    <row r="1260">
      <c r="A1260" s="19" t="inlineStr">
        <is>
          <t>User1134</t>
        </is>
      </c>
      <c r="B1260" s="60" t="n">
        <v>45870</v>
      </c>
      <c r="C1260" s="21" t="n">
        <v>148</v>
      </c>
      <c r="D1260" s="21" t="n">
        <v>87.70333333333335</v>
      </c>
      <c r="E1260" s="21" t="n">
        <v>46.12</v>
      </c>
      <c r="F1260" s="27">
        <f>IFERROR(IF(OR(C1260="",D1260="",C1260=0),"",D1260/C1260),"")</f>
        <v/>
      </c>
      <c r="G1260" s="21">
        <f>IFERROR(INDEX(Users!$A$2:$A$310,MATCH(A1260,Users!$B$2:$B$310,0)),"")</f>
        <v/>
      </c>
      <c r="H1260" s="21">
        <f>IFERROR(INDEX(Users!$D$2:$D$310,MATCH(A1260,Users!$B$2:$B$310,0)),"")</f>
        <v/>
      </c>
      <c r="I1260" s="19">
        <f>AND(G1260="Service A",H1260="Band 3")</f>
        <v/>
      </c>
      <c r="J1260" s="33">
        <f>IF(AND(YEAR(B1260)=2025,G1260="Service B",OR(H1260="Band 3",H1260="Band 5"),ISNUMBER(F1260)),F1260,"")</f>
        <v/>
      </c>
    </row>
    <row r="1261">
      <c r="A1261" s="19" t="inlineStr">
        <is>
          <t>User1134</t>
        </is>
      </c>
      <c r="B1261" s="60" t="n">
        <v>45901</v>
      </c>
      <c r="C1261" s="21" t="n">
        <v>162.8</v>
      </c>
      <c r="D1261" s="21" t="n">
        <v>162.9866666666666</v>
      </c>
      <c r="E1261" s="21" t="n">
        <v>91.41999999999994</v>
      </c>
      <c r="F1261" s="27">
        <f>IFERROR(IF(OR(C1261="",D1261="",C1261=0),"",D1261/C1261),"")</f>
        <v/>
      </c>
      <c r="G1261" s="21">
        <f>IFERROR(INDEX(Users!$A$2:$A$310,MATCH(A1261,Users!$B$2:$B$310,0)),"")</f>
        <v/>
      </c>
      <c r="H1261" s="21">
        <f>IFERROR(INDEX(Users!$D$2:$D$310,MATCH(A1261,Users!$B$2:$B$310,0)),"")</f>
        <v/>
      </c>
      <c r="I1261" s="19">
        <f>AND(G1261="Service A",H1261="Band 3")</f>
        <v/>
      </c>
      <c r="J1261" s="33">
        <f>IF(AND(YEAR(B1261)=2025,G1261="Service B",OR(H1261="Band 3",H1261="Band 5"),ISNUMBER(F1261)),F1261,"")</f>
        <v/>
      </c>
    </row>
    <row r="1262">
      <c r="A1262" s="19" t="inlineStr">
        <is>
          <t>User1134</t>
        </is>
      </c>
      <c r="B1262" s="60" t="n">
        <v>45931</v>
      </c>
      <c r="C1262" s="21" t="n">
        <v>170.2</v>
      </c>
      <c r="D1262" s="21" t="n">
        <v>169.53</v>
      </c>
      <c r="E1262" s="21" t="n">
        <v>99.27999999999999</v>
      </c>
      <c r="F1262" s="27">
        <f>IFERROR(IF(OR(C1262="",D1262="",C1262=0),"",D1262/C1262),"")</f>
        <v/>
      </c>
      <c r="G1262" s="21">
        <f>IFERROR(INDEX(Users!$A$2:$A$310,MATCH(A1262,Users!$B$2:$B$310,0)),"")</f>
        <v/>
      </c>
      <c r="H1262" s="21">
        <f>IFERROR(INDEX(Users!$D$2:$D$310,MATCH(A1262,Users!$B$2:$B$310,0)),"")</f>
        <v/>
      </c>
      <c r="I1262" s="19">
        <f>AND(G1262="Service A",H1262="Band 3")</f>
        <v/>
      </c>
      <c r="J1262" s="33">
        <f>IF(AND(YEAR(B1262)=2025,G1262="Service B",OR(H1262="Band 3",H1262="Band 5"),ISNUMBER(F1262)),F1262,"")</f>
        <v/>
      </c>
    </row>
    <row r="1263">
      <c r="A1263" s="19" t="inlineStr">
        <is>
          <t>User1134</t>
        </is>
      </c>
      <c r="B1263" s="60" t="n">
        <v>45962</v>
      </c>
      <c r="C1263" s="21" t="n">
        <v>148</v>
      </c>
      <c r="D1263" s="21" t="n">
        <v>137.9966666666666</v>
      </c>
      <c r="E1263" s="21" t="n">
        <v>81.57999999999998</v>
      </c>
      <c r="F1263" s="27">
        <f>IFERROR(IF(OR(C1263="",D1263="",C1263=0),"",D1263/C1263),"")</f>
        <v/>
      </c>
      <c r="G1263" s="21">
        <f>IFERROR(INDEX(Users!$A$2:$A$310,MATCH(A1263,Users!$B$2:$B$310,0)),"")</f>
        <v/>
      </c>
      <c r="H1263" s="21">
        <f>IFERROR(INDEX(Users!$D$2:$D$310,MATCH(A1263,Users!$B$2:$B$310,0)),"")</f>
        <v/>
      </c>
      <c r="I1263" s="19">
        <f>AND(G1263="Service A",H1263="Band 3")</f>
        <v/>
      </c>
      <c r="J1263" s="33">
        <f>IF(AND(YEAR(B1263)=2025,G1263="Service B",OR(H1263="Band 3",H1263="Band 5"),ISNUMBER(F1263)),F1263,"")</f>
        <v/>
      </c>
    </row>
    <row r="1264">
      <c r="A1264" s="19" t="inlineStr">
        <is>
          <t>User1134</t>
        </is>
      </c>
      <c r="B1264" s="60" t="n">
        <v>45992</v>
      </c>
      <c r="C1264" s="21" t="n">
        <v>155.4</v>
      </c>
      <c r="D1264" s="21" t="n">
        <v>111.0766666666666</v>
      </c>
      <c r="E1264" s="21" t="n">
        <v>67.15999999999997</v>
      </c>
      <c r="F1264" s="27">
        <f>IFERROR(IF(OR(C1264="",D1264="",C1264=0),"",D1264/C1264),"")</f>
        <v/>
      </c>
      <c r="G1264" s="21">
        <f>IFERROR(INDEX(Users!$A$2:$A$310,MATCH(A1264,Users!$B$2:$B$310,0)),"")</f>
        <v/>
      </c>
      <c r="H1264" s="21">
        <f>IFERROR(INDEX(Users!$D$2:$D$310,MATCH(A1264,Users!$B$2:$B$310,0)),"")</f>
        <v/>
      </c>
      <c r="I1264" s="19">
        <f>AND(G1264="Service A",H1264="Band 3")</f>
        <v/>
      </c>
      <c r="J1264" s="33">
        <f>IF(AND(YEAR(B1264)=2025,G1264="Service B",OR(H1264="Band 3",H1264="Band 5"),ISNUMBER(F1264)),F1264,"")</f>
        <v/>
      </c>
    </row>
    <row r="1265">
      <c r="A1265" s="19" t="inlineStr">
        <is>
          <t>User1134</t>
        </is>
      </c>
      <c r="B1265" s="60" t="n">
        <v>46023</v>
      </c>
      <c r="C1265" s="21" t="n">
        <v>155.4</v>
      </c>
      <c r="D1265" s="21" t="n">
        <v>129.6433333333333</v>
      </c>
      <c r="E1265" s="21" t="n">
        <v>71.65999999999997</v>
      </c>
      <c r="F1265" s="27">
        <f>IFERROR(IF(OR(C1265="",D1265="",C1265=0),"",D1265/C1265),"")</f>
        <v/>
      </c>
      <c r="G1265" s="21">
        <f>IFERROR(INDEX(Users!$A$2:$A$310,MATCH(A1265,Users!$B$2:$B$310,0)),"")</f>
        <v/>
      </c>
      <c r="H1265" s="21">
        <f>IFERROR(INDEX(Users!$D$2:$D$310,MATCH(A1265,Users!$B$2:$B$310,0)),"")</f>
        <v/>
      </c>
      <c r="I1265" s="19">
        <f>AND(G1265="Service A",H1265="Band 3")</f>
        <v/>
      </c>
      <c r="J1265" s="33">
        <f>IF(AND(YEAR(B1265)=2025,G1265="Service B",OR(H1265="Band 3",H1265="Band 5"),ISNUMBER(F1265)),F1265,"")</f>
        <v/>
      </c>
    </row>
    <row r="1266">
      <c r="A1266" s="19" t="inlineStr">
        <is>
          <t>User1136</t>
        </is>
      </c>
      <c r="B1266" s="60" t="n">
        <v>45658</v>
      </c>
      <c r="C1266" s="21" t="n">
        <v>96</v>
      </c>
      <c r="D1266" s="21" t="n">
        <v>65.25</v>
      </c>
      <c r="E1266" s="21" t="n">
        <v>28.5</v>
      </c>
      <c r="F1266" s="27">
        <f>IFERROR(IF(OR(C1266="",D1266="",C1266=0),"",D1266/C1266),"")</f>
        <v/>
      </c>
      <c r="G1266" s="21">
        <f>IFERROR(INDEX(Users!$A$2:$A$310,MATCH(A1266,Users!$B$2:$B$310,0)),"")</f>
        <v/>
      </c>
      <c r="H1266" s="21">
        <f>IFERROR(INDEX(Users!$D$2:$D$310,MATCH(A1266,Users!$B$2:$B$310,0)),"")</f>
        <v/>
      </c>
      <c r="I1266" s="19">
        <f>AND(G1266="Service A",H1266="Band 3")</f>
        <v/>
      </c>
      <c r="J1266" s="33">
        <f>IF(AND(YEAR(B1266)=2025,G1266="Service B",OR(H1266="Band 3",H1266="Band 5"),ISNUMBER(F1266)),F1266,"")</f>
        <v/>
      </c>
    </row>
    <row r="1267">
      <c r="A1267" s="19" t="inlineStr">
        <is>
          <t>User1136</t>
        </is>
      </c>
      <c r="B1267" s="60" t="n">
        <v>45689</v>
      </c>
      <c r="C1267" s="21" t="n">
        <v>96</v>
      </c>
      <c r="D1267" s="21" t="n">
        <v>86.16666666666667</v>
      </c>
      <c r="E1267" s="21" t="n">
        <v>58.25</v>
      </c>
      <c r="F1267" s="27">
        <f>IFERROR(IF(OR(C1267="",D1267="",C1267=0),"",D1267/C1267),"")</f>
        <v/>
      </c>
      <c r="G1267" s="21">
        <f>IFERROR(INDEX(Users!$A$2:$A$310,MATCH(A1267,Users!$B$2:$B$310,0)),"")</f>
        <v/>
      </c>
      <c r="H1267" s="21">
        <f>IFERROR(INDEX(Users!$D$2:$D$310,MATCH(A1267,Users!$B$2:$B$310,0)),"")</f>
        <v/>
      </c>
      <c r="I1267" s="19">
        <f>AND(G1267="Service A",H1267="Band 3")</f>
        <v/>
      </c>
      <c r="J1267" s="33">
        <f>IF(AND(YEAR(B1267)=2025,G1267="Service B",OR(H1267="Band 3",H1267="Band 5"),ISNUMBER(F1267)),F1267,"")</f>
        <v/>
      </c>
    </row>
    <row r="1268">
      <c r="A1268" s="19" t="inlineStr">
        <is>
          <t>User1136</t>
        </is>
      </c>
      <c r="B1268" s="60" t="n">
        <v>45717</v>
      </c>
      <c r="C1268" s="21" t="n">
        <v>104</v>
      </c>
      <c r="D1268" s="21" t="n">
        <v>97.57333333333332</v>
      </c>
      <c r="E1268" s="21" t="n">
        <v>71.48999999999999</v>
      </c>
      <c r="F1268" s="27">
        <f>IFERROR(IF(OR(C1268="",D1268="",C1268=0),"",D1268/C1268),"")</f>
        <v/>
      </c>
      <c r="G1268" s="21">
        <f>IFERROR(INDEX(Users!$A$2:$A$310,MATCH(A1268,Users!$B$2:$B$310,0)),"")</f>
        <v/>
      </c>
      <c r="H1268" s="21">
        <f>IFERROR(INDEX(Users!$D$2:$D$310,MATCH(A1268,Users!$B$2:$B$310,0)),"")</f>
        <v/>
      </c>
      <c r="I1268" s="19">
        <f>AND(G1268="Service A",H1268="Band 3")</f>
        <v/>
      </c>
      <c r="J1268" s="33">
        <f>IF(AND(YEAR(B1268)=2025,G1268="Service B",OR(H1268="Band 3",H1268="Band 5"),ISNUMBER(F1268)),F1268,"")</f>
        <v/>
      </c>
    </row>
    <row r="1269">
      <c r="A1269" s="19" t="inlineStr">
        <is>
          <t>User1136</t>
        </is>
      </c>
      <c r="B1269" s="60" t="n">
        <v>45748</v>
      </c>
      <c r="C1269" s="21" t="n">
        <v>104</v>
      </c>
      <c r="D1269" s="21" t="n">
        <v>66.25</v>
      </c>
      <c r="E1269" s="21" t="n">
        <v>28.75</v>
      </c>
      <c r="F1269" s="27">
        <f>IFERROR(IF(OR(C1269="",D1269="",C1269=0),"",D1269/C1269),"")</f>
        <v/>
      </c>
      <c r="G1269" s="21">
        <f>IFERROR(INDEX(Users!$A$2:$A$310,MATCH(A1269,Users!$B$2:$B$310,0)),"")</f>
        <v/>
      </c>
      <c r="H1269" s="21">
        <f>IFERROR(INDEX(Users!$D$2:$D$310,MATCH(A1269,Users!$B$2:$B$310,0)),"")</f>
        <v/>
      </c>
      <c r="I1269" s="19">
        <f>AND(G1269="Service A",H1269="Band 3")</f>
        <v/>
      </c>
      <c r="J1269" s="33">
        <f>IF(AND(YEAR(B1269)=2025,G1269="Service B",OR(H1269="Band 3",H1269="Band 5"),ISNUMBER(F1269)),F1269,"")</f>
        <v/>
      </c>
    </row>
    <row r="1270">
      <c r="A1270" s="19" t="inlineStr">
        <is>
          <t>User1136</t>
        </is>
      </c>
      <c r="B1270" s="60" t="n">
        <v>45778</v>
      </c>
      <c r="C1270" s="21" t="n">
        <v>80</v>
      </c>
      <c r="D1270" s="21" t="n">
        <v>73.08</v>
      </c>
      <c r="E1270" s="21" t="n">
        <v>47.33</v>
      </c>
      <c r="F1270" s="27">
        <f>IFERROR(IF(OR(C1270="",D1270="",C1270=0),"",D1270/C1270),"")</f>
        <v/>
      </c>
      <c r="G1270" s="21">
        <f>IFERROR(INDEX(Users!$A$2:$A$310,MATCH(A1270,Users!$B$2:$B$310,0)),"")</f>
        <v/>
      </c>
      <c r="H1270" s="21">
        <f>IFERROR(INDEX(Users!$D$2:$D$310,MATCH(A1270,Users!$B$2:$B$310,0)),"")</f>
        <v/>
      </c>
      <c r="I1270" s="19">
        <f>AND(G1270="Service A",H1270="Band 3")</f>
        <v/>
      </c>
      <c r="J1270" s="33">
        <f>IF(AND(YEAR(B1270)=2025,G1270="Service B",OR(H1270="Band 3",H1270="Band 5"),ISNUMBER(F1270)),F1270,"")</f>
        <v/>
      </c>
    </row>
    <row r="1271">
      <c r="A1271" s="19" t="inlineStr">
        <is>
          <t>User1136</t>
        </is>
      </c>
      <c r="B1271" s="60" t="n">
        <v>45809</v>
      </c>
      <c r="C1271" s="21" t="n">
        <v>104</v>
      </c>
      <c r="D1271" s="21" t="n">
        <v>108.7533333333333</v>
      </c>
      <c r="E1271" s="21" t="n">
        <v>81.92</v>
      </c>
      <c r="F1271" s="27">
        <f>IFERROR(IF(OR(C1271="",D1271="",C1271=0),"",D1271/C1271),"")</f>
        <v/>
      </c>
      <c r="G1271" s="21">
        <f>IFERROR(INDEX(Users!$A$2:$A$310,MATCH(A1271,Users!$B$2:$B$310,0)),"")</f>
        <v/>
      </c>
      <c r="H1271" s="21">
        <f>IFERROR(INDEX(Users!$D$2:$D$310,MATCH(A1271,Users!$B$2:$B$310,0)),"")</f>
        <v/>
      </c>
      <c r="I1271" s="19">
        <f>AND(G1271="Service A",H1271="Band 3")</f>
        <v/>
      </c>
      <c r="J1271" s="33">
        <f>IF(AND(YEAR(B1271)=2025,G1271="Service B",OR(H1271="Band 3",H1271="Band 5"),ISNUMBER(F1271)),F1271,"")</f>
        <v/>
      </c>
    </row>
    <row r="1272">
      <c r="A1272" s="19" t="inlineStr">
        <is>
          <t>User1136</t>
        </is>
      </c>
      <c r="B1272" s="60" t="n">
        <v>45839</v>
      </c>
      <c r="C1272" s="21" t="n">
        <v>112</v>
      </c>
      <c r="D1272" s="21" t="n">
        <v>85.75</v>
      </c>
      <c r="E1272" s="21" t="n">
        <v>62</v>
      </c>
      <c r="F1272" s="27">
        <f>IFERROR(IF(OR(C1272="",D1272="",C1272=0),"",D1272/C1272),"")</f>
        <v/>
      </c>
      <c r="G1272" s="21">
        <f>IFERROR(INDEX(Users!$A$2:$A$310,MATCH(A1272,Users!$B$2:$B$310,0)),"")</f>
        <v/>
      </c>
      <c r="H1272" s="21">
        <f>IFERROR(INDEX(Users!$D$2:$D$310,MATCH(A1272,Users!$B$2:$B$310,0)),"")</f>
        <v/>
      </c>
      <c r="I1272" s="19">
        <f>AND(G1272="Service A",H1272="Band 3")</f>
        <v/>
      </c>
      <c r="J1272" s="33">
        <f>IF(AND(YEAR(B1272)=2025,G1272="Service B",OR(H1272="Band 3",H1272="Band 5"),ISNUMBER(F1272)),F1272,"")</f>
        <v/>
      </c>
    </row>
    <row r="1273">
      <c r="A1273" s="19" t="inlineStr">
        <is>
          <t>User1136</t>
        </is>
      </c>
      <c r="B1273" s="60" t="n">
        <v>45870</v>
      </c>
      <c r="C1273" s="21" t="n">
        <v>88</v>
      </c>
      <c r="D1273" s="21" t="n">
        <v>73.08333333333333</v>
      </c>
      <c r="E1273" s="21" t="n">
        <v>62</v>
      </c>
      <c r="F1273" s="27">
        <f>IFERROR(IF(OR(C1273="",D1273="",C1273=0),"",D1273/C1273),"")</f>
        <v/>
      </c>
      <c r="G1273" s="21">
        <f>IFERROR(INDEX(Users!$A$2:$A$310,MATCH(A1273,Users!$B$2:$B$310,0)),"")</f>
        <v/>
      </c>
      <c r="H1273" s="21">
        <f>IFERROR(INDEX(Users!$D$2:$D$310,MATCH(A1273,Users!$B$2:$B$310,0)),"")</f>
        <v/>
      </c>
      <c r="I1273" s="19">
        <f>AND(G1273="Service A",H1273="Band 3")</f>
        <v/>
      </c>
      <c r="J1273" s="33">
        <f>IF(AND(YEAR(B1273)=2025,G1273="Service B",OR(H1273="Band 3",H1273="Band 5"),ISNUMBER(F1273)),F1273,"")</f>
        <v/>
      </c>
    </row>
    <row r="1274">
      <c r="A1274" s="19" t="inlineStr">
        <is>
          <t>User1136</t>
        </is>
      </c>
      <c r="B1274" s="60" t="n">
        <v>45901</v>
      </c>
      <c r="C1274" s="21" t="n">
        <v>48</v>
      </c>
      <c r="D1274" s="21" t="n">
        <v>28.92</v>
      </c>
      <c r="E1274" s="21" t="n">
        <v>22.17</v>
      </c>
      <c r="F1274" s="27">
        <f>IFERROR(IF(OR(C1274="",D1274="",C1274=0),"",D1274/C1274),"")</f>
        <v/>
      </c>
      <c r="G1274" s="21">
        <f>IFERROR(INDEX(Users!$A$2:$A$310,MATCH(A1274,Users!$B$2:$B$310,0)),"")</f>
        <v/>
      </c>
      <c r="H1274" s="21">
        <f>IFERROR(INDEX(Users!$D$2:$D$310,MATCH(A1274,Users!$B$2:$B$310,0)),"")</f>
        <v/>
      </c>
      <c r="I1274" s="19">
        <f>AND(G1274="Service A",H1274="Band 3")</f>
        <v/>
      </c>
      <c r="J1274" s="33">
        <f>IF(AND(YEAR(B1274)=2025,G1274="Service B",OR(H1274="Band 3",H1274="Band 5"),ISNUMBER(F1274)),F1274,"")</f>
        <v/>
      </c>
    </row>
    <row r="1275">
      <c r="A1275" s="19" t="inlineStr">
        <is>
          <t>User1137</t>
        </is>
      </c>
      <c r="B1275" s="60" t="n">
        <v>45658</v>
      </c>
      <c r="C1275" s="21" t="n">
        <v>97.68000000000001</v>
      </c>
      <c r="D1275" s="21" t="n">
        <v>97.50333333333333</v>
      </c>
      <c r="E1275" s="21" t="n">
        <v>71.17</v>
      </c>
      <c r="F1275" s="27">
        <f>IFERROR(IF(OR(C1275="",D1275="",C1275=0),"",D1275/C1275),"")</f>
        <v/>
      </c>
      <c r="G1275" s="21">
        <f>IFERROR(INDEX(Users!$A$2:$A$310,MATCH(A1275,Users!$B$2:$B$310,0)),"")</f>
        <v/>
      </c>
      <c r="H1275" s="21">
        <f>IFERROR(INDEX(Users!$D$2:$D$310,MATCH(A1275,Users!$B$2:$B$310,0)),"")</f>
        <v/>
      </c>
      <c r="I1275" s="19">
        <f>AND(G1275="Service A",H1275="Band 3")</f>
        <v/>
      </c>
      <c r="J1275" s="33">
        <f>IF(AND(YEAR(B1275)=2025,G1275="Service B",OR(H1275="Band 3",H1275="Band 5"),ISNUMBER(F1275)),F1275,"")</f>
        <v/>
      </c>
    </row>
    <row r="1276">
      <c r="A1276" s="19" t="inlineStr">
        <is>
          <t>User1137</t>
        </is>
      </c>
      <c r="B1276" s="60" t="n">
        <v>45689</v>
      </c>
      <c r="C1276" s="21" t="n">
        <v>88.80000000000001</v>
      </c>
      <c r="D1276" s="21" t="n">
        <v>69.53</v>
      </c>
      <c r="E1276" s="21" t="n">
        <v>41.78</v>
      </c>
      <c r="F1276" s="27">
        <f>IFERROR(IF(OR(C1276="",D1276="",C1276=0),"",D1276/C1276),"")</f>
        <v/>
      </c>
      <c r="G1276" s="21">
        <f>IFERROR(INDEX(Users!$A$2:$A$310,MATCH(A1276,Users!$B$2:$B$310,0)),"")</f>
        <v/>
      </c>
      <c r="H1276" s="21">
        <f>IFERROR(INDEX(Users!$D$2:$D$310,MATCH(A1276,Users!$B$2:$B$310,0)),"")</f>
        <v/>
      </c>
      <c r="I1276" s="19">
        <f>AND(G1276="Service A",H1276="Band 3")</f>
        <v/>
      </c>
      <c r="J1276" s="33">
        <f>IF(AND(YEAR(B1276)=2025,G1276="Service B",OR(H1276="Band 3",H1276="Band 5"),ISNUMBER(F1276)),F1276,"")</f>
        <v/>
      </c>
    </row>
    <row r="1277">
      <c r="A1277" s="19" t="inlineStr">
        <is>
          <t>User1137</t>
        </is>
      </c>
      <c r="B1277" s="60" t="n">
        <v>45717</v>
      </c>
      <c r="C1277" s="21" t="n">
        <v>93.24000000000001</v>
      </c>
      <c r="D1277" s="21" t="n">
        <v>74.34666666666666</v>
      </c>
      <c r="E1277" s="21" t="n">
        <v>54.68000000000001</v>
      </c>
      <c r="F1277" s="27">
        <f>IFERROR(IF(OR(C1277="",D1277="",C1277=0),"",D1277/C1277),"")</f>
        <v/>
      </c>
      <c r="G1277" s="21">
        <f>IFERROR(INDEX(Users!$A$2:$A$310,MATCH(A1277,Users!$B$2:$B$310,0)),"")</f>
        <v/>
      </c>
      <c r="H1277" s="21">
        <f>IFERROR(INDEX(Users!$D$2:$D$310,MATCH(A1277,Users!$B$2:$B$310,0)),"")</f>
        <v/>
      </c>
      <c r="I1277" s="19">
        <f>AND(G1277="Service A",H1277="Band 3")</f>
        <v/>
      </c>
      <c r="J1277" s="33">
        <f>IF(AND(YEAR(B1277)=2025,G1277="Service B",OR(H1277="Band 3",H1277="Band 5"),ISNUMBER(F1277)),F1277,"")</f>
        <v/>
      </c>
    </row>
    <row r="1278">
      <c r="A1278" s="19" t="inlineStr">
        <is>
          <t>User1137</t>
        </is>
      </c>
      <c r="B1278" s="60" t="n">
        <v>45748</v>
      </c>
      <c r="C1278" s="21" t="n">
        <v>88.80000000000001</v>
      </c>
      <c r="D1278" s="21" t="n">
        <v>70.20666666666668</v>
      </c>
      <c r="E1278" s="21" t="n">
        <v>48.04000000000001</v>
      </c>
      <c r="F1278" s="27">
        <f>IFERROR(IF(OR(C1278="",D1278="",C1278=0),"",D1278/C1278),"")</f>
        <v/>
      </c>
      <c r="G1278" s="21">
        <f>IFERROR(INDEX(Users!$A$2:$A$310,MATCH(A1278,Users!$B$2:$B$310,0)),"")</f>
        <v/>
      </c>
      <c r="H1278" s="21">
        <f>IFERROR(INDEX(Users!$D$2:$D$310,MATCH(A1278,Users!$B$2:$B$310,0)),"")</f>
        <v/>
      </c>
      <c r="I1278" s="19">
        <f>AND(G1278="Service A",H1278="Band 3")</f>
        <v/>
      </c>
      <c r="J1278" s="33">
        <f>IF(AND(YEAR(B1278)=2025,G1278="Service B",OR(H1278="Band 3",H1278="Band 5"),ISNUMBER(F1278)),F1278,"")</f>
        <v/>
      </c>
    </row>
    <row r="1279">
      <c r="A1279" s="19" t="inlineStr">
        <is>
          <t>User1137</t>
        </is>
      </c>
      <c r="B1279" s="60" t="n">
        <v>45778</v>
      </c>
      <c r="C1279" s="21" t="n">
        <v>88.80000000000001</v>
      </c>
      <c r="D1279" s="21" t="n">
        <v>88.71333333333332</v>
      </c>
      <c r="E1279" s="21" t="n">
        <v>67.13</v>
      </c>
      <c r="F1279" s="27">
        <f>IFERROR(IF(OR(C1279="",D1279="",C1279=0),"",D1279/C1279),"")</f>
        <v/>
      </c>
      <c r="G1279" s="21">
        <f>IFERROR(INDEX(Users!$A$2:$A$310,MATCH(A1279,Users!$B$2:$B$310,0)),"")</f>
        <v/>
      </c>
      <c r="H1279" s="21">
        <f>IFERROR(INDEX(Users!$D$2:$D$310,MATCH(A1279,Users!$B$2:$B$310,0)),"")</f>
        <v/>
      </c>
      <c r="I1279" s="19">
        <f>AND(G1279="Service A",H1279="Band 3")</f>
        <v/>
      </c>
      <c r="J1279" s="33">
        <f>IF(AND(YEAR(B1279)=2025,G1279="Service B",OR(H1279="Band 3",H1279="Band 5"),ISNUMBER(F1279)),F1279,"")</f>
        <v/>
      </c>
    </row>
    <row r="1280">
      <c r="A1280" s="19" t="inlineStr">
        <is>
          <t>User1137</t>
        </is>
      </c>
      <c r="B1280" s="60" t="n">
        <v>45809</v>
      </c>
      <c r="C1280" s="21" t="n">
        <v>93.24000000000001</v>
      </c>
      <c r="D1280" s="21" t="n">
        <v>81.59333333333333</v>
      </c>
      <c r="E1280" s="21" t="n">
        <v>44.01</v>
      </c>
      <c r="F1280" s="27">
        <f>IFERROR(IF(OR(C1280="",D1280="",C1280=0),"",D1280/C1280),"")</f>
        <v/>
      </c>
      <c r="G1280" s="21">
        <f>IFERROR(INDEX(Users!$A$2:$A$310,MATCH(A1280,Users!$B$2:$B$310,0)),"")</f>
        <v/>
      </c>
      <c r="H1280" s="21">
        <f>IFERROR(INDEX(Users!$D$2:$D$310,MATCH(A1280,Users!$B$2:$B$310,0)),"")</f>
        <v/>
      </c>
      <c r="I1280" s="19">
        <f>AND(G1280="Service A",H1280="Band 3")</f>
        <v/>
      </c>
      <c r="J1280" s="33">
        <f>IF(AND(YEAR(B1280)=2025,G1280="Service B",OR(H1280="Band 3",H1280="Band 5"),ISNUMBER(F1280)),F1280,"")</f>
        <v/>
      </c>
    </row>
    <row r="1281">
      <c r="A1281" s="19" t="inlineStr">
        <is>
          <t>User1137</t>
        </is>
      </c>
      <c r="B1281" s="60" t="n">
        <v>45839</v>
      </c>
      <c r="C1281" s="21" t="n">
        <v>102.12</v>
      </c>
      <c r="D1281" s="21" t="n">
        <v>53.36</v>
      </c>
      <c r="E1281" s="21" t="n">
        <v>31.86</v>
      </c>
      <c r="F1281" s="27">
        <f>IFERROR(IF(OR(C1281="",D1281="",C1281=0),"",D1281/C1281),"")</f>
        <v/>
      </c>
      <c r="G1281" s="21">
        <f>IFERROR(INDEX(Users!$A$2:$A$310,MATCH(A1281,Users!$B$2:$B$310,0)),"")</f>
        <v/>
      </c>
      <c r="H1281" s="21">
        <f>IFERROR(INDEX(Users!$D$2:$D$310,MATCH(A1281,Users!$B$2:$B$310,0)),"")</f>
        <v/>
      </c>
      <c r="I1281" s="19">
        <f>AND(G1281="Service A",H1281="Band 3")</f>
        <v/>
      </c>
      <c r="J1281" s="33">
        <f>IF(AND(YEAR(B1281)=2025,G1281="Service B",OR(H1281="Band 3",H1281="Band 5"),ISNUMBER(F1281)),F1281,"")</f>
        <v/>
      </c>
    </row>
    <row r="1282">
      <c r="A1282" s="19" t="inlineStr">
        <is>
          <t>User1137</t>
        </is>
      </c>
      <c r="B1282" s="60" t="n">
        <v>45870</v>
      </c>
      <c r="C1282" s="21" t="n">
        <v>88.80000000000001</v>
      </c>
      <c r="D1282" s="21" t="n">
        <v>46.87666666666666</v>
      </c>
      <c r="E1282" s="21" t="n">
        <v>35.20999999999999</v>
      </c>
      <c r="F1282" s="27">
        <f>IFERROR(IF(OR(C1282="",D1282="",C1282=0),"",D1282/C1282),"")</f>
        <v/>
      </c>
      <c r="G1282" s="21">
        <f>IFERROR(INDEX(Users!$A$2:$A$310,MATCH(A1282,Users!$B$2:$B$310,0)),"")</f>
        <v/>
      </c>
      <c r="H1282" s="21">
        <f>IFERROR(INDEX(Users!$D$2:$D$310,MATCH(A1282,Users!$B$2:$B$310,0)),"")</f>
        <v/>
      </c>
      <c r="I1282" s="19">
        <f>AND(G1282="Service A",H1282="Band 3")</f>
        <v/>
      </c>
      <c r="J1282" s="33">
        <f>IF(AND(YEAR(B1282)=2025,G1282="Service B",OR(H1282="Band 3",H1282="Band 5"),ISNUMBER(F1282)),F1282,"")</f>
        <v/>
      </c>
    </row>
    <row r="1283">
      <c r="A1283" s="19" t="inlineStr">
        <is>
          <t>User1137</t>
        </is>
      </c>
      <c r="B1283" s="60" t="n">
        <v>45901</v>
      </c>
      <c r="C1283" s="21" t="n">
        <v>97.68000000000001</v>
      </c>
      <c r="D1283" s="21" t="n">
        <v>91.93333333333334</v>
      </c>
      <c r="E1283" s="21" t="n">
        <v>61.85000000000001</v>
      </c>
      <c r="F1283" s="27">
        <f>IFERROR(IF(OR(C1283="",D1283="",C1283=0),"",D1283/C1283),"")</f>
        <v/>
      </c>
      <c r="G1283" s="21">
        <f>IFERROR(INDEX(Users!$A$2:$A$310,MATCH(A1283,Users!$B$2:$B$310,0)),"")</f>
        <v/>
      </c>
      <c r="H1283" s="21">
        <f>IFERROR(INDEX(Users!$D$2:$D$310,MATCH(A1283,Users!$B$2:$B$310,0)),"")</f>
        <v/>
      </c>
      <c r="I1283" s="19">
        <f>AND(G1283="Service A",H1283="Band 3")</f>
        <v/>
      </c>
      <c r="J1283" s="33">
        <f>IF(AND(YEAR(B1283)=2025,G1283="Service B",OR(H1283="Band 3",H1283="Band 5"),ISNUMBER(F1283)),F1283,"")</f>
        <v/>
      </c>
    </row>
    <row r="1284">
      <c r="A1284" s="19" t="inlineStr">
        <is>
          <t>User1137</t>
        </is>
      </c>
      <c r="B1284" s="60" t="n">
        <v>45931</v>
      </c>
      <c r="C1284" s="21" t="n">
        <v>102.12</v>
      </c>
      <c r="D1284" s="21" t="n">
        <v>91.44</v>
      </c>
      <c r="E1284" s="21" t="n">
        <v>61.18999999999999</v>
      </c>
      <c r="F1284" s="27">
        <f>IFERROR(IF(OR(C1284="",D1284="",C1284=0),"",D1284/C1284),"")</f>
        <v/>
      </c>
      <c r="G1284" s="21">
        <f>IFERROR(INDEX(Users!$A$2:$A$310,MATCH(A1284,Users!$B$2:$B$310,0)),"")</f>
        <v/>
      </c>
      <c r="H1284" s="21">
        <f>IFERROR(INDEX(Users!$D$2:$D$310,MATCH(A1284,Users!$B$2:$B$310,0)),"")</f>
        <v/>
      </c>
      <c r="I1284" s="19">
        <f>AND(G1284="Service A",H1284="Band 3")</f>
        <v/>
      </c>
      <c r="J1284" s="33">
        <f>IF(AND(YEAR(B1284)=2025,G1284="Service B",OR(H1284="Band 3",H1284="Band 5"),ISNUMBER(F1284)),F1284,"")</f>
        <v/>
      </c>
    </row>
    <row r="1285">
      <c r="A1285" s="19" t="inlineStr">
        <is>
          <t>User1137</t>
        </is>
      </c>
      <c r="B1285" s="60" t="n">
        <v>45962</v>
      </c>
      <c r="C1285" s="21" t="n">
        <v>88.80000000000001</v>
      </c>
      <c r="D1285" s="21" t="n">
        <v>74.85333333333334</v>
      </c>
      <c r="E1285" s="21" t="n">
        <v>60.27</v>
      </c>
      <c r="F1285" s="27">
        <f>IFERROR(IF(OR(C1285="",D1285="",C1285=0),"",D1285/C1285),"")</f>
        <v/>
      </c>
      <c r="G1285" s="21">
        <f>IFERROR(INDEX(Users!$A$2:$A$310,MATCH(A1285,Users!$B$2:$B$310,0)),"")</f>
        <v/>
      </c>
      <c r="H1285" s="21">
        <f>IFERROR(INDEX(Users!$D$2:$D$310,MATCH(A1285,Users!$B$2:$B$310,0)),"")</f>
        <v/>
      </c>
      <c r="I1285" s="19">
        <f>AND(G1285="Service A",H1285="Band 3")</f>
        <v/>
      </c>
      <c r="J1285" s="33">
        <f>IF(AND(YEAR(B1285)=2025,G1285="Service B",OR(H1285="Band 3",H1285="Band 5"),ISNUMBER(F1285)),F1285,"")</f>
        <v/>
      </c>
    </row>
    <row r="1286">
      <c r="A1286" s="19" t="inlineStr">
        <is>
          <t>User1137</t>
        </is>
      </c>
      <c r="B1286" s="60" t="n">
        <v>45992</v>
      </c>
      <c r="C1286" s="21" t="n">
        <v>93.24000000000001</v>
      </c>
      <c r="D1286" s="21" t="n">
        <v>75.48999999999999</v>
      </c>
      <c r="E1286" s="21" t="n">
        <v>52.98999999999999</v>
      </c>
      <c r="F1286" s="27">
        <f>IFERROR(IF(OR(C1286="",D1286="",C1286=0),"",D1286/C1286),"")</f>
        <v/>
      </c>
      <c r="G1286" s="21">
        <f>IFERROR(INDEX(Users!$A$2:$A$310,MATCH(A1286,Users!$B$2:$B$310,0)),"")</f>
        <v/>
      </c>
      <c r="H1286" s="21">
        <f>IFERROR(INDEX(Users!$D$2:$D$310,MATCH(A1286,Users!$B$2:$B$310,0)),"")</f>
        <v/>
      </c>
      <c r="I1286" s="19">
        <f>AND(G1286="Service A",H1286="Band 3")</f>
        <v/>
      </c>
      <c r="J1286" s="33">
        <f>IF(AND(YEAR(B1286)=2025,G1286="Service B",OR(H1286="Band 3",H1286="Band 5"),ISNUMBER(F1286)),F1286,"")</f>
        <v/>
      </c>
    </row>
    <row r="1287">
      <c r="A1287" s="19" t="inlineStr">
        <is>
          <t>User1137</t>
        </is>
      </c>
      <c r="B1287" s="60" t="n">
        <v>46023</v>
      </c>
      <c r="C1287" s="21" t="n">
        <v>93.24000000000001</v>
      </c>
      <c r="D1287" s="21" t="n">
        <v>93.69666666666666</v>
      </c>
      <c r="E1287" s="21" t="n">
        <v>56.28</v>
      </c>
      <c r="F1287" s="27">
        <f>IFERROR(IF(OR(C1287="",D1287="",C1287=0),"",D1287/C1287),"")</f>
        <v/>
      </c>
      <c r="G1287" s="21">
        <f>IFERROR(INDEX(Users!$A$2:$A$310,MATCH(A1287,Users!$B$2:$B$310,0)),"")</f>
        <v/>
      </c>
      <c r="H1287" s="21">
        <f>IFERROR(INDEX(Users!$D$2:$D$310,MATCH(A1287,Users!$B$2:$B$310,0)),"")</f>
        <v/>
      </c>
      <c r="I1287" s="19">
        <f>AND(G1287="Service A",H1287="Band 3")</f>
        <v/>
      </c>
      <c r="J1287" s="33">
        <f>IF(AND(YEAR(B1287)=2025,G1287="Service B",OR(H1287="Band 3",H1287="Band 5"),ISNUMBER(F1287)),F1287,"")</f>
        <v/>
      </c>
    </row>
    <row r="1288">
      <c r="A1288" s="19" t="inlineStr">
        <is>
          <t>User1138</t>
        </is>
      </c>
      <c r="B1288" s="60" t="n">
        <v>45658</v>
      </c>
      <c r="C1288" s="21" t="n">
        <v>162.8</v>
      </c>
      <c r="D1288" s="21" t="n">
        <v>142.7466666666667</v>
      </c>
      <c r="E1288" s="21" t="n">
        <v>82.83000000000001</v>
      </c>
      <c r="F1288" s="27">
        <f>IFERROR(IF(OR(C1288="",D1288="",C1288=0),"",D1288/C1288),"")</f>
        <v/>
      </c>
      <c r="G1288" s="21">
        <f>IFERROR(INDEX(Users!$A$2:$A$310,MATCH(A1288,Users!$B$2:$B$310,0)),"")</f>
        <v/>
      </c>
      <c r="H1288" s="21">
        <f>IFERROR(INDEX(Users!$D$2:$D$310,MATCH(A1288,Users!$B$2:$B$310,0)),"")</f>
        <v/>
      </c>
      <c r="I1288" s="19">
        <f>AND(G1288="Service A",H1288="Band 3")</f>
        <v/>
      </c>
      <c r="J1288" s="33">
        <f>IF(AND(YEAR(B1288)=2025,G1288="Service B",OR(H1288="Band 3",H1288="Band 5"),ISNUMBER(F1288)),F1288,"")</f>
        <v/>
      </c>
    </row>
    <row r="1289">
      <c r="A1289" s="19" t="inlineStr">
        <is>
          <t>User1138</t>
        </is>
      </c>
      <c r="B1289" s="60" t="n">
        <v>45689</v>
      </c>
      <c r="C1289" s="21" t="n">
        <v>148</v>
      </c>
      <c r="D1289" s="21" t="n">
        <v>129.3566666666667</v>
      </c>
      <c r="E1289" s="21" t="n">
        <v>66.44000000000001</v>
      </c>
      <c r="F1289" s="27">
        <f>IFERROR(IF(OR(C1289="",D1289="",C1289=0),"",D1289/C1289),"")</f>
        <v/>
      </c>
      <c r="G1289" s="21">
        <f>IFERROR(INDEX(Users!$A$2:$A$310,MATCH(A1289,Users!$B$2:$B$310,0)),"")</f>
        <v/>
      </c>
      <c r="H1289" s="21">
        <f>IFERROR(INDEX(Users!$D$2:$D$310,MATCH(A1289,Users!$B$2:$B$310,0)),"")</f>
        <v/>
      </c>
      <c r="I1289" s="19">
        <f>AND(G1289="Service A",H1289="Band 3")</f>
        <v/>
      </c>
      <c r="J1289" s="33">
        <f>IF(AND(YEAR(B1289)=2025,G1289="Service B",OR(H1289="Band 3",H1289="Band 5"),ISNUMBER(F1289)),F1289,"")</f>
        <v/>
      </c>
    </row>
    <row r="1290">
      <c r="A1290" s="19" t="inlineStr">
        <is>
          <t>User1138</t>
        </is>
      </c>
      <c r="B1290" s="60" t="n">
        <v>45717</v>
      </c>
      <c r="C1290" s="21" t="n">
        <v>155.4</v>
      </c>
      <c r="D1290" s="21" t="n">
        <v>148.2533333333333</v>
      </c>
      <c r="E1290" s="21" t="n">
        <v>75.42</v>
      </c>
      <c r="F1290" s="27">
        <f>IFERROR(IF(OR(C1290="",D1290="",C1290=0),"",D1290/C1290),"")</f>
        <v/>
      </c>
      <c r="G1290" s="21">
        <f>IFERROR(INDEX(Users!$A$2:$A$310,MATCH(A1290,Users!$B$2:$B$310,0)),"")</f>
        <v/>
      </c>
      <c r="H1290" s="21">
        <f>IFERROR(INDEX(Users!$D$2:$D$310,MATCH(A1290,Users!$B$2:$B$310,0)),"")</f>
        <v/>
      </c>
      <c r="I1290" s="19">
        <f>AND(G1290="Service A",H1290="Band 3")</f>
        <v/>
      </c>
      <c r="J1290" s="33">
        <f>IF(AND(YEAR(B1290)=2025,G1290="Service B",OR(H1290="Band 3",H1290="Band 5"),ISNUMBER(F1290)),F1290,"")</f>
        <v/>
      </c>
    </row>
    <row r="1291">
      <c r="A1291" s="19" t="inlineStr">
        <is>
          <t>User1138</t>
        </is>
      </c>
      <c r="B1291" s="60" t="n">
        <v>45748</v>
      </c>
      <c r="C1291" s="21" t="n">
        <v>148</v>
      </c>
      <c r="D1291" s="21" t="n">
        <v>98.75</v>
      </c>
      <c r="E1291" s="21" t="n">
        <v>46.25</v>
      </c>
      <c r="F1291" s="27">
        <f>IFERROR(IF(OR(C1291="",D1291="",C1291=0),"",D1291/C1291),"")</f>
        <v/>
      </c>
      <c r="G1291" s="21">
        <f>IFERROR(INDEX(Users!$A$2:$A$310,MATCH(A1291,Users!$B$2:$B$310,0)),"")</f>
        <v/>
      </c>
      <c r="H1291" s="21">
        <f>IFERROR(INDEX(Users!$D$2:$D$310,MATCH(A1291,Users!$B$2:$B$310,0)),"")</f>
        <v/>
      </c>
      <c r="I1291" s="19">
        <f>AND(G1291="Service A",H1291="Band 3")</f>
        <v/>
      </c>
      <c r="J1291" s="33">
        <f>IF(AND(YEAR(B1291)=2025,G1291="Service B",OR(H1291="Band 3",H1291="Band 5"),ISNUMBER(F1291)),F1291,"")</f>
        <v/>
      </c>
    </row>
    <row r="1292">
      <c r="A1292" s="19" t="inlineStr">
        <is>
          <t>User1138</t>
        </is>
      </c>
      <c r="B1292" s="60" t="n">
        <v>45778</v>
      </c>
      <c r="C1292" s="21" t="n">
        <v>148</v>
      </c>
      <c r="D1292" s="21" t="n">
        <v>121.6366666666667</v>
      </c>
      <c r="E1292" s="21" t="n">
        <v>64.72</v>
      </c>
      <c r="F1292" s="27">
        <f>IFERROR(IF(OR(C1292="",D1292="",C1292=0),"",D1292/C1292),"")</f>
        <v/>
      </c>
      <c r="G1292" s="21">
        <f>IFERROR(INDEX(Users!$A$2:$A$310,MATCH(A1292,Users!$B$2:$B$310,0)),"")</f>
        <v/>
      </c>
      <c r="H1292" s="21">
        <f>IFERROR(INDEX(Users!$D$2:$D$310,MATCH(A1292,Users!$B$2:$B$310,0)),"")</f>
        <v/>
      </c>
      <c r="I1292" s="19">
        <f>AND(G1292="Service A",H1292="Band 3")</f>
        <v/>
      </c>
      <c r="J1292" s="33">
        <f>IF(AND(YEAR(B1292)=2025,G1292="Service B",OR(H1292="Band 3",H1292="Band 5"),ISNUMBER(F1292)),F1292,"")</f>
        <v/>
      </c>
    </row>
    <row r="1293">
      <c r="A1293" s="19" t="inlineStr">
        <is>
          <t>User1138</t>
        </is>
      </c>
      <c r="B1293" s="60" t="n">
        <v>45809</v>
      </c>
      <c r="C1293" s="21" t="n">
        <v>155.4</v>
      </c>
      <c r="D1293" s="21" t="n">
        <v>138.93</v>
      </c>
      <c r="E1293" s="21" t="n">
        <v>75.68000000000001</v>
      </c>
      <c r="F1293" s="27">
        <f>IFERROR(IF(OR(C1293="",D1293="",C1293=0),"",D1293/C1293),"")</f>
        <v/>
      </c>
      <c r="G1293" s="21">
        <f>IFERROR(INDEX(Users!$A$2:$A$310,MATCH(A1293,Users!$B$2:$B$310,0)),"")</f>
        <v/>
      </c>
      <c r="H1293" s="21">
        <f>IFERROR(INDEX(Users!$D$2:$D$310,MATCH(A1293,Users!$B$2:$B$310,0)),"")</f>
        <v/>
      </c>
      <c r="I1293" s="19">
        <f>AND(G1293="Service A",H1293="Band 3")</f>
        <v/>
      </c>
      <c r="J1293" s="33">
        <f>IF(AND(YEAR(B1293)=2025,G1293="Service B",OR(H1293="Band 3",H1293="Band 5"),ISNUMBER(F1293)),F1293,"")</f>
        <v/>
      </c>
    </row>
    <row r="1294">
      <c r="A1294" s="19" t="inlineStr">
        <is>
          <t>User1138</t>
        </is>
      </c>
      <c r="B1294" s="60" t="n">
        <v>45839</v>
      </c>
      <c r="C1294" s="21" t="n">
        <v>170.2</v>
      </c>
      <c r="D1294" s="21" t="n">
        <v>122.8333333333333</v>
      </c>
      <c r="E1294" s="21" t="n">
        <v>77.25</v>
      </c>
      <c r="F1294" s="27">
        <f>IFERROR(IF(OR(C1294="",D1294="",C1294=0),"",D1294/C1294),"")</f>
        <v/>
      </c>
      <c r="G1294" s="21">
        <f>IFERROR(INDEX(Users!$A$2:$A$310,MATCH(A1294,Users!$B$2:$B$310,0)),"")</f>
        <v/>
      </c>
      <c r="H1294" s="21">
        <f>IFERROR(INDEX(Users!$D$2:$D$310,MATCH(A1294,Users!$B$2:$B$310,0)),"")</f>
        <v/>
      </c>
      <c r="I1294" s="19">
        <f>AND(G1294="Service A",H1294="Band 3")</f>
        <v/>
      </c>
      <c r="J1294" s="33">
        <f>IF(AND(YEAR(B1294)=2025,G1294="Service B",OR(H1294="Band 3",H1294="Band 5"),ISNUMBER(F1294)),F1294,"")</f>
        <v/>
      </c>
    </row>
    <row r="1295">
      <c r="A1295" s="19" t="inlineStr">
        <is>
          <t>User1138</t>
        </is>
      </c>
      <c r="B1295" s="60" t="n">
        <v>45870</v>
      </c>
      <c r="C1295" s="21" t="n">
        <v>148</v>
      </c>
      <c r="D1295" s="21" t="n">
        <v>97.42666666666668</v>
      </c>
      <c r="E1295" s="21" t="n">
        <v>68.01000000000001</v>
      </c>
      <c r="F1295" s="27">
        <f>IFERROR(IF(OR(C1295="",D1295="",C1295=0),"",D1295/C1295),"")</f>
        <v/>
      </c>
      <c r="G1295" s="21">
        <f>IFERROR(INDEX(Users!$A$2:$A$310,MATCH(A1295,Users!$B$2:$B$310,0)),"")</f>
        <v/>
      </c>
      <c r="H1295" s="21">
        <f>IFERROR(INDEX(Users!$D$2:$D$310,MATCH(A1295,Users!$B$2:$B$310,0)),"")</f>
        <v/>
      </c>
      <c r="I1295" s="19">
        <f>AND(G1295="Service A",H1295="Band 3")</f>
        <v/>
      </c>
      <c r="J1295" s="33">
        <f>IF(AND(YEAR(B1295)=2025,G1295="Service B",OR(H1295="Band 3",H1295="Band 5"),ISNUMBER(F1295)),F1295,"")</f>
        <v/>
      </c>
    </row>
    <row r="1296">
      <c r="A1296" s="19" t="inlineStr">
        <is>
          <t>User1138</t>
        </is>
      </c>
      <c r="B1296" s="60" t="n">
        <v>45901</v>
      </c>
      <c r="C1296" s="21" t="n">
        <v>162.8</v>
      </c>
      <c r="D1296" s="21" t="n">
        <v>105.98</v>
      </c>
      <c r="E1296" s="21" t="n">
        <v>71.98</v>
      </c>
      <c r="F1296" s="27">
        <f>IFERROR(IF(OR(C1296="",D1296="",C1296=0),"",D1296/C1296),"")</f>
        <v/>
      </c>
      <c r="G1296" s="21">
        <f>IFERROR(INDEX(Users!$A$2:$A$310,MATCH(A1296,Users!$B$2:$B$310,0)),"")</f>
        <v/>
      </c>
      <c r="H1296" s="21">
        <f>IFERROR(INDEX(Users!$D$2:$D$310,MATCH(A1296,Users!$B$2:$B$310,0)),"")</f>
        <v/>
      </c>
      <c r="I1296" s="19">
        <f>AND(G1296="Service A",H1296="Band 3")</f>
        <v/>
      </c>
      <c r="J1296" s="33">
        <f>IF(AND(YEAR(B1296)=2025,G1296="Service B",OR(H1296="Band 3",H1296="Band 5"),ISNUMBER(F1296)),F1296,"")</f>
        <v/>
      </c>
    </row>
    <row r="1297">
      <c r="A1297" s="19" t="inlineStr">
        <is>
          <t>User1138</t>
        </is>
      </c>
      <c r="B1297" s="60" t="n">
        <v>45931</v>
      </c>
      <c r="C1297" s="21" t="n">
        <v>170.2</v>
      </c>
      <c r="D1297" s="21" t="n">
        <v>135.9966666666667</v>
      </c>
      <c r="E1297" s="21" t="n">
        <v>89.33000000000001</v>
      </c>
      <c r="F1297" s="27">
        <f>IFERROR(IF(OR(C1297="",D1297="",C1297=0),"",D1297/C1297),"")</f>
        <v/>
      </c>
      <c r="G1297" s="21">
        <f>IFERROR(INDEX(Users!$A$2:$A$310,MATCH(A1297,Users!$B$2:$B$310,0)),"")</f>
        <v/>
      </c>
      <c r="H1297" s="21">
        <f>IFERROR(INDEX(Users!$D$2:$D$310,MATCH(A1297,Users!$B$2:$B$310,0)),"")</f>
        <v/>
      </c>
      <c r="I1297" s="19">
        <f>AND(G1297="Service A",H1297="Band 3")</f>
        <v/>
      </c>
      <c r="J1297" s="33">
        <f>IF(AND(YEAR(B1297)=2025,G1297="Service B",OR(H1297="Band 3",H1297="Band 5"),ISNUMBER(F1297)),F1297,"")</f>
        <v/>
      </c>
    </row>
    <row r="1298">
      <c r="A1298" s="19" t="inlineStr">
        <is>
          <t>User1138</t>
        </is>
      </c>
      <c r="B1298" s="60" t="n">
        <v>45962</v>
      </c>
      <c r="C1298" s="21" t="n">
        <v>148</v>
      </c>
      <c r="D1298" s="21" t="n">
        <v>125.1066666666667</v>
      </c>
      <c r="E1298" s="21" t="n">
        <v>83.44</v>
      </c>
      <c r="F1298" s="27">
        <f>IFERROR(IF(OR(C1298="",D1298="",C1298=0),"",D1298/C1298),"")</f>
        <v/>
      </c>
      <c r="G1298" s="21">
        <f>IFERROR(INDEX(Users!$A$2:$A$310,MATCH(A1298,Users!$B$2:$B$310,0)),"")</f>
        <v/>
      </c>
      <c r="H1298" s="21">
        <f>IFERROR(INDEX(Users!$D$2:$D$310,MATCH(A1298,Users!$B$2:$B$310,0)),"")</f>
        <v/>
      </c>
      <c r="I1298" s="19">
        <f>AND(G1298="Service A",H1298="Band 3")</f>
        <v/>
      </c>
      <c r="J1298" s="33">
        <f>IF(AND(YEAR(B1298)=2025,G1298="Service B",OR(H1298="Band 3",H1298="Band 5"),ISNUMBER(F1298)),F1298,"")</f>
        <v/>
      </c>
    </row>
    <row r="1299">
      <c r="A1299" s="19" t="inlineStr">
        <is>
          <t>User1138</t>
        </is>
      </c>
      <c r="B1299" s="60" t="n">
        <v>45992</v>
      </c>
      <c r="C1299" s="21" t="n">
        <v>155.4</v>
      </c>
      <c r="D1299" s="21" t="n">
        <v>84.09</v>
      </c>
      <c r="E1299" s="21" t="n">
        <v>47.09</v>
      </c>
      <c r="F1299" s="27">
        <f>IFERROR(IF(OR(C1299="",D1299="",C1299=0),"",D1299/C1299),"")</f>
        <v/>
      </c>
      <c r="G1299" s="21">
        <f>IFERROR(INDEX(Users!$A$2:$A$310,MATCH(A1299,Users!$B$2:$B$310,0)),"")</f>
        <v/>
      </c>
      <c r="H1299" s="21">
        <f>IFERROR(INDEX(Users!$D$2:$D$310,MATCH(A1299,Users!$B$2:$B$310,0)),"")</f>
        <v/>
      </c>
      <c r="I1299" s="19">
        <f>AND(G1299="Service A",H1299="Band 3")</f>
        <v/>
      </c>
      <c r="J1299" s="33">
        <f>IF(AND(YEAR(B1299)=2025,G1299="Service B",OR(H1299="Band 3",H1299="Band 5"),ISNUMBER(F1299)),F1299,"")</f>
        <v/>
      </c>
    </row>
    <row r="1300">
      <c r="A1300" s="19" t="inlineStr">
        <is>
          <t>User1138</t>
        </is>
      </c>
      <c r="B1300" s="60" t="n">
        <v>46023</v>
      </c>
      <c r="C1300" s="21" t="n">
        <v>155.4</v>
      </c>
      <c r="D1300" s="21" t="n">
        <v>123.2433333333333</v>
      </c>
      <c r="E1300" s="21" t="n">
        <v>74.76000000000001</v>
      </c>
      <c r="F1300" s="27">
        <f>IFERROR(IF(OR(C1300="",D1300="",C1300=0),"",D1300/C1300),"")</f>
        <v/>
      </c>
      <c r="G1300" s="21">
        <f>IFERROR(INDEX(Users!$A$2:$A$310,MATCH(A1300,Users!$B$2:$B$310,0)),"")</f>
        <v/>
      </c>
      <c r="H1300" s="21">
        <f>IFERROR(INDEX(Users!$D$2:$D$310,MATCH(A1300,Users!$B$2:$B$310,0)),"")</f>
        <v/>
      </c>
      <c r="I1300" s="19">
        <f>AND(G1300="Service A",H1300="Band 3")</f>
        <v/>
      </c>
      <c r="J1300" s="33">
        <f>IF(AND(YEAR(B1300)=2025,G1300="Service B",OR(H1300="Band 3",H1300="Band 5"),ISNUMBER(F1300)),F1300,"")</f>
        <v/>
      </c>
    </row>
    <row r="1301">
      <c r="A1301" s="19" t="inlineStr">
        <is>
          <t>User1139</t>
        </is>
      </c>
      <c r="B1301" s="60" t="n">
        <v>45658</v>
      </c>
      <c r="C1301" s="21" t="n">
        <v>162.8</v>
      </c>
      <c r="D1301" s="21" t="n">
        <v>177.92</v>
      </c>
      <c r="E1301" s="21" t="n">
        <v>140.92</v>
      </c>
      <c r="F1301" s="27">
        <f>IFERROR(IF(OR(C1301="",D1301="",C1301=0),"",D1301/C1301),"")</f>
        <v/>
      </c>
      <c r="G1301" s="21">
        <f>IFERROR(INDEX(Users!$A$2:$A$310,MATCH(A1301,Users!$B$2:$B$310,0)),"")</f>
        <v/>
      </c>
      <c r="H1301" s="21">
        <f>IFERROR(INDEX(Users!$D$2:$D$310,MATCH(A1301,Users!$B$2:$B$310,0)),"")</f>
        <v/>
      </c>
      <c r="I1301" s="19">
        <f>AND(G1301="Service A",H1301="Band 3")</f>
        <v/>
      </c>
      <c r="J1301" s="33">
        <f>IF(AND(YEAR(B1301)=2025,G1301="Service B",OR(H1301="Band 3",H1301="Band 5"),ISNUMBER(F1301)),F1301,"")</f>
        <v/>
      </c>
    </row>
    <row r="1302">
      <c r="A1302" s="19" t="inlineStr">
        <is>
          <t>User1139</t>
        </is>
      </c>
      <c r="B1302" s="60" t="n">
        <v>45689</v>
      </c>
      <c r="C1302" s="21" t="n">
        <v>148</v>
      </c>
      <c r="D1302" s="21" t="n">
        <v>147.96</v>
      </c>
      <c r="E1302" s="21" t="n">
        <v>117.96</v>
      </c>
      <c r="F1302" s="27">
        <f>IFERROR(IF(OR(C1302="",D1302="",C1302=0),"",D1302/C1302),"")</f>
        <v/>
      </c>
      <c r="G1302" s="21">
        <f>IFERROR(INDEX(Users!$A$2:$A$310,MATCH(A1302,Users!$B$2:$B$310,0)),"")</f>
        <v/>
      </c>
      <c r="H1302" s="21">
        <f>IFERROR(INDEX(Users!$D$2:$D$310,MATCH(A1302,Users!$B$2:$B$310,0)),"")</f>
        <v/>
      </c>
      <c r="I1302" s="19">
        <f>AND(G1302="Service A",H1302="Band 3")</f>
        <v/>
      </c>
      <c r="J1302" s="33">
        <f>IF(AND(YEAR(B1302)=2025,G1302="Service B",OR(H1302="Band 3",H1302="Band 5"),ISNUMBER(F1302)),F1302,"")</f>
        <v/>
      </c>
    </row>
    <row r="1303">
      <c r="A1303" s="19" t="inlineStr">
        <is>
          <t>User1139</t>
        </is>
      </c>
      <c r="B1303" s="60" t="n">
        <v>45717</v>
      </c>
      <c r="C1303" s="21" t="n">
        <v>155.4</v>
      </c>
      <c r="D1303" s="21" t="n">
        <v>119.33</v>
      </c>
      <c r="E1303" s="21" t="n">
        <v>82.58</v>
      </c>
      <c r="F1303" s="27">
        <f>IFERROR(IF(OR(C1303="",D1303="",C1303=0),"",D1303/C1303),"")</f>
        <v/>
      </c>
      <c r="G1303" s="21">
        <f>IFERROR(INDEX(Users!$A$2:$A$310,MATCH(A1303,Users!$B$2:$B$310,0)),"")</f>
        <v/>
      </c>
      <c r="H1303" s="21">
        <f>IFERROR(INDEX(Users!$D$2:$D$310,MATCH(A1303,Users!$B$2:$B$310,0)),"")</f>
        <v/>
      </c>
      <c r="I1303" s="19">
        <f>AND(G1303="Service A",H1303="Band 3")</f>
        <v/>
      </c>
      <c r="J1303" s="33">
        <f>IF(AND(YEAR(B1303)=2025,G1303="Service B",OR(H1303="Band 3",H1303="Band 5"),ISNUMBER(F1303)),F1303,"")</f>
        <v/>
      </c>
    </row>
    <row r="1304">
      <c r="A1304" s="19" t="inlineStr">
        <is>
          <t>User1139</t>
        </is>
      </c>
      <c r="B1304" s="60" t="n">
        <v>45748</v>
      </c>
      <c r="C1304" s="21" t="n">
        <v>148</v>
      </c>
      <c r="D1304" s="21" t="n">
        <v>180.5</v>
      </c>
      <c r="E1304" s="21" t="n">
        <v>144</v>
      </c>
      <c r="F1304" s="27">
        <f>IFERROR(IF(OR(C1304="",D1304="",C1304=0),"",D1304/C1304),"")</f>
        <v/>
      </c>
      <c r="G1304" s="21">
        <f>IFERROR(INDEX(Users!$A$2:$A$310,MATCH(A1304,Users!$B$2:$B$310,0)),"")</f>
        <v/>
      </c>
      <c r="H1304" s="21">
        <f>IFERROR(INDEX(Users!$D$2:$D$310,MATCH(A1304,Users!$B$2:$B$310,0)),"")</f>
        <v/>
      </c>
      <c r="I1304" s="19">
        <f>AND(G1304="Service A",H1304="Band 3")</f>
        <v/>
      </c>
      <c r="J1304" s="33">
        <f>IF(AND(YEAR(B1304)=2025,G1304="Service B",OR(H1304="Band 3",H1304="Band 5"),ISNUMBER(F1304)),F1304,"")</f>
        <v/>
      </c>
    </row>
    <row r="1305">
      <c r="A1305" s="19" t="inlineStr">
        <is>
          <t>User1139</t>
        </is>
      </c>
      <c r="B1305" s="60" t="n">
        <v>45778</v>
      </c>
      <c r="C1305" s="21" t="n">
        <v>148</v>
      </c>
      <c r="D1305" s="21" t="n">
        <v>122.81</v>
      </c>
      <c r="E1305" s="21" t="n">
        <v>99.31</v>
      </c>
      <c r="F1305" s="27">
        <f>IFERROR(IF(OR(C1305="",D1305="",C1305=0),"",D1305/C1305),"")</f>
        <v/>
      </c>
      <c r="G1305" s="21">
        <f>IFERROR(INDEX(Users!$A$2:$A$310,MATCH(A1305,Users!$B$2:$B$310,0)),"")</f>
        <v/>
      </c>
      <c r="H1305" s="21">
        <f>IFERROR(INDEX(Users!$D$2:$D$310,MATCH(A1305,Users!$B$2:$B$310,0)),"")</f>
        <v/>
      </c>
      <c r="I1305" s="19">
        <f>AND(G1305="Service A",H1305="Band 3")</f>
        <v/>
      </c>
      <c r="J1305" s="33">
        <f>IF(AND(YEAR(B1305)=2025,G1305="Service B",OR(H1305="Band 3",H1305="Band 5"),ISNUMBER(F1305)),F1305,"")</f>
        <v/>
      </c>
    </row>
    <row r="1306">
      <c r="A1306" s="19" t="inlineStr">
        <is>
          <t>User1139</t>
        </is>
      </c>
      <c r="B1306" s="60" t="n">
        <v>45809</v>
      </c>
      <c r="C1306" s="21" t="n">
        <v>155.4</v>
      </c>
      <c r="D1306" s="21" t="n">
        <v>162.0166666666667</v>
      </c>
      <c r="E1306" s="21" t="n">
        <v>136.1</v>
      </c>
      <c r="F1306" s="27">
        <f>IFERROR(IF(OR(C1306="",D1306="",C1306=0),"",D1306/C1306),"")</f>
        <v/>
      </c>
      <c r="G1306" s="21">
        <f>IFERROR(INDEX(Users!$A$2:$A$310,MATCH(A1306,Users!$B$2:$B$310,0)),"")</f>
        <v/>
      </c>
      <c r="H1306" s="21">
        <f>IFERROR(INDEX(Users!$D$2:$D$310,MATCH(A1306,Users!$B$2:$B$310,0)),"")</f>
        <v/>
      </c>
      <c r="I1306" s="19">
        <f>AND(G1306="Service A",H1306="Band 3")</f>
        <v/>
      </c>
      <c r="J1306" s="33">
        <f>IF(AND(YEAR(B1306)=2025,G1306="Service B",OR(H1306="Band 3",H1306="Band 5"),ISNUMBER(F1306)),F1306,"")</f>
        <v/>
      </c>
    </row>
    <row r="1307">
      <c r="A1307" s="19" t="inlineStr">
        <is>
          <t>User1139</t>
        </is>
      </c>
      <c r="B1307" s="60" t="n">
        <v>45839</v>
      </c>
      <c r="C1307" s="21" t="n">
        <v>170.2</v>
      </c>
      <c r="D1307" s="21" t="n">
        <v>197.71</v>
      </c>
      <c r="E1307" s="21" t="n">
        <v>155.11</v>
      </c>
      <c r="F1307" s="27">
        <f>IFERROR(IF(OR(C1307="",D1307="",C1307=0),"",D1307/C1307),"")</f>
        <v/>
      </c>
      <c r="G1307" s="21">
        <f>IFERROR(INDEX(Users!$A$2:$A$310,MATCH(A1307,Users!$B$2:$B$310,0)),"")</f>
        <v/>
      </c>
      <c r="H1307" s="21">
        <f>IFERROR(INDEX(Users!$D$2:$D$310,MATCH(A1307,Users!$B$2:$B$310,0)),"")</f>
        <v/>
      </c>
      <c r="I1307" s="19">
        <f>AND(G1307="Service A",H1307="Band 3")</f>
        <v/>
      </c>
      <c r="J1307" s="33">
        <f>IF(AND(YEAR(B1307)=2025,G1307="Service B",OR(H1307="Band 3",H1307="Band 5"),ISNUMBER(F1307)),F1307,"")</f>
        <v/>
      </c>
    </row>
    <row r="1308">
      <c r="A1308" s="19" t="inlineStr">
        <is>
          <t>User1139</t>
        </is>
      </c>
      <c r="B1308" s="60" t="n">
        <v>45870</v>
      </c>
      <c r="C1308" s="21" t="n">
        <v>148</v>
      </c>
      <c r="D1308" s="21" t="n">
        <v>162.3166666666667</v>
      </c>
      <c r="E1308" s="21" t="n">
        <v>128.9</v>
      </c>
      <c r="F1308" s="27">
        <f>IFERROR(IF(OR(C1308="",D1308="",C1308=0),"",D1308/C1308),"")</f>
        <v/>
      </c>
      <c r="G1308" s="21">
        <f>IFERROR(INDEX(Users!$A$2:$A$310,MATCH(A1308,Users!$B$2:$B$310,0)),"")</f>
        <v/>
      </c>
      <c r="H1308" s="21">
        <f>IFERROR(INDEX(Users!$D$2:$D$310,MATCH(A1308,Users!$B$2:$B$310,0)),"")</f>
        <v/>
      </c>
      <c r="I1308" s="19">
        <f>AND(G1308="Service A",H1308="Band 3")</f>
        <v/>
      </c>
      <c r="J1308" s="33">
        <f>IF(AND(YEAR(B1308)=2025,G1308="Service B",OR(H1308="Band 3",H1308="Band 5"),ISNUMBER(F1308)),F1308,"")</f>
        <v/>
      </c>
    </row>
    <row r="1309">
      <c r="A1309" s="19" t="inlineStr">
        <is>
          <t>User1139</t>
        </is>
      </c>
      <c r="B1309" s="60" t="n">
        <v>45901</v>
      </c>
      <c r="C1309" s="21" t="n">
        <v>162.8</v>
      </c>
      <c r="D1309" s="21" t="n">
        <v>18.85</v>
      </c>
      <c r="E1309" s="21" t="n">
        <v>13.85</v>
      </c>
      <c r="F1309" s="27">
        <f>IFERROR(IF(OR(C1309="",D1309="",C1309=0),"",D1309/C1309),"")</f>
        <v/>
      </c>
      <c r="G1309" s="21">
        <f>IFERROR(INDEX(Users!$A$2:$A$310,MATCH(A1309,Users!$B$2:$B$310,0)),"")</f>
        <v/>
      </c>
      <c r="H1309" s="21">
        <f>IFERROR(INDEX(Users!$D$2:$D$310,MATCH(A1309,Users!$B$2:$B$310,0)),"")</f>
        <v/>
      </c>
      <c r="I1309" s="19">
        <f>AND(G1309="Service A",H1309="Band 3")</f>
        <v/>
      </c>
      <c r="J1309" s="33">
        <f>IF(AND(YEAR(B1309)=2025,G1309="Service B",OR(H1309="Band 3",H1309="Band 5"),ISNUMBER(F1309)),F1309,"")</f>
        <v/>
      </c>
    </row>
    <row r="1310">
      <c r="A1310" s="19" t="inlineStr">
        <is>
          <t>User1139</t>
        </is>
      </c>
      <c r="B1310" s="60" t="n">
        <v>45931</v>
      </c>
      <c r="C1310" s="21" t="n">
        <v>170.2</v>
      </c>
      <c r="D1310" s="21" t="n"/>
      <c r="E1310" s="21" t="n"/>
      <c r="F1310" s="27">
        <f>IFERROR(IF(OR(C1310="",D1310="",C1310=0),"",D1310/C1310),"")</f>
        <v/>
      </c>
      <c r="G1310" s="21">
        <f>IFERROR(INDEX(Users!$A$2:$A$310,MATCH(A1310,Users!$B$2:$B$310,0)),"")</f>
        <v/>
      </c>
      <c r="H1310" s="21">
        <f>IFERROR(INDEX(Users!$D$2:$D$310,MATCH(A1310,Users!$B$2:$B$310,0)),"")</f>
        <v/>
      </c>
      <c r="I1310" s="19">
        <f>AND(G1310="Service A",H1310="Band 3")</f>
        <v/>
      </c>
      <c r="J1310" s="33">
        <f>IF(AND(YEAR(B1310)=2025,G1310="Service B",OR(H1310="Band 3",H1310="Band 5"),ISNUMBER(F1310)),F1310,"")</f>
        <v/>
      </c>
    </row>
    <row r="1311">
      <c r="A1311" s="19" t="inlineStr">
        <is>
          <t>User1139</t>
        </is>
      </c>
      <c r="B1311" s="60" t="n">
        <v>45962</v>
      </c>
      <c r="C1311" s="21" t="n">
        <v>37</v>
      </c>
      <c r="D1311" s="21" t="n"/>
      <c r="E1311" s="21" t="n"/>
      <c r="F1311" s="27">
        <f>IFERROR(IF(OR(C1311="",D1311="",C1311=0),"",D1311/C1311),"")</f>
        <v/>
      </c>
      <c r="G1311" s="21">
        <f>IFERROR(INDEX(Users!$A$2:$A$310,MATCH(A1311,Users!$B$2:$B$310,0)),"")</f>
        <v/>
      </c>
      <c r="H1311" s="21">
        <f>IFERROR(INDEX(Users!$D$2:$D$310,MATCH(A1311,Users!$B$2:$B$310,0)),"")</f>
        <v/>
      </c>
      <c r="I1311" s="19">
        <f>AND(G1311="Service A",H1311="Band 3")</f>
        <v/>
      </c>
      <c r="J1311" s="33">
        <f>IF(AND(YEAR(B1311)=2025,G1311="Service B",OR(H1311="Band 3",H1311="Band 5"),ISNUMBER(F1311)),F1311,"")</f>
        <v/>
      </c>
    </row>
    <row r="1312">
      <c r="A1312" s="19" t="inlineStr">
        <is>
          <t>User1140</t>
        </is>
      </c>
      <c r="B1312" s="60" t="n">
        <v>45658</v>
      </c>
      <c r="C1312" s="21" t="n">
        <v>162.8</v>
      </c>
      <c r="D1312" s="21" t="n">
        <v>134.7566666666667</v>
      </c>
      <c r="E1312" s="21" t="n">
        <v>67.59</v>
      </c>
      <c r="F1312" s="27">
        <f>IFERROR(IF(OR(C1312="",D1312="",C1312=0),"",D1312/C1312),"")</f>
        <v/>
      </c>
      <c r="G1312" s="21">
        <f>IFERROR(INDEX(Users!$A$2:$A$310,MATCH(A1312,Users!$B$2:$B$310,0)),"")</f>
        <v/>
      </c>
      <c r="H1312" s="21">
        <f>IFERROR(INDEX(Users!$D$2:$D$310,MATCH(A1312,Users!$B$2:$B$310,0)),"")</f>
        <v/>
      </c>
      <c r="I1312" s="19">
        <f>AND(G1312="Service A",H1312="Band 3")</f>
        <v/>
      </c>
      <c r="J1312" s="33">
        <f>IF(AND(YEAR(B1312)=2025,G1312="Service B",OR(H1312="Band 3",H1312="Band 5"),ISNUMBER(F1312)),F1312,"")</f>
        <v/>
      </c>
    </row>
    <row r="1313">
      <c r="A1313" s="19" t="inlineStr">
        <is>
          <t>User1140</t>
        </is>
      </c>
      <c r="B1313" s="60" t="n">
        <v>45689</v>
      </c>
      <c r="C1313" s="21" t="n">
        <v>148</v>
      </c>
      <c r="D1313" s="21" t="n">
        <v>113.75</v>
      </c>
      <c r="E1313" s="21" t="n">
        <v>81.5</v>
      </c>
      <c r="F1313" s="27">
        <f>IFERROR(IF(OR(C1313="",D1313="",C1313=0),"",D1313/C1313),"")</f>
        <v/>
      </c>
      <c r="G1313" s="21">
        <f>IFERROR(INDEX(Users!$A$2:$A$310,MATCH(A1313,Users!$B$2:$B$310,0)),"")</f>
        <v/>
      </c>
      <c r="H1313" s="21">
        <f>IFERROR(INDEX(Users!$D$2:$D$310,MATCH(A1313,Users!$B$2:$B$310,0)),"")</f>
        <v/>
      </c>
      <c r="I1313" s="19">
        <f>AND(G1313="Service A",H1313="Band 3")</f>
        <v/>
      </c>
      <c r="J1313" s="33">
        <f>IF(AND(YEAR(B1313)=2025,G1313="Service B",OR(H1313="Band 3",H1313="Band 5"),ISNUMBER(F1313)),F1313,"")</f>
        <v/>
      </c>
    </row>
    <row r="1314">
      <c r="A1314" s="19" t="inlineStr">
        <is>
          <t>User1140</t>
        </is>
      </c>
      <c r="B1314" s="60" t="n">
        <v>45717</v>
      </c>
      <c r="C1314" s="21" t="n">
        <v>155.4</v>
      </c>
      <c r="D1314" s="21" t="n">
        <v>161.09</v>
      </c>
      <c r="E1314" s="21" t="n">
        <v>101.59</v>
      </c>
      <c r="F1314" s="27">
        <f>IFERROR(IF(OR(C1314="",D1314="",C1314=0),"",D1314/C1314),"")</f>
        <v/>
      </c>
      <c r="G1314" s="21">
        <f>IFERROR(INDEX(Users!$A$2:$A$310,MATCH(A1314,Users!$B$2:$B$310,0)),"")</f>
        <v/>
      </c>
      <c r="H1314" s="21">
        <f>IFERROR(INDEX(Users!$D$2:$D$310,MATCH(A1314,Users!$B$2:$B$310,0)),"")</f>
        <v/>
      </c>
      <c r="I1314" s="19">
        <f>AND(G1314="Service A",H1314="Band 3")</f>
        <v/>
      </c>
      <c r="J1314" s="33">
        <f>IF(AND(YEAR(B1314)=2025,G1314="Service B",OR(H1314="Band 3",H1314="Band 5"),ISNUMBER(F1314)),F1314,"")</f>
        <v/>
      </c>
    </row>
    <row r="1315">
      <c r="A1315" s="19" t="inlineStr">
        <is>
          <t>User1140</t>
        </is>
      </c>
      <c r="B1315" s="60" t="n">
        <v>45748</v>
      </c>
      <c r="C1315" s="21" t="n">
        <v>148</v>
      </c>
      <c r="D1315" s="21" t="n">
        <v>142.7266666666667</v>
      </c>
      <c r="E1315" s="21" t="n">
        <v>77.56</v>
      </c>
      <c r="F1315" s="27">
        <f>IFERROR(IF(OR(C1315="",D1315="",C1315=0),"",D1315/C1315),"")</f>
        <v/>
      </c>
      <c r="G1315" s="21">
        <f>IFERROR(INDEX(Users!$A$2:$A$310,MATCH(A1315,Users!$B$2:$B$310,0)),"")</f>
        <v/>
      </c>
      <c r="H1315" s="21">
        <f>IFERROR(INDEX(Users!$D$2:$D$310,MATCH(A1315,Users!$B$2:$B$310,0)),"")</f>
        <v/>
      </c>
      <c r="I1315" s="19">
        <f>AND(G1315="Service A",H1315="Band 3")</f>
        <v/>
      </c>
      <c r="J1315" s="33">
        <f>IF(AND(YEAR(B1315)=2025,G1315="Service B",OR(H1315="Band 3",H1315="Band 5"),ISNUMBER(F1315)),F1315,"")</f>
        <v/>
      </c>
    </row>
    <row r="1316">
      <c r="A1316" s="19" t="inlineStr">
        <is>
          <t>User1140</t>
        </is>
      </c>
      <c r="B1316" s="60" t="n">
        <v>45778</v>
      </c>
      <c r="C1316" s="21" t="n">
        <v>148</v>
      </c>
      <c r="D1316" s="21" t="n">
        <v>140.9066666666667</v>
      </c>
      <c r="E1316" s="21" t="n">
        <v>93.48999999999999</v>
      </c>
      <c r="F1316" s="27">
        <f>IFERROR(IF(OR(C1316="",D1316="",C1316=0),"",D1316/C1316),"")</f>
        <v/>
      </c>
      <c r="G1316" s="21">
        <f>IFERROR(INDEX(Users!$A$2:$A$310,MATCH(A1316,Users!$B$2:$B$310,0)),"")</f>
        <v/>
      </c>
      <c r="H1316" s="21">
        <f>IFERROR(INDEX(Users!$D$2:$D$310,MATCH(A1316,Users!$B$2:$B$310,0)),"")</f>
        <v/>
      </c>
      <c r="I1316" s="19">
        <f>AND(G1316="Service A",H1316="Band 3")</f>
        <v/>
      </c>
      <c r="J1316" s="33">
        <f>IF(AND(YEAR(B1316)=2025,G1316="Service B",OR(H1316="Band 3",H1316="Band 5"),ISNUMBER(F1316)),F1316,"")</f>
        <v/>
      </c>
    </row>
    <row r="1317">
      <c r="A1317" s="19" t="inlineStr">
        <is>
          <t>User1140</t>
        </is>
      </c>
      <c r="B1317" s="60" t="n">
        <v>45809</v>
      </c>
      <c r="C1317" s="21" t="n">
        <v>155.4</v>
      </c>
      <c r="D1317" s="21" t="n">
        <v>99.99333333333334</v>
      </c>
      <c r="E1317" s="21" t="n">
        <v>66.91</v>
      </c>
      <c r="F1317" s="27">
        <f>IFERROR(IF(OR(C1317="",D1317="",C1317=0),"",D1317/C1317),"")</f>
        <v/>
      </c>
      <c r="G1317" s="21">
        <f>IFERROR(INDEX(Users!$A$2:$A$310,MATCH(A1317,Users!$B$2:$B$310,0)),"")</f>
        <v/>
      </c>
      <c r="H1317" s="21">
        <f>IFERROR(INDEX(Users!$D$2:$D$310,MATCH(A1317,Users!$B$2:$B$310,0)),"")</f>
        <v/>
      </c>
      <c r="I1317" s="19">
        <f>AND(G1317="Service A",H1317="Band 3")</f>
        <v/>
      </c>
      <c r="J1317" s="33">
        <f>IF(AND(YEAR(B1317)=2025,G1317="Service B",OR(H1317="Band 3",H1317="Band 5"),ISNUMBER(F1317)),F1317,"")</f>
        <v/>
      </c>
    </row>
    <row r="1318">
      <c r="A1318" s="19" t="inlineStr">
        <is>
          <t>User1140</t>
        </is>
      </c>
      <c r="B1318" s="60" t="n">
        <v>45839</v>
      </c>
      <c r="C1318" s="21" t="n">
        <v>170.2</v>
      </c>
      <c r="D1318" s="21" t="n">
        <v>177.0533333333333</v>
      </c>
      <c r="E1318" s="21" t="n">
        <v>130.47</v>
      </c>
      <c r="F1318" s="27">
        <f>IFERROR(IF(OR(C1318="",D1318="",C1318=0),"",D1318/C1318),"")</f>
        <v/>
      </c>
      <c r="G1318" s="21">
        <f>IFERROR(INDEX(Users!$A$2:$A$310,MATCH(A1318,Users!$B$2:$B$310,0)),"")</f>
        <v/>
      </c>
      <c r="H1318" s="21">
        <f>IFERROR(INDEX(Users!$D$2:$D$310,MATCH(A1318,Users!$B$2:$B$310,0)),"")</f>
        <v/>
      </c>
      <c r="I1318" s="19">
        <f>AND(G1318="Service A",H1318="Band 3")</f>
        <v/>
      </c>
      <c r="J1318" s="33">
        <f>IF(AND(YEAR(B1318)=2025,G1318="Service B",OR(H1318="Band 3",H1318="Band 5"),ISNUMBER(F1318)),F1318,"")</f>
        <v/>
      </c>
    </row>
    <row r="1319">
      <c r="A1319" s="19" t="inlineStr">
        <is>
          <t>User1140</t>
        </is>
      </c>
      <c r="B1319" s="60" t="n">
        <v>45870</v>
      </c>
      <c r="C1319" s="21" t="n">
        <v>148</v>
      </c>
      <c r="D1319" s="21" t="n">
        <v>152.7033333333333</v>
      </c>
      <c r="E1319" s="21" t="n">
        <v>121.37</v>
      </c>
      <c r="F1319" s="27">
        <f>IFERROR(IF(OR(C1319="",D1319="",C1319=0),"",D1319/C1319),"")</f>
        <v/>
      </c>
      <c r="G1319" s="21">
        <f>IFERROR(INDEX(Users!$A$2:$A$310,MATCH(A1319,Users!$B$2:$B$310,0)),"")</f>
        <v/>
      </c>
      <c r="H1319" s="21">
        <f>IFERROR(INDEX(Users!$D$2:$D$310,MATCH(A1319,Users!$B$2:$B$310,0)),"")</f>
        <v/>
      </c>
      <c r="I1319" s="19">
        <f>AND(G1319="Service A",H1319="Band 3")</f>
        <v/>
      </c>
      <c r="J1319" s="33">
        <f>IF(AND(YEAR(B1319)=2025,G1319="Service B",OR(H1319="Band 3",H1319="Band 5"),ISNUMBER(F1319)),F1319,"")</f>
        <v/>
      </c>
    </row>
    <row r="1320">
      <c r="A1320" s="19" t="inlineStr">
        <is>
          <t>User1140</t>
        </is>
      </c>
      <c r="B1320" s="60" t="n">
        <v>45901</v>
      </c>
      <c r="C1320" s="21" t="n">
        <v>162.8</v>
      </c>
      <c r="D1320" s="21" t="n">
        <v>81.72666666666667</v>
      </c>
      <c r="E1320" s="21" t="n">
        <v>55.81000000000001</v>
      </c>
      <c r="F1320" s="27">
        <f>IFERROR(IF(OR(C1320="",D1320="",C1320=0),"",D1320/C1320),"")</f>
        <v/>
      </c>
      <c r="G1320" s="21">
        <f>IFERROR(INDEX(Users!$A$2:$A$310,MATCH(A1320,Users!$B$2:$B$310,0)),"")</f>
        <v/>
      </c>
      <c r="H1320" s="21">
        <f>IFERROR(INDEX(Users!$D$2:$D$310,MATCH(A1320,Users!$B$2:$B$310,0)),"")</f>
        <v/>
      </c>
      <c r="I1320" s="19">
        <f>AND(G1320="Service A",H1320="Band 3")</f>
        <v/>
      </c>
      <c r="J1320" s="33">
        <f>IF(AND(YEAR(B1320)=2025,G1320="Service B",OR(H1320="Band 3",H1320="Band 5"),ISNUMBER(F1320)),F1320,"")</f>
        <v/>
      </c>
    </row>
    <row r="1321">
      <c r="A1321" s="19" t="inlineStr">
        <is>
          <t>User1140</t>
        </is>
      </c>
      <c r="B1321" s="60" t="n">
        <v>45931</v>
      </c>
      <c r="C1321" s="21" t="n">
        <v>170.2</v>
      </c>
      <c r="D1321" s="21" t="n">
        <v>158.3766666666667</v>
      </c>
      <c r="E1321" s="21" t="n">
        <v>107.71</v>
      </c>
      <c r="F1321" s="27">
        <f>IFERROR(IF(OR(C1321="",D1321="",C1321=0),"",D1321/C1321),"")</f>
        <v/>
      </c>
      <c r="G1321" s="21">
        <f>IFERROR(INDEX(Users!$A$2:$A$310,MATCH(A1321,Users!$B$2:$B$310,0)),"")</f>
        <v/>
      </c>
      <c r="H1321" s="21">
        <f>IFERROR(INDEX(Users!$D$2:$D$310,MATCH(A1321,Users!$B$2:$B$310,0)),"")</f>
        <v/>
      </c>
      <c r="I1321" s="19">
        <f>AND(G1321="Service A",H1321="Band 3")</f>
        <v/>
      </c>
      <c r="J1321" s="33">
        <f>IF(AND(YEAR(B1321)=2025,G1321="Service B",OR(H1321="Band 3",H1321="Band 5"),ISNUMBER(F1321)),F1321,"")</f>
        <v/>
      </c>
    </row>
    <row r="1322">
      <c r="A1322" s="19" t="inlineStr">
        <is>
          <t>User1140</t>
        </is>
      </c>
      <c r="B1322" s="60" t="n">
        <v>45962</v>
      </c>
      <c r="C1322" s="21" t="n">
        <v>148</v>
      </c>
      <c r="D1322" s="21" t="n">
        <v>99.87</v>
      </c>
      <c r="E1322" s="21" t="n">
        <v>81.52000000000001</v>
      </c>
      <c r="F1322" s="27">
        <f>IFERROR(IF(OR(C1322="",D1322="",C1322=0),"",D1322/C1322),"")</f>
        <v/>
      </c>
      <c r="G1322" s="21">
        <f>IFERROR(INDEX(Users!$A$2:$A$310,MATCH(A1322,Users!$B$2:$B$310,0)),"")</f>
        <v/>
      </c>
      <c r="H1322" s="21">
        <f>IFERROR(INDEX(Users!$D$2:$D$310,MATCH(A1322,Users!$B$2:$B$310,0)),"")</f>
        <v/>
      </c>
      <c r="I1322" s="19">
        <f>AND(G1322="Service A",H1322="Band 3")</f>
        <v/>
      </c>
      <c r="J1322" s="33">
        <f>IF(AND(YEAR(B1322)=2025,G1322="Service B",OR(H1322="Band 3",H1322="Band 5"),ISNUMBER(F1322)),F1322,"")</f>
        <v/>
      </c>
    </row>
    <row r="1323">
      <c r="A1323" s="19" t="inlineStr">
        <is>
          <t>User1140</t>
        </is>
      </c>
      <c r="B1323" s="60" t="n">
        <v>45992</v>
      </c>
      <c r="C1323" s="21" t="n">
        <v>81.40000000000001</v>
      </c>
      <c r="D1323" s="21" t="n">
        <v>63.67666666666668</v>
      </c>
      <c r="E1323" s="21" t="n">
        <v>52.01000000000001</v>
      </c>
      <c r="F1323" s="27">
        <f>IFERROR(IF(OR(C1323="",D1323="",C1323=0),"",D1323/C1323),"")</f>
        <v/>
      </c>
      <c r="G1323" s="21">
        <f>IFERROR(INDEX(Users!$A$2:$A$310,MATCH(A1323,Users!$B$2:$B$310,0)),"")</f>
        <v/>
      </c>
      <c r="H1323" s="21">
        <f>IFERROR(INDEX(Users!$D$2:$D$310,MATCH(A1323,Users!$B$2:$B$310,0)),"")</f>
        <v/>
      </c>
      <c r="I1323" s="19">
        <f>AND(G1323="Service A",H1323="Band 3")</f>
        <v/>
      </c>
      <c r="J1323" s="33">
        <f>IF(AND(YEAR(B1323)=2025,G1323="Service B",OR(H1323="Band 3",H1323="Band 5"),ISNUMBER(F1323)),F1323,"")</f>
        <v/>
      </c>
    </row>
    <row r="1324">
      <c r="A1324" s="19" t="inlineStr">
        <is>
          <t>User1141</t>
        </is>
      </c>
      <c r="B1324" s="60" t="n">
        <v>45658</v>
      </c>
      <c r="C1324" s="21" t="n">
        <v>162.8</v>
      </c>
      <c r="D1324" s="21" t="n">
        <v>152.0766666666667</v>
      </c>
      <c r="E1324" s="21" t="n">
        <v>125.41</v>
      </c>
      <c r="F1324" s="27">
        <f>IFERROR(IF(OR(C1324="",D1324="",C1324=0),"",D1324/C1324),"")</f>
        <v/>
      </c>
      <c r="G1324" s="21">
        <f>IFERROR(INDEX(Users!$A$2:$A$310,MATCH(A1324,Users!$B$2:$B$310,0)),"")</f>
        <v/>
      </c>
      <c r="H1324" s="21">
        <f>IFERROR(INDEX(Users!$D$2:$D$310,MATCH(A1324,Users!$B$2:$B$310,0)),"")</f>
        <v/>
      </c>
      <c r="I1324" s="19">
        <f>AND(G1324="Service A",H1324="Band 3")</f>
        <v/>
      </c>
      <c r="J1324" s="33">
        <f>IF(AND(YEAR(B1324)=2025,G1324="Service B",OR(H1324="Band 3",H1324="Band 5"),ISNUMBER(F1324)),F1324,"")</f>
        <v/>
      </c>
    </row>
    <row r="1325">
      <c r="A1325" s="19" t="inlineStr">
        <is>
          <t>User1141</t>
        </is>
      </c>
      <c r="B1325" s="60" t="n">
        <v>45689</v>
      </c>
      <c r="C1325" s="21" t="n">
        <v>148</v>
      </c>
      <c r="D1325" s="21" t="n">
        <v>143.33</v>
      </c>
      <c r="E1325" s="21" t="n">
        <v>120.83</v>
      </c>
      <c r="F1325" s="27">
        <f>IFERROR(IF(OR(C1325="",D1325="",C1325=0),"",D1325/C1325),"")</f>
        <v/>
      </c>
      <c r="G1325" s="21">
        <f>IFERROR(INDEX(Users!$A$2:$A$310,MATCH(A1325,Users!$B$2:$B$310,0)),"")</f>
        <v/>
      </c>
      <c r="H1325" s="21">
        <f>IFERROR(INDEX(Users!$D$2:$D$310,MATCH(A1325,Users!$B$2:$B$310,0)),"")</f>
        <v/>
      </c>
      <c r="I1325" s="19">
        <f>AND(G1325="Service A",H1325="Band 3")</f>
        <v/>
      </c>
      <c r="J1325" s="33">
        <f>IF(AND(YEAR(B1325)=2025,G1325="Service B",OR(H1325="Band 3",H1325="Band 5"),ISNUMBER(F1325)),F1325,"")</f>
        <v/>
      </c>
    </row>
    <row r="1326">
      <c r="A1326" s="19" t="inlineStr">
        <is>
          <t>User1141</t>
        </is>
      </c>
      <c r="B1326" s="60" t="n">
        <v>45717</v>
      </c>
      <c r="C1326" s="21" t="n">
        <v>155.4</v>
      </c>
      <c r="D1326" s="21" t="n">
        <v>122.6</v>
      </c>
      <c r="E1326" s="21" t="n">
        <v>96.84999999999999</v>
      </c>
      <c r="F1326" s="27">
        <f>IFERROR(IF(OR(C1326="",D1326="",C1326=0),"",D1326/C1326),"")</f>
        <v/>
      </c>
      <c r="G1326" s="21">
        <f>IFERROR(INDEX(Users!$A$2:$A$310,MATCH(A1326,Users!$B$2:$B$310,0)),"")</f>
        <v/>
      </c>
      <c r="H1326" s="21">
        <f>IFERROR(INDEX(Users!$D$2:$D$310,MATCH(A1326,Users!$B$2:$B$310,0)),"")</f>
        <v/>
      </c>
      <c r="I1326" s="19">
        <f>AND(G1326="Service A",H1326="Band 3")</f>
        <v/>
      </c>
      <c r="J1326" s="33">
        <f>IF(AND(YEAR(B1326)=2025,G1326="Service B",OR(H1326="Band 3",H1326="Band 5"),ISNUMBER(F1326)),F1326,"")</f>
        <v/>
      </c>
    </row>
    <row r="1327">
      <c r="A1327" s="19" t="inlineStr">
        <is>
          <t>User1141</t>
        </is>
      </c>
      <c r="B1327" s="60" t="n">
        <v>45748</v>
      </c>
      <c r="C1327" s="21" t="n">
        <v>148</v>
      </c>
      <c r="D1327" s="21" t="n">
        <v>88.75</v>
      </c>
      <c r="E1327" s="21" t="n">
        <v>54.75</v>
      </c>
      <c r="F1327" s="27">
        <f>IFERROR(IF(OR(C1327="",D1327="",C1327=0),"",D1327/C1327),"")</f>
        <v/>
      </c>
      <c r="G1327" s="21">
        <f>IFERROR(INDEX(Users!$A$2:$A$310,MATCH(A1327,Users!$B$2:$B$310,0)),"")</f>
        <v/>
      </c>
      <c r="H1327" s="21">
        <f>IFERROR(INDEX(Users!$D$2:$D$310,MATCH(A1327,Users!$B$2:$B$310,0)),"")</f>
        <v/>
      </c>
      <c r="I1327" s="19">
        <f>AND(G1327="Service A",H1327="Band 3")</f>
        <v/>
      </c>
      <c r="J1327" s="33">
        <f>IF(AND(YEAR(B1327)=2025,G1327="Service B",OR(H1327="Band 3",H1327="Band 5"),ISNUMBER(F1327)),F1327,"")</f>
        <v/>
      </c>
    </row>
    <row r="1328">
      <c r="A1328" s="19" t="inlineStr">
        <is>
          <t>User1141</t>
        </is>
      </c>
      <c r="B1328" s="60" t="n">
        <v>45778</v>
      </c>
      <c r="C1328" s="21" t="n">
        <v>148</v>
      </c>
      <c r="D1328" s="21" t="n">
        <v>133.1533333333333</v>
      </c>
      <c r="E1328" s="21" t="n">
        <v>112.57</v>
      </c>
      <c r="F1328" s="27">
        <f>IFERROR(IF(OR(C1328="",D1328="",C1328=0),"",D1328/C1328),"")</f>
        <v/>
      </c>
      <c r="G1328" s="21">
        <f>IFERROR(INDEX(Users!$A$2:$A$310,MATCH(A1328,Users!$B$2:$B$310,0)),"")</f>
        <v/>
      </c>
      <c r="H1328" s="21">
        <f>IFERROR(INDEX(Users!$D$2:$D$310,MATCH(A1328,Users!$B$2:$B$310,0)),"")</f>
        <v/>
      </c>
      <c r="I1328" s="19">
        <f>AND(G1328="Service A",H1328="Band 3")</f>
        <v/>
      </c>
      <c r="J1328" s="33">
        <f>IF(AND(YEAR(B1328)=2025,G1328="Service B",OR(H1328="Band 3",H1328="Band 5"),ISNUMBER(F1328)),F1328,"")</f>
        <v/>
      </c>
    </row>
    <row r="1329">
      <c r="A1329" s="19" t="inlineStr">
        <is>
          <t>User1141</t>
        </is>
      </c>
      <c r="B1329" s="60" t="n">
        <v>45809</v>
      </c>
      <c r="C1329" s="21" t="n">
        <v>155.4</v>
      </c>
      <c r="D1329" s="21" t="n">
        <v>123.5733333333333</v>
      </c>
      <c r="E1329" s="21" t="n">
        <v>99.73999999999999</v>
      </c>
      <c r="F1329" s="27">
        <f>IFERROR(IF(OR(C1329="",D1329="",C1329=0),"",D1329/C1329),"")</f>
        <v/>
      </c>
      <c r="G1329" s="21">
        <f>IFERROR(INDEX(Users!$A$2:$A$310,MATCH(A1329,Users!$B$2:$B$310,0)),"")</f>
        <v/>
      </c>
      <c r="H1329" s="21">
        <f>IFERROR(INDEX(Users!$D$2:$D$310,MATCH(A1329,Users!$B$2:$B$310,0)),"")</f>
        <v/>
      </c>
      <c r="I1329" s="19">
        <f>AND(G1329="Service A",H1329="Band 3")</f>
        <v/>
      </c>
      <c r="J1329" s="33">
        <f>IF(AND(YEAR(B1329)=2025,G1329="Service B",OR(H1329="Band 3",H1329="Band 5"),ISNUMBER(F1329)),F1329,"")</f>
        <v/>
      </c>
    </row>
    <row r="1330">
      <c r="A1330" s="19" t="inlineStr">
        <is>
          <t>User1141</t>
        </is>
      </c>
      <c r="B1330" s="60" t="n">
        <v>45839</v>
      </c>
      <c r="C1330" s="21" t="n">
        <v>170.2</v>
      </c>
      <c r="D1330" s="21" t="n">
        <v>169</v>
      </c>
      <c r="E1330" s="21" t="n">
        <v>131</v>
      </c>
      <c r="F1330" s="27">
        <f>IFERROR(IF(OR(C1330="",D1330="",C1330=0),"",D1330/C1330),"")</f>
        <v/>
      </c>
      <c r="G1330" s="21">
        <f>IFERROR(INDEX(Users!$A$2:$A$310,MATCH(A1330,Users!$B$2:$B$310,0)),"")</f>
        <v/>
      </c>
      <c r="H1330" s="21">
        <f>IFERROR(INDEX(Users!$D$2:$D$310,MATCH(A1330,Users!$B$2:$B$310,0)),"")</f>
        <v/>
      </c>
      <c r="I1330" s="19">
        <f>AND(G1330="Service A",H1330="Band 3")</f>
        <v/>
      </c>
      <c r="J1330" s="33">
        <f>IF(AND(YEAR(B1330)=2025,G1330="Service B",OR(H1330="Band 3",H1330="Band 5"),ISNUMBER(F1330)),F1330,"")</f>
        <v/>
      </c>
    </row>
    <row r="1331">
      <c r="A1331" s="19" t="inlineStr">
        <is>
          <t>User1141</t>
        </is>
      </c>
      <c r="B1331" s="60" t="n">
        <v>45870</v>
      </c>
      <c r="C1331" s="21" t="n">
        <v>148</v>
      </c>
      <c r="D1331" s="21" t="n">
        <v>155.4233333333333</v>
      </c>
      <c r="E1331" s="21" t="n">
        <v>127.34</v>
      </c>
      <c r="F1331" s="27">
        <f>IFERROR(IF(OR(C1331="",D1331="",C1331=0),"",D1331/C1331),"")</f>
        <v/>
      </c>
      <c r="G1331" s="21">
        <f>IFERROR(INDEX(Users!$A$2:$A$310,MATCH(A1331,Users!$B$2:$B$310,0)),"")</f>
        <v/>
      </c>
      <c r="H1331" s="21">
        <f>IFERROR(INDEX(Users!$D$2:$D$310,MATCH(A1331,Users!$B$2:$B$310,0)),"")</f>
        <v/>
      </c>
      <c r="I1331" s="19">
        <f>AND(G1331="Service A",H1331="Band 3")</f>
        <v/>
      </c>
      <c r="J1331" s="33">
        <f>IF(AND(YEAR(B1331)=2025,G1331="Service B",OR(H1331="Band 3",H1331="Band 5"),ISNUMBER(F1331)),F1331,"")</f>
        <v/>
      </c>
    </row>
    <row r="1332">
      <c r="A1332" s="19" t="inlineStr">
        <is>
          <t>User1141</t>
        </is>
      </c>
      <c r="B1332" s="60" t="n">
        <v>45901</v>
      </c>
      <c r="C1332" s="21" t="n">
        <v>162.8</v>
      </c>
      <c r="D1332" s="21" t="n">
        <v>157</v>
      </c>
      <c r="E1332" s="21" t="n">
        <v>123</v>
      </c>
      <c r="F1332" s="27">
        <f>IFERROR(IF(OR(C1332="",D1332="",C1332=0),"",D1332/C1332),"")</f>
        <v/>
      </c>
      <c r="G1332" s="21">
        <f>IFERROR(INDEX(Users!$A$2:$A$310,MATCH(A1332,Users!$B$2:$B$310,0)),"")</f>
        <v/>
      </c>
      <c r="H1332" s="21">
        <f>IFERROR(INDEX(Users!$D$2:$D$310,MATCH(A1332,Users!$B$2:$B$310,0)),"")</f>
        <v/>
      </c>
      <c r="I1332" s="19">
        <f>AND(G1332="Service A",H1332="Band 3")</f>
        <v/>
      </c>
      <c r="J1332" s="33">
        <f>IF(AND(YEAR(B1332)=2025,G1332="Service B",OR(H1332="Band 3",H1332="Band 5"),ISNUMBER(F1332)),F1332,"")</f>
        <v/>
      </c>
    </row>
    <row r="1333">
      <c r="A1333" s="19" t="inlineStr">
        <is>
          <t>User1141</t>
        </is>
      </c>
      <c r="B1333" s="60" t="n">
        <v>45931</v>
      </c>
      <c r="C1333" s="21" t="n">
        <v>170.2</v>
      </c>
      <c r="D1333" s="21" t="n">
        <v>130.74</v>
      </c>
      <c r="E1333" s="21" t="n">
        <v>97.24000000000001</v>
      </c>
      <c r="F1333" s="27">
        <f>IFERROR(IF(OR(C1333="",D1333="",C1333=0),"",D1333/C1333),"")</f>
        <v/>
      </c>
      <c r="G1333" s="21">
        <f>IFERROR(INDEX(Users!$A$2:$A$310,MATCH(A1333,Users!$B$2:$B$310,0)),"")</f>
        <v/>
      </c>
      <c r="H1333" s="21">
        <f>IFERROR(INDEX(Users!$D$2:$D$310,MATCH(A1333,Users!$B$2:$B$310,0)),"")</f>
        <v/>
      </c>
      <c r="I1333" s="19">
        <f>AND(G1333="Service A",H1333="Band 3")</f>
        <v/>
      </c>
      <c r="J1333" s="33">
        <f>IF(AND(YEAR(B1333)=2025,G1333="Service B",OR(H1333="Band 3",H1333="Band 5"),ISNUMBER(F1333)),F1333,"")</f>
        <v/>
      </c>
    </row>
    <row r="1334">
      <c r="A1334" s="19" t="inlineStr">
        <is>
          <t>User1141</t>
        </is>
      </c>
      <c r="B1334" s="60" t="n">
        <v>45962</v>
      </c>
      <c r="C1334" s="21" t="n">
        <v>148</v>
      </c>
      <c r="D1334" s="21" t="n">
        <v>128.9266666666667</v>
      </c>
      <c r="E1334" s="21" t="n">
        <v>108.51</v>
      </c>
      <c r="F1334" s="27">
        <f>IFERROR(IF(OR(C1334="",D1334="",C1334=0),"",D1334/C1334),"")</f>
        <v/>
      </c>
      <c r="G1334" s="21">
        <f>IFERROR(INDEX(Users!$A$2:$A$310,MATCH(A1334,Users!$B$2:$B$310,0)),"")</f>
        <v/>
      </c>
      <c r="H1334" s="21">
        <f>IFERROR(INDEX(Users!$D$2:$D$310,MATCH(A1334,Users!$B$2:$B$310,0)),"")</f>
        <v/>
      </c>
      <c r="I1334" s="19">
        <f>AND(G1334="Service A",H1334="Band 3")</f>
        <v/>
      </c>
      <c r="J1334" s="33">
        <f>IF(AND(YEAR(B1334)=2025,G1334="Service B",OR(H1334="Band 3",H1334="Band 5"),ISNUMBER(F1334)),F1334,"")</f>
        <v/>
      </c>
    </row>
    <row r="1335">
      <c r="A1335" s="19" t="inlineStr">
        <is>
          <t>User1141</t>
        </is>
      </c>
      <c r="B1335" s="60" t="n">
        <v>45992</v>
      </c>
      <c r="C1335" s="21" t="n">
        <v>155.4</v>
      </c>
      <c r="D1335" s="21" t="n">
        <v>136.8566666666667</v>
      </c>
      <c r="E1335" s="21" t="n">
        <v>105.94</v>
      </c>
      <c r="F1335" s="27">
        <f>IFERROR(IF(OR(C1335="",D1335="",C1335=0),"",D1335/C1335),"")</f>
        <v/>
      </c>
      <c r="G1335" s="21">
        <f>IFERROR(INDEX(Users!$A$2:$A$310,MATCH(A1335,Users!$B$2:$B$310,0)),"")</f>
        <v/>
      </c>
      <c r="H1335" s="21">
        <f>IFERROR(INDEX(Users!$D$2:$D$310,MATCH(A1335,Users!$B$2:$B$310,0)),"")</f>
        <v/>
      </c>
      <c r="I1335" s="19">
        <f>AND(G1335="Service A",H1335="Band 3")</f>
        <v/>
      </c>
      <c r="J1335" s="33">
        <f>IF(AND(YEAR(B1335)=2025,G1335="Service B",OR(H1335="Band 3",H1335="Band 5"),ISNUMBER(F1335)),F1335,"")</f>
        <v/>
      </c>
    </row>
    <row r="1336">
      <c r="A1336" s="19" t="inlineStr">
        <is>
          <t>User1141</t>
        </is>
      </c>
      <c r="B1336" s="60" t="n">
        <v>46023</v>
      </c>
      <c r="C1336" s="21" t="n">
        <v>155.4</v>
      </c>
      <c r="D1336" s="21" t="n">
        <v>153.2633333333333</v>
      </c>
      <c r="E1336" s="21" t="n">
        <v>133.43</v>
      </c>
      <c r="F1336" s="27">
        <f>IFERROR(IF(OR(C1336="",D1336="",C1336=0),"",D1336/C1336),"")</f>
        <v/>
      </c>
      <c r="G1336" s="21">
        <f>IFERROR(INDEX(Users!$A$2:$A$310,MATCH(A1336,Users!$B$2:$B$310,0)),"")</f>
        <v/>
      </c>
      <c r="H1336" s="21">
        <f>IFERROR(INDEX(Users!$D$2:$D$310,MATCH(A1336,Users!$B$2:$B$310,0)),"")</f>
        <v/>
      </c>
      <c r="I1336" s="19">
        <f>AND(G1336="Service A",H1336="Band 3")</f>
        <v/>
      </c>
      <c r="J1336" s="33">
        <f>IF(AND(YEAR(B1336)=2025,G1336="Service B",OR(H1336="Band 3",H1336="Band 5"),ISNUMBER(F1336)),F1336,"")</f>
        <v/>
      </c>
    </row>
    <row r="1337">
      <c r="A1337" s="19" t="inlineStr">
        <is>
          <t>User1142</t>
        </is>
      </c>
      <c r="B1337" s="60" t="n">
        <v>45658</v>
      </c>
      <c r="C1337" s="21" t="n">
        <v>133.2</v>
      </c>
      <c r="D1337" s="21" t="n">
        <v>123.7866666666667</v>
      </c>
      <c r="E1337" s="21" t="n">
        <v>68.56999999999999</v>
      </c>
      <c r="F1337" s="27">
        <f>IFERROR(IF(OR(C1337="",D1337="",C1337=0),"",D1337/C1337),"")</f>
        <v/>
      </c>
      <c r="G1337" s="21">
        <f>IFERROR(INDEX(Users!$A$2:$A$310,MATCH(A1337,Users!$B$2:$B$310,0)),"")</f>
        <v/>
      </c>
      <c r="H1337" s="21">
        <f>IFERROR(INDEX(Users!$D$2:$D$310,MATCH(A1337,Users!$B$2:$B$310,0)),"")</f>
        <v/>
      </c>
      <c r="I1337" s="19">
        <f>AND(G1337="Service A",H1337="Band 3")</f>
        <v/>
      </c>
      <c r="J1337" s="33">
        <f>IF(AND(YEAR(B1337)=2025,G1337="Service B",OR(H1337="Band 3",H1337="Band 5"),ISNUMBER(F1337)),F1337,"")</f>
        <v/>
      </c>
    </row>
    <row r="1338">
      <c r="A1338" s="19" t="inlineStr">
        <is>
          <t>User1142</t>
        </is>
      </c>
      <c r="B1338" s="60" t="n">
        <v>45689</v>
      </c>
      <c r="C1338" s="21" t="n">
        <v>118.4</v>
      </c>
      <c r="D1338" s="21" t="n">
        <v>113.09</v>
      </c>
      <c r="E1338" s="21" t="n">
        <v>59.24</v>
      </c>
      <c r="F1338" s="27">
        <f>IFERROR(IF(OR(C1338="",D1338="",C1338=0),"",D1338/C1338),"")</f>
        <v/>
      </c>
      <c r="G1338" s="21">
        <f>IFERROR(INDEX(Users!$A$2:$A$310,MATCH(A1338,Users!$B$2:$B$310,0)),"")</f>
        <v/>
      </c>
      <c r="H1338" s="21">
        <f>IFERROR(INDEX(Users!$D$2:$D$310,MATCH(A1338,Users!$B$2:$B$310,0)),"")</f>
        <v/>
      </c>
      <c r="I1338" s="19">
        <f>AND(G1338="Service A",H1338="Band 3")</f>
        <v/>
      </c>
      <c r="J1338" s="33">
        <f>IF(AND(YEAR(B1338)=2025,G1338="Service B",OR(H1338="Band 3",H1338="Band 5"),ISNUMBER(F1338)),F1338,"")</f>
        <v/>
      </c>
    </row>
    <row r="1339">
      <c r="A1339" s="19" t="inlineStr">
        <is>
          <t>User1142</t>
        </is>
      </c>
      <c r="B1339" s="60" t="n">
        <v>45717</v>
      </c>
      <c r="C1339" s="21" t="n">
        <v>118.4</v>
      </c>
      <c r="D1339" s="21" t="n">
        <v>116.57</v>
      </c>
      <c r="E1339" s="21" t="n">
        <v>84.57000000000002</v>
      </c>
      <c r="F1339" s="27">
        <f>IFERROR(IF(OR(C1339="",D1339="",C1339=0),"",D1339/C1339),"")</f>
        <v/>
      </c>
      <c r="G1339" s="21">
        <f>IFERROR(INDEX(Users!$A$2:$A$310,MATCH(A1339,Users!$B$2:$B$310,0)),"")</f>
        <v/>
      </c>
      <c r="H1339" s="21">
        <f>IFERROR(INDEX(Users!$D$2:$D$310,MATCH(A1339,Users!$B$2:$B$310,0)),"")</f>
        <v/>
      </c>
      <c r="I1339" s="19">
        <f>AND(G1339="Service A",H1339="Band 3")</f>
        <v/>
      </c>
      <c r="J1339" s="33">
        <f>IF(AND(YEAR(B1339)=2025,G1339="Service B",OR(H1339="Band 3",H1339="Band 5"),ISNUMBER(F1339)),F1339,"")</f>
        <v/>
      </c>
    </row>
    <row r="1340">
      <c r="A1340" s="19" t="inlineStr">
        <is>
          <t>User1142</t>
        </is>
      </c>
      <c r="B1340" s="60" t="n">
        <v>45748</v>
      </c>
      <c r="C1340" s="21" t="n">
        <v>125.8</v>
      </c>
      <c r="D1340" s="21" t="n">
        <v>87.42000000000003</v>
      </c>
      <c r="E1340" s="21" t="n">
        <v>69.57000000000004</v>
      </c>
      <c r="F1340" s="27">
        <f>IFERROR(IF(OR(C1340="",D1340="",C1340=0),"",D1340/C1340),"")</f>
        <v/>
      </c>
      <c r="G1340" s="21">
        <f>IFERROR(INDEX(Users!$A$2:$A$310,MATCH(A1340,Users!$B$2:$B$310,0)),"")</f>
        <v/>
      </c>
      <c r="H1340" s="21">
        <f>IFERROR(INDEX(Users!$D$2:$D$310,MATCH(A1340,Users!$B$2:$B$310,0)),"")</f>
        <v/>
      </c>
      <c r="I1340" s="19">
        <f>AND(G1340="Service A",H1340="Band 3")</f>
        <v/>
      </c>
      <c r="J1340" s="33">
        <f>IF(AND(YEAR(B1340)=2025,G1340="Service B",OR(H1340="Band 3",H1340="Band 5"),ISNUMBER(F1340)),F1340,"")</f>
        <v/>
      </c>
    </row>
    <row r="1341">
      <c r="A1341" s="19" t="inlineStr">
        <is>
          <t>User1142</t>
        </is>
      </c>
      <c r="B1341" s="60" t="n">
        <v>45778</v>
      </c>
      <c r="C1341" s="21" t="n">
        <v>133.2</v>
      </c>
      <c r="D1341" s="21" t="n">
        <v>145.5366666666667</v>
      </c>
      <c r="E1341" s="21" t="n">
        <v>90.11999999999999</v>
      </c>
      <c r="F1341" s="27">
        <f>IFERROR(IF(OR(C1341="",D1341="",C1341=0),"",D1341/C1341),"")</f>
        <v/>
      </c>
      <c r="G1341" s="21">
        <f>IFERROR(INDEX(Users!$A$2:$A$310,MATCH(A1341,Users!$B$2:$B$310,0)),"")</f>
        <v/>
      </c>
      <c r="H1341" s="21">
        <f>IFERROR(INDEX(Users!$D$2:$D$310,MATCH(A1341,Users!$B$2:$B$310,0)),"")</f>
        <v/>
      </c>
      <c r="I1341" s="19">
        <f>AND(G1341="Service A",H1341="Band 3")</f>
        <v/>
      </c>
      <c r="J1341" s="33">
        <f>IF(AND(YEAR(B1341)=2025,G1341="Service B",OR(H1341="Band 3",H1341="Band 5"),ISNUMBER(F1341)),F1341,"")</f>
        <v/>
      </c>
    </row>
    <row r="1342">
      <c r="A1342" s="19" t="inlineStr">
        <is>
          <t>User1142</t>
        </is>
      </c>
      <c r="B1342" s="60" t="n">
        <v>45809</v>
      </c>
      <c r="C1342" s="21" t="n">
        <v>118.4</v>
      </c>
      <c r="D1342" s="21" t="n">
        <v>99.82333333333335</v>
      </c>
      <c r="E1342" s="21" t="n">
        <v>77.99000000000001</v>
      </c>
      <c r="F1342" s="27">
        <f>IFERROR(IF(OR(C1342="",D1342="",C1342=0),"",D1342/C1342),"")</f>
        <v/>
      </c>
      <c r="G1342" s="21">
        <f>IFERROR(INDEX(Users!$A$2:$A$310,MATCH(A1342,Users!$B$2:$B$310,0)),"")</f>
        <v/>
      </c>
      <c r="H1342" s="21">
        <f>IFERROR(INDEX(Users!$D$2:$D$310,MATCH(A1342,Users!$B$2:$B$310,0)),"")</f>
        <v/>
      </c>
      <c r="I1342" s="19">
        <f>AND(G1342="Service A",H1342="Band 3")</f>
        <v/>
      </c>
      <c r="J1342" s="33">
        <f>IF(AND(YEAR(B1342)=2025,G1342="Service B",OR(H1342="Band 3",H1342="Band 5"),ISNUMBER(F1342)),F1342,"")</f>
        <v/>
      </c>
    </row>
    <row r="1343">
      <c r="A1343" s="19" t="inlineStr">
        <is>
          <t>User1142</t>
        </is>
      </c>
      <c r="B1343" s="60" t="n">
        <v>45839</v>
      </c>
      <c r="C1343" s="21" t="n">
        <v>140.6</v>
      </c>
      <c r="D1343" s="21" t="n">
        <v>133.2166666666666</v>
      </c>
      <c r="E1343" s="21" t="n">
        <v>91.29999999999998</v>
      </c>
      <c r="F1343" s="27">
        <f>IFERROR(IF(OR(C1343="",D1343="",C1343=0),"",D1343/C1343),"")</f>
        <v/>
      </c>
      <c r="G1343" s="21">
        <f>IFERROR(INDEX(Users!$A$2:$A$310,MATCH(A1343,Users!$B$2:$B$310,0)),"")</f>
        <v/>
      </c>
      <c r="H1343" s="21">
        <f>IFERROR(INDEX(Users!$D$2:$D$310,MATCH(A1343,Users!$B$2:$B$310,0)),"")</f>
        <v/>
      </c>
      <c r="I1343" s="19">
        <f>AND(G1343="Service A",H1343="Band 3")</f>
        <v/>
      </c>
      <c r="J1343" s="33">
        <f>IF(AND(YEAR(B1343)=2025,G1343="Service B",OR(H1343="Band 3",H1343="Band 5"),ISNUMBER(F1343)),F1343,"")</f>
        <v/>
      </c>
    </row>
    <row r="1344">
      <c r="A1344" s="19" t="inlineStr">
        <is>
          <t>User1142</t>
        </is>
      </c>
      <c r="B1344" s="60" t="n">
        <v>45870</v>
      </c>
      <c r="C1344" s="21" t="n">
        <v>125.8</v>
      </c>
      <c r="D1344" s="21" t="n">
        <v>81.30666666666667</v>
      </c>
      <c r="E1344" s="21" t="n">
        <v>60.29000000000001</v>
      </c>
      <c r="F1344" s="27">
        <f>IFERROR(IF(OR(C1344="",D1344="",C1344=0),"",D1344/C1344),"")</f>
        <v/>
      </c>
      <c r="G1344" s="21">
        <f>IFERROR(INDEX(Users!$A$2:$A$310,MATCH(A1344,Users!$B$2:$B$310,0)),"")</f>
        <v/>
      </c>
      <c r="H1344" s="21">
        <f>IFERROR(INDEX(Users!$D$2:$D$310,MATCH(A1344,Users!$B$2:$B$310,0)),"")</f>
        <v/>
      </c>
      <c r="I1344" s="19">
        <f>AND(G1344="Service A",H1344="Band 3")</f>
        <v/>
      </c>
      <c r="J1344" s="33">
        <f>IF(AND(YEAR(B1344)=2025,G1344="Service B",OR(H1344="Band 3",H1344="Band 5"),ISNUMBER(F1344)),F1344,"")</f>
        <v/>
      </c>
    </row>
    <row r="1345">
      <c r="A1345" s="19" t="inlineStr">
        <is>
          <t>User1142</t>
        </is>
      </c>
      <c r="B1345" s="60" t="n">
        <v>45901</v>
      </c>
      <c r="C1345" s="21" t="n">
        <v>125.8</v>
      </c>
      <c r="D1345" s="21" t="n">
        <v>58.13666666666667</v>
      </c>
      <c r="E1345" s="21" t="n">
        <v>22.72</v>
      </c>
      <c r="F1345" s="27">
        <f>IFERROR(IF(OR(C1345="",D1345="",C1345=0),"",D1345/C1345),"")</f>
        <v/>
      </c>
      <c r="G1345" s="21">
        <f>IFERROR(INDEX(Users!$A$2:$A$310,MATCH(A1345,Users!$B$2:$B$310,0)),"")</f>
        <v/>
      </c>
      <c r="H1345" s="21">
        <f>IFERROR(INDEX(Users!$D$2:$D$310,MATCH(A1345,Users!$B$2:$B$310,0)),"")</f>
        <v/>
      </c>
      <c r="I1345" s="19">
        <f>AND(G1345="Service A",H1345="Band 3")</f>
        <v/>
      </c>
      <c r="J1345" s="33">
        <f>IF(AND(YEAR(B1345)=2025,G1345="Service B",OR(H1345="Band 3",H1345="Band 5"),ISNUMBER(F1345)),F1345,"")</f>
        <v/>
      </c>
    </row>
    <row r="1346">
      <c r="A1346" s="19" t="inlineStr">
        <is>
          <t>User1142</t>
        </is>
      </c>
      <c r="B1346" s="60" t="n">
        <v>45931</v>
      </c>
      <c r="C1346" s="21" t="n">
        <v>140.6</v>
      </c>
      <c r="D1346" s="21" t="n"/>
      <c r="E1346" s="21" t="n"/>
      <c r="F1346" s="27">
        <f>IFERROR(IF(OR(C1346="",D1346="",C1346=0),"",D1346/C1346),"")</f>
        <v/>
      </c>
      <c r="G1346" s="21">
        <f>IFERROR(INDEX(Users!$A$2:$A$310,MATCH(A1346,Users!$B$2:$B$310,0)),"")</f>
        <v/>
      </c>
      <c r="H1346" s="21">
        <f>IFERROR(INDEX(Users!$D$2:$D$310,MATCH(A1346,Users!$B$2:$B$310,0)),"")</f>
        <v/>
      </c>
      <c r="I1346" s="19">
        <f>AND(G1346="Service A",H1346="Band 3")</f>
        <v/>
      </c>
      <c r="J1346" s="33">
        <f>IF(AND(YEAR(B1346)=2025,G1346="Service B",OR(H1346="Band 3",H1346="Band 5"),ISNUMBER(F1346)),F1346,"")</f>
        <v/>
      </c>
    </row>
    <row r="1347">
      <c r="A1347" s="19" t="inlineStr">
        <is>
          <t>User1142</t>
        </is>
      </c>
      <c r="B1347" s="60" t="n">
        <v>45962</v>
      </c>
      <c r="C1347" s="21" t="n">
        <v>118.4</v>
      </c>
      <c r="D1347" s="21" t="n">
        <v>15.41333333333333</v>
      </c>
      <c r="E1347" s="21" t="n">
        <v>6.630000000000001</v>
      </c>
      <c r="F1347" s="27">
        <f>IFERROR(IF(OR(C1347="",D1347="",C1347=0),"",D1347/C1347),"")</f>
        <v/>
      </c>
      <c r="G1347" s="21">
        <f>IFERROR(INDEX(Users!$A$2:$A$310,MATCH(A1347,Users!$B$2:$B$310,0)),"")</f>
        <v/>
      </c>
      <c r="H1347" s="21">
        <f>IFERROR(INDEX(Users!$D$2:$D$310,MATCH(A1347,Users!$B$2:$B$310,0)),"")</f>
        <v/>
      </c>
      <c r="I1347" s="19">
        <f>AND(G1347="Service A",H1347="Band 3")</f>
        <v/>
      </c>
      <c r="J1347" s="33">
        <f>IF(AND(YEAR(B1347)=2025,G1347="Service B",OR(H1347="Band 3",H1347="Band 5"),ISNUMBER(F1347)),F1347,"")</f>
        <v/>
      </c>
    </row>
    <row r="1348">
      <c r="A1348" s="19" t="inlineStr">
        <is>
          <t>User1142</t>
        </is>
      </c>
      <c r="B1348" s="60" t="n">
        <v>45992</v>
      </c>
      <c r="C1348" s="21" t="n">
        <v>118.4</v>
      </c>
      <c r="D1348" s="21" t="n">
        <v>97.93000000000001</v>
      </c>
      <c r="E1348" s="21" t="n">
        <v>67.13000000000001</v>
      </c>
      <c r="F1348" s="27">
        <f>IFERROR(IF(OR(C1348="",D1348="",C1348=0),"",D1348/C1348),"")</f>
        <v/>
      </c>
      <c r="G1348" s="21">
        <f>IFERROR(INDEX(Users!$A$2:$A$310,MATCH(A1348,Users!$B$2:$B$310,0)),"")</f>
        <v/>
      </c>
      <c r="H1348" s="21">
        <f>IFERROR(INDEX(Users!$D$2:$D$310,MATCH(A1348,Users!$B$2:$B$310,0)),"")</f>
        <v/>
      </c>
      <c r="I1348" s="19">
        <f>AND(G1348="Service A",H1348="Band 3")</f>
        <v/>
      </c>
      <c r="J1348" s="33">
        <f>IF(AND(YEAR(B1348)=2025,G1348="Service B",OR(H1348="Band 3",H1348="Band 5"),ISNUMBER(F1348)),F1348,"")</f>
        <v/>
      </c>
    </row>
    <row r="1349">
      <c r="A1349" s="19" t="inlineStr">
        <is>
          <t>User1142</t>
        </is>
      </c>
      <c r="B1349" s="60" t="n">
        <v>46023</v>
      </c>
      <c r="C1349" s="21" t="n">
        <v>125.8</v>
      </c>
      <c r="D1349" s="21" t="n">
        <v>129.5433333333334</v>
      </c>
      <c r="E1349" s="21" t="n">
        <v>66.56</v>
      </c>
      <c r="F1349" s="27">
        <f>IFERROR(IF(OR(C1349="",D1349="",C1349=0),"",D1349/C1349),"")</f>
        <v/>
      </c>
      <c r="G1349" s="21">
        <f>IFERROR(INDEX(Users!$A$2:$A$310,MATCH(A1349,Users!$B$2:$B$310,0)),"")</f>
        <v/>
      </c>
      <c r="H1349" s="21">
        <f>IFERROR(INDEX(Users!$D$2:$D$310,MATCH(A1349,Users!$B$2:$B$310,0)),"")</f>
        <v/>
      </c>
      <c r="I1349" s="19">
        <f>AND(G1349="Service A",H1349="Band 3")</f>
        <v/>
      </c>
      <c r="J1349" s="33">
        <f>IF(AND(YEAR(B1349)=2025,G1349="Service B",OR(H1349="Band 3",H1349="Band 5"),ISNUMBER(F1349)),F1349,"")</f>
        <v/>
      </c>
    </row>
    <row r="1350">
      <c r="A1350" s="19" t="inlineStr">
        <is>
          <t>User1143</t>
        </is>
      </c>
      <c r="B1350" s="60" t="n">
        <v>45901</v>
      </c>
      <c r="C1350" s="21" t="n">
        <v>37.5</v>
      </c>
      <c r="D1350" s="21" t="n"/>
      <c r="E1350" s="21" t="n"/>
      <c r="F1350" s="27">
        <f>IFERROR(IF(OR(C1350="",D1350="",C1350=0),"",D1350/C1350),"")</f>
        <v/>
      </c>
      <c r="G1350" s="21">
        <f>IFERROR(INDEX(Users!$A$2:$A$310,MATCH(A1350,Users!$B$2:$B$310,0)),"")</f>
        <v/>
      </c>
      <c r="H1350" s="21">
        <f>IFERROR(INDEX(Users!$D$2:$D$310,MATCH(A1350,Users!$B$2:$B$310,0)),"")</f>
        <v/>
      </c>
      <c r="I1350" s="19">
        <f>AND(G1350="Service A",H1350="Band 3")</f>
        <v/>
      </c>
      <c r="J1350" s="33">
        <f>IF(AND(YEAR(B1350)=2025,G1350="Service B",OR(H1350="Band 3",H1350="Band 5"),ISNUMBER(F1350)),F1350,"")</f>
        <v/>
      </c>
    </row>
    <row r="1351">
      <c r="A1351" s="19" t="inlineStr">
        <is>
          <t>User1143</t>
        </is>
      </c>
      <c r="B1351" s="60" t="n">
        <v>45931</v>
      </c>
      <c r="C1351" s="21" t="n">
        <v>142.5</v>
      </c>
      <c r="D1351" s="21" t="n">
        <v>129.1366666666667</v>
      </c>
      <c r="E1351" s="21" t="n">
        <v>27.72</v>
      </c>
      <c r="F1351" s="27">
        <f>IFERROR(IF(OR(C1351="",D1351="",C1351=0),"",D1351/C1351),"")</f>
        <v/>
      </c>
      <c r="G1351" s="21">
        <f>IFERROR(INDEX(Users!$A$2:$A$310,MATCH(A1351,Users!$B$2:$B$310,0)),"")</f>
        <v/>
      </c>
      <c r="H1351" s="21">
        <f>IFERROR(INDEX(Users!$D$2:$D$310,MATCH(A1351,Users!$B$2:$B$310,0)),"")</f>
        <v/>
      </c>
      <c r="I1351" s="19">
        <f>AND(G1351="Service A",H1351="Band 3")</f>
        <v/>
      </c>
      <c r="J1351" s="33">
        <f>IF(AND(YEAR(B1351)=2025,G1351="Service B",OR(H1351="Band 3",H1351="Band 5"),ISNUMBER(F1351)),F1351,"")</f>
        <v/>
      </c>
    </row>
    <row r="1352">
      <c r="A1352" s="19" t="inlineStr">
        <is>
          <t>User1143</t>
        </is>
      </c>
      <c r="B1352" s="60" t="n">
        <v>45962</v>
      </c>
      <c r="C1352" s="21" t="n">
        <v>120</v>
      </c>
      <c r="D1352" s="21" t="n">
        <v>114.6733333333334</v>
      </c>
      <c r="E1352" s="21" t="n">
        <v>37.84000000000002</v>
      </c>
      <c r="F1352" s="27">
        <f>IFERROR(IF(OR(C1352="",D1352="",C1352=0),"",D1352/C1352),"")</f>
        <v/>
      </c>
      <c r="G1352" s="21">
        <f>IFERROR(INDEX(Users!$A$2:$A$310,MATCH(A1352,Users!$B$2:$B$310,0)),"")</f>
        <v/>
      </c>
      <c r="H1352" s="21">
        <f>IFERROR(INDEX(Users!$D$2:$D$310,MATCH(A1352,Users!$B$2:$B$310,0)),"")</f>
        <v/>
      </c>
      <c r="I1352" s="19">
        <f>AND(G1352="Service A",H1352="Band 3")</f>
        <v/>
      </c>
      <c r="J1352" s="33">
        <f>IF(AND(YEAR(B1352)=2025,G1352="Service B",OR(H1352="Band 3",H1352="Band 5"),ISNUMBER(F1352)),F1352,"")</f>
        <v/>
      </c>
    </row>
    <row r="1353">
      <c r="A1353" s="19" t="inlineStr">
        <is>
          <t>User1143</t>
        </is>
      </c>
      <c r="B1353" s="60" t="n">
        <v>45992</v>
      </c>
      <c r="C1353" s="21" t="n">
        <v>120</v>
      </c>
      <c r="D1353" s="21" t="n">
        <v>104.73</v>
      </c>
      <c r="E1353" s="21" t="n">
        <v>68.18000000000004</v>
      </c>
      <c r="F1353" s="27">
        <f>IFERROR(IF(OR(C1353="",D1353="",C1353=0),"",D1353/C1353),"")</f>
        <v/>
      </c>
      <c r="G1353" s="21">
        <f>IFERROR(INDEX(Users!$A$2:$A$310,MATCH(A1353,Users!$B$2:$B$310,0)),"")</f>
        <v/>
      </c>
      <c r="H1353" s="21">
        <f>IFERROR(INDEX(Users!$D$2:$D$310,MATCH(A1353,Users!$B$2:$B$310,0)),"")</f>
        <v/>
      </c>
      <c r="I1353" s="19">
        <f>AND(G1353="Service A",H1353="Band 3")</f>
        <v/>
      </c>
      <c r="J1353" s="33">
        <f>IF(AND(YEAR(B1353)=2025,G1353="Service B",OR(H1353="Band 3",H1353="Band 5"),ISNUMBER(F1353)),F1353,"")</f>
        <v/>
      </c>
    </row>
    <row r="1354">
      <c r="A1354" s="19" t="inlineStr">
        <is>
          <t>User1143</t>
        </is>
      </c>
      <c r="B1354" s="60" t="n">
        <v>46023</v>
      </c>
      <c r="C1354" s="21" t="n">
        <v>127.5</v>
      </c>
      <c r="D1354" s="21" t="n">
        <v>102.83</v>
      </c>
      <c r="E1354" s="21" t="n">
        <v>62.08000000000005</v>
      </c>
      <c r="F1354" s="27">
        <f>IFERROR(IF(OR(C1354="",D1354="",C1354=0),"",D1354/C1354),"")</f>
        <v/>
      </c>
      <c r="G1354" s="21">
        <f>IFERROR(INDEX(Users!$A$2:$A$310,MATCH(A1354,Users!$B$2:$B$310,0)),"")</f>
        <v/>
      </c>
      <c r="H1354" s="21">
        <f>IFERROR(INDEX(Users!$D$2:$D$310,MATCH(A1354,Users!$B$2:$B$310,0)),"")</f>
        <v/>
      </c>
      <c r="I1354" s="19">
        <f>AND(G1354="Service A",H1354="Band 3")</f>
        <v/>
      </c>
      <c r="J1354" s="33">
        <f>IF(AND(YEAR(B1354)=2025,G1354="Service B",OR(H1354="Band 3",H1354="Band 5"),ISNUMBER(F1354)),F1354,"")</f>
        <v/>
      </c>
    </row>
    <row r="1355">
      <c r="A1355" s="19" t="inlineStr">
        <is>
          <t>User1144</t>
        </is>
      </c>
      <c r="B1355" s="60" t="n">
        <v>45658</v>
      </c>
      <c r="C1355" s="21" t="n">
        <v>162.8</v>
      </c>
      <c r="D1355" s="21" t="n">
        <v>133.0166666666667</v>
      </c>
      <c r="E1355" s="21" t="n">
        <v>47.85</v>
      </c>
      <c r="F1355" s="27">
        <f>IFERROR(IF(OR(C1355="",D1355="",C1355=0),"",D1355/C1355),"")</f>
        <v/>
      </c>
      <c r="G1355" s="21">
        <f>IFERROR(INDEX(Users!$A$2:$A$310,MATCH(A1355,Users!$B$2:$B$310,0)),"")</f>
        <v/>
      </c>
      <c r="H1355" s="21">
        <f>IFERROR(INDEX(Users!$D$2:$D$310,MATCH(A1355,Users!$B$2:$B$310,0)),"")</f>
        <v/>
      </c>
      <c r="I1355" s="19">
        <f>AND(G1355="Service A",H1355="Band 3")</f>
        <v/>
      </c>
      <c r="J1355" s="33">
        <f>IF(AND(YEAR(B1355)=2025,G1355="Service B",OR(H1355="Band 3",H1355="Band 5"),ISNUMBER(F1355)),F1355,"")</f>
        <v/>
      </c>
    </row>
    <row r="1356">
      <c r="A1356" s="19" t="inlineStr">
        <is>
          <t>User1144</t>
        </is>
      </c>
      <c r="B1356" s="60" t="n">
        <v>45689</v>
      </c>
      <c r="C1356" s="21" t="n">
        <v>148</v>
      </c>
      <c r="D1356" s="21" t="n">
        <v>140.1633333333334</v>
      </c>
      <c r="E1356" s="21" t="n">
        <v>42.08</v>
      </c>
      <c r="F1356" s="27">
        <f>IFERROR(IF(OR(C1356="",D1356="",C1356=0),"",D1356/C1356),"")</f>
        <v/>
      </c>
      <c r="G1356" s="21">
        <f>IFERROR(INDEX(Users!$A$2:$A$310,MATCH(A1356,Users!$B$2:$B$310,0)),"")</f>
        <v/>
      </c>
      <c r="H1356" s="21">
        <f>IFERROR(INDEX(Users!$D$2:$D$310,MATCH(A1356,Users!$B$2:$B$310,0)),"")</f>
        <v/>
      </c>
      <c r="I1356" s="19">
        <f>AND(G1356="Service A",H1356="Band 3")</f>
        <v/>
      </c>
      <c r="J1356" s="33">
        <f>IF(AND(YEAR(B1356)=2025,G1356="Service B",OR(H1356="Band 3",H1356="Band 5"),ISNUMBER(F1356)),F1356,"")</f>
        <v/>
      </c>
    </row>
    <row r="1357">
      <c r="A1357" s="19" t="inlineStr">
        <is>
          <t>User1144</t>
        </is>
      </c>
      <c r="B1357" s="60" t="n">
        <v>45717</v>
      </c>
      <c r="C1357" s="21" t="n">
        <v>155.4</v>
      </c>
      <c r="D1357" s="21" t="n">
        <v>157.8466666666667</v>
      </c>
      <c r="E1357" s="21" t="n">
        <v>69.68000000000001</v>
      </c>
      <c r="F1357" s="27">
        <f>IFERROR(IF(OR(C1357="",D1357="",C1357=0),"",D1357/C1357),"")</f>
        <v/>
      </c>
      <c r="G1357" s="21">
        <f>IFERROR(INDEX(Users!$A$2:$A$310,MATCH(A1357,Users!$B$2:$B$310,0)),"")</f>
        <v/>
      </c>
      <c r="H1357" s="21">
        <f>IFERROR(INDEX(Users!$D$2:$D$310,MATCH(A1357,Users!$B$2:$B$310,0)),"")</f>
        <v/>
      </c>
      <c r="I1357" s="19">
        <f>AND(G1357="Service A",H1357="Band 3")</f>
        <v/>
      </c>
      <c r="J1357" s="33">
        <f>IF(AND(YEAR(B1357)=2025,G1357="Service B",OR(H1357="Band 3",H1357="Band 5"),ISNUMBER(F1357)),F1357,"")</f>
        <v/>
      </c>
    </row>
    <row r="1358">
      <c r="A1358" s="19" t="inlineStr">
        <is>
          <t>User1144</t>
        </is>
      </c>
      <c r="B1358" s="60" t="n">
        <v>45748</v>
      </c>
      <c r="C1358" s="21" t="n">
        <v>148</v>
      </c>
      <c r="D1358" s="21" t="n">
        <v>99.35666666666668</v>
      </c>
      <c r="E1358" s="21" t="n">
        <v>63.19000000000001</v>
      </c>
      <c r="F1358" s="27">
        <f>IFERROR(IF(OR(C1358="",D1358="",C1358=0),"",D1358/C1358),"")</f>
        <v/>
      </c>
      <c r="G1358" s="21">
        <f>IFERROR(INDEX(Users!$A$2:$A$310,MATCH(A1358,Users!$B$2:$B$310,0)),"")</f>
        <v/>
      </c>
      <c r="H1358" s="21">
        <f>IFERROR(INDEX(Users!$D$2:$D$310,MATCH(A1358,Users!$B$2:$B$310,0)),"")</f>
        <v/>
      </c>
      <c r="I1358" s="19">
        <f>AND(G1358="Service A",H1358="Band 3")</f>
        <v/>
      </c>
      <c r="J1358" s="33">
        <f>IF(AND(YEAR(B1358)=2025,G1358="Service B",OR(H1358="Band 3",H1358="Band 5"),ISNUMBER(F1358)),F1358,"")</f>
        <v/>
      </c>
    </row>
    <row r="1359">
      <c r="A1359" s="19" t="inlineStr">
        <is>
          <t>User1144</t>
        </is>
      </c>
      <c r="B1359" s="60" t="n">
        <v>45778</v>
      </c>
      <c r="C1359" s="21" t="n">
        <v>148</v>
      </c>
      <c r="D1359" s="21" t="n">
        <v>154.66</v>
      </c>
      <c r="E1359" s="21" t="n">
        <v>89.41000000000001</v>
      </c>
      <c r="F1359" s="27">
        <f>IFERROR(IF(OR(C1359="",D1359="",C1359=0),"",D1359/C1359),"")</f>
        <v/>
      </c>
      <c r="G1359" s="21">
        <f>IFERROR(INDEX(Users!$A$2:$A$310,MATCH(A1359,Users!$B$2:$B$310,0)),"")</f>
        <v/>
      </c>
      <c r="H1359" s="21">
        <f>IFERROR(INDEX(Users!$D$2:$D$310,MATCH(A1359,Users!$B$2:$B$310,0)),"")</f>
        <v/>
      </c>
      <c r="I1359" s="19">
        <f>AND(G1359="Service A",H1359="Band 3")</f>
        <v/>
      </c>
      <c r="J1359" s="33">
        <f>IF(AND(YEAR(B1359)=2025,G1359="Service B",OR(H1359="Band 3",H1359="Band 5"),ISNUMBER(F1359)),F1359,"")</f>
        <v/>
      </c>
    </row>
    <row r="1360">
      <c r="A1360" s="19" t="inlineStr">
        <is>
          <t>User1144</t>
        </is>
      </c>
      <c r="B1360" s="60" t="n">
        <v>45809</v>
      </c>
      <c r="C1360" s="21" t="n">
        <v>155.4</v>
      </c>
      <c r="D1360" s="21" t="n">
        <v>155.3833333333333</v>
      </c>
      <c r="E1360" s="21" t="n">
        <v>92.3</v>
      </c>
      <c r="F1360" s="27">
        <f>IFERROR(IF(OR(C1360="",D1360="",C1360=0),"",D1360/C1360),"")</f>
        <v/>
      </c>
      <c r="G1360" s="21">
        <f>IFERROR(INDEX(Users!$A$2:$A$310,MATCH(A1360,Users!$B$2:$B$310,0)),"")</f>
        <v/>
      </c>
      <c r="H1360" s="21">
        <f>IFERROR(INDEX(Users!$D$2:$D$310,MATCH(A1360,Users!$B$2:$B$310,0)),"")</f>
        <v/>
      </c>
      <c r="I1360" s="19">
        <f>AND(G1360="Service A",H1360="Band 3")</f>
        <v/>
      </c>
      <c r="J1360" s="33">
        <f>IF(AND(YEAR(B1360)=2025,G1360="Service B",OR(H1360="Band 3",H1360="Band 5"),ISNUMBER(F1360)),F1360,"")</f>
        <v/>
      </c>
    </row>
    <row r="1361">
      <c r="A1361" s="19" t="inlineStr">
        <is>
          <t>User1144</t>
        </is>
      </c>
      <c r="B1361" s="60" t="n">
        <v>45839</v>
      </c>
      <c r="C1361" s="21" t="n">
        <v>170.2</v>
      </c>
      <c r="D1361" s="21" t="n">
        <v>99.06</v>
      </c>
      <c r="E1361" s="21" t="n">
        <v>54.31</v>
      </c>
      <c r="F1361" s="27">
        <f>IFERROR(IF(OR(C1361="",D1361="",C1361=0),"",D1361/C1361),"")</f>
        <v/>
      </c>
      <c r="G1361" s="21">
        <f>IFERROR(INDEX(Users!$A$2:$A$310,MATCH(A1361,Users!$B$2:$B$310,0)),"")</f>
        <v/>
      </c>
      <c r="H1361" s="21">
        <f>IFERROR(INDEX(Users!$D$2:$D$310,MATCH(A1361,Users!$B$2:$B$310,0)),"")</f>
        <v/>
      </c>
      <c r="I1361" s="19">
        <f>AND(G1361="Service A",H1361="Band 3")</f>
        <v/>
      </c>
      <c r="J1361" s="33">
        <f>IF(AND(YEAR(B1361)=2025,G1361="Service B",OR(H1361="Band 3",H1361="Band 5"),ISNUMBER(F1361)),F1361,"")</f>
        <v/>
      </c>
    </row>
    <row r="1362">
      <c r="A1362" s="19" t="inlineStr">
        <is>
          <t>User1144</t>
        </is>
      </c>
      <c r="B1362" s="60" t="n">
        <v>45870</v>
      </c>
      <c r="C1362" s="21" t="n">
        <v>148</v>
      </c>
      <c r="D1362" s="21" t="n">
        <v>109.3066666666667</v>
      </c>
      <c r="E1362" s="21" t="n">
        <v>54.64</v>
      </c>
      <c r="F1362" s="27">
        <f>IFERROR(IF(OR(C1362="",D1362="",C1362=0),"",D1362/C1362),"")</f>
        <v/>
      </c>
      <c r="G1362" s="21">
        <f>IFERROR(INDEX(Users!$A$2:$A$310,MATCH(A1362,Users!$B$2:$B$310,0)),"")</f>
        <v/>
      </c>
      <c r="H1362" s="21">
        <f>IFERROR(INDEX(Users!$D$2:$D$310,MATCH(A1362,Users!$B$2:$B$310,0)),"")</f>
        <v/>
      </c>
      <c r="I1362" s="19">
        <f>AND(G1362="Service A",H1362="Band 3")</f>
        <v/>
      </c>
      <c r="J1362" s="33">
        <f>IF(AND(YEAR(B1362)=2025,G1362="Service B",OR(H1362="Band 3",H1362="Band 5"),ISNUMBER(F1362)),F1362,"")</f>
        <v/>
      </c>
    </row>
    <row r="1363">
      <c r="A1363" s="19" t="inlineStr">
        <is>
          <t>User1144</t>
        </is>
      </c>
      <c r="B1363" s="60" t="n">
        <v>45901</v>
      </c>
      <c r="C1363" s="21" t="n">
        <v>162.8</v>
      </c>
      <c r="D1363" s="21" t="n">
        <v>165.5233333333333</v>
      </c>
      <c r="E1363" s="21" t="n">
        <v>87.03999999999999</v>
      </c>
      <c r="F1363" s="27">
        <f>IFERROR(IF(OR(C1363="",D1363="",C1363=0),"",D1363/C1363),"")</f>
        <v/>
      </c>
      <c r="G1363" s="21">
        <f>IFERROR(INDEX(Users!$A$2:$A$310,MATCH(A1363,Users!$B$2:$B$310,0)),"")</f>
        <v/>
      </c>
      <c r="H1363" s="21">
        <f>IFERROR(INDEX(Users!$D$2:$D$310,MATCH(A1363,Users!$B$2:$B$310,0)),"")</f>
        <v/>
      </c>
      <c r="I1363" s="19">
        <f>AND(G1363="Service A",H1363="Band 3")</f>
        <v/>
      </c>
      <c r="J1363" s="33">
        <f>IF(AND(YEAR(B1363)=2025,G1363="Service B",OR(H1363="Band 3",H1363="Band 5"),ISNUMBER(F1363)),F1363,"")</f>
        <v/>
      </c>
    </row>
    <row r="1364">
      <c r="A1364" s="19" t="inlineStr">
        <is>
          <t>User1144</t>
        </is>
      </c>
      <c r="B1364" s="60" t="n">
        <v>45931</v>
      </c>
      <c r="C1364" s="21" t="n">
        <v>170.2</v>
      </c>
      <c r="D1364" s="21" t="n">
        <v>139.6166666666667</v>
      </c>
      <c r="E1364" s="21" t="n">
        <v>72.2</v>
      </c>
      <c r="F1364" s="27">
        <f>IFERROR(IF(OR(C1364="",D1364="",C1364=0),"",D1364/C1364),"")</f>
        <v/>
      </c>
      <c r="G1364" s="21">
        <f>IFERROR(INDEX(Users!$A$2:$A$310,MATCH(A1364,Users!$B$2:$B$310,0)),"")</f>
        <v/>
      </c>
      <c r="H1364" s="21">
        <f>IFERROR(INDEX(Users!$D$2:$D$310,MATCH(A1364,Users!$B$2:$B$310,0)),"")</f>
        <v/>
      </c>
      <c r="I1364" s="19">
        <f>AND(G1364="Service A",H1364="Band 3")</f>
        <v/>
      </c>
      <c r="J1364" s="33">
        <f>IF(AND(YEAR(B1364)=2025,G1364="Service B",OR(H1364="Band 3",H1364="Band 5"),ISNUMBER(F1364)),F1364,"")</f>
        <v/>
      </c>
    </row>
    <row r="1365">
      <c r="A1365" s="19" t="inlineStr">
        <is>
          <t>User1144</t>
        </is>
      </c>
      <c r="B1365" s="60" t="n">
        <v>45962</v>
      </c>
      <c r="C1365" s="21" t="n">
        <v>148</v>
      </c>
      <c r="D1365" s="21" t="n">
        <v>152.44</v>
      </c>
      <c r="E1365" s="21" t="n">
        <v>44.94</v>
      </c>
      <c r="F1365" s="27">
        <f>IFERROR(IF(OR(C1365="",D1365="",C1365=0),"",D1365/C1365),"")</f>
        <v/>
      </c>
      <c r="G1365" s="21">
        <f>IFERROR(INDEX(Users!$A$2:$A$310,MATCH(A1365,Users!$B$2:$B$310,0)),"")</f>
        <v/>
      </c>
      <c r="H1365" s="21">
        <f>IFERROR(INDEX(Users!$D$2:$D$310,MATCH(A1365,Users!$B$2:$B$310,0)),"")</f>
        <v/>
      </c>
      <c r="I1365" s="19">
        <f>AND(G1365="Service A",H1365="Band 3")</f>
        <v/>
      </c>
      <c r="J1365" s="33">
        <f>IF(AND(YEAR(B1365)=2025,G1365="Service B",OR(H1365="Band 3",H1365="Band 5"),ISNUMBER(F1365)),F1365,"")</f>
        <v/>
      </c>
    </row>
    <row r="1366">
      <c r="A1366" s="19" t="inlineStr">
        <is>
          <t>User1144</t>
        </is>
      </c>
      <c r="B1366" s="60" t="n">
        <v>45992</v>
      </c>
      <c r="C1366" s="21" t="n">
        <v>37</v>
      </c>
      <c r="D1366" s="21" t="n">
        <v>37.83333333333333</v>
      </c>
      <c r="E1366" s="21" t="n"/>
      <c r="F1366" s="27">
        <f>IFERROR(IF(OR(C1366="",D1366="",C1366=0),"",D1366/C1366),"")</f>
        <v/>
      </c>
      <c r="G1366" s="21">
        <f>IFERROR(INDEX(Users!$A$2:$A$310,MATCH(A1366,Users!$B$2:$B$310,0)),"")</f>
        <v/>
      </c>
      <c r="H1366" s="21">
        <f>IFERROR(INDEX(Users!$D$2:$D$310,MATCH(A1366,Users!$B$2:$B$310,0)),"")</f>
        <v/>
      </c>
      <c r="I1366" s="19">
        <f>AND(G1366="Service A",H1366="Band 3")</f>
        <v/>
      </c>
      <c r="J1366" s="33">
        <f>IF(AND(YEAR(B1366)=2025,G1366="Service B",OR(H1366="Band 3",H1366="Band 5"),ISNUMBER(F1366)),F1366,"")</f>
        <v/>
      </c>
    </row>
    <row r="1367">
      <c r="A1367" s="19" t="inlineStr">
        <is>
          <t>User1145</t>
        </is>
      </c>
      <c r="B1367" s="60" t="n">
        <v>45689</v>
      </c>
      <c r="C1367" s="21" t="n">
        <v>34</v>
      </c>
      <c r="D1367" s="21" t="n">
        <v>28</v>
      </c>
      <c r="E1367" s="21" t="n">
        <v>0.5</v>
      </c>
      <c r="F1367" s="27">
        <f>IFERROR(IF(OR(C1367="",D1367="",C1367=0),"",D1367/C1367),"")</f>
        <v/>
      </c>
      <c r="G1367" s="21">
        <f>IFERROR(INDEX(Users!$A$2:$A$310,MATCH(A1367,Users!$B$2:$B$310,0)),"")</f>
        <v/>
      </c>
      <c r="H1367" s="21">
        <f>IFERROR(INDEX(Users!$D$2:$D$310,MATCH(A1367,Users!$B$2:$B$310,0)),"")</f>
        <v/>
      </c>
      <c r="I1367" s="19">
        <f>AND(G1367="Service A",H1367="Band 3")</f>
        <v/>
      </c>
      <c r="J1367" s="33">
        <f>IF(AND(YEAR(B1367)=2025,G1367="Service B",OR(H1367="Band 3",H1367="Band 5"),ISNUMBER(F1367)),F1367,"")</f>
        <v/>
      </c>
    </row>
    <row r="1368">
      <c r="A1368" s="19" t="inlineStr">
        <is>
          <t>User1145</t>
        </is>
      </c>
      <c r="B1368" s="60" t="n">
        <v>45717</v>
      </c>
      <c r="C1368" s="21" t="n">
        <v>144.5</v>
      </c>
      <c r="D1368" s="21" t="n">
        <v>148.2433333333333</v>
      </c>
      <c r="E1368" s="21" t="n">
        <v>1.16</v>
      </c>
      <c r="F1368" s="27">
        <f>IFERROR(IF(OR(C1368="",D1368="",C1368=0),"",D1368/C1368),"")</f>
        <v/>
      </c>
      <c r="G1368" s="21">
        <f>IFERROR(INDEX(Users!$A$2:$A$310,MATCH(A1368,Users!$B$2:$B$310,0)),"")</f>
        <v/>
      </c>
      <c r="H1368" s="21">
        <f>IFERROR(INDEX(Users!$D$2:$D$310,MATCH(A1368,Users!$B$2:$B$310,0)),"")</f>
        <v/>
      </c>
      <c r="I1368" s="19">
        <f>AND(G1368="Service A",H1368="Band 3")</f>
        <v/>
      </c>
      <c r="J1368" s="33">
        <f>IF(AND(YEAR(B1368)=2025,G1368="Service B",OR(H1368="Band 3",H1368="Band 5"),ISNUMBER(F1368)),F1368,"")</f>
        <v/>
      </c>
    </row>
    <row r="1369">
      <c r="A1369" s="19" t="inlineStr">
        <is>
          <t>User1145</t>
        </is>
      </c>
      <c r="B1369" s="60" t="n">
        <v>45748</v>
      </c>
      <c r="C1369" s="21" t="n">
        <v>144.5</v>
      </c>
      <c r="D1369" s="21" t="n">
        <v>111</v>
      </c>
      <c r="E1369" s="21" t="n"/>
      <c r="F1369" s="27">
        <f>IFERROR(IF(OR(C1369="",D1369="",C1369=0),"",D1369/C1369),"")</f>
        <v/>
      </c>
      <c r="G1369" s="21">
        <f>IFERROR(INDEX(Users!$A$2:$A$310,MATCH(A1369,Users!$B$2:$B$310,0)),"")</f>
        <v/>
      </c>
      <c r="H1369" s="21">
        <f>IFERROR(INDEX(Users!$D$2:$D$310,MATCH(A1369,Users!$B$2:$B$310,0)),"")</f>
        <v/>
      </c>
      <c r="I1369" s="19">
        <f>AND(G1369="Service A",H1369="Band 3")</f>
        <v/>
      </c>
      <c r="J1369" s="33">
        <f>IF(AND(YEAR(B1369)=2025,G1369="Service B",OR(H1369="Band 3",H1369="Band 5"),ISNUMBER(F1369)),F1369,"")</f>
        <v/>
      </c>
    </row>
    <row r="1370">
      <c r="A1370" s="19" t="inlineStr">
        <is>
          <t>User1145</t>
        </is>
      </c>
      <c r="B1370" s="60" t="n">
        <v>45778</v>
      </c>
      <c r="C1370" s="21" t="n">
        <v>127.5</v>
      </c>
      <c r="D1370" s="21" t="n">
        <v>128.6666666666667</v>
      </c>
      <c r="E1370" s="21" t="n">
        <v>9.5</v>
      </c>
      <c r="F1370" s="27">
        <f>IFERROR(IF(OR(C1370="",D1370="",C1370=0),"",D1370/C1370),"")</f>
        <v/>
      </c>
      <c r="G1370" s="21">
        <f>IFERROR(INDEX(Users!$A$2:$A$310,MATCH(A1370,Users!$B$2:$B$310,0)),"")</f>
        <v/>
      </c>
      <c r="H1370" s="21">
        <f>IFERROR(INDEX(Users!$D$2:$D$310,MATCH(A1370,Users!$B$2:$B$310,0)),"")</f>
        <v/>
      </c>
      <c r="I1370" s="19">
        <f>AND(G1370="Service A",H1370="Band 3")</f>
        <v/>
      </c>
      <c r="J1370" s="33">
        <f>IF(AND(YEAR(B1370)=2025,G1370="Service B",OR(H1370="Band 3",H1370="Band 5"),ISNUMBER(F1370)),F1370,"")</f>
        <v/>
      </c>
    </row>
    <row r="1371">
      <c r="A1371" s="19" t="inlineStr">
        <is>
          <t>User1145</t>
        </is>
      </c>
      <c r="B1371" s="60" t="n">
        <v>45809</v>
      </c>
      <c r="C1371" s="21" t="n">
        <v>144.5</v>
      </c>
      <c r="D1371" s="21" t="n">
        <v>143.7333333333333</v>
      </c>
      <c r="E1371" s="21" t="n">
        <v>84.89999999999999</v>
      </c>
      <c r="F1371" s="27">
        <f>IFERROR(IF(OR(C1371="",D1371="",C1371=0),"",D1371/C1371),"")</f>
        <v/>
      </c>
      <c r="G1371" s="21">
        <f>IFERROR(INDEX(Users!$A$2:$A$310,MATCH(A1371,Users!$B$2:$B$310,0)),"")</f>
        <v/>
      </c>
      <c r="H1371" s="21">
        <f>IFERROR(INDEX(Users!$D$2:$D$310,MATCH(A1371,Users!$B$2:$B$310,0)),"")</f>
        <v/>
      </c>
      <c r="I1371" s="19">
        <f>AND(G1371="Service A",H1371="Band 3")</f>
        <v/>
      </c>
      <c r="J1371" s="33">
        <f>IF(AND(YEAR(B1371)=2025,G1371="Service B",OR(H1371="Band 3",H1371="Band 5"),ISNUMBER(F1371)),F1371,"")</f>
        <v/>
      </c>
    </row>
    <row r="1372">
      <c r="A1372" s="19" t="inlineStr">
        <is>
          <t>User1145</t>
        </is>
      </c>
      <c r="B1372" s="60" t="n">
        <v>45839</v>
      </c>
      <c r="C1372" s="21" t="n">
        <v>161.5</v>
      </c>
      <c r="D1372" s="21" t="n">
        <v>126.7366666666667</v>
      </c>
      <c r="E1372" s="21" t="n">
        <v>82.82000000000001</v>
      </c>
      <c r="F1372" s="27">
        <f>IFERROR(IF(OR(C1372="",D1372="",C1372=0),"",D1372/C1372),"")</f>
        <v/>
      </c>
      <c r="G1372" s="21">
        <f>IFERROR(INDEX(Users!$A$2:$A$310,MATCH(A1372,Users!$B$2:$B$310,0)),"")</f>
        <v/>
      </c>
      <c r="H1372" s="21">
        <f>IFERROR(INDEX(Users!$D$2:$D$310,MATCH(A1372,Users!$B$2:$B$310,0)),"")</f>
        <v/>
      </c>
      <c r="I1372" s="19">
        <f>AND(G1372="Service A",H1372="Band 3")</f>
        <v/>
      </c>
      <c r="J1372" s="33">
        <f>IF(AND(YEAR(B1372)=2025,G1372="Service B",OR(H1372="Band 3",H1372="Band 5"),ISNUMBER(F1372)),F1372,"")</f>
        <v/>
      </c>
    </row>
    <row r="1373">
      <c r="A1373" s="19" t="inlineStr">
        <is>
          <t>User1145</t>
        </is>
      </c>
      <c r="B1373" s="60" t="n">
        <v>45870</v>
      </c>
      <c r="C1373" s="21" t="n">
        <v>127.5</v>
      </c>
      <c r="D1373" s="21" t="n">
        <v>79.48666666666666</v>
      </c>
      <c r="E1373" s="21" t="n">
        <v>57.81999999999999</v>
      </c>
      <c r="F1373" s="27">
        <f>IFERROR(IF(OR(C1373="",D1373="",C1373=0),"",D1373/C1373),"")</f>
        <v/>
      </c>
      <c r="G1373" s="21">
        <f>IFERROR(INDEX(Users!$A$2:$A$310,MATCH(A1373,Users!$B$2:$B$310,0)),"")</f>
        <v/>
      </c>
      <c r="H1373" s="21">
        <f>IFERROR(INDEX(Users!$D$2:$D$310,MATCH(A1373,Users!$B$2:$B$310,0)),"")</f>
        <v/>
      </c>
      <c r="I1373" s="19">
        <f>AND(G1373="Service A",H1373="Band 3")</f>
        <v/>
      </c>
      <c r="J1373" s="33">
        <f>IF(AND(YEAR(B1373)=2025,G1373="Service B",OR(H1373="Band 3",H1373="Band 5"),ISNUMBER(F1373)),F1373,"")</f>
        <v/>
      </c>
    </row>
    <row r="1374">
      <c r="A1374" s="19" t="inlineStr">
        <is>
          <t>User1145</t>
        </is>
      </c>
      <c r="B1374" s="60" t="n">
        <v>45901</v>
      </c>
      <c r="C1374" s="21" t="n">
        <v>153</v>
      </c>
      <c r="D1374" s="21" t="n">
        <v>156.5233333333333</v>
      </c>
      <c r="E1374" s="21" t="n">
        <v>91.94</v>
      </c>
      <c r="F1374" s="27">
        <f>IFERROR(IF(OR(C1374="",D1374="",C1374=0),"",D1374/C1374),"")</f>
        <v/>
      </c>
      <c r="G1374" s="21">
        <f>IFERROR(INDEX(Users!$A$2:$A$310,MATCH(A1374,Users!$B$2:$B$310,0)),"")</f>
        <v/>
      </c>
      <c r="H1374" s="21">
        <f>IFERROR(INDEX(Users!$D$2:$D$310,MATCH(A1374,Users!$B$2:$B$310,0)),"")</f>
        <v/>
      </c>
      <c r="I1374" s="19">
        <f>AND(G1374="Service A",H1374="Band 3")</f>
        <v/>
      </c>
      <c r="J1374" s="33">
        <f>IF(AND(YEAR(B1374)=2025,G1374="Service B",OR(H1374="Band 3",H1374="Band 5"),ISNUMBER(F1374)),F1374,"")</f>
        <v/>
      </c>
    </row>
    <row r="1375">
      <c r="A1375" s="19" t="inlineStr">
        <is>
          <t>User1145</t>
        </is>
      </c>
      <c r="B1375" s="60" t="n">
        <v>45931</v>
      </c>
      <c r="C1375" s="21" t="n">
        <v>153</v>
      </c>
      <c r="D1375" s="21" t="n">
        <v>144.5966666666667</v>
      </c>
      <c r="E1375" s="21" t="n">
        <v>88.42999999999999</v>
      </c>
      <c r="F1375" s="27">
        <f>IFERROR(IF(OR(C1375="",D1375="",C1375=0),"",D1375/C1375),"")</f>
        <v/>
      </c>
      <c r="G1375" s="21">
        <f>IFERROR(INDEX(Users!$A$2:$A$310,MATCH(A1375,Users!$B$2:$B$310,0)),"")</f>
        <v/>
      </c>
      <c r="H1375" s="21">
        <f>IFERROR(INDEX(Users!$D$2:$D$310,MATCH(A1375,Users!$B$2:$B$310,0)),"")</f>
        <v/>
      </c>
      <c r="I1375" s="19">
        <f>AND(G1375="Service A",H1375="Band 3")</f>
        <v/>
      </c>
      <c r="J1375" s="33">
        <f>IF(AND(YEAR(B1375)=2025,G1375="Service B",OR(H1375="Band 3",H1375="Band 5"),ISNUMBER(F1375)),F1375,"")</f>
        <v/>
      </c>
    </row>
    <row r="1376">
      <c r="A1376" s="19" t="inlineStr">
        <is>
          <t>User1145</t>
        </is>
      </c>
      <c r="B1376" s="60" t="n">
        <v>45962</v>
      </c>
      <c r="C1376" s="21" t="n">
        <v>136</v>
      </c>
      <c r="D1376" s="21" t="n">
        <v>135.1566666666666</v>
      </c>
      <c r="E1376" s="21" t="n">
        <v>91.98999999999999</v>
      </c>
      <c r="F1376" s="27">
        <f>IFERROR(IF(OR(C1376="",D1376="",C1376=0),"",D1376/C1376),"")</f>
        <v/>
      </c>
      <c r="G1376" s="21">
        <f>IFERROR(INDEX(Users!$A$2:$A$310,MATCH(A1376,Users!$B$2:$B$310,0)),"")</f>
        <v/>
      </c>
      <c r="H1376" s="21">
        <f>IFERROR(INDEX(Users!$D$2:$D$310,MATCH(A1376,Users!$B$2:$B$310,0)),"")</f>
        <v/>
      </c>
      <c r="I1376" s="19">
        <f>AND(G1376="Service A",H1376="Band 3")</f>
        <v/>
      </c>
      <c r="J1376" s="33">
        <f>IF(AND(YEAR(B1376)=2025,G1376="Service B",OR(H1376="Band 3",H1376="Band 5"),ISNUMBER(F1376)),F1376,"")</f>
        <v/>
      </c>
    </row>
    <row r="1377">
      <c r="A1377" s="19" t="inlineStr">
        <is>
          <t>User1145</t>
        </is>
      </c>
      <c r="B1377" s="60" t="n">
        <v>45992</v>
      </c>
      <c r="C1377" s="21" t="n">
        <v>153</v>
      </c>
      <c r="D1377" s="21" t="n">
        <v>125.4933333333333</v>
      </c>
      <c r="E1377" s="21" t="n">
        <v>81.91</v>
      </c>
      <c r="F1377" s="27">
        <f>IFERROR(IF(OR(C1377="",D1377="",C1377=0),"",D1377/C1377),"")</f>
        <v/>
      </c>
      <c r="G1377" s="21">
        <f>IFERROR(INDEX(Users!$A$2:$A$310,MATCH(A1377,Users!$B$2:$B$310,0)),"")</f>
        <v/>
      </c>
      <c r="H1377" s="21">
        <f>IFERROR(INDEX(Users!$D$2:$D$310,MATCH(A1377,Users!$B$2:$B$310,0)),"")</f>
        <v/>
      </c>
      <c r="I1377" s="19">
        <f>AND(G1377="Service A",H1377="Band 3")</f>
        <v/>
      </c>
      <c r="J1377" s="33">
        <f>IF(AND(YEAR(B1377)=2025,G1377="Service B",OR(H1377="Band 3",H1377="Band 5"),ISNUMBER(F1377)),F1377,"")</f>
        <v/>
      </c>
    </row>
    <row r="1378">
      <c r="A1378" s="19" t="inlineStr">
        <is>
          <t>User1145</t>
        </is>
      </c>
      <c r="B1378" s="60" t="n">
        <v>46023</v>
      </c>
      <c r="C1378" s="21" t="n">
        <v>136</v>
      </c>
      <c r="D1378" s="21" t="n">
        <v>122.5733333333334</v>
      </c>
      <c r="E1378" s="21" t="n">
        <v>88.99000000000001</v>
      </c>
      <c r="F1378" s="27">
        <f>IFERROR(IF(OR(C1378="",D1378="",C1378=0),"",D1378/C1378),"")</f>
        <v/>
      </c>
      <c r="G1378" s="21">
        <f>IFERROR(INDEX(Users!$A$2:$A$310,MATCH(A1378,Users!$B$2:$B$310,0)),"")</f>
        <v/>
      </c>
      <c r="H1378" s="21">
        <f>IFERROR(INDEX(Users!$D$2:$D$310,MATCH(A1378,Users!$B$2:$B$310,0)),"")</f>
        <v/>
      </c>
      <c r="I1378" s="19">
        <f>AND(G1378="Service A",H1378="Band 3")</f>
        <v/>
      </c>
      <c r="J1378" s="33">
        <f>IF(AND(YEAR(B1378)=2025,G1378="Service B",OR(H1378="Band 3",H1378="Band 5"),ISNUMBER(F1378)),F1378,"")</f>
        <v/>
      </c>
    </row>
    <row r="1379">
      <c r="A1379" s="19" t="inlineStr">
        <is>
          <t>User1146</t>
        </is>
      </c>
      <c r="B1379" s="60" t="n">
        <v>45658</v>
      </c>
      <c r="C1379" s="21" t="n">
        <v>162.8</v>
      </c>
      <c r="D1379" s="21" t="n">
        <v>163.55</v>
      </c>
      <c r="E1379" s="21" t="n">
        <v>69.04999999999998</v>
      </c>
      <c r="F1379" s="27">
        <f>IFERROR(IF(OR(C1379="",D1379="",C1379=0),"",D1379/C1379),"")</f>
        <v/>
      </c>
      <c r="G1379" s="21">
        <f>IFERROR(INDEX(Users!$A$2:$A$310,MATCH(A1379,Users!$B$2:$B$310,0)),"")</f>
        <v/>
      </c>
      <c r="H1379" s="21">
        <f>IFERROR(INDEX(Users!$D$2:$D$310,MATCH(A1379,Users!$B$2:$B$310,0)),"")</f>
        <v/>
      </c>
      <c r="I1379" s="19">
        <f>AND(G1379="Service A",H1379="Band 3")</f>
        <v/>
      </c>
      <c r="J1379" s="33">
        <f>IF(AND(YEAR(B1379)=2025,G1379="Service B",OR(H1379="Band 3",H1379="Band 5"),ISNUMBER(F1379)),F1379,"")</f>
        <v/>
      </c>
    </row>
    <row r="1380">
      <c r="A1380" s="19" t="inlineStr">
        <is>
          <t>User1146</t>
        </is>
      </c>
      <c r="B1380" s="60" t="n">
        <v>45689</v>
      </c>
      <c r="C1380" s="21" t="n">
        <v>111</v>
      </c>
      <c r="D1380" s="21" t="n">
        <v>103.02</v>
      </c>
      <c r="E1380" s="21" t="n">
        <v>39.76999999999997</v>
      </c>
      <c r="F1380" s="27">
        <f>IFERROR(IF(OR(C1380="",D1380="",C1380=0),"",D1380/C1380),"")</f>
        <v/>
      </c>
      <c r="G1380" s="21">
        <f>IFERROR(INDEX(Users!$A$2:$A$310,MATCH(A1380,Users!$B$2:$B$310,0)),"")</f>
        <v/>
      </c>
      <c r="H1380" s="21">
        <f>IFERROR(INDEX(Users!$D$2:$D$310,MATCH(A1380,Users!$B$2:$B$310,0)),"")</f>
        <v/>
      </c>
      <c r="I1380" s="19">
        <f>AND(G1380="Service A",H1380="Band 3")</f>
        <v/>
      </c>
      <c r="J1380" s="33">
        <f>IF(AND(YEAR(B1380)=2025,G1380="Service B",OR(H1380="Band 3",H1380="Band 5"),ISNUMBER(F1380)),F1380,"")</f>
        <v/>
      </c>
    </row>
    <row r="1381">
      <c r="A1381" s="19" t="inlineStr">
        <is>
          <t>User1147</t>
        </is>
      </c>
      <c r="B1381" s="60" t="n">
        <v>45658</v>
      </c>
      <c r="C1381" s="21" t="n">
        <v>157.25</v>
      </c>
      <c r="D1381" s="21" t="n">
        <v>143.5866666666667</v>
      </c>
      <c r="E1381" s="21" t="n">
        <v>87.47000000000001</v>
      </c>
      <c r="F1381" s="27">
        <f>IFERROR(IF(OR(C1381="",D1381="",C1381=0),"",D1381/C1381),"")</f>
        <v/>
      </c>
      <c r="G1381" s="21">
        <f>IFERROR(INDEX(Users!$A$2:$A$310,MATCH(A1381,Users!$B$2:$B$310,0)),"")</f>
        <v/>
      </c>
      <c r="H1381" s="21">
        <f>IFERROR(INDEX(Users!$D$2:$D$310,MATCH(A1381,Users!$B$2:$B$310,0)),"")</f>
        <v/>
      </c>
      <c r="I1381" s="19">
        <f>AND(G1381="Service A",H1381="Band 3")</f>
        <v/>
      </c>
      <c r="J1381" s="33">
        <f>IF(AND(YEAR(B1381)=2025,G1381="Service B",OR(H1381="Band 3",H1381="Band 5"),ISNUMBER(F1381)),F1381,"")</f>
        <v/>
      </c>
    </row>
    <row r="1382">
      <c r="A1382" s="19" t="inlineStr">
        <is>
          <t>User1147</t>
        </is>
      </c>
      <c r="B1382" s="60" t="n">
        <v>45689</v>
      </c>
      <c r="C1382" s="21" t="n">
        <v>148</v>
      </c>
      <c r="D1382" s="21" t="n">
        <v>76.68000000000001</v>
      </c>
      <c r="E1382" s="21" t="n">
        <v>49.93</v>
      </c>
      <c r="F1382" s="27">
        <f>IFERROR(IF(OR(C1382="",D1382="",C1382=0),"",D1382/C1382),"")</f>
        <v/>
      </c>
      <c r="G1382" s="21">
        <f>IFERROR(INDEX(Users!$A$2:$A$310,MATCH(A1382,Users!$B$2:$B$310,0)),"")</f>
        <v/>
      </c>
      <c r="H1382" s="21">
        <f>IFERROR(INDEX(Users!$D$2:$D$310,MATCH(A1382,Users!$B$2:$B$310,0)),"")</f>
        <v/>
      </c>
      <c r="I1382" s="19">
        <f>AND(G1382="Service A",H1382="Band 3")</f>
        <v/>
      </c>
      <c r="J1382" s="33">
        <f>IF(AND(YEAR(B1382)=2025,G1382="Service B",OR(H1382="Band 3",H1382="Band 5"),ISNUMBER(F1382)),F1382,"")</f>
        <v/>
      </c>
    </row>
    <row r="1383">
      <c r="A1383" s="19" t="inlineStr">
        <is>
          <t>User1147</t>
        </is>
      </c>
      <c r="B1383" s="60" t="n">
        <v>45717</v>
      </c>
      <c r="C1383" s="21" t="n">
        <v>157.25</v>
      </c>
      <c r="D1383" s="21" t="n"/>
      <c r="E1383" s="21" t="n"/>
      <c r="F1383" s="27">
        <f>IFERROR(IF(OR(C1383="",D1383="",C1383=0),"",D1383/C1383),"")</f>
        <v/>
      </c>
      <c r="G1383" s="21">
        <f>IFERROR(INDEX(Users!$A$2:$A$310,MATCH(A1383,Users!$B$2:$B$310,0)),"")</f>
        <v/>
      </c>
      <c r="H1383" s="21">
        <f>IFERROR(INDEX(Users!$D$2:$D$310,MATCH(A1383,Users!$B$2:$B$310,0)),"")</f>
        <v/>
      </c>
      <c r="I1383" s="19">
        <f>AND(G1383="Service A",H1383="Band 3")</f>
        <v/>
      </c>
      <c r="J1383" s="33">
        <f>IF(AND(YEAR(B1383)=2025,G1383="Service B",OR(H1383="Band 3",H1383="Band 5"),ISNUMBER(F1383)),F1383,"")</f>
        <v/>
      </c>
    </row>
    <row r="1384">
      <c r="A1384" s="19" t="inlineStr">
        <is>
          <t>User1147</t>
        </is>
      </c>
      <c r="B1384" s="60" t="n">
        <v>45748</v>
      </c>
      <c r="C1384" s="21" t="n">
        <v>157.25</v>
      </c>
      <c r="D1384" s="21" t="n"/>
      <c r="E1384" s="21" t="n"/>
      <c r="F1384" s="27">
        <f>IFERROR(IF(OR(C1384="",D1384="",C1384=0),"",D1384/C1384),"")</f>
        <v/>
      </c>
      <c r="G1384" s="21">
        <f>IFERROR(INDEX(Users!$A$2:$A$310,MATCH(A1384,Users!$B$2:$B$310,0)),"")</f>
        <v/>
      </c>
      <c r="H1384" s="21">
        <f>IFERROR(INDEX(Users!$D$2:$D$310,MATCH(A1384,Users!$B$2:$B$310,0)),"")</f>
        <v/>
      </c>
      <c r="I1384" s="19">
        <f>AND(G1384="Service A",H1384="Band 3")</f>
        <v/>
      </c>
      <c r="J1384" s="33">
        <f>IF(AND(YEAR(B1384)=2025,G1384="Service B",OR(H1384="Band 3",H1384="Band 5"),ISNUMBER(F1384)),F1384,"")</f>
        <v/>
      </c>
    </row>
    <row r="1385">
      <c r="A1385" s="19" t="inlineStr">
        <is>
          <t>User1147</t>
        </is>
      </c>
      <c r="B1385" s="60" t="n">
        <v>45778</v>
      </c>
      <c r="C1385" s="21" t="n">
        <v>138.75</v>
      </c>
      <c r="D1385" s="21" t="n"/>
      <c r="E1385" s="21" t="n"/>
      <c r="F1385" s="27">
        <f>IFERROR(IF(OR(C1385="",D1385="",C1385=0),"",D1385/C1385),"")</f>
        <v/>
      </c>
      <c r="G1385" s="21">
        <f>IFERROR(INDEX(Users!$A$2:$A$310,MATCH(A1385,Users!$B$2:$B$310,0)),"")</f>
        <v/>
      </c>
      <c r="H1385" s="21">
        <f>IFERROR(INDEX(Users!$D$2:$D$310,MATCH(A1385,Users!$B$2:$B$310,0)),"")</f>
        <v/>
      </c>
      <c r="I1385" s="19">
        <f>AND(G1385="Service A",H1385="Band 3")</f>
        <v/>
      </c>
      <c r="J1385" s="33">
        <f>IF(AND(YEAR(B1385)=2025,G1385="Service B",OR(H1385="Band 3",H1385="Band 5"),ISNUMBER(F1385)),F1385,"")</f>
        <v/>
      </c>
    </row>
    <row r="1386">
      <c r="A1386" s="19" t="inlineStr">
        <is>
          <t>User1147</t>
        </is>
      </c>
      <c r="B1386" s="60" t="n">
        <v>45809</v>
      </c>
      <c r="C1386" s="21" t="n">
        <v>157.25</v>
      </c>
      <c r="D1386" s="21" t="n">
        <v>4.5</v>
      </c>
      <c r="E1386" s="21" t="n"/>
      <c r="F1386" s="27">
        <f>IFERROR(IF(OR(C1386="",D1386="",C1386=0),"",D1386/C1386),"")</f>
        <v/>
      </c>
      <c r="G1386" s="21">
        <f>IFERROR(INDEX(Users!$A$2:$A$310,MATCH(A1386,Users!$B$2:$B$310,0)),"")</f>
        <v/>
      </c>
      <c r="H1386" s="21">
        <f>IFERROR(INDEX(Users!$D$2:$D$310,MATCH(A1386,Users!$B$2:$B$310,0)),"")</f>
        <v/>
      </c>
      <c r="I1386" s="19">
        <f>AND(G1386="Service A",H1386="Band 3")</f>
        <v/>
      </c>
      <c r="J1386" s="33">
        <f>IF(AND(YEAR(B1386)=2025,G1386="Service B",OR(H1386="Band 3",H1386="Band 5"),ISNUMBER(F1386)),F1386,"")</f>
        <v/>
      </c>
    </row>
    <row r="1387">
      <c r="A1387" s="19" t="inlineStr">
        <is>
          <t>User1147</t>
        </is>
      </c>
      <c r="B1387" s="60" t="n">
        <v>45839</v>
      </c>
      <c r="C1387" s="21" t="n">
        <v>175.75</v>
      </c>
      <c r="D1387" s="21" t="n">
        <v>99.08333333333333</v>
      </c>
      <c r="E1387" s="21" t="n"/>
      <c r="F1387" s="27">
        <f>IFERROR(IF(OR(C1387="",D1387="",C1387=0),"",D1387/C1387),"")</f>
        <v/>
      </c>
      <c r="G1387" s="21">
        <f>IFERROR(INDEX(Users!$A$2:$A$310,MATCH(A1387,Users!$B$2:$B$310,0)),"")</f>
        <v/>
      </c>
      <c r="H1387" s="21">
        <f>IFERROR(INDEX(Users!$D$2:$D$310,MATCH(A1387,Users!$B$2:$B$310,0)),"")</f>
        <v/>
      </c>
      <c r="I1387" s="19">
        <f>AND(G1387="Service A",H1387="Band 3")</f>
        <v/>
      </c>
      <c r="J1387" s="33">
        <f>IF(AND(YEAR(B1387)=2025,G1387="Service B",OR(H1387="Band 3",H1387="Band 5"),ISNUMBER(F1387)),F1387,"")</f>
        <v/>
      </c>
    </row>
    <row r="1388">
      <c r="A1388" s="19" t="inlineStr">
        <is>
          <t>User1147</t>
        </is>
      </c>
      <c r="B1388" s="60" t="n">
        <v>45870</v>
      </c>
      <c r="C1388" s="21" t="n">
        <v>138.75</v>
      </c>
      <c r="D1388" s="21" t="n">
        <v>34.58333333333334</v>
      </c>
      <c r="E1388" s="21" t="n"/>
      <c r="F1388" s="27">
        <f>IFERROR(IF(OR(C1388="",D1388="",C1388=0),"",D1388/C1388),"")</f>
        <v/>
      </c>
      <c r="G1388" s="21">
        <f>IFERROR(INDEX(Users!$A$2:$A$310,MATCH(A1388,Users!$B$2:$B$310,0)),"")</f>
        <v/>
      </c>
      <c r="H1388" s="21">
        <f>IFERROR(INDEX(Users!$D$2:$D$310,MATCH(A1388,Users!$B$2:$B$310,0)),"")</f>
        <v/>
      </c>
      <c r="I1388" s="19">
        <f>AND(G1388="Service A",H1388="Band 3")</f>
        <v/>
      </c>
      <c r="J1388" s="33">
        <f>IF(AND(YEAR(B1388)=2025,G1388="Service B",OR(H1388="Band 3",H1388="Band 5"),ISNUMBER(F1388)),F1388,"")</f>
        <v/>
      </c>
    </row>
    <row r="1389">
      <c r="A1389" s="19" t="inlineStr">
        <is>
          <t>User1147</t>
        </is>
      </c>
      <c r="B1389" s="60" t="n">
        <v>45901</v>
      </c>
      <c r="C1389" s="21" t="n">
        <v>166.5</v>
      </c>
      <c r="D1389" s="21" t="n">
        <v>115.2833333333333</v>
      </c>
      <c r="E1389" s="21" t="n">
        <v>29.70000000000001</v>
      </c>
      <c r="F1389" s="27">
        <f>IFERROR(IF(OR(C1389="",D1389="",C1389=0),"",D1389/C1389),"")</f>
        <v/>
      </c>
      <c r="G1389" s="21">
        <f>IFERROR(INDEX(Users!$A$2:$A$310,MATCH(A1389,Users!$B$2:$B$310,0)),"")</f>
        <v/>
      </c>
      <c r="H1389" s="21">
        <f>IFERROR(INDEX(Users!$D$2:$D$310,MATCH(A1389,Users!$B$2:$B$310,0)),"")</f>
        <v/>
      </c>
      <c r="I1389" s="19">
        <f>AND(G1389="Service A",H1389="Band 3")</f>
        <v/>
      </c>
      <c r="J1389" s="33">
        <f>IF(AND(YEAR(B1389)=2025,G1389="Service B",OR(H1389="Band 3",H1389="Band 5"),ISNUMBER(F1389)),F1389,"")</f>
        <v/>
      </c>
    </row>
    <row r="1390">
      <c r="A1390" s="19" t="inlineStr">
        <is>
          <t>User1147</t>
        </is>
      </c>
      <c r="B1390" s="60" t="n">
        <v>45931</v>
      </c>
      <c r="C1390" s="21" t="n">
        <v>166.5</v>
      </c>
      <c r="D1390" s="21" t="n">
        <v>100.8933333333334</v>
      </c>
      <c r="E1390" s="21" t="n">
        <v>39.06000000000007</v>
      </c>
      <c r="F1390" s="27">
        <f>IFERROR(IF(OR(C1390="",D1390="",C1390=0),"",D1390/C1390),"")</f>
        <v/>
      </c>
      <c r="G1390" s="21">
        <f>IFERROR(INDEX(Users!$A$2:$A$310,MATCH(A1390,Users!$B$2:$B$310,0)),"")</f>
        <v/>
      </c>
      <c r="H1390" s="21">
        <f>IFERROR(INDEX(Users!$D$2:$D$310,MATCH(A1390,Users!$B$2:$B$310,0)),"")</f>
        <v/>
      </c>
      <c r="I1390" s="19">
        <f>AND(G1390="Service A",H1390="Band 3")</f>
        <v/>
      </c>
      <c r="J1390" s="33">
        <f>IF(AND(YEAR(B1390)=2025,G1390="Service B",OR(H1390="Band 3",H1390="Band 5"),ISNUMBER(F1390)),F1390,"")</f>
        <v/>
      </c>
    </row>
    <row r="1391">
      <c r="A1391" s="19" t="inlineStr">
        <is>
          <t>User1147</t>
        </is>
      </c>
      <c r="B1391" s="60" t="n">
        <v>45962</v>
      </c>
      <c r="C1391" s="21" t="n">
        <v>148</v>
      </c>
      <c r="D1391" s="21" t="n">
        <v>131.2566666666667</v>
      </c>
      <c r="E1391" s="21" t="n">
        <v>32.64000000000006</v>
      </c>
      <c r="F1391" s="27">
        <f>IFERROR(IF(OR(C1391="",D1391="",C1391=0),"",D1391/C1391),"")</f>
        <v/>
      </c>
      <c r="G1391" s="21">
        <f>IFERROR(INDEX(Users!$A$2:$A$310,MATCH(A1391,Users!$B$2:$B$310,0)),"")</f>
        <v/>
      </c>
      <c r="H1391" s="21">
        <f>IFERROR(INDEX(Users!$D$2:$D$310,MATCH(A1391,Users!$B$2:$B$310,0)),"")</f>
        <v/>
      </c>
      <c r="I1391" s="19">
        <f>AND(G1391="Service A",H1391="Band 3")</f>
        <v/>
      </c>
      <c r="J1391" s="33">
        <f>IF(AND(YEAR(B1391)=2025,G1391="Service B",OR(H1391="Band 3",H1391="Band 5"),ISNUMBER(F1391)),F1391,"")</f>
        <v/>
      </c>
    </row>
    <row r="1392">
      <c r="A1392" s="19" t="inlineStr">
        <is>
          <t>User1147</t>
        </is>
      </c>
      <c r="B1392" s="60" t="n">
        <v>45992</v>
      </c>
      <c r="C1392" s="21" t="n">
        <v>166.5</v>
      </c>
      <c r="D1392" s="21" t="n">
        <v>103.0433333333333</v>
      </c>
      <c r="E1392" s="21" t="n">
        <v>31.96</v>
      </c>
      <c r="F1392" s="27">
        <f>IFERROR(IF(OR(C1392="",D1392="",C1392=0),"",D1392/C1392),"")</f>
        <v/>
      </c>
      <c r="G1392" s="21">
        <f>IFERROR(INDEX(Users!$A$2:$A$310,MATCH(A1392,Users!$B$2:$B$310,0)),"")</f>
        <v/>
      </c>
      <c r="H1392" s="21">
        <f>IFERROR(INDEX(Users!$D$2:$D$310,MATCH(A1392,Users!$B$2:$B$310,0)),"")</f>
        <v/>
      </c>
      <c r="I1392" s="19">
        <f>AND(G1392="Service A",H1392="Band 3")</f>
        <v/>
      </c>
      <c r="J1392" s="33">
        <f>IF(AND(YEAR(B1392)=2025,G1392="Service B",OR(H1392="Band 3",H1392="Band 5"),ISNUMBER(F1392)),F1392,"")</f>
        <v/>
      </c>
    </row>
    <row r="1393">
      <c r="A1393" s="19" t="inlineStr">
        <is>
          <t>User1147</t>
        </is>
      </c>
      <c r="B1393" s="60" t="n">
        <v>46023</v>
      </c>
      <c r="C1393" s="21" t="n">
        <v>148</v>
      </c>
      <c r="D1393" s="21" t="n">
        <v>118.6633333333334</v>
      </c>
      <c r="E1393" s="21" t="n">
        <v>54.63000000000002</v>
      </c>
      <c r="F1393" s="27">
        <f>IFERROR(IF(OR(C1393="",D1393="",C1393=0),"",D1393/C1393),"")</f>
        <v/>
      </c>
      <c r="G1393" s="21">
        <f>IFERROR(INDEX(Users!$A$2:$A$310,MATCH(A1393,Users!$B$2:$B$310,0)),"")</f>
        <v/>
      </c>
      <c r="H1393" s="21">
        <f>IFERROR(INDEX(Users!$D$2:$D$310,MATCH(A1393,Users!$B$2:$B$310,0)),"")</f>
        <v/>
      </c>
      <c r="I1393" s="19">
        <f>AND(G1393="Service A",H1393="Band 3")</f>
        <v/>
      </c>
      <c r="J1393" s="33">
        <f>IF(AND(YEAR(B1393)=2025,G1393="Service B",OR(H1393="Band 3",H1393="Band 5"),ISNUMBER(F1393)),F1393,"")</f>
        <v/>
      </c>
    </row>
    <row r="1394">
      <c r="A1394" s="19" t="inlineStr">
        <is>
          <t>User1148</t>
        </is>
      </c>
      <c r="B1394" s="60" t="n">
        <v>45658</v>
      </c>
      <c r="C1394" s="21" t="n">
        <v>162.8</v>
      </c>
      <c r="D1394" s="21" t="n">
        <v>143.1033333333333</v>
      </c>
      <c r="E1394" s="21" t="n">
        <v>63.52</v>
      </c>
      <c r="F1394" s="27">
        <f>IFERROR(IF(OR(C1394="",D1394="",C1394=0),"",D1394/C1394),"")</f>
        <v/>
      </c>
      <c r="G1394" s="21">
        <f>IFERROR(INDEX(Users!$A$2:$A$310,MATCH(A1394,Users!$B$2:$B$310,0)),"")</f>
        <v/>
      </c>
      <c r="H1394" s="21">
        <f>IFERROR(INDEX(Users!$D$2:$D$310,MATCH(A1394,Users!$B$2:$B$310,0)),"")</f>
        <v/>
      </c>
      <c r="I1394" s="19">
        <f>AND(G1394="Service A",H1394="Band 3")</f>
        <v/>
      </c>
      <c r="J1394" s="33">
        <f>IF(AND(YEAR(B1394)=2025,G1394="Service B",OR(H1394="Band 3",H1394="Band 5"),ISNUMBER(F1394)),F1394,"")</f>
        <v/>
      </c>
    </row>
    <row r="1395">
      <c r="A1395" s="19" t="inlineStr">
        <is>
          <t>User1148</t>
        </is>
      </c>
      <c r="B1395" s="60" t="n">
        <v>45689</v>
      </c>
      <c r="C1395" s="21" t="n">
        <v>148</v>
      </c>
      <c r="D1395" s="21" t="n">
        <v>111.2733333333333</v>
      </c>
      <c r="E1395" s="21" t="n">
        <v>38.19000000000003</v>
      </c>
      <c r="F1395" s="27">
        <f>IFERROR(IF(OR(C1395="",D1395="",C1395=0),"",D1395/C1395),"")</f>
        <v/>
      </c>
      <c r="G1395" s="21">
        <f>IFERROR(INDEX(Users!$A$2:$A$310,MATCH(A1395,Users!$B$2:$B$310,0)),"")</f>
        <v/>
      </c>
      <c r="H1395" s="21">
        <f>IFERROR(INDEX(Users!$D$2:$D$310,MATCH(A1395,Users!$B$2:$B$310,0)),"")</f>
        <v/>
      </c>
      <c r="I1395" s="19">
        <f>AND(G1395="Service A",H1395="Band 3")</f>
        <v/>
      </c>
      <c r="J1395" s="33">
        <f>IF(AND(YEAR(B1395)=2025,G1395="Service B",OR(H1395="Band 3",H1395="Band 5"),ISNUMBER(F1395)),F1395,"")</f>
        <v/>
      </c>
    </row>
    <row r="1396">
      <c r="A1396" s="19" t="inlineStr">
        <is>
          <t>User1148</t>
        </is>
      </c>
      <c r="B1396" s="60" t="n">
        <v>45717</v>
      </c>
      <c r="C1396" s="21" t="n">
        <v>155.4</v>
      </c>
      <c r="D1396" s="21" t="n">
        <v>158.8366666666668</v>
      </c>
      <c r="E1396" s="21" t="n">
        <v>53.42000000000007</v>
      </c>
      <c r="F1396" s="27">
        <f>IFERROR(IF(OR(C1396="",D1396="",C1396=0),"",D1396/C1396),"")</f>
        <v/>
      </c>
      <c r="G1396" s="21">
        <f>IFERROR(INDEX(Users!$A$2:$A$310,MATCH(A1396,Users!$B$2:$B$310,0)),"")</f>
        <v/>
      </c>
      <c r="H1396" s="21">
        <f>IFERROR(INDEX(Users!$D$2:$D$310,MATCH(A1396,Users!$B$2:$B$310,0)),"")</f>
        <v/>
      </c>
      <c r="I1396" s="19">
        <f>AND(G1396="Service A",H1396="Band 3")</f>
        <v/>
      </c>
      <c r="J1396" s="33">
        <f>IF(AND(YEAR(B1396)=2025,G1396="Service B",OR(H1396="Band 3",H1396="Band 5"),ISNUMBER(F1396)),F1396,"")</f>
        <v/>
      </c>
    </row>
    <row r="1397">
      <c r="A1397" s="19" t="inlineStr">
        <is>
          <t>User1148</t>
        </is>
      </c>
      <c r="B1397" s="60" t="n">
        <v>45748</v>
      </c>
      <c r="C1397" s="21" t="n">
        <v>148</v>
      </c>
      <c r="D1397" s="21" t="n">
        <v>149.49</v>
      </c>
      <c r="E1397" s="21" t="n">
        <v>2.49</v>
      </c>
      <c r="F1397" s="27">
        <f>IFERROR(IF(OR(C1397="",D1397="",C1397=0),"",D1397/C1397),"")</f>
        <v/>
      </c>
      <c r="G1397" s="21">
        <f>IFERROR(INDEX(Users!$A$2:$A$310,MATCH(A1397,Users!$B$2:$B$310,0)),"")</f>
        <v/>
      </c>
      <c r="H1397" s="21">
        <f>IFERROR(INDEX(Users!$D$2:$D$310,MATCH(A1397,Users!$B$2:$B$310,0)),"")</f>
        <v/>
      </c>
      <c r="I1397" s="19">
        <f>AND(G1397="Service A",H1397="Band 3")</f>
        <v/>
      </c>
      <c r="J1397" s="33">
        <f>IF(AND(YEAR(B1397)=2025,G1397="Service B",OR(H1397="Band 3",H1397="Band 5"),ISNUMBER(F1397)),F1397,"")</f>
        <v/>
      </c>
    </row>
    <row r="1398">
      <c r="A1398" s="19" t="inlineStr">
        <is>
          <t>User1148</t>
        </is>
      </c>
      <c r="B1398" s="60" t="n">
        <v>45778</v>
      </c>
      <c r="C1398" s="21" t="n">
        <v>14.8</v>
      </c>
      <c r="D1398" s="21" t="n">
        <v>14.58333333333333</v>
      </c>
      <c r="E1398" s="21" t="n"/>
      <c r="F1398" s="27">
        <f>IFERROR(IF(OR(C1398="",D1398="",C1398=0),"",D1398/C1398),"")</f>
        <v/>
      </c>
      <c r="G1398" s="21">
        <f>IFERROR(INDEX(Users!$A$2:$A$310,MATCH(A1398,Users!$B$2:$B$310,0)),"")</f>
        <v/>
      </c>
      <c r="H1398" s="21">
        <f>IFERROR(INDEX(Users!$D$2:$D$310,MATCH(A1398,Users!$B$2:$B$310,0)),"")</f>
        <v/>
      </c>
      <c r="I1398" s="19">
        <f>AND(G1398="Service A",H1398="Band 3")</f>
        <v/>
      </c>
      <c r="J1398" s="33">
        <f>IF(AND(YEAR(B1398)=2025,G1398="Service B",OR(H1398="Band 3",H1398="Band 5"),ISNUMBER(F1398)),F1398,"")</f>
        <v/>
      </c>
    </row>
    <row r="1399">
      <c r="A1399" s="19" t="inlineStr">
        <is>
          <t>User1149</t>
        </is>
      </c>
      <c r="B1399" s="60" t="n">
        <v>45658</v>
      </c>
      <c r="C1399" s="21" t="n">
        <v>162.8</v>
      </c>
      <c r="D1399" s="21" t="n">
        <v>84.77333333333334</v>
      </c>
      <c r="E1399" s="21" t="n">
        <v>32.19</v>
      </c>
      <c r="F1399" s="27">
        <f>IFERROR(IF(OR(C1399="",D1399="",C1399=0),"",D1399/C1399),"")</f>
        <v/>
      </c>
      <c r="G1399" s="21">
        <f>IFERROR(INDEX(Users!$A$2:$A$310,MATCH(A1399,Users!$B$2:$B$310,0)),"")</f>
        <v/>
      </c>
      <c r="H1399" s="21">
        <f>IFERROR(INDEX(Users!$D$2:$D$310,MATCH(A1399,Users!$B$2:$B$310,0)),"")</f>
        <v/>
      </c>
      <c r="I1399" s="19">
        <f>AND(G1399="Service A",H1399="Band 3")</f>
        <v/>
      </c>
      <c r="J1399" s="33">
        <f>IF(AND(YEAR(B1399)=2025,G1399="Service B",OR(H1399="Band 3",H1399="Band 5"),ISNUMBER(F1399)),F1399,"")</f>
        <v/>
      </c>
    </row>
    <row r="1400">
      <c r="A1400" s="19" t="inlineStr">
        <is>
          <t>User1149</t>
        </is>
      </c>
      <c r="B1400" s="60" t="n">
        <v>45689</v>
      </c>
      <c r="C1400" s="21" t="n">
        <v>148</v>
      </c>
      <c r="D1400" s="21" t="n">
        <v>126.3666666666667</v>
      </c>
      <c r="E1400" s="21" t="n">
        <v>60.85</v>
      </c>
      <c r="F1400" s="27">
        <f>IFERROR(IF(OR(C1400="",D1400="",C1400=0),"",D1400/C1400),"")</f>
        <v/>
      </c>
      <c r="G1400" s="21">
        <f>IFERROR(INDEX(Users!$A$2:$A$310,MATCH(A1400,Users!$B$2:$B$310,0)),"")</f>
        <v/>
      </c>
      <c r="H1400" s="21">
        <f>IFERROR(INDEX(Users!$D$2:$D$310,MATCH(A1400,Users!$B$2:$B$310,0)),"")</f>
        <v/>
      </c>
      <c r="I1400" s="19">
        <f>AND(G1400="Service A",H1400="Band 3")</f>
        <v/>
      </c>
      <c r="J1400" s="33">
        <f>IF(AND(YEAR(B1400)=2025,G1400="Service B",OR(H1400="Band 3",H1400="Band 5"),ISNUMBER(F1400)),F1400,"")</f>
        <v/>
      </c>
    </row>
    <row r="1401">
      <c r="A1401" s="19" t="inlineStr">
        <is>
          <t>User1149</t>
        </is>
      </c>
      <c r="B1401" s="60" t="n">
        <v>45717</v>
      </c>
      <c r="C1401" s="21" t="n">
        <v>155.4</v>
      </c>
      <c r="D1401" s="21" t="n">
        <v>137.9966666666667</v>
      </c>
      <c r="E1401" s="21" t="n">
        <v>69.18000000000001</v>
      </c>
      <c r="F1401" s="27">
        <f>IFERROR(IF(OR(C1401="",D1401="",C1401=0),"",D1401/C1401),"")</f>
        <v/>
      </c>
      <c r="G1401" s="21">
        <f>IFERROR(INDEX(Users!$A$2:$A$310,MATCH(A1401,Users!$B$2:$B$310,0)),"")</f>
        <v/>
      </c>
      <c r="H1401" s="21">
        <f>IFERROR(INDEX(Users!$D$2:$D$310,MATCH(A1401,Users!$B$2:$B$310,0)),"")</f>
        <v/>
      </c>
      <c r="I1401" s="19">
        <f>AND(G1401="Service A",H1401="Band 3")</f>
        <v/>
      </c>
      <c r="J1401" s="33">
        <f>IF(AND(YEAR(B1401)=2025,G1401="Service B",OR(H1401="Band 3",H1401="Band 5"),ISNUMBER(F1401)),F1401,"")</f>
        <v/>
      </c>
    </row>
    <row r="1402">
      <c r="A1402" s="19" t="inlineStr">
        <is>
          <t>User1149</t>
        </is>
      </c>
      <c r="B1402" s="60" t="n">
        <v>45748</v>
      </c>
      <c r="C1402" s="21" t="n">
        <v>148</v>
      </c>
      <c r="D1402" s="21" t="n">
        <v>132.6866666666667</v>
      </c>
      <c r="E1402" s="21" t="n">
        <v>69.22</v>
      </c>
      <c r="F1402" s="27">
        <f>IFERROR(IF(OR(C1402="",D1402="",C1402=0),"",D1402/C1402),"")</f>
        <v/>
      </c>
      <c r="G1402" s="21">
        <f>IFERROR(INDEX(Users!$A$2:$A$310,MATCH(A1402,Users!$B$2:$B$310,0)),"")</f>
        <v/>
      </c>
      <c r="H1402" s="21">
        <f>IFERROR(INDEX(Users!$D$2:$D$310,MATCH(A1402,Users!$B$2:$B$310,0)),"")</f>
        <v/>
      </c>
      <c r="I1402" s="19">
        <f>AND(G1402="Service A",H1402="Band 3")</f>
        <v/>
      </c>
      <c r="J1402" s="33">
        <f>IF(AND(YEAR(B1402)=2025,G1402="Service B",OR(H1402="Band 3",H1402="Band 5"),ISNUMBER(F1402)),F1402,"")</f>
        <v/>
      </c>
    </row>
    <row r="1403">
      <c r="A1403" s="19" t="inlineStr">
        <is>
          <t>User1149</t>
        </is>
      </c>
      <c r="B1403" s="60" t="n">
        <v>45778</v>
      </c>
      <c r="C1403" s="21" t="n">
        <v>148</v>
      </c>
      <c r="D1403" s="21" t="n">
        <v>69.19</v>
      </c>
      <c r="E1403" s="21" t="n">
        <v>28.59</v>
      </c>
      <c r="F1403" s="27">
        <f>IFERROR(IF(OR(C1403="",D1403="",C1403=0),"",D1403/C1403),"")</f>
        <v/>
      </c>
      <c r="G1403" s="21">
        <f>IFERROR(INDEX(Users!$A$2:$A$310,MATCH(A1403,Users!$B$2:$B$310,0)),"")</f>
        <v/>
      </c>
      <c r="H1403" s="21">
        <f>IFERROR(INDEX(Users!$D$2:$D$310,MATCH(A1403,Users!$B$2:$B$310,0)),"")</f>
        <v/>
      </c>
      <c r="I1403" s="19">
        <f>AND(G1403="Service A",H1403="Band 3")</f>
        <v/>
      </c>
      <c r="J1403" s="33">
        <f>IF(AND(YEAR(B1403)=2025,G1403="Service B",OR(H1403="Band 3",H1403="Band 5"),ISNUMBER(F1403)),F1403,"")</f>
        <v/>
      </c>
    </row>
    <row r="1404">
      <c r="A1404" s="19" t="inlineStr">
        <is>
          <t>User1149</t>
        </is>
      </c>
      <c r="B1404" s="60" t="n">
        <v>45809</v>
      </c>
      <c r="C1404" s="21" t="n">
        <v>155.4</v>
      </c>
      <c r="D1404" s="21" t="n">
        <v>7</v>
      </c>
      <c r="E1404" s="21" t="n"/>
      <c r="F1404" s="27">
        <f>IFERROR(IF(OR(C1404="",D1404="",C1404=0),"",D1404/C1404),"")</f>
        <v/>
      </c>
      <c r="G1404" s="21">
        <f>IFERROR(INDEX(Users!$A$2:$A$310,MATCH(A1404,Users!$B$2:$B$310,0)),"")</f>
        <v/>
      </c>
      <c r="H1404" s="21">
        <f>IFERROR(INDEX(Users!$D$2:$D$310,MATCH(A1404,Users!$B$2:$B$310,0)),"")</f>
        <v/>
      </c>
      <c r="I1404" s="19">
        <f>AND(G1404="Service A",H1404="Band 3")</f>
        <v/>
      </c>
      <c r="J1404" s="33">
        <f>IF(AND(YEAR(B1404)=2025,G1404="Service B",OR(H1404="Band 3",H1404="Band 5"),ISNUMBER(F1404)),F1404,"")</f>
        <v/>
      </c>
    </row>
    <row r="1405">
      <c r="A1405" s="19" t="inlineStr">
        <is>
          <t>User1149</t>
        </is>
      </c>
      <c r="B1405" s="60" t="n">
        <v>45839</v>
      </c>
      <c r="C1405" s="21" t="n">
        <v>170.2</v>
      </c>
      <c r="D1405" s="21" t="n">
        <v>70.31</v>
      </c>
      <c r="E1405" s="21" t="n">
        <v>23.01</v>
      </c>
      <c r="F1405" s="27">
        <f>IFERROR(IF(OR(C1405="",D1405="",C1405=0),"",D1405/C1405),"")</f>
        <v/>
      </c>
      <c r="G1405" s="21">
        <f>IFERROR(INDEX(Users!$A$2:$A$310,MATCH(A1405,Users!$B$2:$B$310,0)),"")</f>
        <v/>
      </c>
      <c r="H1405" s="21">
        <f>IFERROR(INDEX(Users!$D$2:$D$310,MATCH(A1405,Users!$B$2:$B$310,0)),"")</f>
        <v/>
      </c>
      <c r="I1405" s="19">
        <f>AND(G1405="Service A",H1405="Band 3")</f>
        <v/>
      </c>
      <c r="J1405" s="33">
        <f>IF(AND(YEAR(B1405)=2025,G1405="Service B",OR(H1405="Band 3",H1405="Band 5"),ISNUMBER(F1405)),F1405,"")</f>
        <v/>
      </c>
    </row>
    <row r="1406">
      <c r="A1406" s="19" t="inlineStr">
        <is>
          <t>User1149</t>
        </is>
      </c>
      <c r="B1406" s="60" t="n">
        <v>45870</v>
      </c>
      <c r="C1406" s="21" t="n">
        <v>7.4</v>
      </c>
      <c r="D1406" s="21" t="n">
        <v>8.256666666666666</v>
      </c>
      <c r="E1406" s="21" t="n">
        <v>2.34</v>
      </c>
      <c r="F1406" s="27">
        <f>IFERROR(IF(OR(C1406="",D1406="",C1406=0),"",D1406/C1406),"")</f>
        <v/>
      </c>
      <c r="G1406" s="21">
        <f>IFERROR(INDEX(Users!$A$2:$A$310,MATCH(A1406,Users!$B$2:$B$310,0)),"")</f>
        <v/>
      </c>
      <c r="H1406" s="21">
        <f>IFERROR(INDEX(Users!$D$2:$D$310,MATCH(A1406,Users!$B$2:$B$310,0)),"")</f>
        <v/>
      </c>
      <c r="I1406" s="19">
        <f>AND(G1406="Service A",H1406="Band 3")</f>
        <v/>
      </c>
      <c r="J1406" s="33">
        <f>IF(AND(YEAR(B1406)=2025,G1406="Service B",OR(H1406="Band 3",H1406="Band 5"),ISNUMBER(F1406)),F1406,"")</f>
        <v/>
      </c>
    </row>
    <row r="1407">
      <c r="A1407" s="19" t="inlineStr">
        <is>
          <t>User1150</t>
        </is>
      </c>
      <c r="B1407" s="60" t="n">
        <v>45658</v>
      </c>
      <c r="C1407" s="21" t="n">
        <v>136</v>
      </c>
      <c r="D1407" s="21" t="n">
        <v>132.2966666666667</v>
      </c>
      <c r="E1407" s="21" t="n">
        <v>83.38</v>
      </c>
      <c r="F1407" s="27">
        <f>IFERROR(IF(OR(C1407="",D1407="",C1407=0),"",D1407/C1407),"")</f>
        <v/>
      </c>
      <c r="G1407" s="21">
        <f>IFERROR(INDEX(Users!$A$2:$A$310,MATCH(A1407,Users!$B$2:$B$310,0)),"")</f>
        <v/>
      </c>
      <c r="H1407" s="21">
        <f>IFERROR(INDEX(Users!$D$2:$D$310,MATCH(A1407,Users!$B$2:$B$310,0)),"")</f>
        <v/>
      </c>
      <c r="I1407" s="19">
        <f>AND(G1407="Service A",H1407="Band 3")</f>
        <v/>
      </c>
      <c r="J1407" s="33">
        <f>IF(AND(YEAR(B1407)=2025,G1407="Service B",OR(H1407="Band 3",H1407="Band 5"),ISNUMBER(F1407)),F1407,"")</f>
        <v/>
      </c>
    </row>
    <row r="1408">
      <c r="A1408" s="19" t="inlineStr">
        <is>
          <t>User1150</t>
        </is>
      </c>
      <c r="B1408" s="60" t="n">
        <v>45689</v>
      </c>
      <c r="C1408" s="21" t="n">
        <v>128</v>
      </c>
      <c r="D1408" s="21" t="n">
        <v>124.0433333333333</v>
      </c>
      <c r="E1408" s="21" t="n">
        <v>82.20999999999999</v>
      </c>
      <c r="F1408" s="27">
        <f>IFERROR(IF(OR(C1408="",D1408="",C1408=0),"",D1408/C1408),"")</f>
        <v/>
      </c>
      <c r="G1408" s="21">
        <f>IFERROR(INDEX(Users!$A$2:$A$310,MATCH(A1408,Users!$B$2:$B$310,0)),"")</f>
        <v/>
      </c>
      <c r="H1408" s="21">
        <f>IFERROR(INDEX(Users!$D$2:$D$310,MATCH(A1408,Users!$B$2:$B$310,0)),"")</f>
        <v/>
      </c>
      <c r="I1408" s="19">
        <f>AND(G1408="Service A",H1408="Band 3")</f>
        <v/>
      </c>
      <c r="J1408" s="33">
        <f>IF(AND(YEAR(B1408)=2025,G1408="Service B",OR(H1408="Band 3",H1408="Band 5"),ISNUMBER(F1408)),F1408,"")</f>
        <v/>
      </c>
    </row>
    <row r="1409">
      <c r="A1409" s="19" t="inlineStr">
        <is>
          <t>User1150</t>
        </is>
      </c>
      <c r="B1409" s="60" t="n">
        <v>45717</v>
      </c>
      <c r="C1409" s="21" t="n">
        <v>136</v>
      </c>
      <c r="D1409" s="21" t="n">
        <v>141.7033333333333</v>
      </c>
      <c r="E1409" s="21" t="n">
        <v>90.92</v>
      </c>
      <c r="F1409" s="27">
        <f>IFERROR(IF(OR(C1409="",D1409="",C1409=0),"",D1409/C1409),"")</f>
        <v/>
      </c>
      <c r="G1409" s="21">
        <f>IFERROR(INDEX(Users!$A$2:$A$310,MATCH(A1409,Users!$B$2:$B$310,0)),"")</f>
        <v/>
      </c>
      <c r="H1409" s="21">
        <f>IFERROR(INDEX(Users!$D$2:$D$310,MATCH(A1409,Users!$B$2:$B$310,0)),"")</f>
        <v/>
      </c>
      <c r="I1409" s="19">
        <f>AND(G1409="Service A",H1409="Band 3")</f>
        <v/>
      </c>
      <c r="J1409" s="33">
        <f>IF(AND(YEAR(B1409)=2025,G1409="Service B",OR(H1409="Band 3",H1409="Band 5"),ISNUMBER(F1409)),F1409,"")</f>
        <v/>
      </c>
    </row>
    <row r="1410">
      <c r="A1410" s="19" t="inlineStr">
        <is>
          <t>User1150</t>
        </is>
      </c>
      <c r="B1410" s="60" t="n">
        <v>45748</v>
      </c>
      <c r="C1410" s="21" t="n">
        <v>136</v>
      </c>
      <c r="D1410" s="21" t="n">
        <v>84.79666666666667</v>
      </c>
      <c r="E1410" s="21" t="n">
        <v>50.28</v>
      </c>
      <c r="F1410" s="27">
        <f>IFERROR(IF(OR(C1410="",D1410="",C1410=0),"",D1410/C1410),"")</f>
        <v/>
      </c>
      <c r="G1410" s="21">
        <f>IFERROR(INDEX(Users!$A$2:$A$310,MATCH(A1410,Users!$B$2:$B$310,0)),"")</f>
        <v/>
      </c>
      <c r="H1410" s="21">
        <f>IFERROR(INDEX(Users!$D$2:$D$310,MATCH(A1410,Users!$B$2:$B$310,0)),"")</f>
        <v/>
      </c>
      <c r="I1410" s="19">
        <f>AND(G1410="Service A",H1410="Band 3")</f>
        <v/>
      </c>
      <c r="J1410" s="33">
        <f>IF(AND(YEAR(B1410)=2025,G1410="Service B",OR(H1410="Band 3",H1410="Band 5"),ISNUMBER(F1410)),F1410,"")</f>
        <v/>
      </c>
    </row>
    <row r="1411">
      <c r="A1411" s="19" t="inlineStr">
        <is>
          <t>User1150</t>
        </is>
      </c>
      <c r="B1411" s="60" t="n">
        <v>45778</v>
      </c>
      <c r="C1411" s="21" t="n">
        <v>120</v>
      </c>
      <c r="D1411" s="21" t="n">
        <v>100.5833333333333</v>
      </c>
      <c r="E1411" s="21" t="n">
        <v>66.7</v>
      </c>
      <c r="F1411" s="27">
        <f>IFERROR(IF(OR(C1411="",D1411="",C1411=0),"",D1411/C1411),"")</f>
        <v/>
      </c>
      <c r="G1411" s="21">
        <f>IFERROR(INDEX(Users!$A$2:$A$310,MATCH(A1411,Users!$B$2:$B$310,0)),"")</f>
        <v/>
      </c>
      <c r="H1411" s="21">
        <f>IFERROR(INDEX(Users!$D$2:$D$310,MATCH(A1411,Users!$B$2:$B$310,0)),"")</f>
        <v/>
      </c>
      <c r="I1411" s="19">
        <f>AND(G1411="Service A",H1411="Band 3")</f>
        <v/>
      </c>
      <c r="J1411" s="33">
        <f>IF(AND(YEAR(B1411)=2025,G1411="Service B",OR(H1411="Band 3",H1411="Band 5"),ISNUMBER(F1411)),F1411,"")</f>
        <v/>
      </c>
    </row>
    <row r="1412">
      <c r="A1412" s="19" t="inlineStr">
        <is>
          <t>User1150</t>
        </is>
      </c>
      <c r="B1412" s="60" t="n">
        <v>45809</v>
      </c>
      <c r="C1412" s="21" t="n">
        <v>136</v>
      </c>
      <c r="D1412" s="21" t="n">
        <v>143.7466666666667</v>
      </c>
      <c r="E1412" s="21" t="n">
        <v>101.73</v>
      </c>
      <c r="F1412" s="27">
        <f>IFERROR(IF(OR(C1412="",D1412="",C1412=0),"",D1412/C1412),"")</f>
        <v/>
      </c>
      <c r="G1412" s="21">
        <f>IFERROR(INDEX(Users!$A$2:$A$310,MATCH(A1412,Users!$B$2:$B$310,0)),"")</f>
        <v/>
      </c>
      <c r="H1412" s="21">
        <f>IFERROR(INDEX(Users!$D$2:$D$310,MATCH(A1412,Users!$B$2:$B$310,0)),"")</f>
        <v/>
      </c>
      <c r="I1412" s="19">
        <f>AND(G1412="Service A",H1412="Band 3")</f>
        <v/>
      </c>
      <c r="J1412" s="33">
        <f>IF(AND(YEAR(B1412)=2025,G1412="Service B",OR(H1412="Band 3",H1412="Band 5"),ISNUMBER(F1412)),F1412,"")</f>
        <v/>
      </c>
    </row>
    <row r="1413">
      <c r="A1413" s="19" t="inlineStr">
        <is>
          <t>User1150</t>
        </is>
      </c>
      <c r="B1413" s="60" t="n">
        <v>45839</v>
      </c>
      <c r="C1413" s="21" t="n">
        <v>152</v>
      </c>
      <c r="D1413" s="21" t="n">
        <v>125.6033333333333</v>
      </c>
      <c r="E1413" s="21" t="n">
        <v>83.96999999999998</v>
      </c>
      <c r="F1413" s="27">
        <f>IFERROR(IF(OR(C1413="",D1413="",C1413=0),"",D1413/C1413),"")</f>
        <v/>
      </c>
      <c r="G1413" s="21">
        <f>IFERROR(INDEX(Users!$A$2:$A$310,MATCH(A1413,Users!$B$2:$B$310,0)),"")</f>
        <v/>
      </c>
      <c r="H1413" s="21">
        <f>IFERROR(INDEX(Users!$D$2:$D$310,MATCH(A1413,Users!$B$2:$B$310,0)),"")</f>
        <v/>
      </c>
      <c r="I1413" s="19">
        <f>AND(G1413="Service A",H1413="Band 3")</f>
        <v/>
      </c>
      <c r="J1413" s="33">
        <f>IF(AND(YEAR(B1413)=2025,G1413="Service B",OR(H1413="Band 3",H1413="Band 5"),ISNUMBER(F1413)),F1413,"")</f>
        <v/>
      </c>
    </row>
    <row r="1414">
      <c r="A1414" s="19" t="inlineStr">
        <is>
          <t>User1150</t>
        </is>
      </c>
      <c r="B1414" s="60" t="n">
        <v>45870</v>
      </c>
      <c r="C1414" s="21" t="n">
        <v>120</v>
      </c>
      <c r="D1414" s="21" t="n">
        <v>74.15000000000001</v>
      </c>
      <c r="E1414" s="21" t="n">
        <v>59.25000000000001</v>
      </c>
      <c r="F1414" s="27">
        <f>IFERROR(IF(OR(C1414="",D1414="",C1414=0),"",D1414/C1414),"")</f>
        <v/>
      </c>
      <c r="G1414" s="21">
        <f>IFERROR(INDEX(Users!$A$2:$A$310,MATCH(A1414,Users!$B$2:$B$310,0)),"")</f>
        <v/>
      </c>
      <c r="H1414" s="21">
        <f>IFERROR(INDEX(Users!$D$2:$D$310,MATCH(A1414,Users!$B$2:$B$310,0)),"")</f>
        <v/>
      </c>
      <c r="I1414" s="19">
        <f>AND(G1414="Service A",H1414="Band 3")</f>
        <v/>
      </c>
      <c r="J1414" s="33">
        <f>IF(AND(YEAR(B1414)=2025,G1414="Service B",OR(H1414="Band 3",H1414="Band 5"),ISNUMBER(F1414)),F1414,"")</f>
        <v/>
      </c>
    </row>
    <row r="1415">
      <c r="A1415" s="19" t="inlineStr">
        <is>
          <t>User1150</t>
        </is>
      </c>
      <c r="B1415" s="60" t="n">
        <v>45901</v>
      </c>
      <c r="C1415" s="21" t="n">
        <v>144</v>
      </c>
      <c r="D1415" s="21" t="n">
        <v>121.5966666666666</v>
      </c>
      <c r="E1415" s="21" t="n">
        <v>88.47999999999999</v>
      </c>
      <c r="F1415" s="27">
        <f>IFERROR(IF(OR(C1415="",D1415="",C1415=0),"",D1415/C1415),"")</f>
        <v/>
      </c>
      <c r="G1415" s="21">
        <f>IFERROR(INDEX(Users!$A$2:$A$310,MATCH(A1415,Users!$B$2:$B$310,0)),"")</f>
        <v/>
      </c>
      <c r="H1415" s="21">
        <f>IFERROR(INDEX(Users!$D$2:$D$310,MATCH(A1415,Users!$B$2:$B$310,0)),"")</f>
        <v/>
      </c>
      <c r="I1415" s="19">
        <f>AND(G1415="Service A",H1415="Band 3")</f>
        <v/>
      </c>
      <c r="J1415" s="33">
        <f>IF(AND(YEAR(B1415)=2025,G1415="Service B",OR(H1415="Band 3",H1415="Band 5"),ISNUMBER(F1415)),F1415,"")</f>
        <v/>
      </c>
    </row>
    <row r="1416">
      <c r="A1416" s="19" t="inlineStr">
        <is>
          <t>User1150</t>
        </is>
      </c>
      <c r="B1416" s="60" t="n">
        <v>45931</v>
      </c>
      <c r="C1416" s="21" t="n">
        <v>144</v>
      </c>
      <c r="D1416" s="21" t="n">
        <v>154.38</v>
      </c>
      <c r="E1416" s="21" t="n">
        <v>111.58</v>
      </c>
      <c r="F1416" s="27">
        <f>IFERROR(IF(OR(C1416="",D1416="",C1416=0),"",D1416/C1416),"")</f>
        <v/>
      </c>
      <c r="G1416" s="21">
        <f>IFERROR(INDEX(Users!$A$2:$A$310,MATCH(A1416,Users!$B$2:$B$310,0)),"")</f>
        <v/>
      </c>
      <c r="H1416" s="21">
        <f>IFERROR(INDEX(Users!$D$2:$D$310,MATCH(A1416,Users!$B$2:$B$310,0)),"")</f>
        <v/>
      </c>
      <c r="I1416" s="19">
        <f>AND(G1416="Service A",H1416="Band 3")</f>
        <v/>
      </c>
      <c r="J1416" s="33">
        <f>IF(AND(YEAR(B1416)=2025,G1416="Service B",OR(H1416="Band 3",H1416="Band 5"),ISNUMBER(F1416)),F1416,"")</f>
        <v/>
      </c>
    </row>
    <row r="1417">
      <c r="A1417" s="19" t="inlineStr">
        <is>
          <t>User1150</t>
        </is>
      </c>
      <c r="B1417" s="60" t="n">
        <v>45962</v>
      </c>
      <c r="C1417" s="21" t="n">
        <v>128</v>
      </c>
      <c r="D1417" s="21" t="n">
        <v>134.1733333333333</v>
      </c>
      <c r="E1417" s="21" t="n">
        <v>104.39</v>
      </c>
      <c r="F1417" s="27">
        <f>IFERROR(IF(OR(C1417="",D1417="",C1417=0),"",D1417/C1417),"")</f>
        <v/>
      </c>
      <c r="G1417" s="21">
        <f>IFERROR(INDEX(Users!$A$2:$A$310,MATCH(A1417,Users!$B$2:$B$310,0)),"")</f>
        <v/>
      </c>
      <c r="H1417" s="21">
        <f>IFERROR(INDEX(Users!$D$2:$D$310,MATCH(A1417,Users!$B$2:$B$310,0)),"")</f>
        <v/>
      </c>
      <c r="I1417" s="19">
        <f>AND(G1417="Service A",H1417="Band 3")</f>
        <v/>
      </c>
      <c r="J1417" s="33">
        <f>IF(AND(YEAR(B1417)=2025,G1417="Service B",OR(H1417="Band 3",H1417="Band 5"),ISNUMBER(F1417)),F1417,"")</f>
        <v/>
      </c>
    </row>
    <row r="1418">
      <c r="A1418" s="19" t="inlineStr">
        <is>
          <t>User1150</t>
        </is>
      </c>
      <c r="B1418" s="60" t="n">
        <v>45992</v>
      </c>
      <c r="C1418" s="21" t="n">
        <v>144</v>
      </c>
      <c r="D1418" s="21" t="n">
        <v>97.55333333333334</v>
      </c>
      <c r="E1418" s="21" t="n">
        <v>63.97</v>
      </c>
      <c r="F1418" s="27">
        <f>IFERROR(IF(OR(C1418="",D1418="",C1418=0),"",D1418/C1418),"")</f>
        <v/>
      </c>
      <c r="G1418" s="21">
        <f>IFERROR(INDEX(Users!$A$2:$A$310,MATCH(A1418,Users!$B$2:$B$310,0)),"")</f>
        <v/>
      </c>
      <c r="H1418" s="21">
        <f>IFERROR(INDEX(Users!$D$2:$D$310,MATCH(A1418,Users!$B$2:$B$310,0)),"")</f>
        <v/>
      </c>
      <c r="I1418" s="19">
        <f>AND(G1418="Service A",H1418="Band 3")</f>
        <v/>
      </c>
      <c r="J1418" s="33">
        <f>IF(AND(YEAR(B1418)=2025,G1418="Service B",OR(H1418="Band 3",H1418="Band 5"),ISNUMBER(F1418)),F1418,"")</f>
        <v/>
      </c>
    </row>
    <row r="1419">
      <c r="A1419" s="19" t="inlineStr">
        <is>
          <t>User1150</t>
        </is>
      </c>
      <c r="B1419" s="60" t="n">
        <v>46023</v>
      </c>
      <c r="C1419" s="21" t="n">
        <v>128</v>
      </c>
      <c r="D1419" s="21" t="n">
        <v>136.16</v>
      </c>
      <c r="E1419" s="21" t="n">
        <v>98.85999999999999</v>
      </c>
      <c r="F1419" s="27">
        <f>IFERROR(IF(OR(C1419="",D1419="",C1419=0),"",D1419/C1419),"")</f>
        <v/>
      </c>
      <c r="G1419" s="21">
        <f>IFERROR(INDEX(Users!$A$2:$A$310,MATCH(A1419,Users!$B$2:$B$310,0)),"")</f>
        <v/>
      </c>
      <c r="H1419" s="21">
        <f>IFERROR(INDEX(Users!$D$2:$D$310,MATCH(A1419,Users!$B$2:$B$310,0)),"")</f>
        <v/>
      </c>
      <c r="I1419" s="19">
        <f>AND(G1419="Service A",H1419="Band 3")</f>
        <v/>
      </c>
      <c r="J1419" s="33">
        <f>IF(AND(YEAR(B1419)=2025,G1419="Service B",OR(H1419="Band 3",H1419="Band 5"),ISNUMBER(F1419)),F1419,"")</f>
        <v/>
      </c>
    </row>
    <row r="1420">
      <c r="A1420" s="19" t="inlineStr">
        <is>
          <t>User1152</t>
        </is>
      </c>
      <c r="B1420" s="60" t="n">
        <v>45658</v>
      </c>
      <c r="C1420" s="21" t="n">
        <v>162.8</v>
      </c>
      <c r="D1420" s="21" t="n">
        <v>151.4566666666667</v>
      </c>
      <c r="E1420" s="21" t="n">
        <v>75.03999999999999</v>
      </c>
      <c r="F1420" s="27">
        <f>IFERROR(IF(OR(C1420="",D1420="",C1420=0),"",D1420/C1420),"")</f>
        <v/>
      </c>
      <c r="G1420" s="21">
        <f>IFERROR(INDEX(Users!$A$2:$A$310,MATCH(A1420,Users!$B$2:$B$310,0)),"")</f>
        <v/>
      </c>
      <c r="H1420" s="21">
        <f>IFERROR(INDEX(Users!$D$2:$D$310,MATCH(A1420,Users!$B$2:$B$310,0)),"")</f>
        <v/>
      </c>
      <c r="I1420" s="19">
        <f>AND(G1420="Service A",H1420="Band 3")</f>
        <v/>
      </c>
      <c r="J1420" s="33">
        <f>IF(AND(YEAR(B1420)=2025,G1420="Service B",OR(H1420="Band 3",H1420="Band 5"),ISNUMBER(F1420)),F1420,"")</f>
        <v/>
      </c>
    </row>
    <row r="1421">
      <c r="A1421" s="19" t="inlineStr">
        <is>
          <t>User1152</t>
        </is>
      </c>
      <c r="B1421" s="60" t="n">
        <v>45689</v>
      </c>
      <c r="C1421" s="21" t="n">
        <v>148</v>
      </c>
      <c r="D1421" s="21" t="n">
        <v>120.5966666666667</v>
      </c>
      <c r="E1421" s="21" t="n">
        <v>55.68000000000001</v>
      </c>
      <c r="F1421" s="27">
        <f>IFERROR(IF(OR(C1421="",D1421="",C1421=0),"",D1421/C1421),"")</f>
        <v/>
      </c>
      <c r="G1421" s="21">
        <f>IFERROR(INDEX(Users!$A$2:$A$310,MATCH(A1421,Users!$B$2:$B$310,0)),"")</f>
        <v/>
      </c>
      <c r="H1421" s="21">
        <f>IFERROR(INDEX(Users!$D$2:$D$310,MATCH(A1421,Users!$B$2:$B$310,0)),"")</f>
        <v/>
      </c>
      <c r="I1421" s="19">
        <f>AND(G1421="Service A",H1421="Band 3")</f>
        <v/>
      </c>
      <c r="J1421" s="33">
        <f>IF(AND(YEAR(B1421)=2025,G1421="Service B",OR(H1421="Band 3",H1421="Band 5"),ISNUMBER(F1421)),F1421,"")</f>
        <v/>
      </c>
    </row>
    <row r="1422">
      <c r="A1422" s="19" t="inlineStr">
        <is>
          <t>User1152</t>
        </is>
      </c>
      <c r="B1422" s="60" t="n">
        <v>45717</v>
      </c>
      <c r="C1422" s="21" t="n">
        <v>155.4</v>
      </c>
      <c r="D1422" s="21" t="n">
        <v>123.9</v>
      </c>
      <c r="E1422" s="21" t="n">
        <v>64.15000000000001</v>
      </c>
      <c r="F1422" s="27">
        <f>IFERROR(IF(OR(C1422="",D1422="",C1422=0),"",D1422/C1422),"")</f>
        <v/>
      </c>
      <c r="G1422" s="21">
        <f>IFERROR(INDEX(Users!$A$2:$A$310,MATCH(A1422,Users!$B$2:$B$310,0)),"")</f>
        <v/>
      </c>
      <c r="H1422" s="21">
        <f>IFERROR(INDEX(Users!$D$2:$D$310,MATCH(A1422,Users!$B$2:$B$310,0)),"")</f>
        <v/>
      </c>
      <c r="I1422" s="19">
        <f>AND(G1422="Service A",H1422="Band 3")</f>
        <v/>
      </c>
      <c r="J1422" s="33">
        <f>IF(AND(YEAR(B1422)=2025,G1422="Service B",OR(H1422="Band 3",H1422="Band 5"),ISNUMBER(F1422)),F1422,"")</f>
        <v/>
      </c>
    </row>
    <row r="1423">
      <c r="A1423" s="19" t="inlineStr">
        <is>
          <t>User1152</t>
        </is>
      </c>
      <c r="B1423" s="60" t="n">
        <v>45748</v>
      </c>
      <c r="C1423" s="21" t="n">
        <v>148</v>
      </c>
      <c r="D1423" s="21" t="n">
        <v>125.6833333333334</v>
      </c>
      <c r="E1423" s="21" t="n">
        <v>64.10000000000001</v>
      </c>
      <c r="F1423" s="27">
        <f>IFERROR(IF(OR(C1423="",D1423="",C1423=0),"",D1423/C1423),"")</f>
        <v/>
      </c>
      <c r="G1423" s="21">
        <f>IFERROR(INDEX(Users!$A$2:$A$310,MATCH(A1423,Users!$B$2:$B$310,0)),"")</f>
        <v/>
      </c>
      <c r="H1423" s="21">
        <f>IFERROR(INDEX(Users!$D$2:$D$310,MATCH(A1423,Users!$B$2:$B$310,0)),"")</f>
        <v/>
      </c>
      <c r="I1423" s="19">
        <f>AND(G1423="Service A",H1423="Band 3")</f>
        <v/>
      </c>
      <c r="J1423" s="33">
        <f>IF(AND(YEAR(B1423)=2025,G1423="Service B",OR(H1423="Band 3",H1423="Band 5"),ISNUMBER(F1423)),F1423,"")</f>
        <v/>
      </c>
    </row>
    <row r="1424">
      <c r="A1424" s="19" t="inlineStr">
        <is>
          <t>User1152</t>
        </is>
      </c>
      <c r="B1424" s="60" t="n">
        <v>45778</v>
      </c>
      <c r="C1424" s="21" t="n">
        <v>148</v>
      </c>
      <c r="D1424" s="21" t="n">
        <v>125.8533333333333</v>
      </c>
      <c r="E1424" s="21" t="n">
        <v>48.02</v>
      </c>
      <c r="F1424" s="27">
        <f>IFERROR(IF(OR(C1424="",D1424="",C1424=0),"",D1424/C1424),"")</f>
        <v/>
      </c>
      <c r="G1424" s="21">
        <f>IFERROR(INDEX(Users!$A$2:$A$310,MATCH(A1424,Users!$B$2:$B$310,0)),"")</f>
        <v/>
      </c>
      <c r="H1424" s="21">
        <f>IFERROR(INDEX(Users!$D$2:$D$310,MATCH(A1424,Users!$B$2:$B$310,0)),"")</f>
        <v/>
      </c>
      <c r="I1424" s="19">
        <f>AND(G1424="Service A",H1424="Band 3")</f>
        <v/>
      </c>
      <c r="J1424" s="33">
        <f>IF(AND(YEAR(B1424)=2025,G1424="Service B",OR(H1424="Band 3",H1424="Band 5"),ISNUMBER(F1424)),F1424,"")</f>
        <v/>
      </c>
    </row>
    <row r="1425">
      <c r="A1425" s="19" t="inlineStr">
        <is>
          <t>User1152</t>
        </is>
      </c>
      <c r="B1425" s="60" t="n">
        <v>45809</v>
      </c>
      <c r="C1425" s="21" t="n">
        <v>155.4</v>
      </c>
      <c r="D1425" s="21" t="n">
        <v>138.0733333333333</v>
      </c>
      <c r="E1425" s="21" t="n">
        <v>54.48999999999999</v>
      </c>
      <c r="F1425" s="27">
        <f>IFERROR(IF(OR(C1425="",D1425="",C1425=0),"",D1425/C1425),"")</f>
        <v/>
      </c>
      <c r="G1425" s="21">
        <f>IFERROR(INDEX(Users!$A$2:$A$310,MATCH(A1425,Users!$B$2:$B$310,0)),"")</f>
        <v/>
      </c>
      <c r="H1425" s="21">
        <f>IFERROR(INDEX(Users!$D$2:$D$310,MATCH(A1425,Users!$B$2:$B$310,0)),"")</f>
        <v/>
      </c>
      <c r="I1425" s="19">
        <f>AND(G1425="Service A",H1425="Band 3")</f>
        <v/>
      </c>
      <c r="J1425" s="33">
        <f>IF(AND(YEAR(B1425)=2025,G1425="Service B",OR(H1425="Band 3",H1425="Band 5"),ISNUMBER(F1425)),F1425,"")</f>
        <v/>
      </c>
    </row>
    <row r="1426">
      <c r="A1426" s="19" t="inlineStr">
        <is>
          <t>User1152</t>
        </is>
      </c>
      <c r="B1426" s="60" t="n">
        <v>45839</v>
      </c>
      <c r="C1426" s="21" t="n">
        <v>170.2</v>
      </c>
      <c r="D1426" s="21" t="n">
        <v>14</v>
      </c>
      <c r="E1426" s="21" t="n">
        <v>1.5</v>
      </c>
      <c r="F1426" s="27">
        <f>IFERROR(IF(OR(C1426="",D1426="",C1426=0),"",D1426/C1426),"")</f>
        <v/>
      </c>
      <c r="G1426" s="21">
        <f>IFERROR(INDEX(Users!$A$2:$A$310,MATCH(A1426,Users!$B$2:$B$310,0)),"")</f>
        <v/>
      </c>
      <c r="H1426" s="21">
        <f>IFERROR(INDEX(Users!$D$2:$D$310,MATCH(A1426,Users!$B$2:$B$310,0)),"")</f>
        <v/>
      </c>
      <c r="I1426" s="19">
        <f>AND(G1426="Service A",H1426="Band 3")</f>
        <v/>
      </c>
      <c r="J1426" s="33">
        <f>IF(AND(YEAR(B1426)=2025,G1426="Service B",OR(H1426="Band 3",H1426="Band 5"),ISNUMBER(F1426)),F1426,"")</f>
        <v/>
      </c>
    </row>
    <row r="1427">
      <c r="A1427" s="19" t="inlineStr">
        <is>
          <t>User1152</t>
        </is>
      </c>
      <c r="B1427" s="60" t="n">
        <v>45870</v>
      </c>
      <c r="C1427" s="21" t="n">
        <v>148</v>
      </c>
      <c r="D1427" s="21" t="n"/>
      <c r="E1427" s="21" t="n"/>
      <c r="F1427" s="27">
        <f>IFERROR(IF(OR(C1427="",D1427="",C1427=0),"",D1427/C1427),"")</f>
        <v/>
      </c>
      <c r="G1427" s="21">
        <f>IFERROR(INDEX(Users!$A$2:$A$310,MATCH(A1427,Users!$B$2:$B$310,0)),"")</f>
        <v/>
      </c>
      <c r="H1427" s="21">
        <f>IFERROR(INDEX(Users!$D$2:$D$310,MATCH(A1427,Users!$B$2:$B$310,0)),"")</f>
        <v/>
      </c>
      <c r="I1427" s="19">
        <f>AND(G1427="Service A",H1427="Band 3")</f>
        <v/>
      </c>
      <c r="J1427" s="33">
        <f>IF(AND(YEAR(B1427)=2025,G1427="Service B",OR(H1427="Band 3",H1427="Band 5"),ISNUMBER(F1427)),F1427,"")</f>
        <v/>
      </c>
    </row>
    <row r="1428">
      <c r="A1428" s="19" t="inlineStr">
        <is>
          <t>User1152</t>
        </is>
      </c>
      <c r="B1428" s="60" t="n">
        <v>45901</v>
      </c>
      <c r="C1428" s="21" t="n">
        <v>162.8</v>
      </c>
      <c r="D1428" s="21" t="n"/>
      <c r="E1428" s="21" t="n"/>
      <c r="F1428" s="27">
        <f>IFERROR(IF(OR(C1428="",D1428="",C1428=0),"",D1428/C1428),"")</f>
        <v/>
      </c>
      <c r="G1428" s="21">
        <f>IFERROR(INDEX(Users!$A$2:$A$310,MATCH(A1428,Users!$B$2:$B$310,0)),"")</f>
        <v/>
      </c>
      <c r="H1428" s="21">
        <f>IFERROR(INDEX(Users!$D$2:$D$310,MATCH(A1428,Users!$B$2:$B$310,0)),"")</f>
        <v/>
      </c>
      <c r="I1428" s="19">
        <f>AND(G1428="Service A",H1428="Band 3")</f>
        <v/>
      </c>
      <c r="J1428" s="33">
        <f>IF(AND(YEAR(B1428)=2025,G1428="Service B",OR(H1428="Band 3",H1428="Band 5"),ISNUMBER(F1428)),F1428,"")</f>
        <v/>
      </c>
    </row>
    <row r="1429">
      <c r="A1429" s="19" t="inlineStr">
        <is>
          <t>User1152</t>
        </is>
      </c>
      <c r="B1429" s="60" t="n">
        <v>45931</v>
      </c>
      <c r="C1429" s="21" t="n">
        <v>170.2</v>
      </c>
      <c r="D1429" s="21" t="n"/>
      <c r="E1429" s="21" t="n"/>
      <c r="F1429" s="27">
        <f>IFERROR(IF(OR(C1429="",D1429="",C1429=0),"",D1429/C1429),"")</f>
        <v/>
      </c>
      <c r="G1429" s="21">
        <f>IFERROR(INDEX(Users!$A$2:$A$310,MATCH(A1429,Users!$B$2:$B$310,0)),"")</f>
        <v/>
      </c>
      <c r="H1429" s="21">
        <f>IFERROR(INDEX(Users!$D$2:$D$310,MATCH(A1429,Users!$B$2:$B$310,0)),"")</f>
        <v/>
      </c>
      <c r="I1429" s="19">
        <f>AND(G1429="Service A",H1429="Band 3")</f>
        <v/>
      </c>
      <c r="J1429" s="33">
        <f>IF(AND(YEAR(B1429)=2025,G1429="Service B",OR(H1429="Band 3",H1429="Band 5"),ISNUMBER(F1429)),F1429,"")</f>
        <v/>
      </c>
    </row>
    <row r="1430">
      <c r="A1430" s="19" t="inlineStr">
        <is>
          <t>User1152</t>
        </is>
      </c>
      <c r="B1430" s="60" t="n">
        <v>45962</v>
      </c>
      <c r="C1430" s="21" t="n">
        <v>148</v>
      </c>
      <c r="D1430" s="21" t="n"/>
      <c r="E1430" s="21" t="n"/>
      <c r="F1430" s="27">
        <f>IFERROR(IF(OR(C1430="",D1430="",C1430=0),"",D1430/C1430),"")</f>
        <v/>
      </c>
      <c r="G1430" s="21">
        <f>IFERROR(INDEX(Users!$A$2:$A$310,MATCH(A1430,Users!$B$2:$B$310,0)),"")</f>
        <v/>
      </c>
      <c r="H1430" s="21">
        <f>IFERROR(INDEX(Users!$D$2:$D$310,MATCH(A1430,Users!$B$2:$B$310,0)),"")</f>
        <v/>
      </c>
      <c r="I1430" s="19">
        <f>AND(G1430="Service A",H1430="Band 3")</f>
        <v/>
      </c>
      <c r="J1430" s="33">
        <f>IF(AND(YEAR(B1430)=2025,G1430="Service B",OR(H1430="Band 3",H1430="Band 5"),ISNUMBER(F1430)),F1430,"")</f>
        <v/>
      </c>
    </row>
    <row r="1431">
      <c r="A1431" s="19" t="inlineStr">
        <is>
          <t>User1152</t>
        </is>
      </c>
      <c r="B1431" s="60" t="n">
        <v>45992</v>
      </c>
      <c r="C1431" s="21" t="n">
        <v>37</v>
      </c>
      <c r="D1431" s="21" t="n">
        <v>2.16</v>
      </c>
      <c r="E1431" s="21" t="n">
        <v>2.16</v>
      </c>
      <c r="F1431" s="27">
        <f>IFERROR(IF(OR(C1431="",D1431="",C1431=0),"",D1431/C1431),"")</f>
        <v/>
      </c>
      <c r="G1431" s="21">
        <f>IFERROR(INDEX(Users!$A$2:$A$310,MATCH(A1431,Users!$B$2:$B$310,0)),"")</f>
        <v/>
      </c>
      <c r="H1431" s="21">
        <f>IFERROR(INDEX(Users!$D$2:$D$310,MATCH(A1431,Users!$B$2:$B$310,0)),"")</f>
        <v/>
      </c>
      <c r="I1431" s="19">
        <f>AND(G1431="Service A",H1431="Band 3")</f>
        <v/>
      </c>
      <c r="J1431" s="33">
        <f>IF(AND(YEAR(B1431)=2025,G1431="Service B",OR(H1431="Band 3",H1431="Band 5"),ISNUMBER(F1431)),F1431,"")</f>
        <v/>
      </c>
    </row>
    <row r="1432">
      <c r="A1432" s="19" t="inlineStr">
        <is>
          <t>User1153</t>
        </is>
      </c>
      <c r="B1432" s="60" t="n">
        <v>45658</v>
      </c>
      <c r="C1432" s="21" t="n">
        <v>162.8</v>
      </c>
      <c r="D1432" s="21" t="n">
        <v>155.6733333333333</v>
      </c>
      <c r="E1432" s="21" t="n">
        <v>111.34</v>
      </c>
      <c r="F1432" s="27">
        <f>IFERROR(IF(OR(C1432="",D1432="",C1432=0),"",D1432/C1432),"")</f>
        <v/>
      </c>
      <c r="G1432" s="21">
        <f>IFERROR(INDEX(Users!$A$2:$A$310,MATCH(A1432,Users!$B$2:$B$310,0)),"")</f>
        <v/>
      </c>
      <c r="H1432" s="21">
        <f>IFERROR(INDEX(Users!$D$2:$D$310,MATCH(A1432,Users!$B$2:$B$310,0)),"")</f>
        <v/>
      </c>
      <c r="I1432" s="19">
        <f>AND(G1432="Service A",H1432="Band 3")</f>
        <v/>
      </c>
      <c r="J1432" s="33">
        <f>IF(AND(YEAR(B1432)=2025,G1432="Service B",OR(H1432="Band 3",H1432="Band 5"),ISNUMBER(F1432)),F1432,"")</f>
        <v/>
      </c>
    </row>
    <row r="1433">
      <c r="A1433" s="19" t="inlineStr">
        <is>
          <t>User1153</t>
        </is>
      </c>
      <c r="B1433" s="60" t="n">
        <v>45689</v>
      </c>
      <c r="C1433" s="21" t="n">
        <v>148</v>
      </c>
      <c r="D1433" s="21" t="n">
        <v>110.2066666666667</v>
      </c>
      <c r="E1433" s="21" t="n">
        <v>78.54000000000001</v>
      </c>
      <c r="F1433" s="27">
        <f>IFERROR(IF(OR(C1433="",D1433="",C1433=0),"",D1433/C1433),"")</f>
        <v/>
      </c>
      <c r="G1433" s="21">
        <f>IFERROR(INDEX(Users!$A$2:$A$310,MATCH(A1433,Users!$B$2:$B$310,0)),"")</f>
        <v/>
      </c>
      <c r="H1433" s="21">
        <f>IFERROR(INDEX(Users!$D$2:$D$310,MATCH(A1433,Users!$B$2:$B$310,0)),"")</f>
        <v/>
      </c>
      <c r="I1433" s="19">
        <f>AND(G1433="Service A",H1433="Band 3")</f>
        <v/>
      </c>
      <c r="J1433" s="33">
        <f>IF(AND(YEAR(B1433)=2025,G1433="Service B",OR(H1433="Band 3",H1433="Band 5"),ISNUMBER(F1433)),F1433,"")</f>
        <v/>
      </c>
    </row>
    <row r="1434">
      <c r="A1434" s="19" t="inlineStr">
        <is>
          <t>User1153</t>
        </is>
      </c>
      <c r="B1434" s="60" t="n">
        <v>45717</v>
      </c>
      <c r="C1434" s="21" t="n">
        <v>155.4</v>
      </c>
      <c r="D1434" s="21" t="n">
        <v>155.3933333333333</v>
      </c>
      <c r="E1434" s="21" t="n">
        <v>109.81</v>
      </c>
      <c r="F1434" s="27">
        <f>IFERROR(IF(OR(C1434="",D1434="",C1434=0),"",D1434/C1434),"")</f>
        <v/>
      </c>
      <c r="G1434" s="21">
        <f>IFERROR(INDEX(Users!$A$2:$A$310,MATCH(A1434,Users!$B$2:$B$310,0)),"")</f>
        <v/>
      </c>
      <c r="H1434" s="21">
        <f>IFERROR(INDEX(Users!$D$2:$D$310,MATCH(A1434,Users!$B$2:$B$310,0)),"")</f>
        <v/>
      </c>
      <c r="I1434" s="19">
        <f>AND(G1434="Service A",H1434="Band 3")</f>
        <v/>
      </c>
      <c r="J1434" s="33">
        <f>IF(AND(YEAR(B1434)=2025,G1434="Service B",OR(H1434="Band 3",H1434="Band 5"),ISNUMBER(F1434)),F1434,"")</f>
        <v/>
      </c>
    </row>
    <row r="1435">
      <c r="A1435" s="19" t="inlineStr">
        <is>
          <t>User1153</t>
        </is>
      </c>
      <c r="B1435" s="60" t="n">
        <v>45748</v>
      </c>
      <c r="C1435" s="21" t="n">
        <v>148</v>
      </c>
      <c r="D1435" s="21" t="n">
        <v>119.01</v>
      </c>
      <c r="E1435" s="21" t="n">
        <v>77.01000000000001</v>
      </c>
      <c r="F1435" s="27">
        <f>IFERROR(IF(OR(C1435="",D1435="",C1435=0),"",D1435/C1435),"")</f>
        <v/>
      </c>
      <c r="G1435" s="21">
        <f>IFERROR(INDEX(Users!$A$2:$A$310,MATCH(A1435,Users!$B$2:$B$310,0)),"")</f>
        <v/>
      </c>
      <c r="H1435" s="21">
        <f>IFERROR(INDEX(Users!$D$2:$D$310,MATCH(A1435,Users!$B$2:$B$310,0)),"")</f>
        <v/>
      </c>
      <c r="I1435" s="19">
        <f>AND(G1435="Service A",H1435="Band 3")</f>
        <v/>
      </c>
      <c r="J1435" s="33">
        <f>IF(AND(YEAR(B1435)=2025,G1435="Service B",OR(H1435="Band 3",H1435="Band 5"),ISNUMBER(F1435)),F1435,"")</f>
        <v/>
      </c>
    </row>
    <row r="1436">
      <c r="A1436" s="19" t="inlineStr">
        <is>
          <t>User1153</t>
        </is>
      </c>
      <c r="B1436" s="60" t="n">
        <v>45778</v>
      </c>
      <c r="C1436" s="21" t="n">
        <v>148</v>
      </c>
      <c r="D1436" s="21" t="n">
        <v>118.2066666666667</v>
      </c>
      <c r="E1436" s="21" t="n">
        <v>71.29000000000001</v>
      </c>
      <c r="F1436" s="27">
        <f>IFERROR(IF(OR(C1436="",D1436="",C1436=0),"",D1436/C1436),"")</f>
        <v/>
      </c>
      <c r="G1436" s="21">
        <f>IFERROR(INDEX(Users!$A$2:$A$310,MATCH(A1436,Users!$B$2:$B$310,0)),"")</f>
        <v/>
      </c>
      <c r="H1436" s="21">
        <f>IFERROR(INDEX(Users!$D$2:$D$310,MATCH(A1436,Users!$B$2:$B$310,0)),"")</f>
        <v/>
      </c>
      <c r="I1436" s="19">
        <f>AND(G1436="Service A",H1436="Band 3")</f>
        <v/>
      </c>
      <c r="J1436" s="33">
        <f>IF(AND(YEAR(B1436)=2025,G1436="Service B",OR(H1436="Band 3",H1436="Band 5"),ISNUMBER(F1436)),F1436,"")</f>
        <v/>
      </c>
    </row>
    <row r="1437">
      <c r="A1437" s="19" t="inlineStr">
        <is>
          <t>User1153</t>
        </is>
      </c>
      <c r="B1437" s="60" t="n">
        <v>45809</v>
      </c>
      <c r="C1437" s="21" t="n">
        <v>155.4</v>
      </c>
      <c r="D1437" s="21" t="n">
        <v>142.7333333333333</v>
      </c>
      <c r="E1437" s="21" t="n">
        <v>85.40000000000003</v>
      </c>
      <c r="F1437" s="27">
        <f>IFERROR(IF(OR(C1437="",D1437="",C1437=0),"",D1437/C1437),"")</f>
        <v/>
      </c>
      <c r="G1437" s="21">
        <f>IFERROR(INDEX(Users!$A$2:$A$310,MATCH(A1437,Users!$B$2:$B$310,0)),"")</f>
        <v/>
      </c>
      <c r="H1437" s="21">
        <f>IFERROR(INDEX(Users!$D$2:$D$310,MATCH(A1437,Users!$B$2:$B$310,0)),"")</f>
        <v/>
      </c>
      <c r="I1437" s="19">
        <f>AND(G1437="Service A",H1437="Band 3")</f>
        <v/>
      </c>
      <c r="J1437" s="33">
        <f>IF(AND(YEAR(B1437)=2025,G1437="Service B",OR(H1437="Band 3",H1437="Band 5"),ISNUMBER(F1437)),F1437,"")</f>
        <v/>
      </c>
    </row>
    <row r="1438">
      <c r="A1438" s="19" t="inlineStr">
        <is>
          <t>User1153</t>
        </is>
      </c>
      <c r="B1438" s="60" t="n">
        <v>45839</v>
      </c>
      <c r="C1438" s="21" t="n">
        <v>170.2</v>
      </c>
      <c r="D1438" s="21" t="n">
        <v>176.0366666666667</v>
      </c>
      <c r="E1438" s="21" t="n">
        <v>125.62</v>
      </c>
      <c r="F1438" s="27">
        <f>IFERROR(IF(OR(C1438="",D1438="",C1438=0),"",D1438/C1438),"")</f>
        <v/>
      </c>
      <c r="G1438" s="21">
        <f>IFERROR(INDEX(Users!$A$2:$A$310,MATCH(A1438,Users!$B$2:$B$310,0)),"")</f>
        <v/>
      </c>
      <c r="H1438" s="21">
        <f>IFERROR(INDEX(Users!$D$2:$D$310,MATCH(A1438,Users!$B$2:$B$310,0)),"")</f>
        <v/>
      </c>
      <c r="I1438" s="19">
        <f>AND(G1438="Service A",H1438="Band 3")</f>
        <v/>
      </c>
      <c r="J1438" s="33">
        <f>IF(AND(YEAR(B1438)=2025,G1438="Service B",OR(H1438="Band 3",H1438="Band 5"),ISNUMBER(F1438)),F1438,"")</f>
        <v/>
      </c>
    </row>
    <row r="1439">
      <c r="A1439" s="19" t="inlineStr">
        <is>
          <t>User1153</t>
        </is>
      </c>
      <c r="B1439" s="60" t="n">
        <v>45870</v>
      </c>
      <c r="C1439" s="21" t="n">
        <v>148</v>
      </c>
      <c r="D1439" s="21" t="n">
        <v>108.88</v>
      </c>
      <c r="E1439" s="21" t="n">
        <v>60.38</v>
      </c>
      <c r="F1439" s="27">
        <f>IFERROR(IF(OR(C1439="",D1439="",C1439=0),"",D1439/C1439),"")</f>
        <v/>
      </c>
      <c r="G1439" s="21">
        <f>IFERROR(INDEX(Users!$A$2:$A$310,MATCH(A1439,Users!$B$2:$B$310,0)),"")</f>
        <v/>
      </c>
      <c r="H1439" s="21">
        <f>IFERROR(INDEX(Users!$D$2:$D$310,MATCH(A1439,Users!$B$2:$B$310,0)),"")</f>
        <v/>
      </c>
      <c r="I1439" s="19">
        <f>AND(G1439="Service A",H1439="Band 3")</f>
        <v/>
      </c>
      <c r="J1439" s="33">
        <f>IF(AND(YEAR(B1439)=2025,G1439="Service B",OR(H1439="Band 3",H1439="Band 5"),ISNUMBER(F1439)),F1439,"")</f>
        <v/>
      </c>
    </row>
    <row r="1440">
      <c r="A1440" s="19" t="inlineStr">
        <is>
          <t>User1153</t>
        </is>
      </c>
      <c r="B1440" s="60" t="n">
        <v>45901</v>
      </c>
      <c r="C1440" s="21" t="n">
        <v>162.8</v>
      </c>
      <c r="D1440" s="21" t="n">
        <v>146.7333333333333</v>
      </c>
      <c r="E1440" s="21" t="n">
        <v>99.89999999999999</v>
      </c>
      <c r="F1440" s="27">
        <f>IFERROR(IF(OR(C1440="",D1440="",C1440=0),"",D1440/C1440),"")</f>
        <v/>
      </c>
      <c r="G1440" s="21">
        <f>IFERROR(INDEX(Users!$A$2:$A$310,MATCH(A1440,Users!$B$2:$B$310,0)),"")</f>
        <v/>
      </c>
      <c r="H1440" s="21">
        <f>IFERROR(INDEX(Users!$D$2:$D$310,MATCH(A1440,Users!$B$2:$B$310,0)),"")</f>
        <v/>
      </c>
      <c r="I1440" s="19">
        <f>AND(G1440="Service A",H1440="Band 3")</f>
        <v/>
      </c>
      <c r="J1440" s="33">
        <f>IF(AND(YEAR(B1440)=2025,G1440="Service B",OR(H1440="Band 3",H1440="Band 5"),ISNUMBER(F1440)),F1440,"")</f>
        <v/>
      </c>
    </row>
    <row r="1441">
      <c r="A1441" s="19" t="inlineStr">
        <is>
          <t>User1153</t>
        </is>
      </c>
      <c r="B1441" s="60" t="n">
        <v>45931</v>
      </c>
      <c r="C1441" s="21" t="n">
        <v>170.2</v>
      </c>
      <c r="D1441" s="21" t="n">
        <v>174.6533333333334</v>
      </c>
      <c r="E1441" s="21" t="n">
        <v>98.82000000000004</v>
      </c>
      <c r="F1441" s="27">
        <f>IFERROR(IF(OR(C1441="",D1441="",C1441=0),"",D1441/C1441),"")</f>
        <v/>
      </c>
      <c r="G1441" s="21">
        <f>IFERROR(INDEX(Users!$A$2:$A$310,MATCH(A1441,Users!$B$2:$B$310,0)),"")</f>
        <v/>
      </c>
      <c r="H1441" s="21">
        <f>IFERROR(INDEX(Users!$D$2:$D$310,MATCH(A1441,Users!$B$2:$B$310,0)),"")</f>
        <v/>
      </c>
      <c r="I1441" s="19">
        <f>AND(G1441="Service A",H1441="Band 3")</f>
        <v/>
      </c>
      <c r="J1441" s="33">
        <f>IF(AND(YEAR(B1441)=2025,G1441="Service B",OR(H1441="Band 3",H1441="Band 5"),ISNUMBER(F1441)),F1441,"")</f>
        <v/>
      </c>
    </row>
    <row r="1442">
      <c r="A1442" s="19" t="inlineStr">
        <is>
          <t>User1153</t>
        </is>
      </c>
      <c r="B1442" s="60" t="n">
        <v>45962</v>
      </c>
      <c r="C1442" s="21" t="n">
        <v>148</v>
      </c>
      <c r="D1442" s="21" t="n">
        <v>133.51</v>
      </c>
      <c r="E1442" s="21" t="n">
        <v>91.50999999999999</v>
      </c>
      <c r="F1442" s="27">
        <f>IFERROR(IF(OR(C1442="",D1442="",C1442=0),"",D1442/C1442),"")</f>
        <v/>
      </c>
      <c r="G1442" s="21">
        <f>IFERROR(INDEX(Users!$A$2:$A$310,MATCH(A1442,Users!$B$2:$B$310,0)),"")</f>
        <v/>
      </c>
      <c r="H1442" s="21">
        <f>IFERROR(INDEX(Users!$D$2:$D$310,MATCH(A1442,Users!$B$2:$B$310,0)),"")</f>
        <v/>
      </c>
      <c r="I1442" s="19">
        <f>AND(G1442="Service A",H1442="Band 3")</f>
        <v/>
      </c>
      <c r="J1442" s="33">
        <f>IF(AND(YEAR(B1442)=2025,G1442="Service B",OR(H1442="Band 3",H1442="Band 5"),ISNUMBER(F1442)),F1442,"")</f>
        <v/>
      </c>
    </row>
    <row r="1443">
      <c r="A1443" s="19" t="inlineStr">
        <is>
          <t>User1153</t>
        </is>
      </c>
      <c r="B1443" s="60" t="n">
        <v>45992</v>
      </c>
      <c r="C1443" s="21" t="n">
        <v>155.4</v>
      </c>
      <c r="D1443" s="21" t="n">
        <v>132.8266666666667</v>
      </c>
      <c r="E1443" s="21" t="n">
        <v>90.16000000000001</v>
      </c>
      <c r="F1443" s="27">
        <f>IFERROR(IF(OR(C1443="",D1443="",C1443=0),"",D1443/C1443),"")</f>
        <v/>
      </c>
      <c r="G1443" s="21">
        <f>IFERROR(INDEX(Users!$A$2:$A$310,MATCH(A1443,Users!$B$2:$B$310,0)),"")</f>
        <v/>
      </c>
      <c r="H1443" s="21">
        <f>IFERROR(INDEX(Users!$D$2:$D$310,MATCH(A1443,Users!$B$2:$B$310,0)),"")</f>
        <v/>
      </c>
      <c r="I1443" s="19">
        <f>AND(G1443="Service A",H1443="Band 3")</f>
        <v/>
      </c>
      <c r="J1443" s="33">
        <f>IF(AND(YEAR(B1443)=2025,G1443="Service B",OR(H1443="Band 3",H1443="Band 5"),ISNUMBER(F1443)),F1443,"")</f>
        <v/>
      </c>
    </row>
    <row r="1444">
      <c r="A1444" s="19" t="inlineStr">
        <is>
          <t>User1153</t>
        </is>
      </c>
      <c r="B1444" s="60" t="n">
        <v>46023</v>
      </c>
      <c r="C1444" s="21" t="n">
        <v>155.4</v>
      </c>
      <c r="D1444" s="21" t="n">
        <v>146.13</v>
      </c>
      <c r="E1444" s="21" t="n">
        <v>99.88000000000001</v>
      </c>
      <c r="F1444" s="27">
        <f>IFERROR(IF(OR(C1444="",D1444="",C1444=0),"",D1444/C1444),"")</f>
        <v/>
      </c>
      <c r="G1444" s="21">
        <f>IFERROR(INDEX(Users!$A$2:$A$310,MATCH(A1444,Users!$B$2:$B$310,0)),"")</f>
        <v/>
      </c>
      <c r="H1444" s="21">
        <f>IFERROR(INDEX(Users!$D$2:$D$310,MATCH(A1444,Users!$B$2:$B$310,0)),"")</f>
        <v/>
      </c>
      <c r="I1444" s="19">
        <f>AND(G1444="Service A",H1444="Band 3")</f>
        <v/>
      </c>
      <c r="J1444" s="33">
        <f>IF(AND(YEAR(B1444)=2025,G1444="Service B",OR(H1444="Band 3",H1444="Band 5"),ISNUMBER(F1444)),F1444,"")</f>
        <v/>
      </c>
    </row>
    <row r="1445">
      <c r="A1445" s="19" t="inlineStr">
        <is>
          <t>User1154</t>
        </is>
      </c>
      <c r="B1445" s="60" t="n">
        <v>45658</v>
      </c>
      <c r="C1445" s="21" t="n">
        <v>162.8</v>
      </c>
      <c r="D1445" s="21" t="n">
        <v>56.76333333333333</v>
      </c>
      <c r="E1445" s="21" t="n">
        <v>5.78</v>
      </c>
      <c r="F1445" s="27">
        <f>IFERROR(IF(OR(C1445="",D1445="",C1445=0),"",D1445/C1445),"")</f>
        <v/>
      </c>
      <c r="G1445" s="21">
        <f>IFERROR(INDEX(Users!$A$2:$A$310,MATCH(A1445,Users!$B$2:$B$310,0)),"")</f>
        <v/>
      </c>
      <c r="H1445" s="21">
        <f>IFERROR(INDEX(Users!$D$2:$D$310,MATCH(A1445,Users!$B$2:$B$310,0)),"")</f>
        <v/>
      </c>
      <c r="I1445" s="19">
        <f>AND(G1445="Service A",H1445="Band 3")</f>
        <v/>
      </c>
      <c r="J1445" s="33">
        <f>IF(AND(YEAR(B1445)=2025,G1445="Service B",OR(H1445="Band 3",H1445="Band 5"),ISNUMBER(F1445)),F1445,"")</f>
        <v/>
      </c>
    </row>
    <row r="1446">
      <c r="A1446" s="19" t="inlineStr">
        <is>
          <t>User1154</t>
        </is>
      </c>
      <c r="B1446" s="60" t="n">
        <v>45689</v>
      </c>
      <c r="C1446" s="21" t="n">
        <v>148</v>
      </c>
      <c r="D1446" s="21" t="n">
        <v>72.49333333333333</v>
      </c>
      <c r="E1446" s="21" t="n">
        <v>13.71</v>
      </c>
      <c r="F1446" s="27">
        <f>IFERROR(IF(OR(C1446="",D1446="",C1446=0),"",D1446/C1446),"")</f>
        <v/>
      </c>
      <c r="G1446" s="21">
        <f>IFERROR(INDEX(Users!$A$2:$A$310,MATCH(A1446,Users!$B$2:$B$310,0)),"")</f>
        <v/>
      </c>
      <c r="H1446" s="21">
        <f>IFERROR(INDEX(Users!$D$2:$D$310,MATCH(A1446,Users!$B$2:$B$310,0)),"")</f>
        <v/>
      </c>
      <c r="I1446" s="19">
        <f>AND(G1446="Service A",H1446="Band 3")</f>
        <v/>
      </c>
      <c r="J1446" s="33">
        <f>IF(AND(YEAR(B1446)=2025,G1446="Service B",OR(H1446="Band 3",H1446="Band 5"),ISNUMBER(F1446)),F1446,"")</f>
        <v/>
      </c>
    </row>
    <row r="1447">
      <c r="A1447" s="19" t="inlineStr">
        <is>
          <t>User1154</t>
        </is>
      </c>
      <c r="B1447" s="60" t="n">
        <v>45717</v>
      </c>
      <c r="C1447" s="21" t="n">
        <v>155.4</v>
      </c>
      <c r="D1447" s="21" t="n">
        <v>48.25666666666667</v>
      </c>
      <c r="E1447" s="21" t="n">
        <v>12.69</v>
      </c>
      <c r="F1447" s="27">
        <f>IFERROR(IF(OR(C1447="",D1447="",C1447=0),"",D1447/C1447),"")</f>
        <v/>
      </c>
      <c r="G1447" s="21">
        <f>IFERROR(INDEX(Users!$A$2:$A$310,MATCH(A1447,Users!$B$2:$B$310,0)),"")</f>
        <v/>
      </c>
      <c r="H1447" s="21">
        <f>IFERROR(INDEX(Users!$D$2:$D$310,MATCH(A1447,Users!$B$2:$B$310,0)),"")</f>
        <v/>
      </c>
      <c r="I1447" s="19">
        <f>AND(G1447="Service A",H1447="Band 3")</f>
        <v/>
      </c>
      <c r="J1447" s="33">
        <f>IF(AND(YEAR(B1447)=2025,G1447="Service B",OR(H1447="Band 3",H1447="Band 5"),ISNUMBER(F1447)),F1447,"")</f>
        <v/>
      </c>
    </row>
    <row r="1448">
      <c r="A1448" s="19" t="inlineStr">
        <is>
          <t>User1154</t>
        </is>
      </c>
      <c r="B1448" s="60" t="n">
        <v>45748</v>
      </c>
      <c r="C1448" s="21" t="n">
        <v>148</v>
      </c>
      <c r="D1448" s="21" t="n">
        <v>38.52</v>
      </c>
      <c r="E1448" s="21" t="n">
        <v>26.72</v>
      </c>
      <c r="F1448" s="27">
        <f>IFERROR(IF(OR(C1448="",D1448="",C1448=0),"",D1448/C1448),"")</f>
        <v/>
      </c>
      <c r="G1448" s="21">
        <f>IFERROR(INDEX(Users!$A$2:$A$310,MATCH(A1448,Users!$B$2:$B$310,0)),"")</f>
        <v/>
      </c>
      <c r="H1448" s="21">
        <f>IFERROR(INDEX(Users!$D$2:$D$310,MATCH(A1448,Users!$B$2:$B$310,0)),"")</f>
        <v/>
      </c>
      <c r="I1448" s="19">
        <f>AND(G1448="Service A",H1448="Band 3")</f>
        <v/>
      </c>
      <c r="J1448" s="33">
        <f>IF(AND(YEAR(B1448)=2025,G1448="Service B",OR(H1448="Band 3",H1448="Band 5"),ISNUMBER(F1448)),F1448,"")</f>
        <v/>
      </c>
    </row>
    <row r="1449">
      <c r="A1449" s="19" t="inlineStr">
        <is>
          <t>User1154</t>
        </is>
      </c>
      <c r="B1449" s="60" t="n">
        <v>45778</v>
      </c>
      <c r="C1449" s="21" t="n">
        <v>148</v>
      </c>
      <c r="D1449" s="21" t="n">
        <v>38.2</v>
      </c>
      <c r="E1449" s="21" t="n">
        <v>18.6</v>
      </c>
      <c r="F1449" s="27">
        <f>IFERROR(IF(OR(C1449="",D1449="",C1449=0),"",D1449/C1449),"")</f>
        <v/>
      </c>
      <c r="G1449" s="21">
        <f>IFERROR(INDEX(Users!$A$2:$A$310,MATCH(A1449,Users!$B$2:$B$310,0)),"")</f>
        <v/>
      </c>
      <c r="H1449" s="21">
        <f>IFERROR(INDEX(Users!$D$2:$D$310,MATCH(A1449,Users!$B$2:$B$310,0)),"")</f>
        <v/>
      </c>
      <c r="I1449" s="19">
        <f>AND(G1449="Service A",H1449="Band 3")</f>
        <v/>
      </c>
      <c r="J1449" s="33">
        <f>IF(AND(YEAR(B1449)=2025,G1449="Service B",OR(H1449="Band 3",H1449="Band 5"),ISNUMBER(F1449)),F1449,"")</f>
        <v/>
      </c>
    </row>
    <row r="1450">
      <c r="A1450" s="19" t="inlineStr">
        <is>
          <t>User1154</t>
        </is>
      </c>
      <c r="B1450" s="60" t="n">
        <v>45809</v>
      </c>
      <c r="C1450" s="21" t="n">
        <v>155.4</v>
      </c>
      <c r="D1450" s="21" t="n">
        <v>83.95333333333332</v>
      </c>
      <c r="E1450" s="21" t="n">
        <v>43.02</v>
      </c>
      <c r="F1450" s="27">
        <f>IFERROR(IF(OR(C1450="",D1450="",C1450=0),"",D1450/C1450),"")</f>
        <v/>
      </c>
      <c r="G1450" s="21">
        <f>IFERROR(INDEX(Users!$A$2:$A$310,MATCH(A1450,Users!$B$2:$B$310,0)),"")</f>
        <v/>
      </c>
      <c r="H1450" s="21">
        <f>IFERROR(INDEX(Users!$D$2:$D$310,MATCH(A1450,Users!$B$2:$B$310,0)),"")</f>
        <v/>
      </c>
      <c r="I1450" s="19">
        <f>AND(G1450="Service A",H1450="Band 3")</f>
        <v/>
      </c>
      <c r="J1450" s="33">
        <f>IF(AND(YEAR(B1450)=2025,G1450="Service B",OR(H1450="Band 3",H1450="Band 5"),ISNUMBER(F1450)),F1450,"")</f>
        <v/>
      </c>
    </row>
    <row r="1451">
      <c r="A1451" s="19" t="inlineStr">
        <is>
          <t>User1154</t>
        </is>
      </c>
      <c r="B1451" s="60" t="n">
        <v>45839</v>
      </c>
      <c r="C1451" s="21" t="n">
        <v>170.2</v>
      </c>
      <c r="D1451" s="21" t="n">
        <v>111.32</v>
      </c>
      <c r="E1451" s="21" t="n">
        <v>63.16999999999999</v>
      </c>
      <c r="F1451" s="27">
        <f>IFERROR(IF(OR(C1451="",D1451="",C1451=0),"",D1451/C1451),"")</f>
        <v/>
      </c>
      <c r="G1451" s="21">
        <f>IFERROR(INDEX(Users!$A$2:$A$310,MATCH(A1451,Users!$B$2:$B$310,0)),"")</f>
        <v/>
      </c>
      <c r="H1451" s="21">
        <f>IFERROR(INDEX(Users!$D$2:$D$310,MATCH(A1451,Users!$B$2:$B$310,0)),"")</f>
        <v/>
      </c>
      <c r="I1451" s="19">
        <f>AND(G1451="Service A",H1451="Band 3")</f>
        <v/>
      </c>
      <c r="J1451" s="33">
        <f>IF(AND(YEAR(B1451)=2025,G1451="Service B",OR(H1451="Band 3",H1451="Band 5"),ISNUMBER(F1451)),F1451,"")</f>
        <v/>
      </c>
    </row>
    <row r="1452">
      <c r="A1452" s="19" t="inlineStr">
        <is>
          <t>User1154</t>
        </is>
      </c>
      <c r="B1452" s="60" t="n">
        <v>45870</v>
      </c>
      <c r="C1452" s="21" t="n">
        <v>148</v>
      </c>
      <c r="D1452" s="21" t="n">
        <v>123.5133333333333</v>
      </c>
      <c r="E1452" s="21" t="n">
        <v>76.87999999999998</v>
      </c>
      <c r="F1452" s="27">
        <f>IFERROR(IF(OR(C1452="",D1452="",C1452=0),"",D1452/C1452),"")</f>
        <v/>
      </c>
      <c r="G1452" s="21">
        <f>IFERROR(INDEX(Users!$A$2:$A$310,MATCH(A1452,Users!$B$2:$B$310,0)),"")</f>
        <v/>
      </c>
      <c r="H1452" s="21">
        <f>IFERROR(INDEX(Users!$D$2:$D$310,MATCH(A1452,Users!$B$2:$B$310,0)),"")</f>
        <v/>
      </c>
      <c r="I1452" s="19">
        <f>AND(G1452="Service A",H1452="Band 3")</f>
        <v/>
      </c>
      <c r="J1452" s="33">
        <f>IF(AND(YEAR(B1452)=2025,G1452="Service B",OR(H1452="Band 3",H1452="Band 5"),ISNUMBER(F1452)),F1452,"")</f>
        <v/>
      </c>
    </row>
    <row r="1453">
      <c r="A1453" s="19" t="inlineStr">
        <is>
          <t>User1154</t>
        </is>
      </c>
      <c r="B1453" s="60" t="n">
        <v>45901</v>
      </c>
      <c r="C1453" s="21" t="n">
        <v>162.8</v>
      </c>
      <c r="D1453" s="21" t="n">
        <v>77.49333333333334</v>
      </c>
      <c r="E1453" s="21" t="n">
        <v>47.86</v>
      </c>
      <c r="F1453" s="27">
        <f>IFERROR(IF(OR(C1453="",D1453="",C1453=0),"",D1453/C1453),"")</f>
        <v/>
      </c>
      <c r="G1453" s="21">
        <f>IFERROR(INDEX(Users!$A$2:$A$310,MATCH(A1453,Users!$B$2:$B$310,0)),"")</f>
        <v/>
      </c>
      <c r="H1453" s="21">
        <f>IFERROR(INDEX(Users!$D$2:$D$310,MATCH(A1453,Users!$B$2:$B$310,0)),"")</f>
        <v/>
      </c>
      <c r="I1453" s="19">
        <f>AND(G1453="Service A",H1453="Band 3")</f>
        <v/>
      </c>
      <c r="J1453" s="33">
        <f>IF(AND(YEAR(B1453)=2025,G1453="Service B",OR(H1453="Band 3",H1453="Band 5"),ISNUMBER(F1453)),F1453,"")</f>
        <v/>
      </c>
    </row>
    <row r="1454">
      <c r="A1454" s="19" t="inlineStr">
        <is>
          <t>User1154</t>
        </is>
      </c>
      <c r="B1454" s="60" t="n">
        <v>45931</v>
      </c>
      <c r="C1454" s="21" t="n">
        <v>170.2</v>
      </c>
      <c r="D1454" s="21" t="n"/>
      <c r="E1454" s="21" t="n"/>
      <c r="F1454" s="27">
        <f>IFERROR(IF(OR(C1454="",D1454="",C1454=0),"",D1454/C1454),"")</f>
        <v/>
      </c>
      <c r="G1454" s="21">
        <f>IFERROR(INDEX(Users!$A$2:$A$310,MATCH(A1454,Users!$B$2:$B$310,0)),"")</f>
        <v/>
      </c>
      <c r="H1454" s="21">
        <f>IFERROR(INDEX(Users!$D$2:$D$310,MATCH(A1454,Users!$B$2:$B$310,0)),"")</f>
        <v/>
      </c>
      <c r="I1454" s="19">
        <f>AND(G1454="Service A",H1454="Band 3")</f>
        <v/>
      </c>
      <c r="J1454" s="33">
        <f>IF(AND(YEAR(B1454)=2025,G1454="Service B",OR(H1454="Band 3",H1454="Band 5"),ISNUMBER(F1454)),F1454,"")</f>
        <v/>
      </c>
    </row>
    <row r="1455">
      <c r="A1455" s="19" t="inlineStr">
        <is>
          <t>User1154</t>
        </is>
      </c>
      <c r="B1455" s="60" t="n">
        <v>45962</v>
      </c>
      <c r="C1455" s="21" t="n">
        <v>148</v>
      </c>
      <c r="D1455" s="21" t="n"/>
      <c r="E1455" s="21" t="n"/>
      <c r="F1455" s="27">
        <f>IFERROR(IF(OR(C1455="",D1455="",C1455=0),"",D1455/C1455),"")</f>
        <v/>
      </c>
      <c r="G1455" s="21">
        <f>IFERROR(INDEX(Users!$A$2:$A$310,MATCH(A1455,Users!$B$2:$B$310,0)),"")</f>
        <v/>
      </c>
      <c r="H1455" s="21">
        <f>IFERROR(INDEX(Users!$D$2:$D$310,MATCH(A1455,Users!$B$2:$B$310,0)),"")</f>
        <v/>
      </c>
      <c r="I1455" s="19">
        <f>AND(G1455="Service A",H1455="Band 3")</f>
        <v/>
      </c>
      <c r="J1455" s="33">
        <f>IF(AND(YEAR(B1455)=2025,G1455="Service B",OR(H1455="Band 3",H1455="Band 5"),ISNUMBER(F1455)),F1455,"")</f>
        <v/>
      </c>
    </row>
    <row r="1456">
      <c r="A1456" s="19" t="inlineStr">
        <is>
          <t>User1154</t>
        </is>
      </c>
      <c r="B1456" s="60" t="n">
        <v>45992</v>
      </c>
      <c r="C1456" s="21" t="n">
        <v>155.4</v>
      </c>
      <c r="D1456" s="21" t="n">
        <v>4</v>
      </c>
      <c r="E1456" s="21" t="n">
        <v>4</v>
      </c>
      <c r="F1456" s="27">
        <f>IFERROR(IF(OR(C1456="",D1456="",C1456=0),"",D1456/C1456),"")</f>
        <v/>
      </c>
      <c r="G1456" s="21">
        <f>IFERROR(INDEX(Users!$A$2:$A$310,MATCH(A1456,Users!$B$2:$B$310,0)),"")</f>
        <v/>
      </c>
      <c r="H1456" s="21">
        <f>IFERROR(INDEX(Users!$D$2:$D$310,MATCH(A1456,Users!$B$2:$B$310,0)),"")</f>
        <v/>
      </c>
      <c r="I1456" s="19">
        <f>AND(G1456="Service A",H1456="Band 3")</f>
        <v/>
      </c>
      <c r="J1456" s="33">
        <f>IF(AND(YEAR(B1456)=2025,G1456="Service B",OR(H1456="Band 3",H1456="Band 5"),ISNUMBER(F1456)),F1456,"")</f>
        <v/>
      </c>
    </row>
    <row r="1457">
      <c r="A1457" s="19" t="inlineStr">
        <is>
          <t>User1154</t>
        </is>
      </c>
      <c r="B1457" s="60" t="n">
        <v>46023</v>
      </c>
      <c r="C1457" s="21" t="n">
        <v>155.4</v>
      </c>
      <c r="D1457" s="21" t="n">
        <v>11</v>
      </c>
      <c r="E1457" s="21" t="n">
        <v>11</v>
      </c>
      <c r="F1457" s="27">
        <f>IFERROR(IF(OR(C1457="",D1457="",C1457=0),"",D1457/C1457),"")</f>
        <v/>
      </c>
      <c r="G1457" s="21">
        <f>IFERROR(INDEX(Users!$A$2:$A$310,MATCH(A1457,Users!$B$2:$B$310,0)),"")</f>
        <v/>
      </c>
      <c r="H1457" s="21">
        <f>IFERROR(INDEX(Users!$D$2:$D$310,MATCH(A1457,Users!$B$2:$B$310,0)),"")</f>
        <v/>
      </c>
      <c r="I1457" s="19">
        <f>AND(G1457="Service A",H1457="Band 3")</f>
        <v/>
      </c>
      <c r="J1457" s="33">
        <f>IF(AND(YEAR(B1457)=2025,G1457="Service B",OR(H1457="Band 3",H1457="Band 5"),ISNUMBER(F1457)),F1457,"")</f>
        <v/>
      </c>
    </row>
    <row r="1458">
      <c r="A1458" s="19" t="inlineStr">
        <is>
          <t>User1156</t>
        </is>
      </c>
      <c r="B1458" s="60" t="n">
        <v>45689</v>
      </c>
      <c r="C1458" s="21" t="n">
        <v>37</v>
      </c>
      <c r="D1458" s="21" t="n">
        <v>21.09</v>
      </c>
      <c r="E1458" s="21" t="n">
        <v>5.59</v>
      </c>
      <c r="F1458" s="27">
        <f>IFERROR(IF(OR(C1458="",D1458="",C1458=0),"",D1458/C1458),"")</f>
        <v/>
      </c>
      <c r="G1458" s="21">
        <f>IFERROR(INDEX(Users!$A$2:$A$310,MATCH(A1458,Users!$B$2:$B$310,0)),"")</f>
        <v/>
      </c>
      <c r="H1458" s="21">
        <f>IFERROR(INDEX(Users!$D$2:$D$310,MATCH(A1458,Users!$B$2:$B$310,0)),"")</f>
        <v/>
      </c>
      <c r="I1458" s="19">
        <f>AND(G1458="Service A",H1458="Band 3")</f>
        <v/>
      </c>
      <c r="J1458" s="33">
        <f>IF(AND(YEAR(B1458)=2025,G1458="Service B",OR(H1458="Band 3",H1458="Band 5"),ISNUMBER(F1458)),F1458,"")</f>
        <v/>
      </c>
    </row>
    <row r="1459">
      <c r="A1459" s="19" t="inlineStr">
        <is>
          <t>User1156</t>
        </is>
      </c>
      <c r="B1459" s="60" t="n">
        <v>45717</v>
      </c>
      <c r="C1459" s="21" t="n">
        <v>155.4</v>
      </c>
      <c r="D1459" s="21" t="n">
        <v>119.59</v>
      </c>
      <c r="E1459" s="21" t="n">
        <v>50.84000000000002</v>
      </c>
      <c r="F1459" s="27">
        <f>IFERROR(IF(OR(C1459="",D1459="",C1459=0),"",D1459/C1459),"")</f>
        <v/>
      </c>
      <c r="G1459" s="21">
        <f>IFERROR(INDEX(Users!$A$2:$A$310,MATCH(A1459,Users!$B$2:$B$310,0)),"")</f>
        <v/>
      </c>
      <c r="H1459" s="21">
        <f>IFERROR(INDEX(Users!$D$2:$D$310,MATCH(A1459,Users!$B$2:$B$310,0)),"")</f>
        <v/>
      </c>
      <c r="I1459" s="19">
        <f>AND(G1459="Service A",H1459="Band 3")</f>
        <v/>
      </c>
      <c r="J1459" s="33">
        <f>IF(AND(YEAR(B1459)=2025,G1459="Service B",OR(H1459="Band 3",H1459="Band 5"),ISNUMBER(F1459)),F1459,"")</f>
        <v/>
      </c>
    </row>
    <row r="1460">
      <c r="A1460" s="19" t="inlineStr">
        <is>
          <t>User1156</t>
        </is>
      </c>
      <c r="B1460" s="60" t="n">
        <v>45748</v>
      </c>
      <c r="C1460" s="21" t="n">
        <v>148</v>
      </c>
      <c r="D1460" s="21" t="n">
        <v>128.4866666666667</v>
      </c>
      <c r="E1460" s="21" t="n">
        <v>63.82000000000004</v>
      </c>
      <c r="F1460" s="27">
        <f>IFERROR(IF(OR(C1460="",D1460="",C1460=0),"",D1460/C1460),"")</f>
        <v/>
      </c>
      <c r="G1460" s="21">
        <f>IFERROR(INDEX(Users!$A$2:$A$310,MATCH(A1460,Users!$B$2:$B$310,0)),"")</f>
        <v/>
      </c>
      <c r="H1460" s="21">
        <f>IFERROR(INDEX(Users!$D$2:$D$310,MATCH(A1460,Users!$B$2:$B$310,0)),"")</f>
        <v/>
      </c>
      <c r="I1460" s="19">
        <f>AND(G1460="Service A",H1460="Band 3")</f>
        <v/>
      </c>
      <c r="J1460" s="33">
        <f>IF(AND(YEAR(B1460)=2025,G1460="Service B",OR(H1460="Band 3",H1460="Band 5"),ISNUMBER(F1460)),F1460,"")</f>
        <v/>
      </c>
    </row>
    <row r="1461">
      <c r="A1461" s="19" t="inlineStr">
        <is>
          <t>User1156</t>
        </is>
      </c>
      <c r="B1461" s="60" t="n">
        <v>45778</v>
      </c>
      <c r="C1461" s="21" t="n">
        <v>148</v>
      </c>
      <c r="D1461" s="21" t="n">
        <v>71.41000000000001</v>
      </c>
      <c r="E1461" s="21" t="n">
        <v>38.16000000000001</v>
      </c>
      <c r="F1461" s="27">
        <f>IFERROR(IF(OR(C1461="",D1461="",C1461=0),"",D1461/C1461),"")</f>
        <v/>
      </c>
      <c r="G1461" s="21">
        <f>IFERROR(INDEX(Users!$A$2:$A$310,MATCH(A1461,Users!$B$2:$B$310,0)),"")</f>
        <v/>
      </c>
      <c r="H1461" s="21">
        <f>IFERROR(INDEX(Users!$D$2:$D$310,MATCH(A1461,Users!$B$2:$B$310,0)),"")</f>
        <v/>
      </c>
      <c r="I1461" s="19">
        <f>AND(G1461="Service A",H1461="Band 3")</f>
        <v/>
      </c>
      <c r="J1461" s="33">
        <f>IF(AND(YEAR(B1461)=2025,G1461="Service B",OR(H1461="Band 3",H1461="Band 5"),ISNUMBER(F1461)),F1461,"")</f>
        <v/>
      </c>
    </row>
    <row r="1462">
      <c r="A1462" s="19" t="inlineStr">
        <is>
          <t>User1156</t>
        </is>
      </c>
      <c r="B1462" s="60" t="n">
        <v>45809</v>
      </c>
      <c r="C1462" s="21" t="n">
        <v>155.4</v>
      </c>
      <c r="D1462" s="21" t="n">
        <v>77.14000000000003</v>
      </c>
      <c r="E1462" s="21" t="n">
        <v>38.99000000000003</v>
      </c>
      <c r="F1462" s="27">
        <f>IFERROR(IF(OR(C1462="",D1462="",C1462=0),"",D1462/C1462),"")</f>
        <v/>
      </c>
      <c r="G1462" s="21">
        <f>IFERROR(INDEX(Users!$A$2:$A$310,MATCH(A1462,Users!$B$2:$B$310,0)),"")</f>
        <v/>
      </c>
      <c r="H1462" s="21">
        <f>IFERROR(INDEX(Users!$D$2:$D$310,MATCH(A1462,Users!$B$2:$B$310,0)),"")</f>
        <v/>
      </c>
      <c r="I1462" s="19">
        <f>AND(G1462="Service A",H1462="Band 3")</f>
        <v/>
      </c>
      <c r="J1462" s="33">
        <f>IF(AND(YEAR(B1462)=2025,G1462="Service B",OR(H1462="Band 3",H1462="Band 5"),ISNUMBER(F1462)),F1462,"")</f>
        <v/>
      </c>
    </row>
    <row r="1463">
      <c r="A1463" s="19" t="inlineStr">
        <is>
          <t>User1156</t>
        </is>
      </c>
      <c r="B1463" s="60" t="n">
        <v>45839</v>
      </c>
      <c r="C1463" s="21" t="n">
        <v>170.2</v>
      </c>
      <c r="D1463" s="21" t="n">
        <v>152.63</v>
      </c>
      <c r="E1463" s="21" t="n">
        <v>94.88</v>
      </c>
      <c r="F1463" s="27">
        <f>IFERROR(IF(OR(C1463="",D1463="",C1463=0),"",D1463/C1463),"")</f>
        <v/>
      </c>
      <c r="G1463" s="21">
        <f>IFERROR(INDEX(Users!$A$2:$A$310,MATCH(A1463,Users!$B$2:$B$310,0)),"")</f>
        <v/>
      </c>
      <c r="H1463" s="21">
        <f>IFERROR(INDEX(Users!$D$2:$D$310,MATCH(A1463,Users!$B$2:$B$310,0)),"")</f>
        <v/>
      </c>
      <c r="I1463" s="19">
        <f>AND(G1463="Service A",H1463="Band 3")</f>
        <v/>
      </c>
      <c r="J1463" s="33">
        <f>IF(AND(YEAR(B1463)=2025,G1463="Service B",OR(H1463="Band 3",H1463="Band 5"),ISNUMBER(F1463)),F1463,"")</f>
        <v/>
      </c>
    </row>
    <row r="1464">
      <c r="A1464" s="19" t="inlineStr">
        <is>
          <t>User1156</t>
        </is>
      </c>
      <c r="B1464" s="60" t="n">
        <v>45870</v>
      </c>
      <c r="C1464" s="21" t="n">
        <v>148</v>
      </c>
      <c r="D1464" s="21" t="n">
        <v>133.54</v>
      </c>
      <c r="E1464" s="21" t="n">
        <v>82.29000000000001</v>
      </c>
      <c r="F1464" s="27">
        <f>IFERROR(IF(OR(C1464="",D1464="",C1464=0),"",D1464/C1464),"")</f>
        <v/>
      </c>
      <c r="G1464" s="21">
        <f>IFERROR(INDEX(Users!$A$2:$A$310,MATCH(A1464,Users!$B$2:$B$310,0)),"")</f>
        <v/>
      </c>
      <c r="H1464" s="21">
        <f>IFERROR(INDEX(Users!$D$2:$D$310,MATCH(A1464,Users!$B$2:$B$310,0)),"")</f>
        <v/>
      </c>
      <c r="I1464" s="19">
        <f>AND(G1464="Service A",H1464="Band 3")</f>
        <v/>
      </c>
      <c r="J1464" s="33">
        <f>IF(AND(YEAR(B1464)=2025,G1464="Service B",OR(H1464="Band 3",H1464="Band 5"),ISNUMBER(F1464)),F1464,"")</f>
        <v/>
      </c>
    </row>
    <row r="1465">
      <c r="A1465" s="19" t="inlineStr">
        <is>
          <t>User1156</t>
        </is>
      </c>
      <c r="B1465" s="60" t="n">
        <v>45901</v>
      </c>
      <c r="C1465" s="21" t="n">
        <v>162.8</v>
      </c>
      <c r="D1465" s="21" t="n">
        <v>94.32000000000001</v>
      </c>
      <c r="E1465" s="21" t="n">
        <v>48.42000000000001</v>
      </c>
      <c r="F1465" s="27">
        <f>IFERROR(IF(OR(C1465="",D1465="",C1465=0),"",D1465/C1465),"")</f>
        <v/>
      </c>
      <c r="G1465" s="21">
        <f>IFERROR(INDEX(Users!$A$2:$A$310,MATCH(A1465,Users!$B$2:$B$310,0)),"")</f>
        <v/>
      </c>
      <c r="H1465" s="21">
        <f>IFERROR(INDEX(Users!$D$2:$D$310,MATCH(A1465,Users!$B$2:$B$310,0)),"")</f>
        <v/>
      </c>
      <c r="I1465" s="19">
        <f>AND(G1465="Service A",H1465="Band 3")</f>
        <v/>
      </c>
      <c r="J1465" s="33">
        <f>IF(AND(YEAR(B1465)=2025,G1465="Service B",OR(H1465="Band 3",H1465="Band 5"),ISNUMBER(F1465)),F1465,"")</f>
        <v/>
      </c>
    </row>
    <row r="1466">
      <c r="A1466" s="19" t="inlineStr">
        <is>
          <t>User1156</t>
        </is>
      </c>
      <c r="B1466" s="60" t="n">
        <v>45931</v>
      </c>
      <c r="C1466" s="21" t="n">
        <v>170.2</v>
      </c>
      <c r="D1466" s="21" t="n">
        <v>163.9133333333334</v>
      </c>
      <c r="E1466" s="21" t="n">
        <v>77.33000000000001</v>
      </c>
      <c r="F1466" s="27">
        <f>IFERROR(IF(OR(C1466="",D1466="",C1466=0),"",D1466/C1466),"")</f>
        <v/>
      </c>
      <c r="G1466" s="21">
        <f>IFERROR(INDEX(Users!$A$2:$A$310,MATCH(A1466,Users!$B$2:$B$310,0)),"")</f>
        <v/>
      </c>
      <c r="H1466" s="21">
        <f>IFERROR(INDEX(Users!$D$2:$D$310,MATCH(A1466,Users!$B$2:$B$310,0)),"")</f>
        <v/>
      </c>
      <c r="I1466" s="19">
        <f>AND(G1466="Service A",H1466="Band 3")</f>
        <v/>
      </c>
      <c r="J1466" s="33">
        <f>IF(AND(YEAR(B1466)=2025,G1466="Service B",OR(H1466="Band 3",H1466="Band 5"),ISNUMBER(F1466)),F1466,"")</f>
        <v/>
      </c>
    </row>
    <row r="1467">
      <c r="A1467" s="19" t="inlineStr">
        <is>
          <t>User1156</t>
        </is>
      </c>
      <c r="B1467" s="60" t="n">
        <v>45962</v>
      </c>
      <c r="C1467" s="21" t="n">
        <v>148</v>
      </c>
      <c r="D1467" s="21" t="n">
        <v>138.02</v>
      </c>
      <c r="E1467" s="21" t="n">
        <v>85.71999999999998</v>
      </c>
      <c r="F1467" s="27">
        <f>IFERROR(IF(OR(C1467="",D1467="",C1467=0),"",D1467/C1467),"")</f>
        <v/>
      </c>
      <c r="G1467" s="21">
        <f>IFERROR(INDEX(Users!$A$2:$A$310,MATCH(A1467,Users!$B$2:$B$310,0)),"")</f>
        <v/>
      </c>
      <c r="H1467" s="21">
        <f>IFERROR(INDEX(Users!$D$2:$D$310,MATCH(A1467,Users!$B$2:$B$310,0)),"")</f>
        <v/>
      </c>
      <c r="I1467" s="19">
        <f>AND(G1467="Service A",H1467="Band 3")</f>
        <v/>
      </c>
      <c r="J1467" s="33">
        <f>IF(AND(YEAR(B1467)=2025,G1467="Service B",OR(H1467="Band 3",H1467="Band 5"),ISNUMBER(F1467)),F1467,"")</f>
        <v/>
      </c>
    </row>
    <row r="1468">
      <c r="A1468" s="19" t="inlineStr">
        <is>
          <t>User1156</t>
        </is>
      </c>
      <c r="B1468" s="60" t="n">
        <v>45992</v>
      </c>
      <c r="C1468" s="21" t="n">
        <v>155.4</v>
      </c>
      <c r="D1468" s="21" t="n">
        <v>137.15</v>
      </c>
      <c r="E1468" s="21" t="n">
        <v>79.99999999999997</v>
      </c>
      <c r="F1468" s="27">
        <f>IFERROR(IF(OR(C1468="",D1468="",C1468=0),"",D1468/C1468),"")</f>
        <v/>
      </c>
      <c r="G1468" s="21">
        <f>IFERROR(INDEX(Users!$A$2:$A$310,MATCH(A1468,Users!$B$2:$B$310,0)),"")</f>
        <v/>
      </c>
      <c r="H1468" s="21">
        <f>IFERROR(INDEX(Users!$D$2:$D$310,MATCH(A1468,Users!$B$2:$B$310,0)),"")</f>
        <v/>
      </c>
      <c r="I1468" s="19">
        <f>AND(G1468="Service A",H1468="Band 3")</f>
        <v/>
      </c>
      <c r="J1468" s="33">
        <f>IF(AND(YEAR(B1468)=2025,G1468="Service B",OR(H1468="Band 3",H1468="Band 5"),ISNUMBER(F1468)),F1468,"")</f>
        <v/>
      </c>
    </row>
    <row r="1469">
      <c r="A1469" s="19" t="inlineStr">
        <is>
          <t>User1156</t>
        </is>
      </c>
      <c r="B1469" s="60" t="n">
        <v>46023</v>
      </c>
      <c r="C1469" s="21" t="n">
        <v>155.4</v>
      </c>
      <c r="D1469" s="21" t="n">
        <v>145.54</v>
      </c>
      <c r="E1469" s="21" t="n">
        <v>86.53999999999999</v>
      </c>
      <c r="F1469" s="27">
        <f>IFERROR(IF(OR(C1469="",D1469="",C1469=0),"",D1469/C1469),"")</f>
        <v/>
      </c>
      <c r="G1469" s="21">
        <f>IFERROR(INDEX(Users!$A$2:$A$310,MATCH(A1469,Users!$B$2:$B$310,0)),"")</f>
        <v/>
      </c>
      <c r="H1469" s="21">
        <f>IFERROR(INDEX(Users!$D$2:$D$310,MATCH(A1469,Users!$B$2:$B$310,0)),"")</f>
        <v/>
      </c>
      <c r="I1469" s="19">
        <f>AND(G1469="Service A",H1469="Band 3")</f>
        <v/>
      </c>
      <c r="J1469" s="33">
        <f>IF(AND(YEAR(B1469)=2025,G1469="Service B",OR(H1469="Band 3",H1469="Band 5"),ISNUMBER(F1469)),F1469,"")</f>
        <v/>
      </c>
    </row>
    <row r="1470">
      <c r="A1470" s="19" t="inlineStr">
        <is>
          <t>User1157</t>
        </is>
      </c>
      <c r="B1470" s="60" t="n">
        <v>45658</v>
      </c>
      <c r="C1470" s="21" t="n">
        <v>162.8</v>
      </c>
      <c r="D1470" s="21" t="n">
        <v>152.31</v>
      </c>
      <c r="E1470" s="21" t="n">
        <v>93.80999999999999</v>
      </c>
      <c r="F1470" s="27">
        <f>IFERROR(IF(OR(C1470="",D1470="",C1470=0),"",D1470/C1470),"")</f>
        <v/>
      </c>
      <c r="G1470" s="21">
        <f>IFERROR(INDEX(Users!$A$2:$A$310,MATCH(A1470,Users!$B$2:$B$310,0)),"")</f>
        <v/>
      </c>
      <c r="H1470" s="21">
        <f>IFERROR(INDEX(Users!$D$2:$D$310,MATCH(A1470,Users!$B$2:$B$310,0)),"")</f>
        <v/>
      </c>
      <c r="I1470" s="19">
        <f>AND(G1470="Service A",H1470="Band 3")</f>
        <v/>
      </c>
      <c r="J1470" s="33">
        <f>IF(AND(YEAR(B1470)=2025,G1470="Service B",OR(H1470="Band 3",H1470="Band 5"),ISNUMBER(F1470)),F1470,"")</f>
        <v/>
      </c>
    </row>
    <row r="1471">
      <c r="A1471" s="19" t="inlineStr">
        <is>
          <t>User1157</t>
        </is>
      </c>
      <c r="B1471" s="60" t="n">
        <v>45689</v>
      </c>
      <c r="C1471" s="21" t="n">
        <v>111</v>
      </c>
      <c r="D1471" s="21" t="n">
        <v>99.67</v>
      </c>
      <c r="E1471" s="21" t="n">
        <v>20.17</v>
      </c>
      <c r="F1471" s="27">
        <f>IFERROR(IF(OR(C1471="",D1471="",C1471=0),"",D1471/C1471),"")</f>
        <v/>
      </c>
      <c r="G1471" s="21">
        <f>IFERROR(INDEX(Users!$A$2:$A$310,MATCH(A1471,Users!$B$2:$B$310,0)),"")</f>
        <v/>
      </c>
      <c r="H1471" s="21">
        <f>IFERROR(INDEX(Users!$D$2:$D$310,MATCH(A1471,Users!$B$2:$B$310,0)),"")</f>
        <v/>
      </c>
      <c r="I1471" s="19">
        <f>AND(G1471="Service A",H1471="Band 3")</f>
        <v/>
      </c>
      <c r="J1471" s="33">
        <f>IF(AND(YEAR(B1471)=2025,G1471="Service B",OR(H1471="Band 3",H1471="Band 5"),ISNUMBER(F1471)),F1471,"")</f>
        <v/>
      </c>
    </row>
    <row r="1472">
      <c r="A1472" s="19" t="inlineStr">
        <is>
          <t>User1158</t>
        </is>
      </c>
      <c r="B1472" s="60" t="n">
        <v>45658</v>
      </c>
      <c r="C1472" s="21" t="n">
        <v>162.8</v>
      </c>
      <c r="D1472" s="21" t="n">
        <v>165</v>
      </c>
      <c r="E1472" s="21" t="n">
        <v>91</v>
      </c>
      <c r="F1472" s="27">
        <f>IFERROR(IF(OR(C1472="",D1472="",C1472=0),"",D1472/C1472),"")</f>
        <v/>
      </c>
      <c r="G1472" s="21">
        <f>IFERROR(INDEX(Users!$A$2:$A$310,MATCH(A1472,Users!$B$2:$B$310,0)),"")</f>
        <v/>
      </c>
      <c r="H1472" s="21">
        <f>IFERROR(INDEX(Users!$D$2:$D$310,MATCH(A1472,Users!$B$2:$B$310,0)),"")</f>
        <v/>
      </c>
      <c r="I1472" s="19">
        <f>AND(G1472="Service A",H1472="Band 3")</f>
        <v/>
      </c>
      <c r="J1472" s="33">
        <f>IF(AND(YEAR(B1472)=2025,G1472="Service B",OR(H1472="Band 3",H1472="Band 5"),ISNUMBER(F1472)),F1472,"")</f>
        <v/>
      </c>
    </row>
    <row r="1473">
      <c r="A1473" s="19" t="inlineStr">
        <is>
          <t>User1158</t>
        </is>
      </c>
      <c r="B1473" s="60" t="n">
        <v>45689</v>
      </c>
      <c r="C1473" s="21" t="n">
        <v>148</v>
      </c>
      <c r="D1473" s="21" t="n">
        <v>127.5</v>
      </c>
      <c r="E1473" s="21" t="n">
        <v>44.5</v>
      </c>
      <c r="F1473" s="27">
        <f>IFERROR(IF(OR(C1473="",D1473="",C1473=0),"",D1473/C1473),"")</f>
        <v/>
      </c>
      <c r="G1473" s="21">
        <f>IFERROR(INDEX(Users!$A$2:$A$310,MATCH(A1473,Users!$B$2:$B$310,0)),"")</f>
        <v/>
      </c>
      <c r="H1473" s="21">
        <f>IFERROR(INDEX(Users!$D$2:$D$310,MATCH(A1473,Users!$B$2:$B$310,0)),"")</f>
        <v/>
      </c>
      <c r="I1473" s="19">
        <f>AND(G1473="Service A",H1473="Band 3")</f>
        <v/>
      </c>
      <c r="J1473" s="33">
        <f>IF(AND(YEAR(B1473)=2025,G1473="Service B",OR(H1473="Band 3",H1473="Band 5"),ISNUMBER(F1473)),F1473,"")</f>
        <v/>
      </c>
    </row>
    <row r="1474">
      <c r="A1474" s="19" t="inlineStr">
        <is>
          <t>User1158</t>
        </is>
      </c>
      <c r="B1474" s="60" t="n">
        <v>45717</v>
      </c>
      <c r="C1474" s="21" t="n">
        <v>155.4</v>
      </c>
      <c r="D1474" s="21" t="n">
        <v>149.5</v>
      </c>
      <c r="E1474" s="21" t="n">
        <v>85</v>
      </c>
      <c r="F1474" s="27">
        <f>IFERROR(IF(OR(C1474="",D1474="",C1474=0),"",D1474/C1474),"")</f>
        <v/>
      </c>
      <c r="G1474" s="21">
        <f>IFERROR(INDEX(Users!$A$2:$A$310,MATCH(A1474,Users!$B$2:$B$310,0)),"")</f>
        <v/>
      </c>
      <c r="H1474" s="21">
        <f>IFERROR(INDEX(Users!$D$2:$D$310,MATCH(A1474,Users!$B$2:$B$310,0)),"")</f>
        <v/>
      </c>
      <c r="I1474" s="19">
        <f>AND(G1474="Service A",H1474="Band 3")</f>
        <v/>
      </c>
      <c r="J1474" s="33">
        <f>IF(AND(YEAR(B1474)=2025,G1474="Service B",OR(H1474="Band 3",H1474="Band 5"),ISNUMBER(F1474)),F1474,"")</f>
        <v/>
      </c>
    </row>
    <row r="1475">
      <c r="A1475" s="19" t="inlineStr">
        <is>
          <t>User1158</t>
        </is>
      </c>
      <c r="B1475" s="60" t="n">
        <v>45748</v>
      </c>
      <c r="C1475" s="21" t="n">
        <v>148</v>
      </c>
      <c r="D1475" s="21" t="n">
        <v>141.9</v>
      </c>
      <c r="E1475" s="21" t="n">
        <v>63.5</v>
      </c>
      <c r="F1475" s="27">
        <f>IFERROR(IF(OR(C1475="",D1475="",C1475=0),"",D1475/C1475),"")</f>
        <v/>
      </c>
      <c r="G1475" s="21">
        <f>IFERROR(INDEX(Users!$A$2:$A$310,MATCH(A1475,Users!$B$2:$B$310,0)),"")</f>
        <v/>
      </c>
      <c r="H1475" s="21">
        <f>IFERROR(INDEX(Users!$D$2:$D$310,MATCH(A1475,Users!$B$2:$B$310,0)),"")</f>
        <v/>
      </c>
      <c r="I1475" s="19">
        <f>AND(G1475="Service A",H1475="Band 3")</f>
        <v/>
      </c>
      <c r="J1475" s="33">
        <f>IF(AND(YEAR(B1475)=2025,G1475="Service B",OR(H1475="Band 3",H1475="Band 5"),ISNUMBER(F1475)),F1475,"")</f>
        <v/>
      </c>
    </row>
    <row r="1476">
      <c r="A1476" s="19" t="inlineStr">
        <is>
          <t>User1158</t>
        </is>
      </c>
      <c r="B1476" s="60" t="n">
        <v>45778</v>
      </c>
      <c r="C1476" s="21" t="n">
        <v>148</v>
      </c>
      <c r="D1476" s="21" t="n">
        <v>138</v>
      </c>
      <c r="E1476" s="21" t="n">
        <v>41.5</v>
      </c>
      <c r="F1476" s="27">
        <f>IFERROR(IF(OR(C1476="",D1476="",C1476=0),"",D1476/C1476),"")</f>
        <v/>
      </c>
      <c r="G1476" s="21">
        <f>IFERROR(INDEX(Users!$A$2:$A$310,MATCH(A1476,Users!$B$2:$B$310,0)),"")</f>
        <v/>
      </c>
      <c r="H1476" s="21">
        <f>IFERROR(INDEX(Users!$D$2:$D$310,MATCH(A1476,Users!$B$2:$B$310,0)),"")</f>
        <v/>
      </c>
      <c r="I1476" s="19">
        <f>AND(G1476="Service A",H1476="Band 3")</f>
        <v/>
      </c>
      <c r="J1476" s="33">
        <f>IF(AND(YEAR(B1476)=2025,G1476="Service B",OR(H1476="Band 3",H1476="Band 5"),ISNUMBER(F1476)),F1476,"")</f>
        <v/>
      </c>
    </row>
    <row r="1477">
      <c r="A1477" s="19" t="inlineStr">
        <is>
          <t>User1158</t>
        </is>
      </c>
      <c r="B1477" s="60" t="n">
        <v>45809</v>
      </c>
      <c r="C1477" s="21" t="n">
        <v>155.4</v>
      </c>
      <c r="D1477" s="21" t="n">
        <v>151</v>
      </c>
      <c r="E1477" s="21" t="n">
        <v>59.5</v>
      </c>
      <c r="F1477" s="27">
        <f>IFERROR(IF(OR(C1477="",D1477="",C1477=0),"",D1477/C1477),"")</f>
        <v/>
      </c>
      <c r="G1477" s="21">
        <f>IFERROR(INDEX(Users!$A$2:$A$310,MATCH(A1477,Users!$B$2:$B$310,0)),"")</f>
        <v/>
      </c>
      <c r="H1477" s="21">
        <f>IFERROR(INDEX(Users!$D$2:$D$310,MATCH(A1477,Users!$B$2:$B$310,0)),"")</f>
        <v/>
      </c>
      <c r="I1477" s="19">
        <f>AND(G1477="Service A",H1477="Band 3")</f>
        <v/>
      </c>
      <c r="J1477" s="33">
        <f>IF(AND(YEAR(B1477)=2025,G1477="Service B",OR(H1477="Band 3",H1477="Band 5"),ISNUMBER(F1477)),F1477,"")</f>
        <v/>
      </c>
    </row>
    <row r="1478">
      <c r="A1478" s="19" t="inlineStr">
        <is>
          <t>User1158</t>
        </is>
      </c>
      <c r="B1478" s="60" t="n">
        <v>45839</v>
      </c>
      <c r="C1478" s="21" t="n">
        <v>170.2</v>
      </c>
      <c r="D1478" s="21" t="n">
        <v>166</v>
      </c>
      <c r="E1478" s="21" t="n">
        <v>91.5</v>
      </c>
      <c r="F1478" s="27">
        <f>IFERROR(IF(OR(C1478="",D1478="",C1478=0),"",D1478/C1478),"")</f>
        <v/>
      </c>
      <c r="G1478" s="21">
        <f>IFERROR(INDEX(Users!$A$2:$A$310,MATCH(A1478,Users!$B$2:$B$310,0)),"")</f>
        <v/>
      </c>
      <c r="H1478" s="21">
        <f>IFERROR(INDEX(Users!$D$2:$D$310,MATCH(A1478,Users!$B$2:$B$310,0)),"")</f>
        <v/>
      </c>
      <c r="I1478" s="19">
        <f>AND(G1478="Service A",H1478="Band 3")</f>
        <v/>
      </c>
      <c r="J1478" s="33">
        <f>IF(AND(YEAR(B1478)=2025,G1478="Service B",OR(H1478="Band 3",H1478="Band 5"),ISNUMBER(F1478)),F1478,"")</f>
        <v/>
      </c>
    </row>
    <row r="1479">
      <c r="A1479" s="19" t="inlineStr">
        <is>
          <t>User1158</t>
        </is>
      </c>
      <c r="B1479" s="60" t="n">
        <v>45870</v>
      </c>
      <c r="C1479" s="21" t="n">
        <v>148</v>
      </c>
      <c r="D1479" s="21" t="n">
        <v>77</v>
      </c>
      <c r="E1479" s="21" t="n">
        <v>38.5</v>
      </c>
      <c r="F1479" s="27">
        <f>IFERROR(IF(OR(C1479="",D1479="",C1479=0),"",D1479/C1479),"")</f>
        <v/>
      </c>
      <c r="G1479" s="21">
        <f>IFERROR(INDEX(Users!$A$2:$A$310,MATCH(A1479,Users!$B$2:$B$310,0)),"")</f>
        <v/>
      </c>
      <c r="H1479" s="21">
        <f>IFERROR(INDEX(Users!$D$2:$D$310,MATCH(A1479,Users!$B$2:$B$310,0)),"")</f>
        <v/>
      </c>
      <c r="I1479" s="19">
        <f>AND(G1479="Service A",H1479="Band 3")</f>
        <v/>
      </c>
      <c r="J1479" s="33">
        <f>IF(AND(YEAR(B1479)=2025,G1479="Service B",OR(H1479="Band 3",H1479="Band 5"),ISNUMBER(F1479)),F1479,"")</f>
        <v/>
      </c>
    </row>
    <row r="1480">
      <c r="A1480" s="19" t="inlineStr">
        <is>
          <t>User1158</t>
        </is>
      </c>
      <c r="B1480" s="60" t="n">
        <v>45901</v>
      </c>
      <c r="C1480" s="21" t="n">
        <v>162.8</v>
      </c>
      <c r="D1480" s="21" t="n">
        <v>151.7</v>
      </c>
      <c r="E1480" s="21" t="n">
        <v>87</v>
      </c>
      <c r="F1480" s="27">
        <f>IFERROR(IF(OR(C1480="",D1480="",C1480=0),"",D1480/C1480),"")</f>
        <v/>
      </c>
      <c r="G1480" s="21">
        <f>IFERROR(INDEX(Users!$A$2:$A$310,MATCH(A1480,Users!$B$2:$B$310,0)),"")</f>
        <v/>
      </c>
      <c r="H1480" s="21">
        <f>IFERROR(INDEX(Users!$D$2:$D$310,MATCH(A1480,Users!$B$2:$B$310,0)),"")</f>
        <v/>
      </c>
      <c r="I1480" s="19">
        <f>AND(G1480="Service A",H1480="Band 3")</f>
        <v/>
      </c>
      <c r="J1480" s="33">
        <f>IF(AND(YEAR(B1480)=2025,G1480="Service B",OR(H1480="Band 3",H1480="Band 5"),ISNUMBER(F1480)),F1480,"")</f>
        <v/>
      </c>
    </row>
    <row r="1481">
      <c r="A1481" s="19" t="inlineStr">
        <is>
          <t>User1158</t>
        </is>
      </c>
      <c r="B1481" s="60" t="n">
        <v>45931</v>
      </c>
      <c r="C1481" s="21" t="n">
        <v>170.2</v>
      </c>
      <c r="D1481" s="21" t="n">
        <v>127.2</v>
      </c>
      <c r="E1481" s="21" t="n">
        <v>59</v>
      </c>
      <c r="F1481" s="27">
        <f>IFERROR(IF(OR(C1481="",D1481="",C1481=0),"",D1481/C1481),"")</f>
        <v/>
      </c>
      <c r="G1481" s="21">
        <f>IFERROR(INDEX(Users!$A$2:$A$310,MATCH(A1481,Users!$B$2:$B$310,0)),"")</f>
        <v/>
      </c>
      <c r="H1481" s="21">
        <f>IFERROR(INDEX(Users!$D$2:$D$310,MATCH(A1481,Users!$B$2:$B$310,0)),"")</f>
        <v/>
      </c>
      <c r="I1481" s="19">
        <f>AND(G1481="Service A",H1481="Band 3")</f>
        <v/>
      </c>
      <c r="J1481" s="33">
        <f>IF(AND(YEAR(B1481)=2025,G1481="Service B",OR(H1481="Band 3",H1481="Band 5"),ISNUMBER(F1481)),F1481,"")</f>
        <v/>
      </c>
    </row>
    <row r="1482">
      <c r="A1482" s="19" t="inlineStr">
        <is>
          <t>User1158</t>
        </is>
      </c>
      <c r="B1482" s="60" t="n">
        <v>45962</v>
      </c>
      <c r="C1482" s="21" t="n">
        <v>148</v>
      </c>
      <c r="D1482" s="21" t="n">
        <v>150</v>
      </c>
      <c r="E1482" s="21" t="n">
        <v>75.5</v>
      </c>
      <c r="F1482" s="27">
        <f>IFERROR(IF(OR(C1482="",D1482="",C1482=0),"",D1482/C1482),"")</f>
        <v/>
      </c>
      <c r="G1482" s="21">
        <f>IFERROR(INDEX(Users!$A$2:$A$310,MATCH(A1482,Users!$B$2:$B$310,0)),"")</f>
        <v/>
      </c>
      <c r="H1482" s="21">
        <f>IFERROR(INDEX(Users!$D$2:$D$310,MATCH(A1482,Users!$B$2:$B$310,0)),"")</f>
        <v/>
      </c>
      <c r="I1482" s="19">
        <f>AND(G1482="Service A",H1482="Band 3")</f>
        <v/>
      </c>
      <c r="J1482" s="33">
        <f>IF(AND(YEAR(B1482)=2025,G1482="Service B",OR(H1482="Band 3",H1482="Band 5"),ISNUMBER(F1482)),F1482,"")</f>
        <v/>
      </c>
    </row>
    <row r="1483">
      <c r="A1483" s="19" t="inlineStr">
        <is>
          <t>User1158</t>
        </is>
      </c>
      <c r="B1483" s="60" t="n">
        <v>45992</v>
      </c>
      <c r="C1483" s="21" t="n">
        <v>155.4</v>
      </c>
      <c r="D1483" s="21" t="n">
        <v>130.2</v>
      </c>
      <c r="E1483" s="21" t="n">
        <v>75</v>
      </c>
      <c r="F1483" s="27">
        <f>IFERROR(IF(OR(C1483="",D1483="",C1483=0),"",D1483/C1483),"")</f>
        <v/>
      </c>
      <c r="G1483" s="21">
        <f>IFERROR(INDEX(Users!$A$2:$A$310,MATCH(A1483,Users!$B$2:$B$310,0)),"")</f>
        <v/>
      </c>
      <c r="H1483" s="21">
        <f>IFERROR(INDEX(Users!$D$2:$D$310,MATCH(A1483,Users!$B$2:$B$310,0)),"")</f>
        <v/>
      </c>
      <c r="I1483" s="19">
        <f>AND(G1483="Service A",H1483="Band 3")</f>
        <v/>
      </c>
      <c r="J1483" s="33">
        <f>IF(AND(YEAR(B1483)=2025,G1483="Service B",OR(H1483="Band 3",H1483="Band 5"),ISNUMBER(F1483)),F1483,"")</f>
        <v/>
      </c>
    </row>
    <row r="1484">
      <c r="A1484" s="19" t="inlineStr">
        <is>
          <t>User1158</t>
        </is>
      </c>
      <c r="B1484" s="60" t="n">
        <v>46023</v>
      </c>
      <c r="C1484" s="21" t="n">
        <v>155.4</v>
      </c>
      <c r="D1484" s="21" t="n">
        <v>137</v>
      </c>
      <c r="E1484" s="21" t="n">
        <v>59.5</v>
      </c>
      <c r="F1484" s="27">
        <f>IFERROR(IF(OR(C1484="",D1484="",C1484=0),"",D1484/C1484),"")</f>
        <v/>
      </c>
      <c r="G1484" s="21">
        <f>IFERROR(INDEX(Users!$A$2:$A$310,MATCH(A1484,Users!$B$2:$B$310,0)),"")</f>
        <v/>
      </c>
      <c r="H1484" s="21">
        <f>IFERROR(INDEX(Users!$D$2:$D$310,MATCH(A1484,Users!$B$2:$B$310,0)),"")</f>
        <v/>
      </c>
      <c r="I1484" s="19">
        <f>AND(G1484="Service A",H1484="Band 3")</f>
        <v/>
      </c>
      <c r="J1484" s="33">
        <f>IF(AND(YEAR(B1484)=2025,G1484="Service B",OR(H1484="Band 3",H1484="Band 5"),ISNUMBER(F1484)),F1484,"")</f>
        <v/>
      </c>
    </row>
    <row r="1485">
      <c r="A1485" s="19" t="inlineStr">
        <is>
          <t>User1159</t>
        </is>
      </c>
      <c r="B1485" s="60" t="n">
        <v>45901</v>
      </c>
      <c r="C1485" s="21" t="n">
        <v>51.8</v>
      </c>
      <c r="D1485" s="21" t="n"/>
      <c r="E1485" s="21" t="n"/>
      <c r="F1485" s="27">
        <f>IFERROR(IF(OR(C1485="",D1485="",C1485=0),"",D1485/C1485),"")</f>
        <v/>
      </c>
      <c r="G1485" s="21">
        <f>IFERROR(INDEX(Users!$A$2:$A$310,MATCH(A1485,Users!$B$2:$B$310,0)),"")</f>
        <v/>
      </c>
      <c r="H1485" s="21">
        <f>IFERROR(INDEX(Users!$D$2:$D$310,MATCH(A1485,Users!$B$2:$B$310,0)),"")</f>
        <v/>
      </c>
      <c r="I1485" s="19">
        <f>AND(G1485="Service A",H1485="Band 3")</f>
        <v/>
      </c>
      <c r="J1485" s="33">
        <f>IF(AND(YEAR(B1485)=2025,G1485="Service B",OR(H1485="Band 3",H1485="Band 5"),ISNUMBER(F1485)),F1485,"")</f>
        <v/>
      </c>
    </row>
    <row r="1486">
      <c r="A1486" s="19" t="inlineStr">
        <is>
          <t>User1159</t>
        </is>
      </c>
      <c r="B1486" s="60" t="n">
        <v>45931</v>
      </c>
      <c r="C1486" s="21" t="n">
        <v>170.2000000000001</v>
      </c>
      <c r="D1486" s="21" t="n">
        <v>82.29000000000001</v>
      </c>
      <c r="E1486" s="21" t="n">
        <v>5.890000000000001</v>
      </c>
      <c r="F1486" s="27">
        <f>IFERROR(IF(OR(C1486="",D1486="",C1486=0),"",D1486/C1486),"")</f>
        <v/>
      </c>
      <c r="G1486" s="21">
        <f>IFERROR(INDEX(Users!$A$2:$A$310,MATCH(A1486,Users!$B$2:$B$310,0)),"")</f>
        <v/>
      </c>
      <c r="H1486" s="21">
        <f>IFERROR(INDEX(Users!$D$2:$D$310,MATCH(A1486,Users!$B$2:$B$310,0)),"")</f>
        <v/>
      </c>
      <c r="I1486" s="19">
        <f>AND(G1486="Service A",H1486="Band 3")</f>
        <v/>
      </c>
      <c r="J1486" s="33">
        <f>IF(AND(YEAR(B1486)=2025,G1486="Service B",OR(H1486="Band 3",H1486="Band 5"),ISNUMBER(F1486)),F1486,"")</f>
        <v/>
      </c>
    </row>
    <row r="1487">
      <c r="A1487" s="19" t="inlineStr">
        <is>
          <t>User1159</t>
        </is>
      </c>
      <c r="B1487" s="60" t="n">
        <v>45962</v>
      </c>
      <c r="C1487" s="21" t="n">
        <v>148.0000000000001</v>
      </c>
      <c r="D1487" s="21" t="n">
        <v>139.7233333333333</v>
      </c>
      <c r="E1487" s="21" t="n">
        <v>19.94</v>
      </c>
      <c r="F1487" s="27">
        <f>IFERROR(IF(OR(C1487="",D1487="",C1487=0),"",D1487/C1487),"")</f>
        <v/>
      </c>
      <c r="G1487" s="21">
        <f>IFERROR(INDEX(Users!$A$2:$A$310,MATCH(A1487,Users!$B$2:$B$310,0)),"")</f>
        <v/>
      </c>
      <c r="H1487" s="21">
        <f>IFERROR(INDEX(Users!$D$2:$D$310,MATCH(A1487,Users!$B$2:$B$310,0)),"")</f>
        <v/>
      </c>
      <c r="I1487" s="19">
        <f>AND(G1487="Service A",H1487="Band 3")</f>
        <v/>
      </c>
      <c r="J1487" s="33">
        <f>IF(AND(YEAR(B1487)=2025,G1487="Service B",OR(H1487="Band 3",H1487="Band 5"),ISNUMBER(F1487)),F1487,"")</f>
        <v/>
      </c>
    </row>
    <row r="1488">
      <c r="A1488" s="19" t="inlineStr">
        <is>
          <t>User1159</t>
        </is>
      </c>
      <c r="B1488" s="60" t="n">
        <v>45992</v>
      </c>
      <c r="C1488" s="21" t="n">
        <v>155.4000000000001</v>
      </c>
      <c r="D1488" s="21" t="n">
        <v>148.1133333333333</v>
      </c>
      <c r="E1488" s="21" t="n">
        <v>33.73</v>
      </c>
      <c r="F1488" s="27">
        <f>IFERROR(IF(OR(C1488="",D1488="",C1488=0),"",D1488/C1488),"")</f>
        <v/>
      </c>
      <c r="G1488" s="21">
        <f>IFERROR(INDEX(Users!$A$2:$A$310,MATCH(A1488,Users!$B$2:$B$310,0)),"")</f>
        <v/>
      </c>
      <c r="H1488" s="21">
        <f>IFERROR(INDEX(Users!$D$2:$D$310,MATCH(A1488,Users!$B$2:$B$310,0)),"")</f>
        <v/>
      </c>
      <c r="I1488" s="19">
        <f>AND(G1488="Service A",H1488="Band 3")</f>
        <v/>
      </c>
      <c r="J1488" s="33">
        <f>IF(AND(YEAR(B1488)=2025,G1488="Service B",OR(H1488="Band 3",H1488="Band 5"),ISNUMBER(F1488)),F1488,"")</f>
        <v/>
      </c>
    </row>
    <row r="1489">
      <c r="A1489" s="19" t="inlineStr">
        <is>
          <t>User1159</t>
        </is>
      </c>
      <c r="B1489" s="60" t="n">
        <v>46023</v>
      </c>
      <c r="C1489" s="21" t="n">
        <v>155.4000000000001</v>
      </c>
      <c r="D1489" s="21" t="n">
        <v>154.7833333333333</v>
      </c>
      <c r="E1489" s="21" t="n">
        <v>20.05</v>
      </c>
      <c r="F1489" s="27">
        <f>IFERROR(IF(OR(C1489="",D1489="",C1489=0),"",D1489/C1489),"")</f>
        <v/>
      </c>
      <c r="G1489" s="21">
        <f>IFERROR(INDEX(Users!$A$2:$A$310,MATCH(A1489,Users!$B$2:$B$310,0)),"")</f>
        <v/>
      </c>
      <c r="H1489" s="21">
        <f>IFERROR(INDEX(Users!$D$2:$D$310,MATCH(A1489,Users!$B$2:$B$310,0)),"")</f>
        <v/>
      </c>
      <c r="I1489" s="19">
        <f>AND(G1489="Service A",H1489="Band 3")</f>
        <v/>
      </c>
      <c r="J1489" s="33">
        <f>IF(AND(YEAR(B1489)=2025,G1489="Service B",OR(H1489="Band 3",H1489="Band 5"),ISNUMBER(F1489)),F1489,"")</f>
        <v/>
      </c>
    </row>
    <row r="1490">
      <c r="A1490" s="19" t="inlineStr">
        <is>
          <t>User1160</t>
        </is>
      </c>
      <c r="B1490" s="60" t="n">
        <v>45901</v>
      </c>
      <c r="C1490" s="21" t="n">
        <v>51.8</v>
      </c>
      <c r="D1490" s="21" t="n">
        <v>46.49999999999999</v>
      </c>
      <c r="E1490" s="21" t="n"/>
      <c r="F1490" s="27">
        <f>IFERROR(IF(OR(C1490="",D1490="",C1490=0),"",D1490/C1490),"")</f>
        <v/>
      </c>
      <c r="G1490" s="21">
        <f>IFERROR(INDEX(Users!$A$2:$A$310,MATCH(A1490,Users!$B$2:$B$310,0)),"")</f>
        <v/>
      </c>
      <c r="H1490" s="21">
        <f>IFERROR(INDEX(Users!$D$2:$D$310,MATCH(A1490,Users!$B$2:$B$310,0)),"")</f>
        <v/>
      </c>
      <c r="I1490" s="19">
        <f>AND(G1490="Service A",H1490="Band 3")</f>
        <v/>
      </c>
      <c r="J1490" s="33">
        <f>IF(AND(YEAR(B1490)=2025,G1490="Service B",OR(H1490="Band 3",H1490="Band 5"),ISNUMBER(F1490)),F1490,"")</f>
        <v/>
      </c>
    </row>
    <row r="1491">
      <c r="A1491" s="19" t="inlineStr">
        <is>
          <t>User1160</t>
        </is>
      </c>
      <c r="B1491" s="60" t="n">
        <v>45931</v>
      </c>
      <c r="C1491" s="21" t="n">
        <v>170.2000000000001</v>
      </c>
      <c r="D1491" s="21" t="n">
        <v>147.5366666666667</v>
      </c>
      <c r="E1491" s="21" t="n">
        <v>28.57</v>
      </c>
      <c r="F1491" s="27">
        <f>IFERROR(IF(OR(C1491="",D1491="",C1491=0),"",D1491/C1491),"")</f>
        <v/>
      </c>
      <c r="G1491" s="21">
        <f>IFERROR(INDEX(Users!$A$2:$A$310,MATCH(A1491,Users!$B$2:$B$310,0)),"")</f>
        <v/>
      </c>
      <c r="H1491" s="21">
        <f>IFERROR(INDEX(Users!$D$2:$D$310,MATCH(A1491,Users!$B$2:$B$310,0)),"")</f>
        <v/>
      </c>
      <c r="I1491" s="19">
        <f>AND(G1491="Service A",H1491="Band 3")</f>
        <v/>
      </c>
      <c r="J1491" s="33">
        <f>IF(AND(YEAR(B1491)=2025,G1491="Service B",OR(H1491="Band 3",H1491="Band 5"),ISNUMBER(F1491)),F1491,"")</f>
        <v/>
      </c>
    </row>
    <row r="1492">
      <c r="A1492" s="19" t="inlineStr">
        <is>
          <t>User1160</t>
        </is>
      </c>
      <c r="B1492" s="60" t="n">
        <v>45962</v>
      </c>
      <c r="C1492" s="21" t="n">
        <v>148.0000000000001</v>
      </c>
      <c r="D1492" s="21" t="n">
        <v>136.4933333333334</v>
      </c>
      <c r="E1492" s="21" t="n">
        <v>79.26000000000002</v>
      </c>
      <c r="F1492" s="27">
        <f>IFERROR(IF(OR(C1492="",D1492="",C1492=0),"",D1492/C1492),"")</f>
        <v/>
      </c>
      <c r="G1492" s="21">
        <f>IFERROR(INDEX(Users!$A$2:$A$310,MATCH(A1492,Users!$B$2:$B$310,0)),"")</f>
        <v/>
      </c>
      <c r="H1492" s="21">
        <f>IFERROR(INDEX(Users!$D$2:$D$310,MATCH(A1492,Users!$B$2:$B$310,0)),"")</f>
        <v/>
      </c>
      <c r="I1492" s="19">
        <f>AND(G1492="Service A",H1492="Band 3")</f>
        <v/>
      </c>
      <c r="J1492" s="33">
        <f>IF(AND(YEAR(B1492)=2025,G1492="Service B",OR(H1492="Band 3",H1492="Band 5"),ISNUMBER(F1492)),F1492,"")</f>
        <v/>
      </c>
    </row>
    <row r="1493">
      <c r="A1493" s="19" t="inlineStr">
        <is>
          <t>User1160</t>
        </is>
      </c>
      <c r="B1493" s="60" t="n">
        <v>45992</v>
      </c>
      <c r="C1493" s="21" t="n">
        <v>155.4000000000001</v>
      </c>
      <c r="D1493" s="21" t="n">
        <v>123.3333333333333</v>
      </c>
      <c r="E1493" s="21" t="n">
        <v>84.5</v>
      </c>
      <c r="F1493" s="27">
        <f>IFERROR(IF(OR(C1493="",D1493="",C1493=0),"",D1493/C1493),"")</f>
        <v/>
      </c>
      <c r="G1493" s="21">
        <f>IFERROR(INDEX(Users!$A$2:$A$310,MATCH(A1493,Users!$B$2:$B$310,0)),"")</f>
        <v/>
      </c>
      <c r="H1493" s="21">
        <f>IFERROR(INDEX(Users!$D$2:$D$310,MATCH(A1493,Users!$B$2:$B$310,0)),"")</f>
        <v/>
      </c>
      <c r="I1493" s="19">
        <f>AND(G1493="Service A",H1493="Band 3")</f>
        <v/>
      </c>
      <c r="J1493" s="33">
        <f>IF(AND(YEAR(B1493)=2025,G1493="Service B",OR(H1493="Band 3",H1493="Band 5"),ISNUMBER(F1493)),F1493,"")</f>
        <v/>
      </c>
    </row>
    <row r="1494">
      <c r="A1494" s="19" t="inlineStr">
        <is>
          <t>User1160</t>
        </is>
      </c>
      <c r="B1494" s="60" t="n">
        <v>46023</v>
      </c>
      <c r="C1494" s="21" t="n">
        <v>155.4000000000001</v>
      </c>
      <c r="D1494" s="21" t="n">
        <v>146.47</v>
      </c>
      <c r="E1494" s="21" t="n">
        <v>92.97</v>
      </c>
      <c r="F1494" s="27">
        <f>IFERROR(IF(OR(C1494="",D1494="",C1494=0),"",D1494/C1494),"")</f>
        <v/>
      </c>
      <c r="G1494" s="21">
        <f>IFERROR(INDEX(Users!$A$2:$A$310,MATCH(A1494,Users!$B$2:$B$310,0)),"")</f>
        <v/>
      </c>
      <c r="H1494" s="21">
        <f>IFERROR(INDEX(Users!$D$2:$D$310,MATCH(A1494,Users!$B$2:$B$310,0)),"")</f>
        <v/>
      </c>
      <c r="I1494" s="19">
        <f>AND(G1494="Service A",H1494="Band 3")</f>
        <v/>
      </c>
      <c r="J1494" s="33">
        <f>IF(AND(YEAR(B1494)=2025,G1494="Service B",OR(H1494="Band 3",H1494="Band 5"),ISNUMBER(F1494)),F1494,"")</f>
        <v/>
      </c>
    </row>
    <row r="1495">
      <c r="A1495" s="19" t="inlineStr">
        <is>
          <t>User1161</t>
        </is>
      </c>
      <c r="B1495" s="60" t="n">
        <v>45658</v>
      </c>
      <c r="C1495" s="21" t="n">
        <v>162.8</v>
      </c>
      <c r="D1495" s="21" t="n">
        <v>138.2166666666667</v>
      </c>
      <c r="E1495" s="21" t="n">
        <v>77.55000000000005</v>
      </c>
      <c r="F1495" s="27">
        <f>IFERROR(IF(OR(C1495="",D1495="",C1495=0),"",D1495/C1495),"")</f>
        <v/>
      </c>
      <c r="G1495" s="21">
        <f>IFERROR(INDEX(Users!$A$2:$A$310,MATCH(A1495,Users!$B$2:$B$310,0)),"")</f>
        <v/>
      </c>
      <c r="H1495" s="21">
        <f>IFERROR(INDEX(Users!$D$2:$D$310,MATCH(A1495,Users!$B$2:$B$310,0)),"")</f>
        <v/>
      </c>
      <c r="I1495" s="19">
        <f>AND(G1495="Service A",H1495="Band 3")</f>
        <v/>
      </c>
      <c r="J1495" s="33">
        <f>IF(AND(YEAR(B1495)=2025,G1495="Service B",OR(H1495="Band 3",H1495="Band 5"),ISNUMBER(F1495)),F1495,"")</f>
        <v/>
      </c>
    </row>
    <row r="1496">
      <c r="A1496" s="19" t="inlineStr">
        <is>
          <t>User1161</t>
        </is>
      </c>
      <c r="B1496" s="60" t="n">
        <v>45689</v>
      </c>
      <c r="C1496" s="21" t="n">
        <v>148</v>
      </c>
      <c r="D1496" s="21" t="n">
        <v>113.7100000000001</v>
      </c>
      <c r="E1496" s="21" t="n">
        <v>53.96000000000007</v>
      </c>
      <c r="F1496" s="27">
        <f>IFERROR(IF(OR(C1496="",D1496="",C1496=0),"",D1496/C1496),"")</f>
        <v/>
      </c>
      <c r="G1496" s="21">
        <f>IFERROR(INDEX(Users!$A$2:$A$310,MATCH(A1496,Users!$B$2:$B$310,0)),"")</f>
        <v/>
      </c>
      <c r="H1496" s="21">
        <f>IFERROR(INDEX(Users!$D$2:$D$310,MATCH(A1496,Users!$B$2:$B$310,0)),"")</f>
        <v/>
      </c>
      <c r="I1496" s="19">
        <f>AND(G1496="Service A",H1496="Band 3")</f>
        <v/>
      </c>
      <c r="J1496" s="33">
        <f>IF(AND(YEAR(B1496)=2025,G1496="Service B",OR(H1496="Band 3",H1496="Band 5"),ISNUMBER(F1496)),F1496,"")</f>
        <v/>
      </c>
    </row>
    <row r="1497">
      <c r="A1497" s="19" t="inlineStr">
        <is>
          <t>User1161</t>
        </is>
      </c>
      <c r="B1497" s="60" t="n">
        <v>45717</v>
      </c>
      <c r="C1497" s="21" t="n">
        <v>155.4</v>
      </c>
      <c r="D1497" s="21" t="n">
        <v>113.57</v>
      </c>
      <c r="E1497" s="21" t="n">
        <v>71.06999999999999</v>
      </c>
      <c r="F1497" s="27">
        <f>IFERROR(IF(OR(C1497="",D1497="",C1497=0),"",D1497/C1497),"")</f>
        <v/>
      </c>
      <c r="G1497" s="21">
        <f>IFERROR(INDEX(Users!$A$2:$A$310,MATCH(A1497,Users!$B$2:$B$310,0)),"")</f>
        <v/>
      </c>
      <c r="H1497" s="21">
        <f>IFERROR(INDEX(Users!$D$2:$D$310,MATCH(A1497,Users!$B$2:$B$310,0)),"")</f>
        <v/>
      </c>
      <c r="I1497" s="19">
        <f>AND(G1497="Service A",H1497="Band 3")</f>
        <v/>
      </c>
      <c r="J1497" s="33">
        <f>IF(AND(YEAR(B1497)=2025,G1497="Service B",OR(H1497="Band 3",H1497="Band 5"),ISNUMBER(F1497)),F1497,"")</f>
        <v/>
      </c>
    </row>
    <row r="1498">
      <c r="A1498" s="19" t="inlineStr">
        <is>
          <t>User1161</t>
        </is>
      </c>
      <c r="B1498" s="60" t="n">
        <v>45748</v>
      </c>
      <c r="C1498" s="21" t="n">
        <v>148</v>
      </c>
      <c r="D1498" s="21" t="n">
        <v>12</v>
      </c>
      <c r="E1498" s="21" t="n">
        <v>1</v>
      </c>
      <c r="F1498" s="27">
        <f>IFERROR(IF(OR(C1498="",D1498="",C1498=0),"",D1498/C1498),"")</f>
        <v/>
      </c>
      <c r="G1498" s="21">
        <f>IFERROR(INDEX(Users!$A$2:$A$310,MATCH(A1498,Users!$B$2:$B$310,0)),"")</f>
        <v/>
      </c>
      <c r="H1498" s="21">
        <f>IFERROR(INDEX(Users!$D$2:$D$310,MATCH(A1498,Users!$B$2:$B$310,0)),"")</f>
        <v/>
      </c>
      <c r="I1498" s="19">
        <f>AND(G1498="Service A",H1498="Band 3")</f>
        <v/>
      </c>
      <c r="J1498" s="33">
        <f>IF(AND(YEAR(B1498)=2025,G1498="Service B",OR(H1498="Band 3",H1498="Band 5"),ISNUMBER(F1498)),F1498,"")</f>
        <v/>
      </c>
    </row>
    <row r="1499">
      <c r="A1499" s="19" t="inlineStr">
        <is>
          <t>User1161</t>
        </is>
      </c>
      <c r="B1499" s="60" t="n">
        <v>45778</v>
      </c>
      <c r="C1499" s="21" t="n">
        <v>148</v>
      </c>
      <c r="D1499" s="21" t="n">
        <v>138.4633333333333</v>
      </c>
      <c r="E1499" s="21" t="n">
        <v>68.48</v>
      </c>
      <c r="F1499" s="27">
        <f>IFERROR(IF(OR(C1499="",D1499="",C1499=0),"",D1499/C1499),"")</f>
        <v/>
      </c>
      <c r="G1499" s="21">
        <f>IFERROR(INDEX(Users!$A$2:$A$310,MATCH(A1499,Users!$B$2:$B$310,0)),"")</f>
        <v/>
      </c>
      <c r="H1499" s="21">
        <f>IFERROR(INDEX(Users!$D$2:$D$310,MATCH(A1499,Users!$B$2:$B$310,0)),"")</f>
        <v/>
      </c>
      <c r="I1499" s="19">
        <f>AND(G1499="Service A",H1499="Band 3")</f>
        <v/>
      </c>
      <c r="J1499" s="33">
        <f>IF(AND(YEAR(B1499)=2025,G1499="Service B",OR(H1499="Band 3",H1499="Band 5"),ISNUMBER(F1499)),F1499,"")</f>
        <v/>
      </c>
    </row>
    <row r="1500">
      <c r="A1500" s="19" t="inlineStr">
        <is>
          <t>User1161</t>
        </is>
      </c>
      <c r="B1500" s="60" t="n">
        <v>45809</v>
      </c>
      <c r="C1500" s="21" t="n">
        <v>155.4</v>
      </c>
      <c r="D1500" s="21" t="n">
        <v>157.9633333333333</v>
      </c>
      <c r="E1500" s="21" t="n">
        <v>80.73</v>
      </c>
      <c r="F1500" s="27">
        <f>IFERROR(IF(OR(C1500="",D1500="",C1500=0),"",D1500/C1500),"")</f>
        <v/>
      </c>
      <c r="G1500" s="21">
        <f>IFERROR(INDEX(Users!$A$2:$A$310,MATCH(A1500,Users!$B$2:$B$310,0)),"")</f>
        <v/>
      </c>
      <c r="H1500" s="21">
        <f>IFERROR(INDEX(Users!$D$2:$D$310,MATCH(A1500,Users!$B$2:$B$310,0)),"")</f>
        <v/>
      </c>
      <c r="I1500" s="19">
        <f>AND(G1500="Service A",H1500="Band 3")</f>
        <v/>
      </c>
      <c r="J1500" s="33">
        <f>IF(AND(YEAR(B1500)=2025,G1500="Service B",OR(H1500="Band 3",H1500="Band 5"),ISNUMBER(F1500)),F1500,"")</f>
        <v/>
      </c>
    </row>
    <row r="1501">
      <c r="A1501" s="19" t="inlineStr">
        <is>
          <t>User1161</t>
        </is>
      </c>
      <c r="B1501" s="60" t="n">
        <v>45839</v>
      </c>
      <c r="C1501" s="21" t="n">
        <v>170.2</v>
      </c>
      <c r="D1501" s="21" t="n">
        <v>171.7333333333333</v>
      </c>
      <c r="E1501" s="21" t="n">
        <v>72.45</v>
      </c>
      <c r="F1501" s="27">
        <f>IFERROR(IF(OR(C1501="",D1501="",C1501=0),"",D1501/C1501),"")</f>
        <v/>
      </c>
      <c r="G1501" s="21">
        <f>IFERROR(INDEX(Users!$A$2:$A$310,MATCH(A1501,Users!$B$2:$B$310,0)),"")</f>
        <v/>
      </c>
      <c r="H1501" s="21">
        <f>IFERROR(INDEX(Users!$D$2:$D$310,MATCH(A1501,Users!$B$2:$B$310,0)),"")</f>
        <v/>
      </c>
      <c r="I1501" s="19">
        <f>AND(G1501="Service A",H1501="Band 3")</f>
        <v/>
      </c>
      <c r="J1501" s="33">
        <f>IF(AND(YEAR(B1501)=2025,G1501="Service B",OR(H1501="Band 3",H1501="Band 5"),ISNUMBER(F1501)),F1501,"")</f>
        <v/>
      </c>
    </row>
    <row r="1502">
      <c r="A1502" s="19" t="inlineStr">
        <is>
          <t>User1161</t>
        </is>
      </c>
      <c r="B1502" s="60" t="n">
        <v>45870</v>
      </c>
      <c r="C1502" s="21" t="n">
        <v>148</v>
      </c>
      <c r="D1502" s="21" t="n">
        <v>117.4733333333333</v>
      </c>
      <c r="E1502" s="21" t="n">
        <v>61.49</v>
      </c>
      <c r="F1502" s="27">
        <f>IFERROR(IF(OR(C1502="",D1502="",C1502=0),"",D1502/C1502),"")</f>
        <v/>
      </c>
      <c r="G1502" s="21">
        <f>IFERROR(INDEX(Users!$A$2:$A$310,MATCH(A1502,Users!$B$2:$B$310,0)),"")</f>
        <v/>
      </c>
      <c r="H1502" s="21">
        <f>IFERROR(INDEX(Users!$D$2:$D$310,MATCH(A1502,Users!$B$2:$B$310,0)),"")</f>
        <v/>
      </c>
      <c r="I1502" s="19">
        <f>AND(G1502="Service A",H1502="Band 3")</f>
        <v/>
      </c>
      <c r="J1502" s="33">
        <f>IF(AND(YEAR(B1502)=2025,G1502="Service B",OR(H1502="Band 3",H1502="Band 5"),ISNUMBER(F1502)),F1502,"")</f>
        <v/>
      </c>
    </row>
    <row r="1503">
      <c r="A1503" s="19" t="inlineStr">
        <is>
          <t>User1161</t>
        </is>
      </c>
      <c r="B1503" s="60" t="n">
        <v>45901</v>
      </c>
      <c r="C1503" s="21" t="n">
        <v>148</v>
      </c>
      <c r="D1503" s="21" t="n"/>
      <c r="E1503" s="21" t="n"/>
      <c r="F1503" s="27">
        <f>IFERROR(IF(OR(C1503="",D1503="",C1503=0),"",D1503/C1503),"")</f>
        <v/>
      </c>
      <c r="G1503" s="21">
        <f>IFERROR(INDEX(Users!$A$2:$A$310,MATCH(A1503,Users!$B$2:$B$310,0)),"")</f>
        <v/>
      </c>
      <c r="H1503" s="21">
        <f>IFERROR(INDEX(Users!$D$2:$D$310,MATCH(A1503,Users!$B$2:$B$310,0)),"")</f>
        <v/>
      </c>
      <c r="I1503" s="19">
        <f>AND(G1503="Service A",H1503="Band 3")</f>
        <v/>
      </c>
      <c r="J1503" s="33">
        <f>IF(AND(YEAR(B1503)=2025,G1503="Service B",OR(H1503="Band 3",H1503="Band 5"),ISNUMBER(F1503)),F1503,"")</f>
        <v/>
      </c>
    </row>
    <row r="1504">
      <c r="A1504" s="19" t="inlineStr">
        <is>
          <t>User1162</t>
        </is>
      </c>
      <c r="B1504" s="60" t="n">
        <v>45658</v>
      </c>
      <c r="C1504" s="21" t="n">
        <v>162.8</v>
      </c>
      <c r="D1504" s="21" t="n">
        <v>142.1633333333334</v>
      </c>
      <c r="E1504" s="21" t="n">
        <v>58.33</v>
      </c>
      <c r="F1504" s="27">
        <f>IFERROR(IF(OR(C1504="",D1504="",C1504=0),"",D1504/C1504),"")</f>
        <v/>
      </c>
      <c r="G1504" s="21">
        <f>IFERROR(INDEX(Users!$A$2:$A$310,MATCH(A1504,Users!$B$2:$B$310,0)),"")</f>
        <v/>
      </c>
      <c r="H1504" s="21">
        <f>IFERROR(INDEX(Users!$D$2:$D$310,MATCH(A1504,Users!$B$2:$B$310,0)),"")</f>
        <v/>
      </c>
      <c r="I1504" s="19">
        <f>AND(G1504="Service A",H1504="Band 3")</f>
        <v/>
      </c>
      <c r="J1504" s="33">
        <f>IF(AND(YEAR(B1504)=2025,G1504="Service B",OR(H1504="Band 3",H1504="Band 5"),ISNUMBER(F1504)),F1504,"")</f>
        <v/>
      </c>
    </row>
    <row r="1505">
      <c r="A1505" s="19" t="inlineStr">
        <is>
          <t>User1162</t>
        </is>
      </c>
      <c r="B1505" s="60" t="n">
        <v>45689</v>
      </c>
      <c r="C1505" s="21" t="n">
        <v>148</v>
      </c>
      <c r="D1505" s="21" t="n">
        <v>122.5</v>
      </c>
      <c r="E1505" s="21" t="n">
        <v>75</v>
      </c>
      <c r="F1505" s="27">
        <f>IFERROR(IF(OR(C1505="",D1505="",C1505=0),"",D1505/C1505),"")</f>
        <v/>
      </c>
      <c r="G1505" s="21">
        <f>IFERROR(INDEX(Users!$A$2:$A$310,MATCH(A1505,Users!$B$2:$B$310,0)),"")</f>
        <v/>
      </c>
      <c r="H1505" s="21">
        <f>IFERROR(INDEX(Users!$D$2:$D$310,MATCH(A1505,Users!$B$2:$B$310,0)),"")</f>
        <v/>
      </c>
      <c r="I1505" s="19">
        <f>AND(G1505="Service A",H1505="Band 3")</f>
        <v/>
      </c>
      <c r="J1505" s="33">
        <f>IF(AND(YEAR(B1505)=2025,G1505="Service B",OR(H1505="Band 3",H1505="Band 5"),ISNUMBER(F1505)),F1505,"")</f>
        <v/>
      </c>
    </row>
    <row r="1506">
      <c r="A1506" s="19" t="inlineStr">
        <is>
          <t>User1162</t>
        </is>
      </c>
      <c r="B1506" s="60" t="n">
        <v>45717</v>
      </c>
      <c r="C1506" s="21" t="n">
        <v>155.4</v>
      </c>
      <c r="D1506" s="21" t="n">
        <v>157.34</v>
      </c>
      <c r="E1506" s="21" t="n">
        <v>80.34</v>
      </c>
      <c r="F1506" s="27">
        <f>IFERROR(IF(OR(C1506="",D1506="",C1506=0),"",D1506/C1506),"")</f>
        <v/>
      </c>
      <c r="G1506" s="21">
        <f>IFERROR(INDEX(Users!$A$2:$A$310,MATCH(A1506,Users!$B$2:$B$310,0)),"")</f>
        <v/>
      </c>
      <c r="H1506" s="21">
        <f>IFERROR(INDEX(Users!$D$2:$D$310,MATCH(A1506,Users!$B$2:$B$310,0)),"")</f>
        <v/>
      </c>
      <c r="I1506" s="19">
        <f>AND(G1506="Service A",H1506="Band 3")</f>
        <v/>
      </c>
      <c r="J1506" s="33">
        <f>IF(AND(YEAR(B1506)=2025,G1506="Service B",OR(H1506="Band 3",H1506="Band 5"),ISNUMBER(F1506)),F1506,"")</f>
        <v/>
      </c>
    </row>
    <row r="1507">
      <c r="A1507" s="19" t="inlineStr">
        <is>
          <t>User1162</t>
        </is>
      </c>
      <c r="B1507" s="60" t="n">
        <v>45748</v>
      </c>
      <c r="C1507" s="21" t="n">
        <v>148</v>
      </c>
      <c r="D1507" s="21" t="n">
        <v>107.3866666666667</v>
      </c>
      <c r="E1507" s="21" t="n">
        <v>59.22</v>
      </c>
      <c r="F1507" s="27">
        <f>IFERROR(IF(OR(C1507="",D1507="",C1507=0),"",D1507/C1507),"")</f>
        <v/>
      </c>
      <c r="G1507" s="21">
        <f>IFERROR(INDEX(Users!$A$2:$A$310,MATCH(A1507,Users!$B$2:$B$310,0)),"")</f>
        <v/>
      </c>
      <c r="H1507" s="21">
        <f>IFERROR(INDEX(Users!$D$2:$D$310,MATCH(A1507,Users!$B$2:$B$310,0)),"")</f>
        <v/>
      </c>
      <c r="I1507" s="19">
        <f>AND(G1507="Service A",H1507="Band 3")</f>
        <v/>
      </c>
      <c r="J1507" s="33">
        <f>IF(AND(YEAR(B1507)=2025,G1507="Service B",OR(H1507="Band 3",H1507="Band 5"),ISNUMBER(F1507)),F1507,"")</f>
        <v/>
      </c>
    </row>
    <row r="1508">
      <c r="A1508" s="19" t="inlineStr">
        <is>
          <t>User1162</t>
        </is>
      </c>
      <c r="B1508" s="60" t="n">
        <v>45778</v>
      </c>
      <c r="C1508" s="21" t="n">
        <v>148</v>
      </c>
      <c r="D1508" s="21" t="n">
        <v>102.5</v>
      </c>
      <c r="E1508" s="21" t="n">
        <v>70.75</v>
      </c>
      <c r="F1508" s="27">
        <f>IFERROR(IF(OR(C1508="",D1508="",C1508=0),"",D1508/C1508),"")</f>
        <v/>
      </c>
      <c r="G1508" s="21">
        <f>IFERROR(INDEX(Users!$A$2:$A$310,MATCH(A1508,Users!$B$2:$B$310,0)),"")</f>
        <v/>
      </c>
      <c r="H1508" s="21">
        <f>IFERROR(INDEX(Users!$D$2:$D$310,MATCH(A1508,Users!$B$2:$B$310,0)),"")</f>
        <v/>
      </c>
      <c r="I1508" s="19">
        <f>AND(G1508="Service A",H1508="Band 3")</f>
        <v/>
      </c>
      <c r="J1508" s="33">
        <f>IF(AND(YEAR(B1508)=2025,G1508="Service B",OR(H1508="Band 3",H1508="Band 5"),ISNUMBER(F1508)),F1508,"")</f>
        <v/>
      </c>
    </row>
    <row r="1509">
      <c r="A1509" s="19" t="inlineStr">
        <is>
          <t>User1162</t>
        </is>
      </c>
      <c r="B1509" s="60" t="n">
        <v>45809</v>
      </c>
      <c r="C1509" s="21" t="n">
        <v>155.4</v>
      </c>
      <c r="D1509" s="21" t="n">
        <v>148</v>
      </c>
      <c r="E1509" s="21" t="n">
        <v>82.25</v>
      </c>
      <c r="F1509" s="27">
        <f>IFERROR(IF(OR(C1509="",D1509="",C1509=0),"",D1509/C1509),"")</f>
        <v/>
      </c>
      <c r="G1509" s="21">
        <f>IFERROR(INDEX(Users!$A$2:$A$310,MATCH(A1509,Users!$B$2:$B$310,0)),"")</f>
        <v/>
      </c>
      <c r="H1509" s="21">
        <f>IFERROR(INDEX(Users!$D$2:$D$310,MATCH(A1509,Users!$B$2:$B$310,0)),"")</f>
        <v/>
      </c>
      <c r="I1509" s="19">
        <f>AND(G1509="Service A",H1509="Band 3")</f>
        <v/>
      </c>
      <c r="J1509" s="33">
        <f>IF(AND(YEAR(B1509)=2025,G1509="Service B",OR(H1509="Band 3",H1509="Band 5"),ISNUMBER(F1509)),F1509,"")</f>
        <v/>
      </c>
    </row>
    <row r="1510">
      <c r="A1510" s="19" t="inlineStr">
        <is>
          <t>User1162</t>
        </is>
      </c>
      <c r="B1510" s="60" t="n">
        <v>45839</v>
      </c>
      <c r="C1510" s="21" t="n">
        <v>170.2</v>
      </c>
      <c r="D1510" s="21" t="n">
        <v>92.75</v>
      </c>
      <c r="E1510" s="21" t="n">
        <v>61.5</v>
      </c>
      <c r="F1510" s="27">
        <f>IFERROR(IF(OR(C1510="",D1510="",C1510=0),"",D1510/C1510),"")</f>
        <v/>
      </c>
      <c r="G1510" s="21">
        <f>IFERROR(INDEX(Users!$A$2:$A$310,MATCH(A1510,Users!$B$2:$B$310,0)),"")</f>
        <v/>
      </c>
      <c r="H1510" s="21">
        <f>IFERROR(INDEX(Users!$D$2:$D$310,MATCH(A1510,Users!$B$2:$B$310,0)),"")</f>
        <v/>
      </c>
      <c r="I1510" s="19">
        <f>AND(G1510="Service A",H1510="Band 3")</f>
        <v/>
      </c>
      <c r="J1510" s="33">
        <f>IF(AND(YEAR(B1510)=2025,G1510="Service B",OR(H1510="Band 3",H1510="Band 5"),ISNUMBER(F1510)),F1510,"")</f>
        <v/>
      </c>
    </row>
    <row r="1511">
      <c r="A1511" s="19" t="inlineStr">
        <is>
          <t>User1162</t>
        </is>
      </c>
      <c r="B1511" s="60" t="n">
        <v>45870</v>
      </c>
      <c r="C1511" s="21" t="n">
        <v>148</v>
      </c>
      <c r="D1511" s="21" t="n">
        <v>75.68000000000001</v>
      </c>
      <c r="E1511" s="21" t="n">
        <v>45.93</v>
      </c>
      <c r="F1511" s="27">
        <f>IFERROR(IF(OR(C1511="",D1511="",C1511=0),"",D1511/C1511),"")</f>
        <v/>
      </c>
      <c r="G1511" s="21">
        <f>IFERROR(INDEX(Users!$A$2:$A$310,MATCH(A1511,Users!$B$2:$B$310,0)),"")</f>
        <v/>
      </c>
      <c r="H1511" s="21">
        <f>IFERROR(INDEX(Users!$D$2:$D$310,MATCH(A1511,Users!$B$2:$B$310,0)),"")</f>
        <v/>
      </c>
      <c r="I1511" s="19">
        <f>AND(G1511="Service A",H1511="Band 3")</f>
        <v/>
      </c>
      <c r="J1511" s="33">
        <f>IF(AND(YEAR(B1511)=2025,G1511="Service B",OR(H1511="Band 3",H1511="Band 5"),ISNUMBER(F1511)),F1511,"")</f>
        <v/>
      </c>
    </row>
    <row r="1512">
      <c r="A1512" s="19" t="inlineStr">
        <is>
          <t>User1162</t>
        </is>
      </c>
      <c r="B1512" s="60" t="n">
        <v>45901</v>
      </c>
      <c r="C1512" s="21" t="n">
        <v>162.8</v>
      </c>
      <c r="D1512" s="21" t="n">
        <v>120.99</v>
      </c>
      <c r="E1512" s="21" t="n">
        <v>69.09</v>
      </c>
      <c r="F1512" s="27">
        <f>IFERROR(IF(OR(C1512="",D1512="",C1512=0),"",D1512/C1512),"")</f>
        <v/>
      </c>
      <c r="G1512" s="21">
        <f>IFERROR(INDEX(Users!$A$2:$A$310,MATCH(A1512,Users!$B$2:$B$310,0)),"")</f>
        <v/>
      </c>
      <c r="H1512" s="21">
        <f>IFERROR(INDEX(Users!$D$2:$D$310,MATCH(A1512,Users!$B$2:$B$310,0)),"")</f>
        <v/>
      </c>
      <c r="I1512" s="19">
        <f>AND(G1512="Service A",H1512="Band 3")</f>
        <v/>
      </c>
      <c r="J1512" s="33">
        <f>IF(AND(YEAR(B1512)=2025,G1512="Service B",OR(H1512="Band 3",H1512="Band 5"),ISNUMBER(F1512)),F1512,"")</f>
        <v/>
      </c>
    </row>
    <row r="1513">
      <c r="A1513" s="19" t="inlineStr">
        <is>
          <t>User1162</t>
        </is>
      </c>
      <c r="B1513" s="60" t="n">
        <v>45931</v>
      </c>
      <c r="C1513" s="21" t="n">
        <v>170.2</v>
      </c>
      <c r="D1513" s="21" t="n">
        <v>161.41</v>
      </c>
      <c r="E1513" s="21" t="n">
        <v>109.41</v>
      </c>
      <c r="F1513" s="27">
        <f>IFERROR(IF(OR(C1513="",D1513="",C1513=0),"",D1513/C1513),"")</f>
        <v/>
      </c>
      <c r="G1513" s="21">
        <f>IFERROR(INDEX(Users!$A$2:$A$310,MATCH(A1513,Users!$B$2:$B$310,0)),"")</f>
        <v/>
      </c>
      <c r="H1513" s="21">
        <f>IFERROR(INDEX(Users!$D$2:$D$310,MATCH(A1513,Users!$B$2:$B$310,0)),"")</f>
        <v/>
      </c>
      <c r="I1513" s="19">
        <f>AND(G1513="Service A",H1513="Band 3")</f>
        <v/>
      </c>
      <c r="J1513" s="33">
        <f>IF(AND(YEAR(B1513)=2025,G1513="Service B",OR(H1513="Band 3",H1513="Band 5"),ISNUMBER(F1513)),F1513,"")</f>
        <v/>
      </c>
    </row>
    <row r="1514">
      <c r="A1514" s="19" t="inlineStr">
        <is>
          <t>User1162</t>
        </is>
      </c>
      <c r="B1514" s="60" t="n">
        <v>45962</v>
      </c>
      <c r="C1514" s="21" t="n">
        <v>148</v>
      </c>
      <c r="D1514" s="21" t="n">
        <v>140</v>
      </c>
      <c r="E1514" s="21" t="n">
        <v>90.75</v>
      </c>
      <c r="F1514" s="27">
        <f>IFERROR(IF(OR(C1514="",D1514="",C1514=0),"",D1514/C1514),"")</f>
        <v/>
      </c>
      <c r="G1514" s="21">
        <f>IFERROR(INDEX(Users!$A$2:$A$310,MATCH(A1514,Users!$B$2:$B$310,0)),"")</f>
        <v/>
      </c>
      <c r="H1514" s="21">
        <f>IFERROR(INDEX(Users!$D$2:$D$310,MATCH(A1514,Users!$B$2:$B$310,0)),"")</f>
        <v/>
      </c>
      <c r="I1514" s="19">
        <f>AND(G1514="Service A",H1514="Band 3")</f>
        <v/>
      </c>
      <c r="J1514" s="33">
        <f>IF(AND(YEAR(B1514)=2025,G1514="Service B",OR(H1514="Band 3",H1514="Band 5"),ISNUMBER(F1514)),F1514,"")</f>
        <v/>
      </c>
    </row>
    <row r="1515">
      <c r="A1515" s="19" t="inlineStr">
        <is>
          <t>User1162</t>
        </is>
      </c>
      <c r="B1515" s="60" t="n">
        <v>45992</v>
      </c>
      <c r="C1515" s="21" t="n">
        <v>155.4</v>
      </c>
      <c r="D1515" s="21" t="n">
        <v>121.42</v>
      </c>
      <c r="E1515" s="21" t="n">
        <v>72.17</v>
      </c>
      <c r="F1515" s="27">
        <f>IFERROR(IF(OR(C1515="",D1515="",C1515=0),"",D1515/C1515),"")</f>
        <v/>
      </c>
      <c r="G1515" s="21">
        <f>IFERROR(INDEX(Users!$A$2:$A$310,MATCH(A1515,Users!$B$2:$B$310,0)),"")</f>
        <v/>
      </c>
      <c r="H1515" s="21">
        <f>IFERROR(INDEX(Users!$D$2:$D$310,MATCH(A1515,Users!$B$2:$B$310,0)),"")</f>
        <v/>
      </c>
      <c r="I1515" s="19">
        <f>AND(G1515="Service A",H1515="Band 3")</f>
        <v/>
      </c>
      <c r="J1515" s="33">
        <f>IF(AND(YEAR(B1515)=2025,G1515="Service B",OR(H1515="Band 3",H1515="Band 5"),ISNUMBER(F1515)),F1515,"")</f>
        <v/>
      </c>
    </row>
    <row r="1516">
      <c r="A1516" s="19" t="inlineStr">
        <is>
          <t>User1162</t>
        </is>
      </c>
      <c r="B1516" s="60" t="n">
        <v>46023</v>
      </c>
      <c r="C1516" s="21" t="n">
        <v>155.4</v>
      </c>
      <c r="D1516" s="21" t="n">
        <v>111</v>
      </c>
      <c r="E1516" s="21" t="n">
        <v>60</v>
      </c>
      <c r="F1516" s="27">
        <f>IFERROR(IF(OR(C1516="",D1516="",C1516=0),"",D1516/C1516),"")</f>
        <v/>
      </c>
      <c r="G1516" s="21">
        <f>IFERROR(INDEX(Users!$A$2:$A$310,MATCH(A1516,Users!$B$2:$B$310,0)),"")</f>
        <v/>
      </c>
      <c r="H1516" s="21">
        <f>IFERROR(INDEX(Users!$D$2:$D$310,MATCH(A1516,Users!$B$2:$B$310,0)),"")</f>
        <v/>
      </c>
      <c r="I1516" s="19">
        <f>AND(G1516="Service A",H1516="Band 3")</f>
        <v/>
      </c>
      <c r="J1516" s="33">
        <f>IF(AND(YEAR(B1516)=2025,G1516="Service B",OR(H1516="Band 3",H1516="Band 5"),ISNUMBER(F1516)),F1516,"")</f>
        <v/>
      </c>
    </row>
    <row r="1517">
      <c r="A1517" s="19" t="inlineStr">
        <is>
          <t>User1163</t>
        </is>
      </c>
      <c r="B1517" s="60" t="n">
        <v>45658</v>
      </c>
      <c r="C1517" s="21" t="n">
        <v>162.8</v>
      </c>
      <c r="D1517" s="21" t="n">
        <v>148.51</v>
      </c>
      <c r="E1517" s="21" t="n">
        <v>106.09</v>
      </c>
      <c r="F1517" s="27">
        <f>IFERROR(IF(OR(C1517="",D1517="",C1517=0),"",D1517/C1517),"")</f>
        <v/>
      </c>
      <c r="G1517" s="21">
        <f>IFERROR(INDEX(Users!$A$2:$A$310,MATCH(A1517,Users!$B$2:$B$310,0)),"")</f>
        <v/>
      </c>
      <c r="H1517" s="21">
        <f>IFERROR(INDEX(Users!$D$2:$D$310,MATCH(A1517,Users!$B$2:$B$310,0)),"")</f>
        <v/>
      </c>
      <c r="I1517" s="19">
        <f>AND(G1517="Service A",H1517="Band 3")</f>
        <v/>
      </c>
      <c r="J1517" s="33">
        <f>IF(AND(YEAR(B1517)=2025,G1517="Service B",OR(H1517="Band 3",H1517="Band 5"),ISNUMBER(F1517)),F1517,"")</f>
        <v/>
      </c>
    </row>
    <row r="1518">
      <c r="A1518" s="19" t="inlineStr">
        <is>
          <t>User1163</t>
        </is>
      </c>
      <c r="B1518" s="60" t="n">
        <v>45689</v>
      </c>
      <c r="C1518" s="21" t="n">
        <v>148</v>
      </c>
      <c r="D1518" s="21" t="n">
        <v>151.4144444444445</v>
      </c>
      <c r="E1518" s="21" t="n">
        <v>91.98</v>
      </c>
      <c r="F1518" s="27">
        <f>IFERROR(IF(OR(C1518="",D1518="",C1518=0),"",D1518/C1518),"")</f>
        <v/>
      </c>
      <c r="G1518" s="21">
        <f>IFERROR(INDEX(Users!$A$2:$A$310,MATCH(A1518,Users!$B$2:$B$310,0)),"")</f>
        <v/>
      </c>
      <c r="H1518" s="21">
        <f>IFERROR(INDEX(Users!$D$2:$D$310,MATCH(A1518,Users!$B$2:$B$310,0)),"")</f>
        <v/>
      </c>
      <c r="I1518" s="19">
        <f>AND(G1518="Service A",H1518="Band 3")</f>
        <v/>
      </c>
      <c r="J1518" s="33">
        <f>IF(AND(YEAR(B1518)=2025,G1518="Service B",OR(H1518="Band 3",H1518="Band 5"),ISNUMBER(F1518)),F1518,"")</f>
        <v/>
      </c>
    </row>
    <row r="1519">
      <c r="A1519" s="19" t="inlineStr">
        <is>
          <t>User1163</t>
        </is>
      </c>
      <c r="B1519" s="60" t="n">
        <v>45717</v>
      </c>
      <c r="C1519" s="21" t="n">
        <v>155.4</v>
      </c>
      <c r="D1519" s="21" t="n">
        <v>133.9369444444444</v>
      </c>
      <c r="E1519" s="21" t="n">
        <v>92.37</v>
      </c>
      <c r="F1519" s="27">
        <f>IFERROR(IF(OR(C1519="",D1519="",C1519=0),"",D1519/C1519),"")</f>
        <v/>
      </c>
      <c r="G1519" s="21">
        <f>IFERROR(INDEX(Users!$A$2:$A$310,MATCH(A1519,Users!$B$2:$B$310,0)),"")</f>
        <v/>
      </c>
      <c r="H1519" s="21">
        <f>IFERROR(INDEX(Users!$D$2:$D$310,MATCH(A1519,Users!$B$2:$B$310,0)),"")</f>
        <v/>
      </c>
      <c r="I1519" s="19">
        <f>AND(G1519="Service A",H1519="Band 3")</f>
        <v/>
      </c>
      <c r="J1519" s="33">
        <f>IF(AND(YEAR(B1519)=2025,G1519="Service B",OR(H1519="Band 3",H1519="Band 5"),ISNUMBER(F1519)),F1519,"")</f>
        <v/>
      </c>
    </row>
    <row r="1520">
      <c r="A1520" s="19" t="inlineStr">
        <is>
          <t>User1163</t>
        </is>
      </c>
      <c r="B1520" s="60" t="n">
        <v>45748</v>
      </c>
      <c r="C1520" s="21" t="n">
        <v>148</v>
      </c>
      <c r="D1520" s="21" t="n">
        <v>172.6369444444445</v>
      </c>
      <c r="E1520" s="21" t="n">
        <v>88.61999999999998</v>
      </c>
      <c r="F1520" s="27">
        <f>IFERROR(IF(OR(C1520="",D1520="",C1520=0),"",D1520/C1520),"")</f>
        <v/>
      </c>
      <c r="G1520" s="21">
        <f>IFERROR(INDEX(Users!$A$2:$A$310,MATCH(A1520,Users!$B$2:$B$310,0)),"")</f>
        <v/>
      </c>
      <c r="H1520" s="21">
        <f>IFERROR(INDEX(Users!$D$2:$D$310,MATCH(A1520,Users!$B$2:$B$310,0)),"")</f>
        <v/>
      </c>
      <c r="I1520" s="19">
        <f>AND(G1520="Service A",H1520="Band 3")</f>
        <v/>
      </c>
      <c r="J1520" s="33">
        <f>IF(AND(YEAR(B1520)=2025,G1520="Service B",OR(H1520="Band 3",H1520="Band 5"),ISNUMBER(F1520)),F1520,"")</f>
        <v/>
      </c>
    </row>
    <row r="1521">
      <c r="A1521" s="19" t="inlineStr">
        <is>
          <t>User1163</t>
        </is>
      </c>
      <c r="B1521" s="60" t="n">
        <v>45778</v>
      </c>
      <c r="C1521" s="21" t="n">
        <v>148</v>
      </c>
      <c r="D1521" s="21" t="n">
        <v>141.9691666666667</v>
      </c>
      <c r="E1521" s="21" t="n">
        <v>77.89000000000003</v>
      </c>
      <c r="F1521" s="27">
        <f>IFERROR(IF(OR(C1521="",D1521="",C1521=0),"",D1521/C1521),"")</f>
        <v/>
      </c>
      <c r="G1521" s="21">
        <f>IFERROR(INDEX(Users!$A$2:$A$310,MATCH(A1521,Users!$B$2:$B$310,0)),"")</f>
        <v/>
      </c>
      <c r="H1521" s="21">
        <f>IFERROR(INDEX(Users!$D$2:$D$310,MATCH(A1521,Users!$B$2:$B$310,0)),"")</f>
        <v/>
      </c>
      <c r="I1521" s="19">
        <f>AND(G1521="Service A",H1521="Band 3")</f>
        <v/>
      </c>
      <c r="J1521" s="33">
        <f>IF(AND(YEAR(B1521)=2025,G1521="Service B",OR(H1521="Band 3",H1521="Band 5"),ISNUMBER(F1521)),F1521,"")</f>
        <v/>
      </c>
    </row>
    <row r="1522">
      <c r="A1522" s="19" t="inlineStr">
        <is>
          <t>User1163</t>
        </is>
      </c>
      <c r="B1522" s="60" t="n">
        <v>45809</v>
      </c>
      <c r="C1522" s="21" t="n">
        <v>155.4</v>
      </c>
      <c r="D1522" s="21" t="n">
        <v>117.84</v>
      </c>
      <c r="E1522" s="21" t="n">
        <v>76.14</v>
      </c>
      <c r="F1522" s="27">
        <f>IFERROR(IF(OR(C1522="",D1522="",C1522=0),"",D1522/C1522),"")</f>
        <v/>
      </c>
      <c r="G1522" s="21">
        <f>IFERROR(INDEX(Users!$A$2:$A$310,MATCH(A1522,Users!$B$2:$B$310,0)),"")</f>
        <v/>
      </c>
      <c r="H1522" s="21">
        <f>IFERROR(INDEX(Users!$D$2:$D$310,MATCH(A1522,Users!$B$2:$B$310,0)),"")</f>
        <v/>
      </c>
      <c r="I1522" s="19">
        <f>AND(G1522="Service A",H1522="Band 3")</f>
        <v/>
      </c>
      <c r="J1522" s="33">
        <f>IF(AND(YEAR(B1522)=2025,G1522="Service B",OR(H1522="Band 3",H1522="Band 5"),ISNUMBER(F1522)),F1522,"")</f>
        <v/>
      </c>
    </row>
    <row r="1523">
      <c r="A1523" s="19" t="inlineStr">
        <is>
          <t>User1163</t>
        </is>
      </c>
      <c r="B1523" s="60" t="n">
        <v>45839</v>
      </c>
      <c r="C1523" s="21" t="n">
        <v>170.2</v>
      </c>
      <c r="D1523" s="21" t="n">
        <v>152.7766666666667</v>
      </c>
      <c r="E1523" s="21" t="n">
        <v>109.86</v>
      </c>
      <c r="F1523" s="27">
        <f>IFERROR(IF(OR(C1523="",D1523="",C1523=0),"",D1523/C1523),"")</f>
        <v/>
      </c>
      <c r="G1523" s="21">
        <f>IFERROR(INDEX(Users!$A$2:$A$310,MATCH(A1523,Users!$B$2:$B$310,0)),"")</f>
        <v/>
      </c>
      <c r="H1523" s="21">
        <f>IFERROR(INDEX(Users!$D$2:$D$310,MATCH(A1523,Users!$B$2:$B$310,0)),"")</f>
        <v/>
      </c>
      <c r="I1523" s="19">
        <f>AND(G1523="Service A",H1523="Band 3")</f>
        <v/>
      </c>
      <c r="J1523" s="33">
        <f>IF(AND(YEAR(B1523)=2025,G1523="Service B",OR(H1523="Band 3",H1523="Band 5"),ISNUMBER(F1523)),F1523,"")</f>
        <v/>
      </c>
    </row>
    <row r="1524">
      <c r="A1524" s="19" t="inlineStr">
        <is>
          <t>User1163</t>
        </is>
      </c>
      <c r="B1524" s="60" t="n">
        <v>45870</v>
      </c>
      <c r="C1524" s="21" t="n">
        <v>148</v>
      </c>
      <c r="D1524" s="21" t="n">
        <v>147.4533333333333</v>
      </c>
      <c r="E1524" s="21" t="n">
        <v>129.62</v>
      </c>
      <c r="F1524" s="27">
        <f>IFERROR(IF(OR(C1524="",D1524="",C1524=0),"",D1524/C1524),"")</f>
        <v/>
      </c>
      <c r="G1524" s="21">
        <f>IFERROR(INDEX(Users!$A$2:$A$310,MATCH(A1524,Users!$B$2:$B$310,0)),"")</f>
        <v/>
      </c>
      <c r="H1524" s="21">
        <f>IFERROR(INDEX(Users!$D$2:$D$310,MATCH(A1524,Users!$B$2:$B$310,0)),"")</f>
        <v/>
      </c>
      <c r="I1524" s="19">
        <f>AND(G1524="Service A",H1524="Band 3")</f>
        <v/>
      </c>
      <c r="J1524" s="33">
        <f>IF(AND(YEAR(B1524)=2025,G1524="Service B",OR(H1524="Band 3",H1524="Band 5"),ISNUMBER(F1524)),F1524,"")</f>
        <v/>
      </c>
    </row>
    <row r="1525">
      <c r="A1525" s="19" t="inlineStr">
        <is>
          <t>User1163</t>
        </is>
      </c>
      <c r="B1525" s="60" t="n">
        <v>45901</v>
      </c>
      <c r="C1525" s="21" t="n">
        <v>162.8</v>
      </c>
      <c r="D1525" s="21" t="n">
        <v>69.75999999999999</v>
      </c>
      <c r="E1525" s="21" t="n">
        <v>18.36</v>
      </c>
      <c r="F1525" s="27">
        <f>IFERROR(IF(OR(C1525="",D1525="",C1525=0),"",D1525/C1525),"")</f>
        <v/>
      </c>
      <c r="G1525" s="21">
        <f>IFERROR(INDEX(Users!$A$2:$A$310,MATCH(A1525,Users!$B$2:$B$310,0)),"")</f>
        <v/>
      </c>
      <c r="H1525" s="21">
        <f>IFERROR(INDEX(Users!$D$2:$D$310,MATCH(A1525,Users!$B$2:$B$310,0)),"")</f>
        <v/>
      </c>
      <c r="I1525" s="19">
        <f>AND(G1525="Service A",H1525="Band 3")</f>
        <v/>
      </c>
      <c r="J1525" s="33">
        <f>IF(AND(YEAR(B1525)=2025,G1525="Service B",OR(H1525="Band 3",H1525="Band 5"),ISNUMBER(F1525)),F1525,"")</f>
        <v/>
      </c>
    </row>
    <row r="1526">
      <c r="A1526" s="19" t="inlineStr">
        <is>
          <t>User1163</t>
        </is>
      </c>
      <c r="B1526" s="60" t="n">
        <v>45931</v>
      </c>
      <c r="C1526" s="21" t="n">
        <v>170.2</v>
      </c>
      <c r="D1526" s="21" t="n">
        <v>155.37</v>
      </c>
      <c r="E1526" s="21" t="n">
        <v>87.37</v>
      </c>
      <c r="F1526" s="27">
        <f>IFERROR(IF(OR(C1526="",D1526="",C1526=0),"",D1526/C1526),"")</f>
        <v/>
      </c>
      <c r="G1526" s="21">
        <f>IFERROR(INDEX(Users!$A$2:$A$310,MATCH(A1526,Users!$B$2:$B$310,0)),"")</f>
        <v/>
      </c>
      <c r="H1526" s="21">
        <f>IFERROR(INDEX(Users!$D$2:$D$310,MATCH(A1526,Users!$B$2:$B$310,0)),"")</f>
        <v/>
      </c>
      <c r="I1526" s="19">
        <f>AND(G1526="Service A",H1526="Band 3")</f>
        <v/>
      </c>
      <c r="J1526" s="33">
        <f>IF(AND(YEAR(B1526)=2025,G1526="Service B",OR(H1526="Band 3",H1526="Band 5"),ISNUMBER(F1526)),F1526,"")</f>
        <v/>
      </c>
    </row>
    <row r="1527">
      <c r="A1527" s="19" t="inlineStr">
        <is>
          <t>User1163</t>
        </is>
      </c>
      <c r="B1527" s="60" t="n">
        <v>45962</v>
      </c>
      <c r="C1527" s="21" t="n">
        <v>148</v>
      </c>
      <c r="D1527" s="21" t="n">
        <v>110.86</v>
      </c>
      <c r="E1527" s="21" t="n">
        <v>69.36</v>
      </c>
      <c r="F1527" s="27">
        <f>IFERROR(IF(OR(C1527="",D1527="",C1527=0),"",D1527/C1527),"")</f>
        <v/>
      </c>
      <c r="G1527" s="21">
        <f>IFERROR(INDEX(Users!$A$2:$A$310,MATCH(A1527,Users!$B$2:$B$310,0)),"")</f>
        <v/>
      </c>
      <c r="H1527" s="21">
        <f>IFERROR(INDEX(Users!$D$2:$D$310,MATCH(A1527,Users!$B$2:$B$310,0)),"")</f>
        <v/>
      </c>
      <c r="I1527" s="19">
        <f>AND(G1527="Service A",H1527="Band 3")</f>
        <v/>
      </c>
      <c r="J1527" s="33">
        <f>IF(AND(YEAR(B1527)=2025,G1527="Service B",OR(H1527="Band 3",H1527="Band 5"),ISNUMBER(F1527)),F1527,"")</f>
        <v/>
      </c>
    </row>
    <row r="1528">
      <c r="A1528" s="19" t="inlineStr">
        <is>
          <t>User1163</t>
        </is>
      </c>
      <c r="B1528" s="60" t="n">
        <v>45992</v>
      </c>
      <c r="C1528" s="21" t="n">
        <v>155.4</v>
      </c>
      <c r="D1528" s="21" t="n">
        <v>123.83</v>
      </c>
      <c r="E1528" s="21" t="n">
        <v>72.33000000000001</v>
      </c>
      <c r="F1528" s="27">
        <f>IFERROR(IF(OR(C1528="",D1528="",C1528=0),"",D1528/C1528),"")</f>
        <v/>
      </c>
      <c r="G1528" s="21">
        <f>IFERROR(INDEX(Users!$A$2:$A$310,MATCH(A1528,Users!$B$2:$B$310,0)),"")</f>
        <v/>
      </c>
      <c r="H1528" s="21">
        <f>IFERROR(INDEX(Users!$D$2:$D$310,MATCH(A1528,Users!$B$2:$B$310,0)),"")</f>
        <v/>
      </c>
      <c r="I1528" s="19">
        <f>AND(G1528="Service A",H1528="Band 3")</f>
        <v/>
      </c>
      <c r="J1528" s="33">
        <f>IF(AND(YEAR(B1528)=2025,G1528="Service B",OR(H1528="Band 3",H1528="Band 5"),ISNUMBER(F1528)),F1528,"")</f>
        <v/>
      </c>
    </row>
    <row r="1529">
      <c r="A1529" s="19" t="inlineStr">
        <is>
          <t>User1163</t>
        </is>
      </c>
      <c r="B1529" s="60" t="n">
        <v>46023</v>
      </c>
      <c r="C1529" s="21" t="n">
        <v>155.4</v>
      </c>
      <c r="D1529" s="21" t="n">
        <v>152.0233333333333</v>
      </c>
      <c r="E1529" s="21" t="n">
        <v>86.19</v>
      </c>
      <c r="F1529" s="27">
        <f>IFERROR(IF(OR(C1529="",D1529="",C1529=0),"",D1529/C1529),"")</f>
        <v/>
      </c>
      <c r="G1529" s="21">
        <f>IFERROR(INDEX(Users!$A$2:$A$310,MATCH(A1529,Users!$B$2:$B$310,0)),"")</f>
        <v/>
      </c>
      <c r="H1529" s="21">
        <f>IFERROR(INDEX(Users!$D$2:$D$310,MATCH(A1529,Users!$B$2:$B$310,0)),"")</f>
        <v/>
      </c>
      <c r="I1529" s="19">
        <f>AND(G1529="Service A",H1529="Band 3")</f>
        <v/>
      </c>
      <c r="J1529" s="33">
        <f>IF(AND(YEAR(B1529)=2025,G1529="Service B",OR(H1529="Band 3",H1529="Band 5"),ISNUMBER(F1529)),F1529,"")</f>
        <v/>
      </c>
    </row>
    <row r="1530">
      <c r="A1530" s="19" t="inlineStr">
        <is>
          <t>User1165</t>
        </is>
      </c>
      <c r="B1530" s="60" t="n">
        <v>45839</v>
      </c>
      <c r="C1530" s="21" t="n">
        <v>66.60000000000001</v>
      </c>
      <c r="D1530" s="21" t="n">
        <v>64.15416666666667</v>
      </c>
      <c r="E1530" s="21" t="n">
        <v>2</v>
      </c>
      <c r="F1530" s="27">
        <f>IFERROR(IF(OR(C1530="",D1530="",C1530=0),"",D1530/C1530),"")</f>
        <v/>
      </c>
      <c r="G1530" s="21">
        <f>IFERROR(INDEX(Users!$A$2:$A$310,MATCH(A1530,Users!$B$2:$B$310,0)),"")</f>
        <v/>
      </c>
      <c r="H1530" s="21">
        <f>IFERROR(INDEX(Users!$D$2:$D$310,MATCH(A1530,Users!$B$2:$B$310,0)),"")</f>
        <v/>
      </c>
      <c r="I1530" s="19">
        <f>AND(G1530="Service A",H1530="Band 3")</f>
        <v/>
      </c>
      <c r="J1530" s="33">
        <f>IF(AND(YEAR(B1530)=2025,G1530="Service B",OR(H1530="Band 3",H1530="Band 5"),ISNUMBER(F1530)),F1530,"")</f>
        <v/>
      </c>
    </row>
    <row r="1531">
      <c r="A1531" s="19" t="inlineStr">
        <is>
          <t>User1165</t>
        </is>
      </c>
      <c r="B1531" s="60" t="n">
        <v>45870</v>
      </c>
      <c r="C1531" s="21" t="n">
        <v>148</v>
      </c>
      <c r="D1531" s="21" t="n">
        <v>128.5472222222222</v>
      </c>
      <c r="E1531" s="21" t="n">
        <v>12.16</v>
      </c>
      <c r="F1531" s="27">
        <f>IFERROR(IF(OR(C1531="",D1531="",C1531=0),"",D1531/C1531),"")</f>
        <v/>
      </c>
      <c r="G1531" s="21">
        <f>IFERROR(INDEX(Users!$A$2:$A$310,MATCH(A1531,Users!$B$2:$B$310,0)),"")</f>
        <v/>
      </c>
      <c r="H1531" s="21">
        <f>IFERROR(INDEX(Users!$D$2:$D$310,MATCH(A1531,Users!$B$2:$B$310,0)),"")</f>
        <v/>
      </c>
      <c r="I1531" s="19">
        <f>AND(G1531="Service A",H1531="Band 3")</f>
        <v/>
      </c>
      <c r="J1531" s="33">
        <f>IF(AND(YEAR(B1531)=2025,G1531="Service B",OR(H1531="Band 3",H1531="Band 5"),ISNUMBER(F1531)),F1531,"")</f>
        <v/>
      </c>
    </row>
    <row r="1532">
      <c r="A1532" s="19" t="inlineStr">
        <is>
          <t>User1165</t>
        </is>
      </c>
      <c r="B1532" s="60" t="n">
        <v>45901</v>
      </c>
      <c r="C1532" s="21" t="n">
        <v>162.8</v>
      </c>
      <c r="D1532" s="21" t="n">
        <v>115.1566666666667</v>
      </c>
      <c r="E1532" s="21" t="n">
        <v>35.83</v>
      </c>
      <c r="F1532" s="27">
        <f>IFERROR(IF(OR(C1532="",D1532="",C1532=0),"",D1532/C1532),"")</f>
        <v/>
      </c>
      <c r="G1532" s="21">
        <f>IFERROR(INDEX(Users!$A$2:$A$310,MATCH(A1532,Users!$B$2:$B$310,0)),"")</f>
        <v/>
      </c>
      <c r="H1532" s="21">
        <f>IFERROR(INDEX(Users!$D$2:$D$310,MATCH(A1532,Users!$B$2:$B$310,0)),"")</f>
        <v/>
      </c>
      <c r="I1532" s="19">
        <f>AND(G1532="Service A",H1532="Band 3")</f>
        <v/>
      </c>
      <c r="J1532" s="33">
        <f>IF(AND(YEAR(B1532)=2025,G1532="Service B",OR(H1532="Band 3",H1532="Band 5"),ISNUMBER(F1532)),F1532,"")</f>
        <v/>
      </c>
    </row>
    <row r="1533">
      <c r="A1533" s="19" t="inlineStr">
        <is>
          <t>User1165</t>
        </is>
      </c>
      <c r="B1533" s="60" t="n">
        <v>45931</v>
      </c>
      <c r="C1533" s="21" t="n">
        <v>170.2</v>
      </c>
      <c r="D1533" s="21" t="n">
        <v>105.2211111111111</v>
      </c>
      <c r="E1533" s="21" t="n">
        <v>8</v>
      </c>
      <c r="F1533" s="27">
        <f>IFERROR(IF(OR(C1533="",D1533="",C1533=0),"",D1533/C1533),"")</f>
        <v/>
      </c>
      <c r="G1533" s="21">
        <f>IFERROR(INDEX(Users!$A$2:$A$310,MATCH(A1533,Users!$B$2:$B$310,0)),"")</f>
        <v/>
      </c>
      <c r="H1533" s="21">
        <f>IFERROR(INDEX(Users!$D$2:$D$310,MATCH(A1533,Users!$B$2:$B$310,0)),"")</f>
        <v/>
      </c>
      <c r="I1533" s="19">
        <f>AND(G1533="Service A",H1533="Band 3")</f>
        <v/>
      </c>
      <c r="J1533" s="33">
        <f>IF(AND(YEAR(B1533)=2025,G1533="Service B",OR(H1533="Band 3",H1533="Band 5"),ISNUMBER(F1533)),F1533,"")</f>
        <v/>
      </c>
    </row>
    <row r="1534">
      <c r="A1534" s="19" t="inlineStr">
        <is>
          <t>User1165</t>
        </is>
      </c>
      <c r="B1534" s="60" t="n">
        <v>45962</v>
      </c>
      <c r="C1534" s="21" t="n">
        <v>148</v>
      </c>
      <c r="D1534" s="21" t="n">
        <v>59.44972222222222</v>
      </c>
      <c r="E1534" s="21" t="n">
        <v>3.5</v>
      </c>
      <c r="F1534" s="27">
        <f>IFERROR(IF(OR(C1534="",D1534="",C1534=0),"",D1534/C1534),"")</f>
        <v/>
      </c>
      <c r="G1534" s="21">
        <f>IFERROR(INDEX(Users!$A$2:$A$310,MATCH(A1534,Users!$B$2:$B$310,0)),"")</f>
        <v/>
      </c>
      <c r="H1534" s="21">
        <f>IFERROR(INDEX(Users!$D$2:$D$310,MATCH(A1534,Users!$B$2:$B$310,0)),"")</f>
        <v/>
      </c>
      <c r="I1534" s="19">
        <f>AND(G1534="Service A",H1534="Band 3")</f>
        <v/>
      </c>
      <c r="J1534" s="33">
        <f>IF(AND(YEAR(B1534)=2025,G1534="Service B",OR(H1534="Band 3",H1534="Band 5"),ISNUMBER(F1534)),F1534,"")</f>
        <v/>
      </c>
    </row>
    <row r="1535">
      <c r="A1535" s="19" t="inlineStr">
        <is>
          <t>User1165</t>
        </is>
      </c>
      <c r="B1535" s="60" t="n">
        <v>45992</v>
      </c>
      <c r="C1535" s="21" t="n">
        <v>155.4</v>
      </c>
      <c r="D1535" s="21" t="n">
        <v>101.8811111111111</v>
      </c>
      <c r="E1535" s="21" t="n">
        <v>10.33</v>
      </c>
      <c r="F1535" s="27">
        <f>IFERROR(IF(OR(C1535="",D1535="",C1535=0),"",D1535/C1535),"")</f>
        <v/>
      </c>
      <c r="G1535" s="21">
        <f>IFERROR(INDEX(Users!$A$2:$A$310,MATCH(A1535,Users!$B$2:$B$310,0)),"")</f>
        <v/>
      </c>
      <c r="H1535" s="21">
        <f>IFERROR(INDEX(Users!$D$2:$D$310,MATCH(A1535,Users!$B$2:$B$310,0)),"")</f>
        <v/>
      </c>
      <c r="I1535" s="19">
        <f>AND(G1535="Service A",H1535="Band 3")</f>
        <v/>
      </c>
      <c r="J1535" s="33">
        <f>IF(AND(YEAR(B1535)=2025,G1535="Service B",OR(H1535="Band 3",H1535="Band 5"),ISNUMBER(F1535)),F1535,"")</f>
        <v/>
      </c>
    </row>
    <row r="1536">
      <c r="A1536" s="19" t="inlineStr">
        <is>
          <t>User1165</t>
        </is>
      </c>
      <c r="B1536" s="60" t="n">
        <v>46023</v>
      </c>
      <c r="C1536" s="21" t="n">
        <v>155.4</v>
      </c>
      <c r="D1536" s="21" t="n">
        <v>112.9677777777778</v>
      </c>
      <c r="E1536" s="21" t="n">
        <v>10</v>
      </c>
      <c r="F1536" s="27">
        <f>IFERROR(IF(OR(C1536="",D1536="",C1536=0),"",D1536/C1536),"")</f>
        <v/>
      </c>
      <c r="G1536" s="21">
        <f>IFERROR(INDEX(Users!$A$2:$A$310,MATCH(A1536,Users!$B$2:$B$310,0)),"")</f>
        <v/>
      </c>
      <c r="H1536" s="21">
        <f>IFERROR(INDEX(Users!$D$2:$D$310,MATCH(A1536,Users!$B$2:$B$310,0)),"")</f>
        <v/>
      </c>
      <c r="I1536" s="19">
        <f>AND(G1536="Service A",H1536="Band 3")</f>
        <v/>
      </c>
      <c r="J1536" s="33">
        <f>IF(AND(YEAR(B1536)=2025,G1536="Service B",OR(H1536="Band 3",H1536="Band 5"),ISNUMBER(F1536)),F1536,"")</f>
        <v/>
      </c>
    </row>
    <row r="1537">
      <c r="A1537" s="19" t="inlineStr">
        <is>
          <t>User1167</t>
        </is>
      </c>
      <c r="B1537" s="60" t="n">
        <v>45658</v>
      </c>
      <c r="C1537" s="21" t="n">
        <v>162.8</v>
      </c>
      <c r="D1537" s="21" t="n">
        <v>144.24</v>
      </c>
      <c r="E1537" s="21" t="n">
        <v>101.04</v>
      </c>
      <c r="F1537" s="27">
        <f>IFERROR(IF(OR(C1537="",D1537="",C1537=0),"",D1537/C1537),"")</f>
        <v/>
      </c>
      <c r="G1537" s="21">
        <f>IFERROR(INDEX(Users!$A$2:$A$310,MATCH(A1537,Users!$B$2:$B$310,0)),"")</f>
        <v/>
      </c>
      <c r="H1537" s="21">
        <f>IFERROR(INDEX(Users!$D$2:$D$310,MATCH(A1537,Users!$B$2:$B$310,0)),"")</f>
        <v/>
      </c>
      <c r="I1537" s="19">
        <f>AND(G1537="Service A",H1537="Band 3")</f>
        <v/>
      </c>
      <c r="J1537" s="33">
        <f>IF(AND(YEAR(B1537)=2025,G1537="Service B",OR(H1537="Band 3",H1537="Band 5"),ISNUMBER(F1537)),F1537,"")</f>
        <v/>
      </c>
    </row>
    <row r="1538">
      <c r="A1538" s="19" t="inlineStr">
        <is>
          <t>User1167</t>
        </is>
      </c>
      <c r="B1538" s="60" t="n">
        <v>45689</v>
      </c>
      <c r="C1538" s="21" t="n">
        <v>148</v>
      </c>
      <c r="D1538" s="21" t="n">
        <v>130.0666666666667</v>
      </c>
      <c r="E1538" s="21" t="n">
        <v>97.40000000000003</v>
      </c>
      <c r="F1538" s="27">
        <f>IFERROR(IF(OR(C1538="",D1538="",C1538=0),"",D1538/C1538),"")</f>
        <v/>
      </c>
      <c r="G1538" s="21">
        <f>IFERROR(INDEX(Users!$A$2:$A$310,MATCH(A1538,Users!$B$2:$B$310,0)),"")</f>
        <v/>
      </c>
      <c r="H1538" s="21">
        <f>IFERROR(INDEX(Users!$D$2:$D$310,MATCH(A1538,Users!$B$2:$B$310,0)),"")</f>
        <v/>
      </c>
      <c r="I1538" s="19">
        <f>AND(G1538="Service A",H1538="Band 3")</f>
        <v/>
      </c>
      <c r="J1538" s="33">
        <f>IF(AND(YEAR(B1538)=2025,G1538="Service B",OR(H1538="Band 3",H1538="Band 5"),ISNUMBER(F1538)),F1538,"")</f>
        <v/>
      </c>
    </row>
    <row r="1539">
      <c r="A1539" s="19" t="inlineStr">
        <is>
          <t>User1167</t>
        </is>
      </c>
      <c r="B1539" s="60" t="n">
        <v>45717</v>
      </c>
      <c r="C1539" s="21" t="n">
        <v>155.4</v>
      </c>
      <c r="D1539" s="21" t="n">
        <v>141.4</v>
      </c>
      <c r="E1539" s="21" t="n">
        <v>101.15</v>
      </c>
      <c r="F1539" s="27">
        <f>IFERROR(IF(OR(C1539="",D1539="",C1539=0),"",D1539/C1539),"")</f>
        <v/>
      </c>
      <c r="G1539" s="21">
        <f>IFERROR(INDEX(Users!$A$2:$A$310,MATCH(A1539,Users!$B$2:$B$310,0)),"")</f>
        <v/>
      </c>
      <c r="H1539" s="21">
        <f>IFERROR(INDEX(Users!$D$2:$D$310,MATCH(A1539,Users!$B$2:$B$310,0)),"")</f>
        <v/>
      </c>
      <c r="I1539" s="19">
        <f>AND(G1539="Service A",H1539="Band 3")</f>
        <v/>
      </c>
      <c r="J1539" s="33">
        <f>IF(AND(YEAR(B1539)=2025,G1539="Service B",OR(H1539="Band 3",H1539="Band 5"),ISNUMBER(F1539)),F1539,"")</f>
        <v/>
      </c>
    </row>
    <row r="1540">
      <c r="A1540" s="19" t="inlineStr">
        <is>
          <t>User1167</t>
        </is>
      </c>
      <c r="B1540" s="60" t="n">
        <v>45748</v>
      </c>
      <c r="C1540" s="21" t="n">
        <v>148</v>
      </c>
      <c r="D1540" s="21" t="n">
        <v>129.1333333333333</v>
      </c>
      <c r="E1540" s="21" t="n">
        <v>69.05</v>
      </c>
      <c r="F1540" s="27">
        <f>IFERROR(IF(OR(C1540="",D1540="",C1540=0),"",D1540/C1540),"")</f>
        <v/>
      </c>
      <c r="G1540" s="21">
        <f>IFERROR(INDEX(Users!$A$2:$A$310,MATCH(A1540,Users!$B$2:$B$310,0)),"")</f>
        <v/>
      </c>
      <c r="H1540" s="21">
        <f>IFERROR(INDEX(Users!$D$2:$D$310,MATCH(A1540,Users!$B$2:$B$310,0)),"")</f>
        <v/>
      </c>
      <c r="I1540" s="19">
        <f>AND(G1540="Service A",H1540="Band 3")</f>
        <v/>
      </c>
      <c r="J1540" s="33">
        <f>IF(AND(YEAR(B1540)=2025,G1540="Service B",OR(H1540="Band 3",H1540="Band 5"),ISNUMBER(F1540)),F1540,"")</f>
        <v/>
      </c>
    </row>
    <row r="1541">
      <c r="A1541" s="19" t="inlineStr">
        <is>
          <t>User1167</t>
        </is>
      </c>
      <c r="B1541" s="60" t="n">
        <v>45778</v>
      </c>
      <c r="C1541" s="21" t="n">
        <v>148</v>
      </c>
      <c r="D1541" s="21" t="n">
        <v>130.0766666666666</v>
      </c>
      <c r="E1541" s="21" t="n">
        <v>91.95999999999998</v>
      </c>
      <c r="F1541" s="27">
        <f>IFERROR(IF(OR(C1541="",D1541="",C1541=0),"",D1541/C1541),"")</f>
        <v/>
      </c>
      <c r="G1541" s="21">
        <f>IFERROR(INDEX(Users!$A$2:$A$310,MATCH(A1541,Users!$B$2:$B$310,0)),"")</f>
        <v/>
      </c>
      <c r="H1541" s="21">
        <f>IFERROR(INDEX(Users!$D$2:$D$310,MATCH(A1541,Users!$B$2:$B$310,0)),"")</f>
        <v/>
      </c>
      <c r="I1541" s="19">
        <f>AND(G1541="Service A",H1541="Band 3")</f>
        <v/>
      </c>
      <c r="J1541" s="33">
        <f>IF(AND(YEAR(B1541)=2025,G1541="Service B",OR(H1541="Band 3",H1541="Band 5"),ISNUMBER(F1541)),F1541,"")</f>
        <v/>
      </c>
    </row>
    <row r="1542">
      <c r="A1542" s="19" t="inlineStr">
        <is>
          <t>User1167</t>
        </is>
      </c>
      <c r="B1542" s="60" t="n">
        <v>45809</v>
      </c>
      <c r="C1542" s="21" t="n">
        <v>155.4</v>
      </c>
      <c r="D1542" s="21" t="n">
        <v>94.85000000000002</v>
      </c>
      <c r="E1542" s="21" t="n">
        <v>74.85000000000002</v>
      </c>
      <c r="F1542" s="27">
        <f>IFERROR(IF(OR(C1542="",D1542="",C1542=0),"",D1542/C1542),"")</f>
        <v/>
      </c>
      <c r="G1542" s="21">
        <f>IFERROR(INDEX(Users!$A$2:$A$310,MATCH(A1542,Users!$B$2:$B$310,0)),"")</f>
        <v/>
      </c>
      <c r="H1542" s="21">
        <f>IFERROR(INDEX(Users!$D$2:$D$310,MATCH(A1542,Users!$B$2:$B$310,0)),"")</f>
        <v/>
      </c>
      <c r="I1542" s="19">
        <f>AND(G1542="Service A",H1542="Band 3")</f>
        <v/>
      </c>
      <c r="J1542" s="33">
        <f>IF(AND(YEAR(B1542)=2025,G1542="Service B",OR(H1542="Band 3",H1542="Band 5"),ISNUMBER(F1542)),F1542,"")</f>
        <v/>
      </c>
    </row>
    <row r="1543">
      <c r="A1543" s="19" t="inlineStr">
        <is>
          <t>User1167</t>
        </is>
      </c>
      <c r="B1543" s="60" t="n">
        <v>45839</v>
      </c>
      <c r="C1543" s="21" t="n">
        <v>170.2</v>
      </c>
      <c r="D1543" s="21" t="n">
        <v>143.4033333333333</v>
      </c>
      <c r="E1543" s="21" t="n">
        <v>111.07</v>
      </c>
      <c r="F1543" s="27">
        <f>IFERROR(IF(OR(C1543="",D1543="",C1543=0),"",D1543/C1543),"")</f>
        <v/>
      </c>
      <c r="G1543" s="21">
        <f>IFERROR(INDEX(Users!$A$2:$A$310,MATCH(A1543,Users!$B$2:$B$310,0)),"")</f>
        <v/>
      </c>
      <c r="H1543" s="21">
        <f>IFERROR(INDEX(Users!$D$2:$D$310,MATCH(A1543,Users!$B$2:$B$310,0)),"")</f>
        <v/>
      </c>
      <c r="I1543" s="19">
        <f>AND(G1543="Service A",H1543="Band 3")</f>
        <v/>
      </c>
      <c r="J1543" s="33">
        <f>IF(AND(YEAR(B1543)=2025,G1543="Service B",OR(H1543="Band 3",H1543="Band 5"),ISNUMBER(F1543)),F1543,"")</f>
        <v/>
      </c>
    </row>
    <row r="1544">
      <c r="A1544" s="19" t="inlineStr">
        <is>
          <t>User1167</t>
        </is>
      </c>
      <c r="B1544" s="60" t="n">
        <v>45870</v>
      </c>
      <c r="C1544" s="21" t="n">
        <v>148</v>
      </c>
      <c r="D1544" s="21" t="n">
        <v>117.8933333333334</v>
      </c>
      <c r="E1544" s="21" t="n">
        <v>93.76000000000009</v>
      </c>
      <c r="F1544" s="27">
        <f>IFERROR(IF(OR(C1544="",D1544="",C1544=0),"",D1544/C1544),"")</f>
        <v/>
      </c>
      <c r="G1544" s="21">
        <f>IFERROR(INDEX(Users!$A$2:$A$310,MATCH(A1544,Users!$B$2:$B$310,0)),"")</f>
        <v/>
      </c>
      <c r="H1544" s="21">
        <f>IFERROR(INDEX(Users!$D$2:$D$310,MATCH(A1544,Users!$B$2:$B$310,0)),"")</f>
        <v/>
      </c>
      <c r="I1544" s="19">
        <f>AND(G1544="Service A",H1544="Band 3")</f>
        <v/>
      </c>
      <c r="J1544" s="33">
        <f>IF(AND(YEAR(B1544)=2025,G1544="Service B",OR(H1544="Band 3",H1544="Band 5"),ISNUMBER(F1544)),F1544,"")</f>
        <v/>
      </c>
    </row>
    <row r="1545">
      <c r="A1545" s="19" t="inlineStr">
        <is>
          <t>User1167</t>
        </is>
      </c>
      <c r="B1545" s="60" t="n">
        <v>45901</v>
      </c>
      <c r="C1545" s="21" t="n">
        <v>162.8</v>
      </c>
      <c r="D1545" s="21" t="n">
        <v>133.7733333333333</v>
      </c>
      <c r="E1545" s="21" t="n">
        <v>81.63999999999997</v>
      </c>
      <c r="F1545" s="27">
        <f>IFERROR(IF(OR(C1545="",D1545="",C1545=0),"",D1545/C1545),"")</f>
        <v/>
      </c>
      <c r="G1545" s="21">
        <f>IFERROR(INDEX(Users!$A$2:$A$310,MATCH(A1545,Users!$B$2:$B$310,0)),"")</f>
        <v/>
      </c>
      <c r="H1545" s="21">
        <f>IFERROR(INDEX(Users!$D$2:$D$310,MATCH(A1545,Users!$B$2:$B$310,0)),"")</f>
        <v/>
      </c>
      <c r="I1545" s="19">
        <f>AND(G1545="Service A",H1545="Band 3")</f>
        <v/>
      </c>
      <c r="J1545" s="33">
        <f>IF(AND(YEAR(B1545)=2025,G1545="Service B",OR(H1545="Band 3",H1545="Band 5"),ISNUMBER(F1545)),F1545,"")</f>
        <v/>
      </c>
    </row>
    <row r="1546">
      <c r="A1546" s="19" t="inlineStr">
        <is>
          <t>User1167</t>
        </is>
      </c>
      <c r="B1546" s="60" t="n">
        <v>45931</v>
      </c>
      <c r="C1546" s="21" t="n">
        <v>170.2</v>
      </c>
      <c r="D1546" s="21" t="n">
        <v>173.9033333333333</v>
      </c>
      <c r="E1546" s="21" t="n">
        <v>110.27</v>
      </c>
      <c r="F1546" s="27">
        <f>IFERROR(IF(OR(C1546="",D1546="",C1546=0),"",D1546/C1546),"")</f>
        <v/>
      </c>
      <c r="G1546" s="21">
        <f>IFERROR(INDEX(Users!$A$2:$A$310,MATCH(A1546,Users!$B$2:$B$310,0)),"")</f>
        <v/>
      </c>
      <c r="H1546" s="21">
        <f>IFERROR(INDEX(Users!$D$2:$D$310,MATCH(A1546,Users!$B$2:$B$310,0)),"")</f>
        <v/>
      </c>
      <c r="I1546" s="19">
        <f>AND(G1546="Service A",H1546="Band 3")</f>
        <v/>
      </c>
      <c r="J1546" s="33">
        <f>IF(AND(YEAR(B1546)=2025,G1546="Service B",OR(H1546="Band 3",H1546="Band 5"),ISNUMBER(F1546)),F1546,"")</f>
        <v/>
      </c>
    </row>
    <row r="1547">
      <c r="A1547" s="19" t="inlineStr">
        <is>
          <t>User1167</t>
        </is>
      </c>
      <c r="B1547" s="60" t="n">
        <v>45962</v>
      </c>
      <c r="C1547" s="21" t="n">
        <v>148</v>
      </c>
      <c r="D1547" s="21" t="n">
        <v>140.4033333333333</v>
      </c>
      <c r="E1547" s="21" t="n">
        <v>92.56999999999998</v>
      </c>
      <c r="F1547" s="27">
        <f>IFERROR(IF(OR(C1547="",D1547="",C1547=0),"",D1547/C1547),"")</f>
        <v/>
      </c>
      <c r="G1547" s="21">
        <f>IFERROR(INDEX(Users!$A$2:$A$310,MATCH(A1547,Users!$B$2:$B$310,0)),"")</f>
        <v/>
      </c>
      <c r="H1547" s="21">
        <f>IFERROR(INDEX(Users!$D$2:$D$310,MATCH(A1547,Users!$B$2:$B$310,0)),"")</f>
        <v/>
      </c>
      <c r="I1547" s="19">
        <f>AND(G1547="Service A",H1547="Band 3")</f>
        <v/>
      </c>
      <c r="J1547" s="33">
        <f>IF(AND(YEAR(B1547)=2025,G1547="Service B",OR(H1547="Band 3",H1547="Band 5"),ISNUMBER(F1547)),F1547,"")</f>
        <v/>
      </c>
    </row>
    <row r="1548">
      <c r="A1548" s="19" t="inlineStr">
        <is>
          <t>User1167</t>
        </is>
      </c>
      <c r="B1548" s="60" t="n">
        <v>45992</v>
      </c>
      <c r="C1548" s="21" t="n">
        <v>155.4</v>
      </c>
      <c r="D1548" s="21" t="n">
        <v>101.39</v>
      </c>
      <c r="E1548" s="21" t="n">
        <v>72.78999999999999</v>
      </c>
      <c r="F1548" s="27">
        <f>IFERROR(IF(OR(C1548="",D1548="",C1548=0),"",D1548/C1548),"")</f>
        <v/>
      </c>
      <c r="G1548" s="21">
        <f>IFERROR(INDEX(Users!$A$2:$A$310,MATCH(A1548,Users!$B$2:$B$310,0)),"")</f>
        <v/>
      </c>
      <c r="H1548" s="21">
        <f>IFERROR(INDEX(Users!$D$2:$D$310,MATCH(A1548,Users!$B$2:$B$310,0)),"")</f>
        <v/>
      </c>
      <c r="I1548" s="19">
        <f>AND(G1548="Service A",H1548="Band 3")</f>
        <v/>
      </c>
      <c r="J1548" s="33">
        <f>IF(AND(YEAR(B1548)=2025,G1548="Service B",OR(H1548="Band 3",H1548="Band 5"),ISNUMBER(F1548)),F1548,"")</f>
        <v/>
      </c>
    </row>
    <row r="1549">
      <c r="A1549" s="19" t="inlineStr">
        <is>
          <t>User1167</t>
        </is>
      </c>
      <c r="B1549" s="60" t="n">
        <v>46023</v>
      </c>
      <c r="C1549" s="21" t="n">
        <v>155.4</v>
      </c>
      <c r="D1549" s="21" t="n">
        <v>152.0966666666666</v>
      </c>
      <c r="E1549" s="21" t="n">
        <v>92.62999999999998</v>
      </c>
      <c r="F1549" s="27">
        <f>IFERROR(IF(OR(C1549="",D1549="",C1549=0),"",D1549/C1549),"")</f>
        <v/>
      </c>
      <c r="G1549" s="21">
        <f>IFERROR(INDEX(Users!$A$2:$A$310,MATCH(A1549,Users!$B$2:$B$310,0)),"")</f>
        <v/>
      </c>
      <c r="H1549" s="21">
        <f>IFERROR(INDEX(Users!$D$2:$D$310,MATCH(A1549,Users!$B$2:$B$310,0)),"")</f>
        <v/>
      </c>
      <c r="I1549" s="19">
        <f>AND(G1549="Service A",H1549="Band 3")</f>
        <v/>
      </c>
      <c r="J1549" s="33">
        <f>IF(AND(YEAR(B1549)=2025,G1549="Service B",OR(H1549="Band 3",H1549="Band 5"),ISNUMBER(F1549)),F1549,"")</f>
        <v/>
      </c>
    </row>
    <row r="1550">
      <c r="A1550" s="19" t="inlineStr">
        <is>
          <t>User1168</t>
        </is>
      </c>
      <c r="B1550" s="60" t="n">
        <v>45658</v>
      </c>
      <c r="C1550" s="21" t="n">
        <v>113.96</v>
      </c>
      <c r="D1550" s="21" t="n">
        <v>152.82</v>
      </c>
      <c r="E1550" s="21" t="n">
        <v>55.57</v>
      </c>
      <c r="F1550" s="27">
        <f>IFERROR(IF(OR(C1550="",D1550="",C1550=0),"",D1550/C1550),"")</f>
        <v/>
      </c>
      <c r="G1550" s="21">
        <f>IFERROR(INDEX(Users!$A$2:$A$310,MATCH(A1550,Users!$B$2:$B$310,0)),"")</f>
        <v/>
      </c>
      <c r="H1550" s="21">
        <f>IFERROR(INDEX(Users!$D$2:$D$310,MATCH(A1550,Users!$B$2:$B$310,0)),"")</f>
        <v/>
      </c>
      <c r="I1550" s="19">
        <f>AND(G1550="Service A",H1550="Band 3")</f>
        <v/>
      </c>
      <c r="J1550" s="33">
        <f>IF(AND(YEAR(B1550)=2025,G1550="Service B",OR(H1550="Band 3",H1550="Band 5"),ISNUMBER(F1550)),F1550,"")</f>
        <v/>
      </c>
    </row>
    <row r="1551">
      <c r="A1551" s="19" t="inlineStr">
        <is>
          <t>User1168</t>
        </is>
      </c>
      <c r="B1551" s="60" t="n">
        <v>45689</v>
      </c>
      <c r="C1551" s="21" t="n">
        <v>103.6</v>
      </c>
      <c r="D1551" s="21" t="n">
        <v>117.0466666666667</v>
      </c>
      <c r="E1551" s="21" t="n">
        <v>49.38000000000001</v>
      </c>
      <c r="F1551" s="27">
        <f>IFERROR(IF(OR(C1551="",D1551="",C1551=0),"",D1551/C1551),"")</f>
        <v/>
      </c>
      <c r="G1551" s="21">
        <f>IFERROR(INDEX(Users!$A$2:$A$310,MATCH(A1551,Users!$B$2:$B$310,0)),"")</f>
        <v/>
      </c>
      <c r="H1551" s="21">
        <f>IFERROR(INDEX(Users!$D$2:$D$310,MATCH(A1551,Users!$B$2:$B$310,0)),"")</f>
        <v/>
      </c>
      <c r="I1551" s="19">
        <f>AND(G1551="Service A",H1551="Band 3")</f>
        <v/>
      </c>
      <c r="J1551" s="33">
        <f>IF(AND(YEAR(B1551)=2025,G1551="Service B",OR(H1551="Band 3",H1551="Band 5"),ISNUMBER(F1551)),F1551,"")</f>
        <v/>
      </c>
    </row>
    <row r="1552">
      <c r="A1552" s="19" t="inlineStr">
        <is>
          <t>User1168</t>
        </is>
      </c>
      <c r="B1552" s="60" t="n">
        <v>45717</v>
      </c>
      <c r="C1552" s="21" t="n">
        <v>108.78</v>
      </c>
      <c r="D1552" s="21" t="n">
        <v>111.45</v>
      </c>
      <c r="E1552" s="21" t="n">
        <v>44.7</v>
      </c>
      <c r="F1552" s="27">
        <f>IFERROR(IF(OR(C1552="",D1552="",C1552=0),"",D1552/C1552),"")</f>
        <v/>
      </c>
      <c r="G1552" s="21">
        <f>IFERROR(INDEX(Users!$A$2:$A$310,MATCH(A1552,Users!$B$2:$B$310,0)),"")</f>
        <v/>
      </c>
      <c r="H1552" s="21">
        <f>IFERROR(INDEX(Users!$D$2:$D$310,MATCH(A1552,Users!$B$2:$B$310,0)),"")</f>
        <v/>
      </c>
      <c r="I1552" s="19">
        <f>AND(G1552="Service A",H1552="Band 3")</f>
        <v/>
      </c>
      <c r="J1552" s="33">
        <f>IF(AND(YEAR(B1552)=2025,G1552="Service B",OR(H1552="Band 3",H1552="Band 5"),ISNUMBER(F1552)),F1552,"")</f>
        <v/>
      </c>
    </row>
    <row r="1553">
      <c r="A1553" s="19" t="inlineStr">
        <is>
          <t>User1168</t>
        </is>
      </c>
      <c r="B1553" s="60" t="n">
        <v>45748</v>
      </c>
      <c r="C1553" s="21" t="n">
        <v>103.6</v>
      </c>
      <c r="D1553" s="21" t="n">
        <v>69.40000000000001</v>
      </c>
      <c r="E1553" s="21" t="n">
        <v>30.15</v>
      </c>
      <c r="F1553" s="27">
        <f>IFERROR(IF(OR(C1553="",D1553="",C1553=0),"",D1553/C1553),"")</f>
        <v/>
      </c>
      <c r="G1553" s="21">
        <f>IFERROR(INDEX(Users!$A$2:$A$310,MATCH(A1553,Users!$B$2:$B$310,0)),"")</f>
        <v/>
      </c>
      <c r="H1553" s="21">
        <f>IFERROR(INDEX(Users!$D$2:$D$310,MATCH(A1553,Users!$B$2:$B$310,0)),"")</f>
        <v/>
      </c>
      <c r="I1553" s="19">
        <f>AND(G1553="Service A",H1553="Band 3")</f>
        <v/>
      </c>
      <c r="J1553" s="33">
        <f>IF(AND(YEAR(B1553)=2025,G1553="Service B",OR(H1553="Band 3",H1553="Band 5"),ISNUMBER(F1553)),F1553,"")</f>
        <v/>
      </c>
    </row>
    <row r="1554">
      <c r="A1554" s="19" t="inlineStr">
        <is>
          <t>User1168</t>
        </is>
      </c>
      <c r="B1554" s="60" t="n">
        <v>45778</v>
      </c>
      <c r="C1554" s="21" t="n">
        <v>103.6</v>
      </c>
      <c r="D1554" s="21" t="n">
        <v>83.47333333333333</v>
      </c>
      <c r="E1554" s="21" t="n">
        <v>49.64</v>
      </c>
      <c r="F1554" s="27">
        <f>IFERROR(IF(OR(C1554="",D1554="",C1554=0),"",D1554/C1554),"")</f>
        <v/>
      </c>
      <c r="G1554" s="21">
        <f>IFERROR(INDEX(Users!$A$2:$A$310,MATCH(A1554,Users!$B$2:$B$310,0)),"")</f>
        <v/>
      </c>
      <c r="H1554" s="21">
        <f>IFERROR(INDEX(Users!$D$2:$D$310,MATCH(A1554,Users!$B$2:$B$310,0)),"")</f>
        <v/>
      </c>
      <c r="I1554" s="19">
        <f>AND(G1554="Service A",H1554="Band 3")</f>
        <v/>
      </c>
      <c r="J1554" s="33">
        <f>IF(AND(YEAR(B1554)=2025,G1554="Service B",OR(H1554="Band 3",H1554="Band 5"),ISNUMBER(F1554)),F1554,"")</f>
        <v/>
      </c>
    </row>
    <row r="1555">
      <c r="A1555" s="19" t="inlineStr">
        <is>
          <t>User1168</t>
        </is>
      </c>
      <c r="B1555" s="60" t="n">
        <v>45809</v>
      </c>
      <c r="C1555" s="21" t="n">
        <v>108.78</v>
      </c>
      <c r="D1555" s="21" t="n">
        <v>120.56</v>
      </c>
      <c r="E1555" s="21" t="n">
        <v>46.06</v>
      </c>
      <c r="F1555" s="27">
        <f>IFERROR(IF(OR(C1555="",D1555="",C1555=0),"",D1555/C1555),"")</f>
        <v/>
      </c>
      <c r="G1555" s="21">
        <f>IFERROR(INDEX(Users!$A$2:$A$310,MATCH(A1555,Users!$B$2:$B$310,0)),"")</f>
        <v/>
      </c>
      <c r="H1555" s="21">
        <f>IFERROR(INDEX(Users!$D$2:$D$310,MATCH(A1555,Users!$B$2:$B$310,0)),"")</f>
        <v/>
      </c>
      <c r="I1555" s="19">
        <f>AND(G1555="Service A",H1555="Band 3")</f>
        <v/>
      </c>
      <c r="J1555" s="33">
        <f>IF(AND(YEAR(B1555)=2025,G1555="Service B",OR(H1555="Band 3",H1555="Band 5"),ISNUMBER(F1555)),F1555,"")</f>
        <v/>
      </c>
    </row>
    <row r="1556">
      <c r="A1556" s="19" t="inlineStr">
        <is>
          <t>User1168</t>
        </is>
      </c>
      <c r="B1556" s="60" t="n">
        <v>45839</v>
      </c>
      <c r="C1556" s="21" t="n">
        <v>119.14</v>
      </c>
      <c r="D1556" s="21" t="n">
        <v>98.56999999999999</v>
      </c>
      <c r="E1556" s="21" t="n">
        <v>46.07</v>
      </c>
      <c r="F1556" s="27">
        <f>IFERROR(IF(OR(C1556="",D1556="",C1556=0),"",D1556/C1556),"")</f>
        <v/>
      </c>
      <c r="G1556" s="21">
        <f>IFERROR(INDEX(Users!$A$2:$A$310,MATCH(A1556,Users!$B$2:$B$310,0)),"")</f>
        <v/>
      </c>
      <c r="H1556" s="21">
        <f>IFERROR(INDEX(Users!$D$2:$D$310,MATCH(A1556,Users!$B$2:$B$310,0)),"")</f>
        <v/>
      </c>
      <c r="I1556" s="19">
        <f>AND(G1556="Service A",H1556="Band 3")</f>
        <v/>
      </c>
      <c r="J1556" s="33">
        <f>IF(AND(YEAR(B1556)=2025,G1556="Service B",OR(H1556="Band 3",H1556="Band 5"),ISNUMBER(F1556)),F1556,"")</f>
        <v/>
      </c>
    </row>
    <row r="1557">
      <c r="A1557" s="19" t="inlineStr">
        <is>
          <t>User1168</t>
        </is>
      </c>
      <c r="B1557" s="60" t="n">
        <v>45870</v>
      </c>
      <c r="C1557" s="21" t="n">
        <v>103.6</v>
      </c>
      <c r="D1557" s="21" t="n"/>
      <c r="E1557" s="21" t="n"/>
      <c r="F1557" s="27">
        <f>IFERROR(IF(OR(C1557="",D1557="",C1557=0),"",D1557/C1557),"")</f>
        <v/>
      </c>
      <c r="G1557" s="21">
        <f>IFERROR(INDEX(Users!$A$2:$A$310,MATCH(A1557,Users!$B$2:$B$310,0)),"")</f>
        <v/>
      </c>
      <c r="H1557" s="21">
        <f>IFERROR(INDEX(Users!$D$2:$D$310,MATCH(A1557,Users!$B$2:$B$310,0)),"")</f>
        <v/>
      </c>
      <c r="I1557" s="19">
        <f>AND(G1557="Service A",H1557="Band 3")</f>
        <v/>
      </c>
      <c r="J1557" s="33">
        <f>IF(AND(YEAR(B1557)=2025,G1557="Service B",OR(H1557="Band 3",H1557="Band 5"),ISNUMBER(F1557)),F1557,"")</f>
        <v/>
      </c>
    </row>
    <row r="1558">
      <c r="A1558" s="19" t="inlineStr">
        <is>
          <t>User1168</t>
        </is>
      </c>
      <c r="B1558" s="60" t="n">
        <v>45901</v>
      </c>
      <c r="C1558" s="21" t="n">
        <v>113.96</v>
      </c>
      <c r="D1558" s="21" t="n">
        <v>150.22</v>
      </c>
      <c r="E1558" s="21" t="n">
        <v>65.72</v>
      </c>
      <c r="F1558" s="27">
        <f>IFERROR(IF(OR(C1558="",D1558="",C1558=0),"",D1558/C1558),"")</f>
        <v/>
      </c>
      <c r="G1558" s="21">
        <f>IFERROR(INDEX(Users!$A$2:$A$310,MATCH(A1558,Users!$B$2:$B$310,0)),"")</f>
        <v/>
      </c>
      <c r="H1558" s="21">
        <f>IFERROR(INDEX(Users!$D$2:$D$310,MATCH(A1558,Users!$B$2:$B$310,0)),"")</f>
        <v/>
      </c>
      <c r="I1558" s="19">
        <f>AND(G1558="Service A",H1558="Band 3")</f>
        <v/>
      </c>
      <c r="J1558" s="33">
        <f>IF(AND(YEAR(B1558)=2025,G1558="Service B",OR(H1558="Band 3",H1558="Band 5"),ISNUMBER(F1558)),F1558,"")</f>
        <v/>
      </c>
    </row>
    <row r="1559">
      <c r="A1559" s="19" t="inlineStr">
        <is>
          <t>User1168</t>
        </is>
      </c>
      <c r="B1559" s="60" t="n">
        <v>45931</v>
      </c>
      <c r="C1559" s="21" t="n">
        <v>119.14</v>
      </c>
      <c r="D1559" s="21" t="n">
        <v>88.25</v>
      </c>
      <c r="E1559" s="21" t="n">
        <v>40</v>
      </c>
      <c r="F1559" s="27">
        <f>IFERROR(IF(OR(C1559="",D1559="",C1559=0),"",D1559/C1559),"")</f>
        <v/>
      </c>
      <c r="G1559" s="21">
        <f>IFERROR(INDEX(Users!$A$2:$A$310,MATCH(A1559,Users!$B$2:$B$310,0)),"")</f>
        <v/>
      </c>
      <c r="H1559" s="21">
        <f>IFERROR(INDEX(Users!$D$2:$D$310,MATCH(A1559,Users!$B$2:$B$310,0)),"")</f>
        <v/>
      </c>
      <c r="I1559" s="19">
        <f>AND(G1559="Service A",H1559="Band 3")</f>
        <v/>
      </c>
      <c r="J1559" s="33">
        <f>IF(AND(YEAR(B1559)=2025,G1559="Service B",OR(H1559="Band 3",H1559="Band 5"),ISNUMBER(F1559)),F1559,"")</f>
        <v/>
      </c>
    </row>
    <row r="1560">
      <c r="A1560" s="19" t="inlineStr">
        <is>
          <t>User1168</t>
        </is>
      </c>
      <c r="B1560" s="60" t="n">
        <v>45962</v>
      </c>
      <c r="C1560" s="21" t="n">
        <v>103.6</v>
      </c>
      <c r="D1560" s="21" t="n">
        <v>87.74000000000001</v>
      </c>
      <c r="E1560" s="21" t="n">
        <v>21.74</v>
      </c>
      <c r="F1560" s="27">
        <f>IFERROR(IF(OR(C1560="",D1560="",C1560=0),"",D1560/C1560),"")</f>
        <v/>
      </c>
      <c r="G1560" s="21">
        <f>IFERROR(INDEX(Users!$A$2:$A$310,MATCH(A1560,Users!$B$2:$B$310,0)),"")</f>
        <v/>
      </c>
      <c r="H1560" s="21">
        <f>IFERROR(INDEX(Users!$D$2:$D$310,MATCH(A1560,Users!$B$2:$B$310,0)),"")</f>
        <v/>
      </c>
      <c r="I1560" s="19">
        <f>AND(G1560="Service A",H1560="Band 3")</f>
        <v/>
      </c>
      <c r="J1560" s="33">
        <f>IF(AND(YEAR(B1560)=2025,G1560="Service B",OR(H1560="Band 3",H1560="Band 5"),ISNUMBER(F1560)),F1560,"")</f>
        <v/>
      </c>
    </row>
    <row r="1561">
      <c r="A1561" s="19" t="inlineStr">
        <is>
          <t>User1168</t>
        </is>
      </c>
      <c r="B1561" s="60" t="n">
        <v>45992</v>
      </c>
      <c r="C1561" s="21" t="n">
        <v>108.78</v>
      </c>
      <c r="D1561" s="21" t="n">
        <v>105.75</v>
      </c>
      <c r="E1561" s="21" t="n"/>
      <c r="F1561" s="27">
        <f>IFERROR(IF(OR(C1561="",D1561="",C1561=0),"",D1561/C1561),"")</f>
        <v/>
      </c>
      <c r="G1561" s="21">
        <f>IFERROR(INDEX(Users!$A$2:$A$310,MATCH(A1561,Users!$B$2:$B$310,0)),"")</f>
        <v/>
      </c>
      <c r="H1561" s="21">
        <f>IFERROR(INDEX(Users!$D$2:$D$310,MATCH(A1561,Users!$B$2:$B$310,0)),"")</f>
        <v/>
      </c>
      <c r="I1561" s="19">
        <f>AND(G1561="Service A",H1561="Band 3")</f>
        <v/>
      </c>
      <c r="J1561" s="33">
        <f>IF(AND(YEAR(B1561)=2025,G1561="Service B",OR(H1561="Band 3",H1561="Band 5"),ISNUMBER(F1561)),F1561,"")</f>
        <v/>
      </c>
    </row>
    <row r="1562">
      <c r="A1562" s="19" t="inlineStr">
        <is>
          <t>User1168</t>
        </is>
      </c>
      <c r="B1562" s="60" t="n">
        <v>46023</v>
      </c>
      <c r="C1562" s="21" t="n">
        <v>108.78</v>
      </c>
      <c r="D1562" s="21" t="n">
        <v>139.0833333333333</v>
      </c>
      <c r="E1562" s="21" t="n"/>
      <c r="F1562" s="27">
        <f>IFERROR(IF(OR(C1562="",D1562="",C1562=0),"",D1562/C1562),"")</f>
        <v/>
      </c>
      <c r="G1562" s="21">
        <f>IFERROR(INDEX(Users!$A$2:$A$310,MATCH(A1562,Users!$B$2:$B$310,0)),"")</f>
        <v/>
      </c>
      <c r="H1562" s="21">
        <f>IFERROR(INDEX(Users!$D$2:$D$310,MATCH(A1562,Users!$B$2:$B$310,0)),"")</f>
        <v/>
      </c>
      <c r="I1562" s="19">
        <f>AND(G1562="Service A",H1562="Band 3")</f>
        <v/>
      </c>
      <c r="J1562" s="33">
        <f>IF(AND(YEAR(B1562)=2025,G1562="Service B",OR(H1562="Band 3",H1562="Band 5"),ISNUMBER(F1562)),F1562,"")</f>
        <v/>
      </c>
    </row>
    <row r="1563">
      <c r="A1563" s="19" t="inlineStr">
        <is>
          <t>User1169</t>
        </is>
      </c>
      <c r="B1563" s="60" t="n">
        <v>45658</v>
      </c>
      <c r="C1563" s="21" t="n">
        <v>162.8</v>
      </c>
      <c r="D1563" s="21" t="n">
        <v>143.25</v>
      </c>
      <c r="E1563" s="21" t="n">
        <v>125.25</v>
      </c>
      <c r="F1563" s="27">
        <f>IFERROR(IF(OR(C1563="",D1563="",C1563=0),"",D1563/C1563),"")</f>
        <v/>
      </c>
      <c r="G1563" s="21">
        <f>IFERROR(INDEX(Users!$A$2:$A$310,MATCH(A1563,Users!$B$2:$B$310,0)),"")</f>
        <v/>
      </c>
      <c r="H1563" s="21">
        <f>IFERROR(INDEX(Users!$D$2:$D$310,MATCH(A1563,Users!$B$2:$B$310,0)),"")</f>
        <v/>
      </c>
      <c r="I1563" s="19">
        <f>AND(G1563="Service A",H1563="Band 3")</f>
        <v/>
      </c>
      <c r="J1563" s="33">
        <f>IF(AND(YEAR(B1563)=2025,G1563="Service B",OR(H1563="Band 3",H1563="Band 5"),ISNUMBER(F1563)),F1563,"")</f>
        <v/>
      </c>
    </row>
    <row r="1564">
      <c r="A1564" s="19" t="inlineStr">
        <is>
          <t>User1169</t>
        </is>
      </c>
      <c r="B1564" s="60" t="n">
        <v>45689</v>
      </c>
      <c r="C1564" s="21" t="n">
        <v>148</v>
      </c>
      <c r="D1564" s="21" t="n">
        <v>147.51</v>
      </c>
      <c r="E1564" s="21" t="n">
        <v>123.51</v>
      </c>
      <c r="F1564" s="27">
        <f>IFERROR(IF(OR(C1564="",D1564="",C1564=0),"",D1564/C1564),"")</f>
        <v/>
      </c>
      <c r="G1564" s="21">
        <f>IFERROR(INDEX(Users!$A$2:$A$310,MATCH(A1564,Users!$B$2:$B$310,0)),"")</f>
        <v/>
      </c>
      <c r="H1564" s="21">
        <f>IFERROR(INDEX(Users!$D$2:$D$310,MATCH(A1564,Users!$B$2:$B$310,0)),"")</f>
        <v/>
      </c>
      <c r="I1564" s="19">
        <f>AND(G1564="Service A",H1564="Band 3")</f>
        <v/>
      </c>
      <c r="J1564" s="33">
        <f>IF(AND(YEAR(B1564)=2025,G1564="Service B",OR(H1564="Band 3",H1564="Band 5"),ISNUMBER(F1564)),F1564,"")</f>
        <v/>
      </c>
    </row>
    <row r="1565">
      <c r="A1565" s="19" t="inlineStr">
        <is>
          <t>User1169</t>
        </is>
      </c>
      <c r="B1565" s="60" t="n">
        <v>45717</v>
      </c>
      <c r="C1565" s="21" t="n">
        <v>155.4</v>
      </c>
      <c r="D1565" s="21" t="n">
        <v>156.0033333333333</v>
      </c>
      <c r="E1565" s="21" t="n">
        <v>134.07</v>
      </c>
      <c r="F1565" s="27">
        <f>IFERROR(IF(OR(C1565="",D1565="",C1565=0),"",D1565/C1565),"")</f>
        <v/>
      </c>
      <c r="G1565" s="21">
        <f>IFERROR(INDEX(Users!$A$2:$A$310,MATCH(A1565,Users!$B$2:$B$310,0)),"")</f>
        <v/>
      </c>
      <c r="H1565" s="21">
        <f>IFERROR(INDEX(Users!$D$2:$D$310,MATCH(A1565,Users!$B$2:$B$310,0)),"")</f>
        <v/>
      </c>
      <c r="I1565" s="19">
        <f>AND(G1565="Service A",H1565="Band 3")</f>
        <v/>
      </c>
      <c r="J1565" s="33">
        <f>IF(AND(YEAR(B1565)=2025,G1565="Service B",OR(H1565="Band 3",H1565="Band 5"),ISNUMBER(F1565)),F1565,"")</f>
        <v/>
      </c>
    </row>
    <row r="1566">
      <c r="A1566" s="19" t="inlineStr">
        <is>
          <t>User1169</t>
        </is>
      </c>
      <c r="B1566" s="60" t="n">
        <v>45748</v>
      </c>
      <c r="C1566" s="21" t="n">
        <v>148</v>
      </c>
      <c r="D1566" s="21" t="n">
        <v>128.5933333333333</v>
      </c>
      <c r="E1566" s="21" t="n">
        <v>77.66</v>
      </c>
      <c r="F1566" s="27">
        <f>IFERROR(IF(OR(C1566="",D1566="",C1566=0),"",D1566/C1566),"")</f>
        <v/>
      </c>
      <c r="G1566" s="21">
        <f>IFERROR(INDEX(Users!$A$2:$A$310,MATCH(A1566,Users!$B$2:$B$310,0)),"")</f>
        <v/>
      </c>
      <c r="H1566" s="21">
        <f>IFERROR(INDEX(Users!$D$2:$D$310,MATCH(A1566,Users!$B$2:$B$310,0)),"")</f>
        <v/>
      </c>
      <c r="I1566" s="19">
        <f>AND(G1566="Service A",H1566="Band 3")</f>
        <v/>
      </c>
      <c r="J1566" s="33">
        <f>IF(AND(YEAR(B1566)=2025,G1566="Service B",OR(H1566="Band 3",H1566="Band 5"),ISNUMBER(F1566)),F1566,"")</f>
        <v/>
      </c>
    </row>
    <row r="1567">
      <c r="A1567" s="19" t="inlineStr">
        <is>
          <t>User1169</t>
        </is>
      </c>
      <c r="B1567" s="60" t="n">
        <v>45778</v>
      </c>
      <c r="C1567" s="21" t="n">
        <v>148</v>
      </c>
      <c r="D1567" s="21" t="n">
        <v>120.75</v>
      </c>
      <c r="E1567" s="21" t="n">
        <v>77.5</v>
      </c>
      <c r="F1567" s="27">
        <f>IFERROR(IF(OR(C1567="",D1567="",C1567=0),"",D1567/C1567),"")</f>
        <v/>
      </c>
      <c r="G1567" s="21">
        <f>IFERROR(INDEX(Users!$A$2:$A$310,MATCH(A1567,Users!$B$2:$B$310,0)),"")</f>
        <v/>
      </c>
      <c r="H1567" s="21">
        <f>IFERROR(INDEX(Users!$D$2:$D$310,MATCH(A1567,Users!$B$2:$B$310,0)),"")</f>
        <v/>
      </c>
      <c r="I1567" s="19">
        <f>AND(G1567="Service A",H1567="Band 3")</f>
        <v/>
      </c>
      <c r="J1567" s="33">
        <f>IF(AND(YEAR(B1567)=2025,G1567="Service B",OR(H1567="Band 3",H1567="Band 5"),ISNUMBER(F1567)),F1567,"")</f>
        <v/>
      </c>
    </row>
    <row r="1568">
      <c r="A1568" s="19" t="inlineStr">
        <is>
          <t>User1169</t>
        </is>
      </c>
      <c r="B1568" s="60" t="n">
        <v>45809</v>
      </c>
      <c r="C1568" s="21" t="n">
        <v>155.4</v>
      </c>
      <c r="D1568" s="21" t="n">
        <v>114.9966666666667</v>
      </c>
      <c r="E1568" s="21" t="n">
        <v>68.08</v>
      </c>
      <c r="F1568" s="27">
        <f>IFERROR(IF(OR(C1568="",D1568="",C1568=0),"",D1568/C1568),"")</f>
        <v/>
      </c>
      <c r="G1568" s="21">
        <f>IFERROR(INDEX(Users!$A$2:$A$310,MATCH(A1568,Users!$B$2:$B$310,0)),"")</f>
        <v/>
      </c>
      <c r="H1568" s="21">
        <f>IFERROR(INDEX(Users!$D$2:$D$310,MATCH(A1568,Users!$B$2:$B$310,0)),"")</f>
        <v/>
      </c>
      <c r="I1568" s="19">
        <f>AND(G1568="Service A",H1568="Band 3")</f>
        <v/>
      </c>
      <c r="J1568" s="33">
        <f>IF(AND(YEAR(B1568)=2025,G1568="Service B",OR(H1568="Band 3",H1568="Band 5"),ISNUMBER(F1568)),F1568,"")</f>
        <v/>
      </c>
    </row>
    <row r="1569">
      <c r="A1569" s="19" t="inlineStr">
        <is>
          <t>User1169</t>
        </is>
      </c>
      <c r="B1569" s="60" t="n">
        <v>45839</v>
      </c>
      <c r="C1569" s="21" t="n">
        <v>170.2</v>
      </c>
      <c r="D1569" s="21" t="n">
        <v>128.4933333333333</v>
      </c>
      <c r="E1569" s="21" t="n">
        <v>99.91</v>
      </c>
      <c r="F1569" s="27">
        <f>IFERROR(IF(OR(C1569="",D1569="",C1569=0),"",D1569/C1569),"")</f>
        <v/>
      </c>
      <c r="G1569" s="21">
        <f>IFERROR(INDEX(Users!$A$2:$A$310,MATCH(A1569,Users!$B$2:$B$310,0)),"")</f>
        <v/>
      </c>
      <c r="H1569" s="21">
        <f>IFERROR(INDEX(Users!$D$2:$D$310,MATCH(A1569,Users!$B$2:$B$310,0)),"")</f>
        <v/>
      </c>
      <c r="I1569" s="19">
        <f>AND(G1569="Service A",H1569="Band 3")</f>
        <v/>
      </c>
      <c r="J1569" s="33">
        <f>IF(AND(YEAR(B1569)=2025,G1569="Service B",OR(H1569="Band 3",H1569="Band 5"),ISNUMBER(F1569)),F1569,"")</f>
        <v/>
      </c>
    </row>
    <row r="1570">
      <c r="A1570" s="19" t="inlineStr">
        <is>
          <t>User1169</t>
        </is>
      </c>
      <c r="B1570" s="60" t="n">
        <v>45870</v>
      </c>
      <c r="C1570" s="21" t="n">
        <v>148</v>
      </c>
      <c r="D1570" s="21" t="n">
        <v>100.09</v>
      </c>
      <c r="E1570" s="21" t="n">
        <v>85.34</v>
      </c>
      <c r="F1570" s="27">
        <f>IFERROR(IF(OR(C1570="",D1570="",C1570=0),"",D1570/C1570),"")</f>
        <v/>
      </c>
      <c r="G1570" s="21">
        <f>IFERROR(INDEX(Users!$A$2:$A$310,MATCH(A1570,Users!$B$2:$B$310,0)),"")</f>
        <v/>
      </c>
      <c r="H1570" s="21">
        <f>IFERROR(INDEX(Users!$D$2:$D$310,MATCH(A1570,Users!$B$2:$B$310,0)),"")</f>
        <v/>
      </c>
      <c r="I1570" s="19">
        <f>AND(G1570="Service A",H1570="Band 3")</f>
        <v/>
      </c>
      <c r="J1570" s="33">
        <f>IF(AND(YEAR(B1570)=2025,G1570="Service B",OR(H1570="Band 3",H1570="Band 5"),ISNUMBER(F1570)),F1570,"")</f>
        <v/>
      </c>
    </row>
    <row r="1571">
      <c r="A1571" s="19" t="inlineStr">
        <is>
          <t>User1169</t>
        </is>
      </c>
      <c r="B1571" s="60" t="n">
        <v>45901</v>
      </c>
      <c r="C1571" s="21" t="n">
        <v>162.8</v>
      </c>
      <c r="D1571" s="21" t="n">
        <v>149.3933333333333</v>
      </c>
      <c r="E1571" s="21" t="n">
        <v>108.91</v>
      </c>
      <c r="F1571" s="27">
        <f>IFERROR(IF(OR(C1571="",D1571="",C1571=0),"",D1571/C1571),"")</f>
        <v/>
      </c>
      <c r="G1571" s="21">
        <f>IFERROR(INDEX(Users!$A$2:$A$310,MATCH(A1571,Users!$B$2:$B$310,0)),"")</f>
        <v/>
      </c>
      <c r="H1571" s="21">
        <f>IFERROR(INDEX(Users!$D$2:$D$310,MATCH(A1571,Users!$B$2:$B$310,0)),"")</f>
        <v/>
      </c>
      <c r="I1571" s="19">
        <f>AND(G1571="Service A",H1571="Band 3")</f>
        <v/>
      </c>
      <c r="J1571" s="33">
        <f>IF(AND(YEAR(B1571)=2025,G1571="Service B",OR(H1571="Band 3",H1571="Band 5"),ISNUMBER(F1571)),F1571,"")</f>
        <v/>
      </c>
    </row>
    <row r="1572">
      <c r="A1572" s="19" t="inlineStr">
        <is>
          <t>User1169</t>
        </is>
      </c>
      <c r="B1572" s="60" t="n">
        <v>45931</v>
      </c>
      <c r="C1572" s="21" t="n">
        <v>170.2</v>
      </c>
      <c r="D1572" s="21" t="n">
        <v>164.76</v>
      </c>
      <c r="E1572" s="21" t="n">
        <v>135.76</v>
      </c>
      <c r="F1572" s="27">
        <f>IFERROR(IF(OR(C1572="",D1572="",C1572=0),"",D1572/C1572),"")</f>
        <v/>
      </c>
      <c r="G1572" s="21">
        <f>IFERROR(INDEX(Users!$A$2:$A$310,MATCH(A1572,Users!$B$2:$B$310,0)),"")</f>
        <v/>
      </c>
      <c r="H1572" s="21">
        <f>IFERROR(INDEX(Users!$D$2:$D$310,MATCH(A1572,Users!$B$2:$B$310,0)),"")</f>
        <v/>
      </c>
      <c r="I1572" s="19">
        <f>AND(G1572="Service A",H1572="Band 3")</f>
        <v/>
      </c>
      <c r="J1572" s="33">
        <f>IF(AND(YEAR(B1572)=2025,G1572="Service B",OR(H1572="Band 3",H1572="Band 5"),ISNUMBER(F1572)),F1572,"")</f>
        <v/>
      </c>
    </row>
    <row r="1573">
      <c r="A1573" s="19" t="inlineStr">
        <is>
          <t>User1169</t>
        </is>
      </c>
      <c r="B1573" s="60" t="n">
        <v>45962</v>
      </c>
      <c r="C1573" s="21" t="n">
        <v>148</v>
      </c>
      <c r="D1573" s="21" t="n">
        <v>149.0833333333333</v>
      </c>
      <c r="E1573" s="21" t="n">
        <v>116.75</v>
      </c>
      <c r="F1573" s="27">
        <f>IFERROR(IF(OR(C1573="",D1573="",C1573=0),"",D1573/C1573),"")</f>
        <v/>
      </c>
      <c r="G1573" s="21">
        <f>IFERROR(INDEX(Users!$A$2:$A$310,MATCH(A1573,Users!$B$2:$B$310,0)),"")</f>
        <v/>
      </c>
      <c r="H1573" s="21">
        <f>IFERROR(INDEX(Users!$D$2:$D$310,MATCH(A1573,Users!$B$2:$B$310,0)),"")</f>
        <v/>
      </c>
      <c r="I1573" s="19">
        <f>AND(G1573="Service A",H1573="Band 3")</f>
        <v/>
      </c>
      <c r="J1573" s="33">
        <f>IF(AND(YEAR(B1573)=2025,G1573="Service B",OR(H1573="Band 3",H1573="Band 5"),ISNUMBER(F1573)),F1573,"")</f>
        <v/>
      </c>
    </row>
    <row r="1574">
      <c r="A1574" s="19" t="inlineStr">
        <is>
          <t>User1169</t>
        </is>
      </c>
      <c r="B1574" s="60" t="n">
        <v>45992</v>
      </c>
      <c r="C1574" s="21" t="n">
        <v>155.4</v>
      </c>
      <c r="D1574" s="21" t="n">
        <v>107.5866666666667</v>
      </c>
      <c r="E1574" s="21" t="n">
        <v>88.67</v>
      </c>
      <c r="F1574" s="27">
        <f>IFERROR(IF(OR(C1574="",D1574="",C1574=0),"",D1574/C1574),"")</f>
        <v/>
      </c>
      <c r="G1574" s="21">
        <f>IFERROR(INDEX(Users!$A$2:$A$310,MATCH(A1574,Users!$B$2:$B$310,0)),"")</f>
        <v/>
      </c>
      <c r="H1574" s="21">
        <f>IFERROR(INDEX(Users!$D$2:$D$310,MATCH(A1574,Users!$B$2:$B$310,0)),"")</f>
        <v/>
      </c>
      <c r="I1574" s="19">
        <f>AND(G1574="Service A",H1574="Band 3")</f>
        <v/>
      </c>
      <c r="J1574" s="33">
        <f>IF(AND(YEAR(B1574)=2025,G1574="Service B",OR(H1574="Band 3",H1574="Band 5"),ISNUMBER(F1574)),F1574,"")</f>
        <v/>
      </c>
    </row>
    <row r="1575">
      <c r="A1575" s="19" t="inlineStr">
        <is>
          <t>User1169</t>
        </is>
      </c>
      <c r="B1575" s="60" t="n">
        <v>46023</v>
      </c>
      <c r="C1575" s="21" t="n">
        <v>155.4</v>
      </c>
      <c r="D1575" s="21" t="n">
        <v>151.3433333333333</v>
      </c>
      <c r="E1575" s="21" t="n">
        <v>119.51</v>
      </c>
      <c r="F1575" s="27">
        <f>IFERROR(IF(OR(C1575="",D1575="",C1575=0),"",D1575/C1575),"")</f>
        <v/>
      </c>
      <c r="G1575" s="21">
        <f>IFERROR(INDEX(Users!$A$2:$A$310,MATCH(A1575,Users!$B$2:$B$310,0)),"")</f>
        <v/>
      </c>
      <c r="H1575" s="21">
        <f>IFERROR(INDEX(Users!$D$2:$D$310,MATCH(A1575,Users!$B$2:$B$310,0)),"")</f>
        <v/>
      </c>
      <c r="I1575" s="19">
        <f>AND(G1575="Service A",H1575="Band 3")</f>
        <v/>
      </c>
      <c r="J1575" s="33">
        <f>IF(AND(YEAR(B1575)=2025,G1575="Service B",OR(H1575="Band 3",H1575="Band 5"),ISNUMBER(F1575)),F1575,"")</f>
        <v/>
      </c>
    </row>
    <row r="1576">
      <c r="A1576" s="19" t="inlineStr">
        <is>
          <t>User1171</t>
        </is>
      </c>
      <c r="B1576" s="60" t="n">
        <v>45658</v>
      </c>
      <c r="C1576" s="21" t="n">
        <v>162.8</v>
      </c>
      <c r="D1576" s="21" t="n">
        <v>55.05333333333334</v>
      </c>
      <c r="E1576" s="21" t="n">
        <v>17.72</v>
      </c>
      <c r="F1576" s="27">
        <f>IFERROR(IF(OR(C1576="",D1576="",C1576=0),"",D1576/C1576),"")</f>
        <v/>
      </c>
      <c r="G1576" s="21">
        <f>IFERROR(INDEX(Users!$A$2:$A$310,MATCH(A1576,Users!$B$2:$B$310,0)),"")</f>
        <v/>
      </c>
      <c r="H1576" s="21">
        <f>IFERROR(INDEX(Users!$D$2:$D$310,MATCH(A1576,Users!$B$2:$B$310,0)),"")</f>
        <v/>
      </c>
      <c r="I1576" s="19">
        <f>AND(G1576="Service A",H1576="Band 3")</f>
        <v/>
      </c>
      <c r="J1576" s="33">
        <f>IF(AND(YEAR(B1576)=2025,G1576="Service B",OR(H1576="Band 3",H1576="Band 5"),ISNUMBER(F1576)),F1576,"")</f>
        <v/>
      </c>
    </row>
    <row r="1577">
      <c r="A1577" s="19" t="inlineStr">
        <is>
          <t>User1171</t>
        </is>
      </c>
      <c r="B1577" s="60" t="n">
        <v>45689</v>
      </c>
      <c r="C1577" s="21" t="n">
        <v>148</v>
      </c>
      <c r="D1577" s="21" t="n">
        <v>99.29999999999998</v>
      </c>
      <c r="E1577" s="21" t="n">
        <v>39.3</v>
      </c>
      <c r="F1577" s="27">
        <f>IFERROR(IF(OR(C1577="",D1577="",C1577=0),"",D1577/C1577),"")</f>
        <v/>
      </c>
      <c r="G1577" s="21">
        <f>IFERROR(INDEX(Users!$A$2:$A$310,MATCH(A1577,Users!$B$2:$B$310,0)),"")</f>
        <v/>
      </c>
      <c r="H1577" s="21">
        <f>IFERROR(INDEX(Users!$D$2:$D$310,MATCH(A1577,Users!$B$2:$B$310,0)),"")</f>
        <v/>
      </c>
      <c r="I1577" s="19">
        <f>AND(G1577="Service A",H1577="Band 3")</f>
        <v/>
      </c>
      <c r="J1577" s="33">
        <f>IF(AND(YEAR(B1577)=2025,G1577="Service B",OR(H1577="Band 3",H1577="Band 5"),ISNUMBER(F1577)),F1577,"")</f>
        <v/>
      </c>
    </row>
    <row r="1578">
      <c r="A1578" s="19" t="inlineStr">
        <is>
          <t>User1171</t>
        </is>
      </c>
      <c r="B1578" s="60" t="n">
        <v>45717</v>
      </c>
      <c r="C1578" s="21" t="n">
        <v>155.4</v>
      </c>
      <c r="D1578" s="21" t="n">
        <v>115.8966666666667</v>
      </c>
      <c r="E1578" s="21" t="n">
        <v>50.08</v>
      </c>
      <c r="F1578" s="27">
        <f>IFERROR(IF(OR(C1578="",D1578="",C1578=0),"",D1578/C1578),"")</f>
        <v/>
      </c>
      <c r="G1578" s="21">
        <f>IFERROR(INDEX(Users!$A$2:$A$310,MATCH(A1578,Users!$B$2:$B$310,0)),"")</f>
        <v/>
      </c>
      <c r="H1578" s="21">
        <f>IFERROR(INDEX(Users!$D$2:$D$310,MATCH(A1578,Users!$B$2:$B$310,0)),"")</f>
        <v/>
      </c>
      <c r="I1578" s="19">
        <f>AND(G1578="Service A",H1578="Band 3")</f>
        <v/>
      </c>
      <c r="J1578" s="33">
        <f>IF(AND(YEAR(B1578)=2025,G1578="Service B",OR(H1578="Band 3",H1578="Band 5"),ISNUMBER(F1578)),F1578,"")</f>
        <v/>
      </c>
    </row>
    <row r="1579">
      <c r="A1579" s="19" t="inlineStr">
        <is>
          <t>User1171</t>
        </is>
      </c>
      <c r="B1579" s="60" t="n">
        <v>45748</v>
      </c>
      <c r="C1579" s="21" t="n">
        <v>148</v>
      </c>
      <c r="D1579" s="21" t="n">
        <v>130.0233333333333</v>
      </c>
      <c r="E1579" s="21" t="n">
        <v>53.19</v>
      </c>
      <c r="F1579" s="27">
        <f>IFERROR(IF(OR(C1579="",D1579="",C1579=0),"",D1579/C1579),"")</f>
        <v/>
      </c>
      <c r="G1579" s="21">
        <f>IFERROR(INDEX(Users!$A$2:$A$310,MATCH(A1579,Users!$B$2:$B$310,0)),"")</f>
        <v/>
      </c>
      <c r="H1579" s="21">
        <f>IFERROR(INDEX(Users!$D$2:$D$310,MATCH(A1579,Users!$B$2:$B$310,0)),"")</f>
        <v/>
      </c>
      <c r="I1579" s="19">
        <f>AND(G1579="Service A",H1579="Band 3")</f>
        <v/>
      </c>
      <c r="J1579" s="33">
        <f>IF(AND(YEAR(B1579)=2025,G1579="Service B",OR(H1579="Band 3",H1579="Band 5"),ISNUMBER(F1579)),F1579,"")</f>
        <v/>
      </c>
    </row>
    <row r="1580">
      <c r="A1580" s="19" t="inlineStr">
        <is>
          <t>User1171</t>
        </is>
      </c>
      <c r="B1580" s="60" t="n">
        <v>45778</v>
      </c>
      <c r="C1580" s="21" t="n">
        <v>148</v>
      </c>
      <c r="D1580" s="21" t="n">
        <v>127.1933333333333</v>
      </c>
      <c r="E1580" s="21" t="n">
        <v>66.61</v>
      </c>
      <c r="F1580" s="27">
        <f>IFERROR(IF(OR(C1580="",D1580="",C1580=0),"",D1580/C1580),"")</f>
        <v/>
      </c>
      <c r="G1580" s="21">
        <f>IFERROR(INDEX(Users!$A$2:$A$310,MATCH(A1580,Users!$B$2:$B$310,0)),"")</f>
        <v/>
      </c>
      <c r="H1580" s="21">
        <f>IFERROR(INDEX(Users!$D$2:$D$310,MATCH(A1580,Users!$B$2:$B$310,0)),"")</f>
        <v/>
      </c>
      <c r="I1580" s="19">
        <f>AND(G1580="Service A",H1580="Band 3")</f>
        <v/>
      </c>
      <c r="J1580" s="33">
        <f>IF(AND(YEAR(B1580)=2025,G1580="Service B",OR(H1580="Band 3",H1580="Band 5"),ISNUMBER(F1580)),F1580,"")</f>
        <v/>
      </c>
    </row>
    <row r="1581">
      <c r="A1581" s="19" t="inlineStr">
        <is>
          <t>User1171</t>
        </is>
      </c>
      <c r="B1581" s="60" t="n">
        <v>45809</v>
      </c>
      <c r="C1581" s="21" t="n">
        <v>155.4</v>
      </c>
      <c r="D1581" s="21" t="n">
        <v>152.2666666666667</v>
      </c>
      <c r="E1581" s="21" t="n">
        <v>78.60000000000001</v>
      </c>
      <c r="F1581" s="27">
        <f>IFERROR(IF(OR(C1581="",D1581="",C1581=0),"",D1581/C1581),"")</f>
        <v/>
      </c>
      <c r="G1581" s="21">
        <f>IFERROR(INDEX(Users!$A$2:$A$310,MATCH(A1581,Users!$B$2:$B$310,0)),"")</f>
        <v/>
      </c>
      <c r="H1581" s="21">
        <f>IFERROR(INDEX(Users!$D$2:$D$310,MATCH(A1581,Users!$B$2:$B$310,0)),"")</f>
        <v/>
      </c>
      <c r="I1581" s="19">
        <f>AND(G1581="Service A",H1581="Band 3")</f>
        <v/>
      </c>
      <c r="J1581" s="33">
        <f>IF(AND(YEAR(B1581)=2025,G1581="Service B",OR(H1581="Band 3",H1581="Band 5"),ISNUMBER(F1581)),F1581,"")</f>
        <v/>
      </c>
    </row>
    <row r="1582">
      <c r="A1582" s="19" t="inlineStr">
        <is>
          <t>User1171</t>
        </is>
      </c>
      <c r="B1582" s="60" t="n">
        <v>45839</v>
      </c>
      <c r="C1582" s="21" t="n">
        <v>170.2</v>
      </c>
      <c r="D1582" s="21" t="n">
        <v>109.0733333333333</v>
      </c>
      <c r="E1582" s="21" t="n">
        <v>66.74000000000001</v>
      </c>
      <c r="F1582" s="27">
        <f>IFERROR(IF(OR(C1582="",D1582="",C1582=0),"",D1582/C1582),"")</f>
        <v/>
      </c>
      <c r="G1582" s="21">
        <f>IFERROR(INDEX(Users!$A$2:$A$310,MATCH(A1582,Users!$B$2:$B$310,0)),"")</f>
        <v/>
      </c>
      <c r="H1582" s="21">
        <f>IFERROR(INDEX(Users!$D$2:$D$310,MATCH(A1582,Users!$B$2:$B$310,0)),"")</f>
        <v/>
      </c>
      <c r="I1582" s="19">
        <f>AND(G1582="Service A",H1582="Band 3")</f>
        <v/>
      </c>
      <c r="J1582" s="33">
        <f>IF(AND(YEAR(B1582)=2025,G1582="Service B",OR(H1582="Band 3",H1582="Band 5"),ISNUMBER(F1582)),F1582,"")</f>
        <v/>
      </c>
    </row>
    <row r="1583">
      <c r="A1583" s="19" t="inlineStr">
        <is>
          <t>User1171</t>
        </is>
      </c>
      <c r="B1583" s="60" t="n">
        <v>45870</v>
      </c>
      <c r="C1583" s="21" t="n">
        <v>148</v>
      </c>
      <c r="D1583" s="21" t="n"/>
      <c r="E1583" s="21" t="n"/>
      <c r="F1583" s="27">
        <f>IFERROR(IF(OR(C1583="",D1583="",C1583=0),"",D1583/C1583),"")</f>
        <v/>
      </c>
      <c r="G1583" s="21">
        <f>IFERROR(INDEX(Users!$A$2:$A$310,MATCH(A1583,Users!$B$2:$B$310,0)),"")</f>
        <v/>
      </c>
      <c r="H1583" s="21">
        <f>IFERROR(INDEX(Users!$D$2:$D$310,MATCH(A1583,Users!$B$2:$B$310,0)),"")</f>
        <v/>
      </c>
      <c r="I1583" s="19">
        <f>AND(G1583="Service A",H1583="Band 3")</f>
        <v/>
      </c>
      <c r="J1583" s="33">
        <f>IF(AND(YEAR(B1583)=2025,G1583="Service B",OR(H1583="Band 3",H1583="Band 5"),ISNUMBER(F1583)),F1583,"")</f>
        <v/>
      </c>
    </row>
    <row r="1584">
      <c r="A1584" s="19" t="inlineStr">
        <is>
          <t>User1171</t>
        </is>
      </c>
      <c r="B1584" s="60" t="n">
        <v>45901</v>
      </c>
      <c r="C1584" s="21" t="n">
        <v>162.8</v>
      </c>
      <c r="D1584" s="21" t="n">
        <v>1.25</v>
      </c>
      <c r="E1584" s="21" t="n">
        <v>1.25</v>
      </c>
      <c r="F1584" s="27">
        <f>IFERROR(IF(OR(C1584="",D1584="",C1584=0),"",D1584/C1584),"")</f>
        <v/>
      </c>
      <c r="G1584" s="21">
        <f>IFERROR(INDEX(Users!$A$2:$A$310,MATCH(A1584,Users!$B$2:$B$310,0)),"")</f>
        <v/>
      </c>
      <c r="H1584" s="21">
        <f>IFERROR(INDEX(Users!$D$2:$D$310,MATCH(A1584,Users!$B$2:$B$310,0)),"")</f>
        <v/>
      </c>
      <c r="I1584" s="19">
        <f>AND(G1584="Service A",H1584="Band 3")</f>
        <v/>
      </c>
      <c r="J1584" s="33">
        <f>IF(AND(YEAR(B1584)=2025,G1584="Service B",OR(H1584="Band 3",H1584="Band 5"),ISNUMBER(F1584)),F1584,"")</f>
        <v/>
      </c>
    </row>
    <row r="1585">
      <c r="A1585" s="19" t="inlineStr">
        <is>
          <t>User1171</t>
        </is>
      </c>
      <c r="B1585" s="60" t="n">
        <v>45931</v>
      </c>
      <c r="C1585" s="21" t="n">
        <v>170.2</v>
      </c>
      <c r="D1585" s="21" t="n">
        <v>106.15</v>
      </c>
      <c r="E1585" s="21" t="n">
        <v>42</v>
      </c>
      <c r="F1585" s="27">
        <f>IFERROR(IF(OR(C1585="",D1585="",C1585=0),"",D1585/C1585),"")</f>
        <v/>
      </c>
      <c r="G1585" s="21">
        <f>IFERROR(INDEX(Users!$A$2:$A$310,MATCH(A1585,Users!$B$2:$B$310,0)),"")</f>
        <v/>
      </c>
      <c r="H1585" s="21">
        <f>IFERROR(INDEX(Users!$D$2:$D$310,MATCH(A1585,Users!$B$2:$B$310,0)),"")</f>
        <v/>
      </c>
      <c r="I1585" s="19">
        <f>AND(G1585="Service A",H1585="Band 3")</f>
        <v/>
      </c>
      <c r="J1585" s="33">
        <f>IF(AND(YEAR(B1585)=2025,G1585="Service B",OR(H1585="Band 3",H1585="Band 5"),ISNUMBER(F1585)),F1585,"")</f>
        <v/>
      </c>
    </row>
    <row r="1586">
      <c r="A1586" s="19" t="inlineStr">
        <is>
          <t>User1171</t>
        </is>
      </c>
      <c r="B1586" s="60" t="n">
        <v>45962</v>
      </c>
      <c r="C1586" s="21" t="n">
        <v>148</v>
      </c>
      <c r="D1586" s="21" t="n">
        <v>122.0933333333333</v>
      </c>
      <c r="E1586" s="21" t="n">
        <v>53.01</v>
      </c>
      <c r="F1586" s="27">
        <f>IFERROR(IF(OR(C1586="",D1586="",C1586=0),"",D1586/C1586),"")</f>
        <v/>
      </c>
      <c r="G1586" s="21">
        <f>IFERROR(INDEX(Users!$A$2:$A$310,MATCH(A1586,Users!$B$2:$B$310,0)),"")</f>
        <v/>
      </c>
      <c r="H1586" s="21">
        <f>IFERROR(INDEX(Users!$D$2:$D$310,MATCH(A1586,Users!$B$2:$B$310,0)),"")</f>
        <v/>
      </c>
      <c r="I1586" s="19">
        <f>AND(G1586="Service A",H1586="Band 3")</f>
        <v/>
      </c>
      <c r="J1586" s="33">
        <f>IF(AND(YEAR(B1586)=2025,G1586="Service B",OR(H1586="Band 3",H1586="Band 5"),ISNUMBER(F1586)),F1586,"")</f>
        <v/>
      </c>
    </row>
    <row r="1587">
      <c r="A1587" s="19" t="inlineStr">
        <is>
          <t>User1171</t>
        </is>
      </c>
      <c r="B1587" s="60" t="n">
        <v>45992</v>
      </c>
      <c r="C1587" s="21" t="n">
        <v>155.4</v>
      </c>
      <c r="D1587" s="21" t="n">
        <v>107.11</v>
      </c>
      <c r="E1587" s="21" t="n">
        <v>45.11000000000001</v>
      </c>
      <c r="F1587" s="27">
        <f>IFERROR(IF(OR(C1587="",D1587="",C1587=0),"",D1587/C1587),"")</f>
        <v/>
      </c>
      <c r="G1587" s="21">
        <f>IFERROR(INDEX(Users!$A$2:$A$310,MATCH(A1587,Users!$B$2:$B$310,0)),"")</f>
        <v/>
      </c>
      <c r="H1587" s="21">
        <f>IFERROR(INDEX(Users!$D$2:$D$310,MATCH(A1587,Users!$B$2:$B$310,0)),"")</f>
        <v/>
      </c>
      <c r="I1587" s="19">
        <f>AND(G1587="Service A",H1587="Band 3")</f>
        <v/>
      </c>
      <c r="J1587" s="33">
        <f>IF(AND(YEAR(B1587)=2025,G1587="Service B",OR(H1587="Band 3",H1587="Band 5"),ISNUMBER(F1587)),F1587,"")</f>
        <v/>
      </c>
    </row>
    <row r="1588">
      <c r="A1588" s="19" t="inlineStr">
        <is>
          <t>User1171</t>
        </is>
      </c>
      <c r="B1588" s="60" t="n">
        <v>46023</v>
      </c>
      <c r="C1588" s="21" t="n">
        <v>155.4</v>
      </c>
      <c r="D1588" s="21" t="n">
        <v>89.84999999999999</v>
      </c>
      <c r="E1588" s="21" t="n">
        <v>44.09999999999999</v>
      </c>
      <c r="F1588" s="27">
        <f>IFERROR(IF(OR(C1588="",D1588="",C1588=0),"",D1588/C1588),"")</f>
        <v/>
      </c>
      <c r="G1588" s="21">
        <f>IFERROR(INDEX(Users!$A$2:$A$310,MATCH(A1588,Users!$B$2:$B$310,0)),"")</f>
        <v/>
      </c>
      <c r="H1588" s="21">
        <f>IFERROR(INDEX(Users!$D$2:$D$310,MATCH(A1588,Users!$B$2:$B$310,0)),"")</f>
        <v/>
      </c>
      <c r="I1588" s="19">
        <f>AND(G1588="Service A",H1588="Band 3")</f>
        <v/>
      </c>
      <c r="J1588" s="33">
        <f>IF(AND(YEAR(B1588)=2025,G1588="Service B",OR(H1588="Band 3",H1588="Band 5"),ISNUMBER(F1588)),F1588,"")</f>
        <v/>
      </c>
    </row>
    <row r="1589">
      <c r="A1589" s="19" t="inlineStr">
        <is>
          <t>User1172</t>
        </is>
      </c>
      <c r="B1589" s="60" t="n">
        <v>45658</v>
      </c>
      <c r="C1589" s="21" t="n">
        <v>162.8</v>
      </c>
      <c r="D1589" s="21" t="n">
        <v>93.82333333333332</v>
      </c>
      <c r="E1589" s="21" t="n">
        <v>57.03999999999999</v>
      </c>
      <c r="F1589" s="27">
        <f>IFERROR(IF(OR(C1589="",D1589="",C1589=0),"",D1589/C1589),"")</f>
        <v/>
      </c>
      <c r="G1589" s="21">
        <f>IFERROR(INDEX(Users!$A$2:$A$310,MATCH(A1589,Users!$B$2:$B$310,0)),"")</f>
        <v/>
      </c>
      <c r="H1589" s="21">
        <f>IFERROR(INDEX(Users!$D$2:$D$310,MATCH(A1589,Users!$B$2:$B$310,0)),"")</f>
        <v/>
      </c>
      <c r="I1589" s="19">
        <f>AND(G1589="Service A",H1589="Band 3")</f>
        <v/>
      </c>
      <c r="J1589" s="33">
        <f>IF(AND(YEAR(B1589)=2025,G1589="Service B",OR(H1589="Band 3",H1589="Band 5"),ISNUMBER(F1589)),F1589,"")</f>
        <v/>
      </c>
    </row>
    <row r="1590">
      <c r="A1590" s="19" t="inlineStr">
        <is>
          <t>User1172</t>
        </is>
      </c>
      <c r="B1590" s="60" t="n">
        <v>45689</v>
      </c>
      <c r="C1590" s="21" t="n">
        <v>148</v>
      </c>
      <c r="D1590" s="21" t="n">
        <v>149.9966666666667</v>
      </c>
      <c r="E1590" s="21" t="n">
        <v>79.38000000000002</v>
      </c>
      <c r="F1590" s="27">
        <f>IFERROR(IF(OR(C1590="",D1590="",C1590=0),"",D1590/C1590),"")</f>
        <v/>
      </c>
      <c r="G1590" s="21">
        <f>IFERROR(INDEX(Users!$A$2:$A$310,MATCH(A1590,Users!$B$2:$B$310,0)),"")</f>
        <v/>
      </c>
      <c r="H1590" s="21">
        <f>IFERROR(INDEX(Users!$D$2:$D$310,MATCH(A1590,Users!$B$2:$B$310,0)),"")</f>
        <v/>
      </c>
      <c r="I1590" s="19">
        <f>AND(G1590="Service A",H1590="Band 3")</f>
        <v/>
      </c>
      <c r="J1590" s="33">
        <f>IF(AND(YEAR(B1590)=2025,G1590="Service B",OR(H1590="Band 3",H1590="Band 5"),ISNUMBER(F1590)),F1590,"")</f>
        <v/>
      </c>
    </row>
    <row r="1591">
      <c r="A1591" s="19" t="inlineStr">
        <is>
          <t>User1172</t>
        </is>
      </c>
      <c r="B1591" s="60" t="n">
        <v>45717</v>
      </c>
      <c r="C1591" s="21" t="n">
        <v>155.4</v>
      </c>
      <c r="D1591" s="21" t="n">
        <v>76.82666666666665</v>
      </c>
      <c r="E1591" s="21" t="n">
        <v>34.86</v>
      </c>
      <c r="F1591" s="27">
        <f>IFERROR(IF(OR(C1591="",D1591="",C1591=0),"",D1591/C1591),"")</f>
        <v/>
      </c>
      <c r="G1591" s="21">
        <f>IFERROR(INDEX(Users!$A$2:$A$310,MATCH(A1591,Users!$B$2:$B$310,0)),"")</f>
        <v/>
      </c>
      <c r="H1591" s="21">
        <f>IFERROR(INDEX(Users!$D$2:$D$310,MATCH(A1591,Users!$B$2:$B$310,0)),"")</f>
        <v/>
      </c>
      <c r="I1591" s="19">
        <f>AND(G1591="Service A",H1591="Band 3")</f>
        <v/>
      </c>
      <c r="J1591" s="33">
        <f>IF(AND(YEAR(B1591)=2025,G1591="Service B",OR(H1591="Band 3",H1591="Band 5"),ISNUMBER(F1591)),F1591,"")</f>
        <v/>
      </c>
    </row>
    <row r="1592">
      <c r="A1592" s="19" t="inlineStr">
        <is>
          <t>User1172</t>
        </is>
      </c>
      <c r="B1592" s="60" t="n">
        <v>45748</v>
      </c>
      <c r="C1592" s="21" t="n">
        <v>148</v>
      </c>
      <c r="D1592" s="21" t="n">
        <v>152.98</v>
      </c>
      <c r="E1592" s="21" t="n">
        <v>94.48000000000003</v>
      </c>
      <c r="F1592" s="27">
        <f>IFERROR(IF(OR(C1592="",D1592="",C1592=0),"",D1592/C1592),"")</f>
        <v/>
      </c>
      <c r="G1592" s="21">
        <f>IFERROR(INDEX(Users!$A$2:$A$310,MATCH(A1592,Users!$B$2:$B$310,0)),"")</f>
        <v/>
      </c>
      <c r="H1592" s="21">
        <f>IFERROR(INDEX(Users!$D$2:$D$310,MATCH(A1592,Users!$B$2:$B$310,0)),"")</f>
        <v/>
      </c>
      <c r="I1592" s="19">
        <f>AND(G1592="Service A",H1592="Band 3")</f>
        <v/>
      </c>
      <c r="J1592" s="33">
        <f>IF(AND(YEAR(B1592)=2025,G1592="Service B",OR(H1592="Band 3",H1592="Band 5"),ISNUMBER(F1592)),F1592,"")</f>
        <v/>
      </c>
    </row>
    <row r="1593">
      <c r="A1593" s="19" t="inlineStr">
        <is>
          <t>User1172</t>
        </is>
      </c>
      <c r="B1593" s="60" t="n">
        <v>45778</v>
      </c>
      <c r="C1593" s="21" t="n">
        <v>148</v>
      </c>
      <c r="D1593" s="21" t="n">
        <v>140.99</v>
      </c>
      <c r="E1593" s="21" t="n">
        <v>88.79000000000001</v>
      </c>
      <c r="F1593" s="27">
        <f>IFERROR(IF(OR(C1593="",D1593="",C1593=0),"",D1593/C1593),"")</f>
        <v/>
      </c>
      <c r="G1593" s="21">
        <f>IFERROR(INDEX(Users!$A$2:$A$310,MATCH(A1593,Users!$B$2:$B$310,0)),"")</f>
        <v/>
      </c>
      <c r="H1593" s="21">
        <f>IFERROR(INDEX(Users!$D$2:$D$310,MATCH(A1593,Users!$B$2:$B$310,0)),"")</f>
        <v/>
      </c>
      <c r="I1593" s="19">
        <f>AND(G1593="Service A",H1593="Band 3")</f>
        <v/>
      </c>
      <c r="J1593" s="33">
        <f>IF(AND(YEAR(B1593)=2025,G1593="Service B",OR(H1593="Band 3",H1593="Band 5"),ISNUMBER(F1593)),F1593,"")</f>
        <v/>
      </c>
    </row>
    <row r="1594">
      <c r="A1594" s="19" t="inlineStr">
        <is>
          <t>User1172</t>
        </is>
      </c>
      <c r="B1594" s="60" t="n">
        <v>45809</v>
      </c>
      <c r="C1594" s="21" t="n">
        <v>155.4</v>
      </c>
      <c r="D1594" s="21" t="n">
        <v>143.11</v>
      </c>
      <c r="E1594" s="21" t="n">
        <v>75.26000000000001</v>
      </c>
      <c r="F1594" s="27">
        <f>IFERROR(IF(OR(C1594="",D1594="",C1594=0),"",D1594/C1594),"")</f>
        <v/>
      </c>
      <c r="G1594" s="21">
        <f>IFERROR(INDEX(Users!$A$2:$A$310,MATCH(A1594,Users!$B$2:$B$310,0)),"")</f>
        <v/>
      </c>
      <c r="H1594" s="21">
        <f>IFERROR(INDEX(Users!$D$2:$D$310,MATCH(A1594,Users!$B$2:$B$310,0)),"")</f>
        <v/>
      </c>
      <c r="I1594" s="19">
        <f>AND(G1594="Service A",H1594="Band 3")</f>
        <v/>
      </c>
      <c r="J1594" s="33">
        <f>IF(AND(YEAR(B1594)=2025,G1594="Service B",OR(H1594="Band 3",H1594="Band 5"),ISNUMBER(F1594)),F1594,"")</f>
        <v/>
      </c>
    </row>
    <row r="1595">
      <c r="A1595" s="19" t="inlineStr">
        <is>
          <t>User1172</t>
        </is>
      </c>
      <c r="B1595" s="60" t="n">
        <v>45839</v>
      </c>
      <c r="C1595" s="21" t="n">
        <v>170.2</v>
      </c>
      <c r="D1595" s="21" t="n">
        <v>160.2833333333333</v>
      </c>
      <c r="E1595" s="21" t="n">
        <v>93.05000000000001</v>
      </c>
      <c r="F1595" s="27">
        <f>IFERROR(IF(OR(C1595="",D1595="",C1595=0),"",D1595/C1595),"")</f>
        <v/>
      </c>
      <c r="G1595" s="21">
        <f>IFERROR(INDEX(Users!$A$2:$A$310,MATCH(A1595,Users!$B$2:$B$310,0)),"")</f>
        <v/>
      </c>
      <c r="H1595" s="21">
        <f>IFERROR(INDEX(Users!$D$2:$D$310,MATCH(A1595,Users!$B$2:$B$310,0)),"")</f>
        <v/>
      </c>
      <c r="I1595" s="19">
        <f>AND(G1595="Service A",H1595="Band 3")</f>
        <v/>
      </c>
      <c r="J1595" s="33">
        <f>IF(AND(YEAR(B1595)=2025,G1595="Service B",OR(H1595="Band 3",H1595="Band 5"),ISNUMBER(F1595)),F1595,"")</f>
        <v/>
      </c>
    </row>
    <row r="1596">
      <c r="A1596" s="19" t="inlineStr">
        <is>
          <t>User1172</t>
        </is>
      </c>
      <c r="B1596" s="60" t="n">
        <v>45870</v>
      </c>
      <c r="C1596" s="21" t="n">
        <v>148</v>
      </c>
      <c r="D1596" s="21" t="n">
        <v>99.95666666666668</v>
      </c>
      <c r="E1596" s="21" t="n">
        <v>43.14</v>
      </c>
      <c r="F1596" s="27">
        <f>IFERROR(IF(OR(C1596="",D1596="",C1596=0),"",D1596/C1596),"")</f>
        <v/>
      </c>
      <c r="G1596" s="21">
        <f>IFERROR(INDEX(Users!$A$2:$A$310,MATCH(A1596,Users!$B$2:$B$310,0)),"")</f>
        <v/>
      </c>
      <c r="H1596" s="21">
        <f>IFERROR(INDEX(Users!$D$2:$D$310,MATCH(A1596,Users!$B$2:$B$310,0)),"")</f>
        <v/>
      </c>
      <c r="I1596" s="19">
        <f>AND(G1596="Service A",H1596="Band 3")</f>
        <v/>
      </c>
      <c r="J1596" s="33">
        <f>IF(AND(YEAR(B1596)=2025,G1596="Service B",OR(H1596="Band 3",H1596="Band 5"),ISNUMBER(F1596)),F1596,"")</f>
        <v/>
      </c>
    </row>
    <row r="1597">
      <c r="A1597" s="19" t="inlineStr">
        <is>
          <t>User1172</t>
        </is>
      </c>
      <c r="B1597" s="60" t="n">
        <v>45901</v>
      </c>
      <c r="C1597" s="21" t="n">
        <v>162.8</v>
      </c>
      <c r="D1597" s="21" t="n">
        <v>135.2066666666667</v>
      </c>
      <c r="E1597" s="21" t="n">
        <v>52.14000000000001</v>
      </c>
      <c r="F1597" s="27">
        <f>IFERROR(IF(OR(C1597="",D1597="",C1597=0),"",D1597/C1597),"")</f>
        <v/>
      </c>
      <c r="G1597" s="21">
        <f>IFERROR(INDEX(Users!$A$2:$A$310,MATCH(A1597,Users!$B$2:$B$310,0)),"")</f>
        <v/>
      </c>
      <c r="H1597" s="21">
        <f>IFERROR(INDEX(Users!$D$2:$D$310,MATCH(A1597,Users!$B$2:$B$310,0)),"")</f>
        <v/>
      </c>
      <c r="I1597" s="19">
        <f>AND(G1597="Service A",H1597="Band 3")</f>
        <v/>
      </c>
      <c r="J1597" s="33">
        <f>IF(AND(YEAR(B1597)=2025,G1597="Service B",OR(H1597="Band 3",H1597="Band 5"),ISNUMBER(F1597)),F1597,"")</f>
        <v/>
      </c>
    </row>
    <row r="1598">
      <c r="A1598" s="19" t="inlineStr">
        <is>
          <t>User1172</t>
        </is>
      </c>
      <c r="B1598" s="60" t="n">
        <v>45931</v>
      </c>
      <c r="C1598" s="21" t="n">
        <v>170.2</v>
      </c>
      <c r="D1598" s="21" t="n">
        <v>175.3066666666667</v>
      </c>
      <c r="E1598" s="21" t="n">
        <v>84.19000000000001</v>
      </c>
      <c r="F1598" s="27">
        <f>IFERROR(IF(OR(C1598="",D1598="",C1598=0),"",D1598/C1598),"")</f>
        <v/>
      </c>
      <c r="G1598" s="21">
        <f>IFERROR(INDEX(Users!$A$2:$A$310,MATCH(A1598,Users!$B$2:$B$310,0)),"")</f>
        <v/>
      </c>
      <c r="H1598" s="21">
        <f>IFERROR(INDEX(Users!$D$2:$D$310,MATCH(A1598,Users!$B$2:$B$310,0)),"")</f>
        <v/>
      </c>
      <c r="I1598" s="19">
        <f>AND(G1598="Service A",H1598="Band 3")</f>
        <v/>
      </c>
      <c r="J1598" s="33">
        <f>IF(AND(YEAR(B1598)=2025,G1598="Service B",OR(H1598="Band 3",H1598="Band 5"),ISNUMBER(F1598)),F1598,"")</f>
        <v/>
      </c>
    </row>
    <row r="1599">
      <c r="A1599" s="19" t="inlineStr">
        <is>
          <t>User1172</t>
        </is>
      </c>
      <c r="B1599" s="60" t="n">
        <v>45962</v>
      </c>
      <c r="C1599" s="21" t="n">
        <v>148</v>
      </c>
      <c r="D1599" s="21" t="n">
        <v>155.32</v>
      </c>
      <c r="E1599" s="21" t="n">
        <v>78.71999999999997</v>
      </c>
      <c r="F1599" s="27">
        <f>IFERROR(IF(OR(C1599="",D1599="",C1599=0),"",D1599/C1599),"")</f>
        <v/>
      </c>
      <c r="G1599" s="21">
        <f>IFERROR(INDEX(Users!$A$2:$A$310,MATCH(A1599,Users!$B$2:$B$310,0)),"")</f>
        <v/>
      </c>
      <c r="H1599" s="21">
        <f>IFERROR(INDEX(Users!$D$2:$D$310,MATCH(A1599,Users!$B$2:$B$310,0)),"")</f>
        <v/>
      </c>
      <c r="I1599" s="19">
        <f>AND(G1599="Service A",H1599="Band 3")</f>
        <v/>
      </c>
      <c r="J1599" s="33">
        <f>IF(AND(YEAR(B1599)=2025,G1599="Service B",OR(H1599="Band 3",H1599="Band 5"),ISNUMBER(F1599)),F1599,"")</f>
        <v/>
      </c>
    </row>
    <row r="1600">
      <c r="A1600" s="19" t="inlineStr">
        <is>
          <t>User1172</t>
        </is>
      </c>
      <c r="B1600" s="60" t="n">
        <v>45992</v>
      </c>
      <c r="C1600" s="21" t="n">
        <v>155.4</v>
      </c>
      <c r="D1600" s="21" t="n">
        <v>159.28</v>
      </c>
      <c r="E1600" s="21" t="n">
        <v>77.48000000000003</v>
      </c>
      <c r="F1600" s="27">
        <f>IFERROR(IF(OR(C1600="",D1600="",C1600=0),"",D1600/C1600),"")</f>
        <v/>
      </c>
      <c r="G1600" s="21">
        <f>IFERROR(INDEX(Users!$A$2:$A$310,MATCH(A1600,Users!$B$2:$B$310,0)),"")</f>
        <v/>
      </c>
      <c r="H1600" s="21">
        <f>IFERROR(INDEX(Users!$D$2:$D$310,MATCH(A1600,Users!$B$2:$B$310,0)),"")</f>
        <v/>
      </c>
      <c r="I1600" s="19">
        <f>AND(G1600="Service A",H1600="Band 3")</f>
        <v/>
      </c>
      <c r="J1600" s="33">
        <f>IF(AND(YEAR(B1600)=2025,G1600="Service B",OR(H1600="Band 3",H1600="Band 5"),ISNUMBER(F1600)),F1600,"")</f>
        <v/>
      </c>
    </row>
    <row r="1601">
      <c r="A1601" s="19" t="inlineStr">
        <is>
          <t>User1172</t>
        </is>
      </c>
      <c r="B1601" s="60" t="n">
        <v>46023</v>
      </c>
      <c r="C1601" s="21" t="n">
        <v>155.4</v>
      </c>
      <c r="D1601" s="21" t="n">
        <v>137.5733333333334</v>
      </c>
      <c r="E1601" s="21" t="n">
        <v>70.94000000000003</v>
      </c>
      <c r="F1601" s="27">
        <f>IFERROR(IF(OR(C1601="",D1601="",C1601=0),"",D1601/C1601),"")</f>
        <v/>
      </c>
      <c r="G1601" s="21">
        <f>IFERROR(INDEX(Users!$A$2:$A$310,MATCH(A1601,Users!$B$2:$B$310,0)),"")</f>
        <v/>
      </c>
      <c r="H1601" s="21">
        <f>IFERROR(INDEX(Users!$D$2:$D$310,MATCH(A1601,Users!$B$2:$B$310,0)),"")</f>
        <v/>
      </c>
      <c r="I1601" s="19">
        <f>AND(G1601="Service A",H1601="Band 3")</f>
        <v/>
      </c>
      <c r="J1601" s="33">
        <f>IF(AND(YEAR(B1601)=2025,G1601="Service B",OR(H1601="Band 3",H1601="Band 5"),ISNUMBER(F1601)),F1601,"")</f>
        <v/>
      </c>
    </row>
    <row r="1602">
      <c r="A1602" s="19" t="inlineStr">
        <is>
          <t>User1173</t>
        </is>
      </c>
      <c r="B1602" s="60" t="n">
        <v>45658</v>
      </c>
      <c r="C1602" s="21" t="n">
        <v>162.8</v>
      </c>
      <c r="D1602" s="21" t="n">
        <v>148.25</v>
      </c>
      <c r="E1602" s="21" t="n">
        <v>5.25</v>
      </c>
      <c r="F1602" s="27">
        <f>IFERROR(IF(OR(C1602="",D1602="",C1602=0),"",D1602/C1602),"")</f>
        <v/>
      </c>
      <c r="G1602" s="21">
        <f>IFERROR(INDEX(Users!$A$2:$A$310,MATCH(A1602,Users!$B$2:$B$310,0)),"")</f>
        <v/>
      </c>
      <c r="H1602" s="21">
        <f>IFERROR(INDEX(Users!$D$2:$D$310,MATCH(A1602,Users!$B$2:$B$310,0)),"")</f>
        <v/>
      </c>
      <c r="I1602" s="19">
        <f>AND(G1602="Service A",H1602="Band 3")</f>
        <v/>
      </c>
      <c r="J1602" s="33">
        <f>IF(AND(YEAR(B1602)=2025,G1602="Service B",OR(H1602="Band 3",H1602="Band 5"),ISNUMBER(F1602)),F1602,"")</f>
        <v/>
      </c>
    </row>
    <row r="1603">
      <c r="A1603" s="19" t="inlineStr">
        <is>
          <t>User1173</t>
        </is>
      </c>
      <c r="B1603" s="60" t="n">
        <v>45689</v>
      </c>
      <c r="C1603" s="21" t="n">
        <v>148</v>
      </c>
      <c r="D1603" s="21" t="n">
        <v>134.1433333333333</v>
      </c>
      <c r="E1603" s="21" t="n">
        <v>35.06</v>
      </c>
      <c r="F1603" s="27">
        <f>IFERROR(IF(OR(C1603="",D1603="",C1603=0),"",D1603/C1603),"")</f>
        <v/>
      </c>
      <c r="G1603" s="21">
        <f>IFERROR(INDEX(Users!$A$2:$A$310,MATCH(A1603,Users!$B$2:$B$310,0)),"")</f>
        <v/>
      </c>
      <c r="H1603" s="21">
        <f>IFERROR(INDEX(Users!$D$2:$D$310,MATCH(A1603,Users!$B$2:$B$310,0)),"")</f>
        <v/>
      </c>
      <c r="I1603" s="19">
        <f>AND(G1603="Service A",H1603="Band 3")</f>
        <v/>
      </c>
      <c r="J1603" s="33">
        <f>IF(AND(YEAR(B1603)=2025,G1603="Service B",OR(H1603="Band 3",H1603="Band 5"),ISNUMBER(F1603)),F1603,"")</f>
        <v/>
      </c>
    </row>
    <row r="1604">
      <c r="A1604" s="19" t="inlineStr">
        <is>
          <t>User1173</t>
        </is>
      </c>
      <c r="B1604" s="60" t="n">
        <v>45717</v>
      </c>
      <c r="C1604" s="21" t="n">
        <v>155.4</v>
      </c>
      <c r="D1604" s="21" t="n">
        <v>75.49000000000001</v>
      </c>
      <c r="E1604" s="21" t="n">
        <v>15.74</v>
      </c>
      <c r="F1604" s="27">
        <f>IFERROR(IF(OR(C1604="",D1604="",C1604=0),"",D1604/C1604),"")</f>
        <v/>
      </c>
      <c r="G1604" s="21">
        <f>IFERROR(INDEX(Users!$A$2:$A$310,MATCH(A1604,Users!$B$2:$B$310,0)),"")</f>
        <v/>
      </c>
      <c r="H1604" s="21">
        <f>IFERROR(INDEX(Users!$D$2:$D$310,MATCH(A1604,Users!$B$2:$B$310,0)),"")</f>
        <v/>
      </c>
      <c r="I1604" s="19">
        <f>AND(G1604="Service A",H1604="Band 3")</f>
        <v/>
      </c>
      <c r="J1604" s="33">
        <f>IF(AND(YEAR(B1604)=2025,G1604="Service B",OR(H1604="Band 3",H1604="Band 5"),ISNUMBER(F1604)),F1604,"")</f>
        <v/>
      </c>
    </row>
    <row r="1605">
      <c r="A1605" s="19" t="inlineStr">
        <is>
          <t>User1173</t>
        </is>
      </c>
      <c r="B1605" s="60" t="n">
        <v>45748</v>
      </c>
      <c r="C1605" s="21" t="n">
        <v>148</v>
      </c>
      <c r="D1605" s="21" t="n">
        <v>35.24666666666666</v>
      </c>
      <c r="E1605" s="21" t="n">
        <v>14.33</v>
      </c>
      <c r="F1605" s="27">
        <f>IFERROR(IF(OR(C1605="",D1605="",C1605=0),"",D1605/C1605),"")</f>
        <v/>
      </c>
      <c r="G1605" s="21">
        <f>IFERROR(INDEX(Users!$A$2:$A$310,MATCH(A1605,Users!$B$2:$B$310,0)),"")</f>
        <v/>
      </c>
      <c r="H1605" s="21">
        <f>IFERROR(INDEX(Users!$D$2:$D$310,MATCH(A1605,Users!$B$2:$B$310,0)),"")</f>
        <v/>
      </c>
      <c r="I1605" s="19">
        <f>AND(G1605="Service A",H1605="Band 3")</f>
        <v/>
      </c>
      <c r="J1605" s="33">
        <f>IF(AND(YEAR(B1605)=2025,G1605="Service B",OR(H1605="Band 3",H1605="Band 5"),ISNUMBER(F1605)),F1605,"")</f>
        <v/>
      </c>
    </row>
    <row r="1606">
      <c r="A1606" s="19" t="inlineStr">
        <is>
          <t>User1173</t>
        </is>
      </c>
      <c r="B1606" s="60" t="n">
        <v>45778</v>
      </c>
      <c r="C1606" s="21" t="n">
        <v>148</v>
      </c>
      <c r="D1606" s="21" t="n">
        <v>115.3866666666667</v>
      </c>
      <c r="E1606" s="21" t="n">
        <v>44.72</v>
      </c>
      <c r="F1606" s="27">
        <f>IFERROR(IF(OR(C1606="",D1606="",C1606=0),"",D1606/C1606),"")</f>
        <v/>
      </c>
      <c r="G1606" s="21">
        <f>IFERROR(INDEX(Users!$A$2:$A$310,MATCH(A1606,Users!$B$2:$B$310,0)),"")</f>
        <v/>
      </c>
      <c r="H1606" s="21">
        <f>IFERROR(INDEX(Users!$D$2:$D$310,MATCH(A1606,Users!$B$2:$B$310,0)),"")</f>
        <v/>
      </c>
      <c r="I1606" s="19">
        <f>AND(G1606="Service A",H1606="Band 3")</f>
        <v/>
      </c>
      <c r="J1606" s="33">
        <f>IF(AND(YEAR(B1606)=2025,G1606="Service B",OR(H1606="Band 3",H1606="Band 5"),ISNUMBER(F1606)),F1606,"")</f>
        <v/>
      </c>
    </row>
    <row r="1607">
      <c r="A1607" s="19" t="inlineStr">
        <is>
          <t>User1173</t>
        </is>
      </c>
      <c r="B1607" s="60" t="n">
        <v>45809</v>
      </c>
      <c r="C1607" s="21" t="n">
        <v>155.4</v>
      </c>
      <c r="D1607" s="21" t="n">
        <v>117.1</v>
      </c>
      <c r="E1607" s="21" t="n">
        <v>51.35000000000001</v>
      </c>
      <c r="F1607" s="27">
        <f>IFERROR(IF(OR(C1607="",D1607="",C1607=0),"",D1607/C1607),"")</f>
        <v/>
      </c>
      <c r="G1607" s="21">
        <f>IFERROR(INDEX(Users!$A$2:$A$310,MATCH(A1607,Users!$B$2:$B$310,0)),"")</f>
        <v/>
      </c>
      <c r="H1607" s="21">
        <f>IFERROR(INDEX(Users!$D$2:$D$310,MATCH(A1607,Users!$B$2:$B$310,0)),"")</f>
        <v/>
      </c>
      <c r="I1607" s="19">
        <f>AND(G1607="Service A",H1607="Band 3")</f>
        <v/>
      </c>
      <c r="J1607" s="33">
        <f>IF(AND(YEAR(B1607)=2025,G1607="Service B",OR(H1607="Band 3",H1607="Band 5"),ISNUMBER(F1607)),F1607,"")</f>
        <v/>
      </c>
    </row>
    <row r="1608">
      <c r="A1608" s="19" t="inlineStr">
        <is>
          <t>User1173</t>
        </is>
      </c>
      <c r="B1608" s="60" t="n">
        <v>45839</v>
      </c>
      <c r="C1608" s="21" t="n">
        <v>170.2</v>
      </c>
      <c r="D1608" s="21" t="n">
        <v>149.8466666666667</v>
      </c>
      <c r="E1608" s="21" t="n">
        <v>86.68000000000002</v>
      </c>
      <c r="F1608" s="27">
        <f>IFERROR(IF(OR(C1608="",D1608="",C1608=0),"",D1608/C1608),"")</f>
        <v/>
      </c>
      <c r="G1608" s="21">
        <f>IFERROR(INDEX(Users!$A$2:$A$310,MATCH(A1608,Users!$B$2:$B$310,0)),"")</f>
        <v/>
      </c>
      <c r="H1608" s="21">
        <f>IFERROR(INDEX(Users!$D$2:$D$310,MATCH(A1608,Users!$B$2:$B$310,0)),"")</f>
        <v/>
      </c>
      <c r="I1608" s="19">
        <f>AND(G1608="Service A",H1608="Band 3")</f>
        <v/>
      </c>
      <c r="J1608" s="33">
        <f>IF(AND(YEAR(B1608)=2025,G1608="Service B",OR(H1608="Band 3",H1608="Band 5"),ISNUMBER(F1608)),F1608,"")</f>
        <v/>
      </c>
    </row>
    <row r="1609">
      <c r="A1609" s="19" t="inlineStr">
        <is>
          <t>User1173</t>
        </is>
      </c>
      <c r="B1609" s="60" t="n">
        <v>45870</v>
      </c>
      <c r="C1609" s="21" t="n">
        <v>148</v>
      </c>
      <c r="D1609" s="21" t="n">
        <v>107.9566666666666</v>
      </c>
      <c r="E1609" s="21" t="n">
        <v>74.03999999999999</v>
      </c>
      <c r="F1609" s="27">
        <f>IFERROR(IF(OR(C1609="",D1609="",C1609=0),"",D1609/C1609),"")</f>
        <v/>
      </c>
      <c r="G1609" s="21">
        <f>IFERROR(INDEX(Users!$A$2:$A$310,MATCH(A1609,Users!$B$2:$B$310,0)),"")</f>
        <v/>
      </c>
      <c r="H1609" s="21">
        <f>IFERROR(INDEX(Users!$D$2:$D$310,MATCH(A1609,Users!$B$2:$B$310,0)),"")</f>
        <v/>
      </c>
      <c r="I1609" s="19">
        <f>AND(G1609="Service A",H1609="Band 3")</f>
        <v/>
      </c>
      <c r="J1609" s="33">
        <f>IF(AND(YEAR(B1609)=2025,G1609="Service B",OR(H1609="Band 3",H1609="Band 5"),ISNUMBER(F1609)),F1609,"")</f>
        <v/>
      </c>
    </row>
    <row r="1610">
      <c r="A1610" s="19" t="inlineStr">
        <is>
          <t>User1173</t>
        </is>
      </c>
      <c r="B1610" s="60" t="n">
        <v>45901</v>
      </c>
      <c r="C1610" s="21" t="n">
        <v>162.8</v>
      </c>
      <c r="D1610" s="21" t="n">
        <v>136.5066666666667</v>
      </c>
      <c r="E1610" s="21" t="n">
        <v>97.34</v>
      </c>
      <c r="F1610" s="27">
        <f>IFERROR(IF(OR(C1610="",D1610="",C1610=0),"",D1610/C1610),"")</f>
        <v/>
      </c>
      <c r="G1610" s="21">
        <f>IFERROR(INDEX(Users!$A$2:$A$310,MATCH(A1610,Users!$B$2:$B$310,0)),"")</f>
        <v/>
      </c>
      <c r="H1610" s="21">
        <f>IFERROR(INDEX(Users!$D$2:$D$310,MATCH(A1610,Users!$B$2:$B$310,0)),"")</f>
        <v/>
      </c>
      <c r="I1610" s="19">
        <f>AND(G1610="Service A",H1610="Band 3")</f>
        <v/>
      </c>
      <c r="J1610" s="33">
        <f>IF(AND(YEAR(B1610)=2025,G1610="Service B",OR(H1610="Band 3",H1610="Band 5"),ISNUMBER(F1610)),F1610,"")</f>
        <v/>
      </c>
    </row>
    <row r="1611">
      <c r="A1611" s="19" t="inlineStr">
        <is>
          <t>User1173</t>
        </is>
      </c>
      <c r="B1611" s="60" t="n">
        <v>45931</v>
      </c>
      <c r="C1611" s="21" t="n">
        <v>170.2</v>
      </c>
      <c r="D1611" s="21" t="n">
        <v>123.8033333333333</v>
      </c>
      <c r="E1611" s="21" t="n">
        <v>101.47</v>
      </c>
      <c r="F1611" s="27">
        <f>IFERROR(IF(OR(C1611="",D1611="",C1611=0),"",D1611/C1611),"")</f>
        <v/>
      </c>
      <c r="G1611" s="21">
        <f>IFERROR(INDEX(Users!$A$2:$A$310,MATCH(A1611,Users!$B$2:$B$310,0)),"")</f>
        <v/>
      </c>
      <c r="H1611" s="21">
        <f>IFERROR(INDEX(Users!$D$2:$D$310,MATCH(A1611,Users!$B$2:$B$310,0)),"")</f>
        <v/>
      </c>
      <c r="I1611" s="19">
        <f>AND(G1611="Service A",H1611="Band 3")</f>
        <v/>
      </c>
      <c r="J1611" s="33">
        <f>IF(AND(YEAR(B1611)=2025,G1611="Service B",OR(H1611="Band 3",H1611="Band 5"),ISNUMBER(F1611)),F1611,"")</f>
        <v/>
      </c>
    </row>
    <row r="1612">
      <c r="A1612" s="19" t="inlineStr">
        <is>
          <t>User1173</t>
        </is>
      </c>
      <c r="B1612" s="60" t="n">
        <v>45962</v>
      </c>
      <c r="C1612" s="21" t="n">
        <v>148</v>
      </c>
      <c r="D1612" s="21" t="n">
        <v>126.82</v>
      </c>
      <c r="E1612" s="21" t="n">
        <v>94.56999999999999</v>
      </c>
      <c r="F1612" s="27">
        <f>IFERROR(IF(OR(C1612="",D1612="",C1612=0),"",D1612/C1612),"")</f>
        <v/>
      </c>
      <c r="G1612" s="21">
        <f>IFERROR(INDEX(Users!$A$2:$A$310,MATCH(A1612,Users!$B$2:$B$310,0)),"")</f>
        <v/>
      </c>
      <c r="H1612" s="21">
        <f>IFERROR(INDEX(Users!$D$2:$D$310,MATCH(A1612,Users!$B$2:$B$310,0)),"")</f>
        <v/>
      </c>
      <c r="I1612" s="19">
        <f>AND(G1612="Service A",H1612="Band 3")</f>
        <v/>
      </c>
      <c r="J1612" s="33">
        <f>IF(AND(YEAR(B1612)=2025,G1612="Service B",OR(H1612="Band 3",H1612="Band 5"),ISNUMBER(F1612)),F1612,"")</f>
        <v/>
      </c>
    </row>
    <row r="1613">
      <c r="A1613" s="19" t="inlineStr">
        <is>
          <t>User1173</t>
        </is>
      </c>
      <c r="B1613" s="60" t="n">
        <v>45992</v>
      </c>
      <c r="C1613" s="21" t="n">
        <v>155.4</v>
      </c>
      <c r="D1613" s="21" t="n">
        <v>140.9266666666667</v>
      </c>
      <c r="E1613" s="21" t="n">
        <v>90.01000000000001</v>
      </c>
      <c r="F1613" s="27">
        <f>IFERROR(IF(OR(C1613="",D1613="",C1613=0),"",D1613/C1613),"")</f>
        <v/>
      </c>
      <c r="G1613" s="21">
        <f>IFERROR(INDEX(Users!$A$2:$A$310,MATCH(A1613,Users!$B$2:$B$310,0)),"")</f>
        <v/>
      </c>
      <c r="H1613" s="21">
        <f>IFERROR(INDEX(Users!$D$2:$D$310,MATCH(A1613,Users!$B$2:$B$310,0)),"")</f>
        <v/>
      </c>
      <c r="I1613" s="19">
        <f>AND(G1613="Service A",H1613="Band 3")</f>
        <v/>
      </c>
      <c r="J1613" s="33">
        <f>IF(AND(YEAR(B1613)=2025,G1613="Service B",OR(H1613="Band 3",H1613="Band 5"),ISNUMBER(F1613)),F1613,"")</f>
        <v/>
      </c>
    </row>
    <row r="1614">
      <c r="A1614" s="19" t="inlineStr">
        <is>
          <t>User1173</t>
        </is>
      </c>
      <c r="B1614" s="60" t="n">
        <v>46023</v>
      </c>
      <c r="C1614" s="21" t="n">
        <v>155.4</v>
      </c>
      <c r="D1614" s="21" t="n">
        <v>33.73666666666666</v>
      </c>
      <c r="E1614" s="21" t="n">
        <v>13.82</v>
      </c>
      <c r="F1614" s="27">
        <f>IFERROR(IF(OR(C1614="",D1614="",C1614=0),"",D1614/C1614),"")</f>
        <v/>
      </c>
      <c r="G1614" s="21">
        <f>IFERROR(INDEX(Users!$A$2:$A$310,MATCH(A1614,Users!$B$2:$B$310,0)),"")</f>
        <v/>
      </c>
      <c r="H1614" s="21">
        <f>IFERROR(INDEX(Users!$D$2:$D$310,MATCH(A1614,Users!$B$2:$B$310,0)),"")</f>
        <v/>
      </c>
      <c r="I1614" s="19">
        <f>AND(G1614="Service A",H1614="Band 3")</f>
        <v/>
      </c>
      <c r="J1614" s="33">
        <f>IF(AND(YEAR(B1614)=2025,G1614="Service B",OR(H1614="Band 3",H1614="Band 5"),ISNUMBER(F1614)),F1614,"")</f>
        <v/>
      </c>
    </row>
    <row r="1615">
      <c r="A1615" s="19" t="inlineStr">
        <is>
          <t>User1174</t>
        </is>
      </c>
      <c r="B1615" s="60" t="n">
        <v>45658</v>
      </c>
      <c r="C1615" s="21" t="n">
        <v>162.8</v>
      </c>
      <c r="D1615" s="21" t="n">
        <v>134.8333333333333</v>
      </c>
      <c r="E1615" s="21" t="n">
        <v>98.75</v>
      </c>
      <c r="F1615" s="27">
        <f>IFERROR(IF(OR(C1615="",D1615="",C1615=0),"",D1615/C1615),"")</f>
        <v/>
      </c>
      <c r="G1615" s="21">
        <f>IFERROR(INDEX(Users!$A$2:$A$310,MATCH(A1615,Users!$B$2:$B$310,0)),"")</f>
        <v/>
      </c>
      <c r="H1615" s="21">
        <f>IFERROR(INDEX(Users!$D$2:$D$310,MATCH(A1615,Users!$B$2:$B$310,0)),"")</f>
        <v/>
      </c>
      <c r="I1615" s="19">
        <f>AND(G1615="Service A",H1615="Band 3")</f>
        <v/>
      </c>
      <c r="J1615" s="33">
        <f>IF(AND(YEAR(B1615)=2025,G1615="Service B",OR(H1615="Band 3",H1615="Band 5"),ISNUMBER(F1615)),F1615,"")</f>
        <v/>
      </c>
    </row>
    <row r="1616">
      <c r="A1616" s="19" t="inlineStr">
        <is>
          <t>User1174</t>
        </is>
      </c>
      <c r="B1616" s="60" t="n">
        <v>45689</v>
      </c>
      <c r="C1616" s="21" t="n">
        <v>148</v>
      </c>
      <c r="D1616" s="21" t="n">
        <v>128.75</v>
      </c>
      <c r="E1616" s="21" t="n">
        <v>92.75</v>
      </c>
      <c r="F1616" s="27">
        <f>IFERROR(IF(OR(C1616="",D1616="",C1616=0),"",D1616/C1616),"")</f>
        <v/>
      </c>
      <c r="G1616" s="21">
        <f>IFERROR(INDEX(Users!$A$2:$A$310,MATCH(A1616,Users!$B$2:$B$310,0)),"")</f>
        <v/>
      </c>
      <c r="H1616" s="21">
        <f>IFERROR(INDEX(Users!$D$2:$D$310,MATCH(A1616,Users!$B$2:$B$310,0)),"")</f>
        <v/>
      </c>
      <c r="I1616" s="19">
        <f>AND(G1616="Service A",H1616="Band 3")</f>
        <v/>
      </c>
      <c r="J1616" s="33">
        <f>IF(AND(YEAR(B1616)=2025,G1616="Service B",OR(H1616="Band 3",H1616="Band 5"),ISNUMBER(F1616)),F1616,"")</f>
        <v/>
      </c>
    </row>
    <row r="1617">
      <c r="A1617" s="19" t="inlineStr">
        <is>
          <t>User1174</t>
        </is>
      </c>
      <c r="B1617" s="60" t="n">
        <v>45717</v>
      </c>
      <c r="C1617" s="21" t="n">
        <v>155.4</v>
      </c>
      <c r="D1617" s="21" t="n">
        <v>128.6633333333333</v>
      </c>
      <c r="E1617" s="21" t="n">
        <v>99.08</v>
      </c>
      <c r="F1617" s="27">
        <f>IFERROR(IF(OR(C1617="",D1617="",C1617=0),"",D1617/C1617),"")</f>
        <v/>
      </c>
      <c r="G1617" s="21">
        <f>IFERROR(INDEX(Users!$A$2:$A$310,MATCH(A1617,Users!$B$2:$B$310,0)),"")</f>
        <v/>
      </c>
      <c r="H1617" s="21">
        <f>IFERROR(INDEX(Users!$D$2:$D$310,MATCH(A1617,Users!$B$2:$B$310,0)),"")</f>
        <v/>
      </c>
      <c r="I1617" s="19">
        <f>AND(G1617="Service A",H1617="Band 3")</f>
        <v/>
      </c>
      <c r="J1617" s="33">
        <f>IF(AND(YEAR(B1617)=2025,G1617="Service B",OR(H1617="Band 3",H1617="Band 5"),ISNUMBER(F1617)),F1617,"")</f>
        <v/>
      </c>
    </row>
    <row r="1618">
      <c r="A1618" s="19" t="inlineStr">
        <is>
          <t>User1174</t>
        </is>
      </c>
      <c r="B1618" s="60" t="n">
        <v>45748</v>
      </c>
      <c r="C1618" s="21" t="n">
        <v>148</v>
      </c>
      <c r="D1618" s="21" t="n">
        <v>83.83666666666667</v>
      </c>
      <c r="E1618" s="21" t="n">
        <v>40.17</v>
      </c>
      <c r="F1618" s="27">
        <f>IFERROR(IF(OR(C1618="",D1618="",C1618=0),"",D1618/C1618),"")</f>
        <v/>
      </c>
      <c r="G1618" s="21">
        <f>IFERROR(INDEX(Users!$A$2:$A$310,MATCH(A1618,Users!$B$2:$B$310,0)),"")</f>
        <v/>
      </c>
      <c r="H1618" s="21">
        <f>IFERROR(INDEX(Users!$D$2:$D$310,MATCH(A1618,Users!$B$2:$B$310,0)),"")</f>
        <v/>
      </c>
      <c r="I1618" s="19">
        <f>AND(G1618="Service A",H1618="Band 3")</f>
        <v/>
      </c>
      <c r="J1618" s="33">
        <f>IF(AND(YEAR(B1618)=2025,G1618="Service B",OR(H1618="Band 3",H1618="Band 5"),ISNUMBER(F1618)),F1618,"")</f>
        <v/>
      </c>
    </row>
    <row r="1619">
      <c r="A1619" s="19" t="inlineStr">
        <is>
          <t>User1174</t>
        </is>
      </c>
      <c r="B1619" s="60" t="n">
        <v>45778</v>
      </c>
      <c r="C1619" s="21" t="n">
        <v>148</v>
      </c>
      <c r="D1619" s="21" t="n">
        <v>10</v>
      </c>
      <c r="E1619" s="21" t="n">
        <v>3.25</v>
      </c>
      <c r="F1619" s="27">
        <f>IFERROR(IF(OR(C1619="",D1619="",C1619=0),"",D1619/C1619),"")</f>
        <v/>
      </c>
      <c r="G1619" s="21">
        <f>IFERROR(INDEX(Users!$A$2:$A$310,MATCH(A1619,Users!$B$2:$B$310,0)),"")</f>
        <v/>
      </c>
      <c r="H1619" s="21">
        <f>IFERROR(INDEX(Users!$D$2:$D$310,MATCH(A1619,Users!$B$2:$B$310,0)),"")</f>
        <v/>
      </c>
      <c r="I1619" s="19">
        <f>AND(G1619="Service A",H1619="Band 3")</f>
        <v/>
      </c>
      <c r="J1619" s="33">
        <f>IF(AND(YEAR(B1619)=2025,G1619="Service B",OR(H1619="Band 3",H1619="Band 5"),ISNUMBER(F1619)),F1619,"")</f>
        <v/>
      </c>
    </row>
    <row r="1620">
      <c r="A1620" s="19" t="inlineStr">
        <is>
          <t>User1174</t>
        </is>
      </c>
      <c r="B1620" s="60" t="n">
        <v>45809</v>
      </c>
      <c r="C1620" s="21" t="n">
        <v>155.4</v>
      </c>
      <c r="D1620" s="21" t="n"/>
      <c r="E1620" s="21" t="n"/>
      <c r="F1620" s="27">
        <f>IFERROR(IF(OR(C1620="",D1620="",C1620=0),"",D1620/C1620),"")</f>
        <v/>
      </c>
      <c r="G1620" s="21">
        <f>IFERROR(INDEX(Users!$A$2:$A$310,MATCH(A1620,Users!$B$2:$B$310,0)),"")</f>
        <v/>
      </c>
      <c r="H1620" s="21">
        <f>IFERROR(INDEX(Users!$D$2:$D$310,MATCH(A1620,Users!$B$2:$B$310,0)),"")</f>
        <v/>
      </c>
      <c r="I1620" s="19">
        <f>AND(G1620="Service A",H1620="Band 3")</f>
        <v/>
      </c>
      <c r="J1620" s="33">
        <f>IF(AND(YEAR(B1620)=2025,G1620="Service B",OR(H1620="Band 3",H1620="Band 5"),ISNUMBER(F1620)),F1620,"")</f>
        <v/>
      </c>
    </row>
    <row r="1621">
      <c r="A1621" s="19" t="inlineStr">
        <is>
          <t>User1174</t>
        </is>
      </c>
      <c r="B1621" s="60" t="n">
        <v>45839</v>
      </c>
      <c r="C1621" s="21" t="n">
        <v>170.2</v>
      </c>
      <c r="D1621" s="21" t="n"/>
      <c r="E1621" s="21" t="n"/>
      <c r="F1621" s="27">
        <f>IFERROR(IF(OR(C1621="",D1621="",C1621=0),"",D1621/C1621),"")</f>
        <v/>
      </c>
      <c r="G1621" s="21">
        <f>IFERROR(INDEX(Users!$A$2:$A$310,MATCH(A1621,Users!$B$2:$B$310,0)),"")</f>
        <v/>
      </c>
      <c r="H1621" s="21">
        <f>IFERROR(INDEX(Users!$D$2:$D$310,MATCH(A1621,Users!$B$2:$B$310,0)),"")</f>
        <v/>
      </c>
      <c r="I1621" s="19">
        <f>AND(G1621="Service A",H1621="Band 3")</f>
        <v/>
      </c>
      <c r="J1621" s="33">
        <f>IF(AND(YEAR(B1621)=2025,G1621="Service B",OR(H1621="Band 3",H1621="Band 5"),ISNUMBER(F1621)),F1621,"")</f>
        <v/>
      </c>
    </row>
    <row r="1622">
      <c r="A1622" s="19" t="inlineStr">
        <is>
          <t>User1174</t>
        </is>
      </c>
      <c r="B1622" s="60" t="n">
        <v>45870</v>
      </c>
      <c r="C1622" s="21" t="n">
        <v>148</v>
      </c>
      <c r="D1622" s="21" t="n"/>
      <c r="E1622" s="21" t="n"/>
      <c r="F1622" s="27">
        <f>IFERROR(IF(OR(C1622="",D1622="",C1622=0),"",D1622/C1622),"")</f>
        <v/>
      </c>
      <c r="G1622" s="21">
        <f>IFERROR(INDEX(Users!$A$2:$A$310,MATCH(A1622,Users!$B$2:$B$310,0)),"")</f>
        <v/>
      </c>
      <c r="H1622" s="21">
        <f>IFERROR(INDEX(Users!$D$2:$D$310,MATCH(A1622,Users!$B$2:$B$310,0)),"")</f>
        <v/>
      </c>
      <c r="I1622" s="19">
        <f>AND(G1622="Service A",H1622="Band 3")</f>
        <v/>
      </c>
      <c r="J1622" s="33">
        <f>IF(AND(YEAR(B1622)=2025,G1622="Service B",OR(H1622="Band 3",H1622="Band 5"),ISNUMBER(F1622)),F1622,"")</f>
        <v/>
      </c>
    </row>
    <row r="1623">
      <c r="A1623" s="19" t="inlineStr">
        <is>
          <t>User1174</t>
        </is>
      </c>
      <c r="B1623" s="60" t="n">
        <v>45901</v>
      </c>
      <c r="C1623" s="21" t="n">
        <v>162.8</v>
      </c>
      <c r="D1623" s="21" t="n"/>
      <c r="E1623" s="21" t="n"/>
      <c r="F1623" s="27">
        <f>IFERROR(IF(OR(C1623="",D1623="",C1623=0),"",D1623/C1623),"")</f>
        <v/>
      </c>
      <c r="G1623" s="21">
        <f>IFERROR(INDEX(Users!$A$2:$A$310,MATCH(A1623,Users!$B$2:$B$310,0)),"")</f>
        <v/>
      </c>
      <c r="H1623" s="21">
        <f>IFERROR(INDEX(Users!$D$2:$D$310,MATCH(A1623,Users!$B$2:$B$310,0)),"")</f>
        <v/>
      </c>
      <c r="I1623" s="19">
        <f>AND(G1623="Service A",H1623="Band 3")</f>
        <v/>
      </c>
      <c r="J1623" s="33">
        <f>IF(AND(YEAR(B1623)=2025,G1623="Service B",OR(H1623="Band 3",H1623="Band 5"),ISNUMBER(F1623)),F1623,"")</f>
        <v/>
      </c>
    </row>
    <row r="1624">
      <c r="A1624" s="19" t="inlineStr">
        <is>
          <t>User1174</t>
        </is>
      </c>
      <c r="B1624" s="60" t="n">
        <v>45931</v>
      </c>
      <c r="C1624" s="21" t="n">
        <v>103.6</v>
      </c>
      <c r="D1624" s="21" t="n"/>
      <c r="E1624" s="21" t="n"/>
      <c r="F1624" s="27">
        <f>IFERROR(IF(OR(C1624="",D1624="",C1624=0),"",D1624/C1624),"")</f>
        <v/>
      </c>
      <c r="G1624" s="21">
        <f>IFERROR(INDEX(Users!$A$2:$A$310,MATCH(A1624,Users!$B$2:$B$310,0)),"")</f>
        <v/>
      </c>
      <c r="H1624" s="21">
        <f>IFERROR(INDEX(Users!$D$2:$D$310,MATCH(A1624,Users!$B$2:$B$310,0)),"")</f>
        <v/>
      </c>
      <c r="I1624" s="19">
        <f>AND(G1624="Service A",H1624="Band 3")</f>
        <v/>
      </c>
      <c r="J1624" s="33">
        <f>IF(AND(YEAR(B1624)=2025,G1624="Service B",OR(H1624="Band 3",H1624="Band 5"),ISNUMBER(F1624)),F1624,"")</f>
        <v/>
      </c>
    </row>
    <row r="1625">
      <c r="A1625" s="19" t="inlineStr">
        <is>
          <t>User1175</t>
        </is>
      </c>
      <c r="B1625" s="60" t="n">
        <v>45658</v>
      </c>
      <c r="C1625" s="21" t="n">
        <v>162.8</v>
      </c>
      <c r="D1625" s="21" t="n">
        <v>148.47</v>
      </c>
      <c r="E1625" s="21" t="n">
        <v>32.97</v>
      </c>
      <c r="F1625" s="27">
        <f>IFERROR(IF(OR(C1625="",D1625="",C1625=0),"",D1625/C1625),"")</f>
        <v/>
      </c>
      <c r="G1625" s="21">
        <f>IFERROR(INDEX(Users!$A$2:$A$310,MATCH(A1625,Users!$B$2:$B$310,0)),"")</f>
        <v/>
      </c>
      <c r="H1625" s="21">
        <f>IFERROR(INDEX(Users!$D$2:$D$310,MATCH(A1625,Users!$B$2:$B$310,0)),"")</f>
        <v/>
      </c>
      <c r="I1625" s="19">
        <f>AND(G1625="Service A",H1625="Band 3")</f>
        <v/>
      </c>
      <c r="J1625" s="33">
        <f>IF(AND(YEAR(B1625)=2025,G1625="Service B",OR(H1625="Band 3",H1625="Band 5"),ISNUMBER(F1625)),F1625,"")</f>
        <v/>
      </c>
    </row>
    <row r="1626">
      <c r="A1626" s="19" t="inlineStr">
        <is>
          <t>User1175</t>
        </is>
      </c>
      <c r="B1626" s="60" t="n">
        <v>45689</v>
      </c>
      <c r="C1626" s="21" t="n">
        <v>148</v>
      </c>
      <c r="D1626" s="21" t="n">
        <v>145</v>
      </c>
      <c r="E1626" s="21" t="n">
        <v>32.5</v>
      </c>
      <c r="F1626" s="27">
        <f>IFERROR(IF(OR(C1626="",D1626="",C1626=0),"",D1626/C1626),"")</f>
        <v/>
      </c>
      <c r="G1626" s="21">
        <f>IFERROR(INDEX(Users!$A$2:$A$310,MATCH(A1626,Users!$B$2:$B$310,0)),"")</f>
        <v/>
      </c>
      <c r="H1626" s="21">
        <f>IFERROR(INDEX(Users!$D$2:$D$310,MATCH(A1626,Users!$B$2:$B$310,0)),"")</f>
        <v/>
      </c>
      <c r="I1626" s="19">
        <f>AND(G1626="Service A",H1626="Band 3")</f>
        <v/>
      </c>
      <c r="J1626" s="33">
        <f>IF(AND(YEAR(B1626)=2025,G1626="Service B",OR(H1626="Band 3",H1626="Band 5"),ISNUMBER(F1626)),F1626,"")</f>
        <v/>
      </c>
    </row>
    <row r="1627">
      <c r="A1627" s="19" t="inlineStr">
        <is>
          <t>User1175</t>
        </is>
      </c>
      <c r="B1627" s="60" t="n">
        <v>45717</v>
      </c>
      <c r="C1627" s="21" t="n">
        <v>155.4</v>
      </c>
      <c r="D1627" s="21" t="n">
        <v>152</v>
      </c>
      <c r="E1627" s="21" t="n">
        <v>61.5</v>
      </c>
      <c r="F1627" s="27">
        <f>IFERROR(IF(OR(C1627="",D1627="",C1627=0),"",D1627/C1627),"")</f>
        <v/>
      </c>
      <c r="G1627" s="21">
        <f>IFERROR(INDEX(Users!$A$2:$A$310,MATCH(A1627,Users!$B$2:$B$310,0)),"")</f>
        <v/>
      </c>
      <c r="H1627" s="21">
        <f>IFERROR(INDEX(Users!$D$2:$D$310,MATCH(A1627,Users!$B$2:$B$310,0)),"")</f>
        <v/>
      </c>
      <c r="I1627" s="19">
        <f>AND(G1627="Service A",H1627="Band 3")</f>
        <v/>
      </c>
      <c r="J1627" s="33">
        <f>IF(AND(YEAR(B1627)=2025,G1627="Service B",OR(H1627="Band 3",H1627="Band 5"),ISNUMBER(F1627)),F1627,"")</f>
        <v/>
      </c>
    </row>
    <row r="1628">
      <c r="A1628" s="19" t="inlineStr">
        <is>
          <t>User1175</t>
        </is>
      </c>
      <c r="B1628" s="60" t="n">
        <v>45748</v>
      </c>
      <c r="C1628" s="21" t="n">
        <v>148</v>
      </c>
      <c r="D1628" s="21" t="n">
        <v>148.08</v>
      </c>
      <c r="E1628" s="21" t="n">
        <v>74.58</v>
      </c>
      <c r="F1628" s="27">
        <f>IFERROR(IF(OR(C1628="",D1628="",C1628=0),"",D1628/C1628),"")</f>
        <v/>
      </c>
      <c r="G1628" s="21">
        <f>IFERROR(INDEX(Users!$A$2:$A$310,MATCH(A1628,Users!$B$2:$B$310,0)),"")</f>
        <v/>
      </c>
      <c r="H1628" s="21">
        <f>IFERROR(INDEX(Users!$D$2:$D$310,MATCH(A1628,Users!$B$2:$B$310,0)),"")</f>
        <v/>
      </c>
      <c r="I1628" s="19">
        <f>AND(G1628="Service A",H1628="Band 3")</f>
        <v/>
      </c>
      <c r="J1628" s="33">
        <f>IF(AND(YEAR(B1628)=2025,G1628="Service B",OR(H1628="Band 3",H1628="Band 5"),ISNUMBER(F1628)),F1628,"")</f>
        <v/>
      </c>
    </row>
    <row r="1629">
      <c r="A1629" s="19" t="inlineStr">
        <is>
          <t>User1175</t>
        </is>
      </c>
      <c r="B1629" s="60" t="n">
        <v>45778</v>
      </c>
      <c r="C1629" s="21" t="n">
        <v>148</v>
      </c>
      <c r="D1629" s="21" t="n">
        <v>111.75</v>
      </c>
      <c r="E1629" s="21" t="n">
        <v>41.25</v>
      </c>
      <c r="F1629" s="27">
        <f>IFERROR(IF(OR(C1629="",D1629="",C1629=0),"",D1629/C1629),"")</f>
        <v/>
      </c>
      <c r="G1629" s="21">
        <f>IFERROR(INDEX(Users!$A$2:$A$310,MATCH(A1629,Users!$B$2:$B$310,0)),"")</f>
        <v/>
      </c>
      <c r="H1629" s="21">
        <f>IFERROR(INDEX(Users!$D$2:$D$310,MATCH(A1629,Users!$B$2:$B$310,0)),"")</f>
        <v/>
      </c>
      <c r="I1629" s="19">
        <f>AND(G1629="Service A",H1629="Band 3")</f>
        <v/>
      </c>
      <c r="J1629" s="33">
        <f>IF(AND(YEAR(B1629)=2025,G1629="Service B",OR(H1629="Band 3",H1629="Band 5"),ISNUMBER(F1629)),F1629,"")</f>
        <v/>
      </c>
    </row>
    <row r="1630">
      <c r="A1630" s="19" t="inlineStr">
        <is>
          <t>User1175</t>
        </is>
      </c>
      <c r="B1630" s="60" t="n">
        <v>45809</v>
      </c>
      <c r="C1630" s="21" t="n">
        <v>155.4</v>
      </c>
      <c r="D1630" s="21" t="n">
        <v>94.25</v>
      </c>
      <c r="E1630" s="21" t="n">
        <v>31.25</v>
      </c>
      <c r="F1630" s="27">
        <f>IFERROR(IF(OR(C1630="",D1630="",C1630=0),"",D1630/C1630),"")</f>
        <v/>
      </c>
      <c r="G1630" s="21">
        <f>IFERROR(INDEX(Users!$A$2:$A$310,MATCH(A1630,Users!$B$2:$B$310,0)),"")</f>
        <v/>
      </c>
      <c r="H1630" s="21">
        <f>IFERROR(INDEX(Users!$D$2:$D$310,MATCH(A1630,Users!$B$2:$B$310,0)),"")</f>
        <v/>
      </c>
      <c r="I1630" s="19">
        <f>AND(G1630="Service A",H1630="Band 3")</f>
        <v/>
      </c>
      <c r="J1630" s="33">
        <f>IF(AND(YEAR(B1630)=2025,G1630="Service B",OR(H1630="Band 3",H1630="Band 5"),ISNUMBER(F1630)),F1630,"")</f>
        <v/>
      </c>
    </row>
    <row r="1631">
      <c r="A1631" s="19" t="inlineStr">
        <is>
          <t>User1175</t>
        </is>
      </c>
      <c r="B1631" s="60" t="n">
        <v>45839</v>
      </c>
      <c r="C1631" s="21" t="n">
        <v>170.2</v>
      </c>
      <c r="D1631" s="21" t="n">
        <v>157.4966666666667</v>
      </c>
      <c r="E1631" s="21" t="n">
        <v>86.58</v>
      </c>
      <c r="F1631" s="27">
        <f>IFERROR(IF(OR(C1631="",D1631="",C1631=0),"",D1631/C1631),"")</f>
        <v/>
      </c>
      <c r="G1631" s="21">
        <f>IFERROR(INDEX(Users!$A$2:$A$310,MATCH(A1631,Users!$B$2:$B$310,0)),"")</f>
        <v/>
      </c>
      <c r="H1631" s="21">
        <f>IFERROR(INDEX(Users!$D$2:$D$310,MATCH(A1631,Users!$B$2:$B$310,0)),"")</f>
        <v/>
      </c>
      <c r="I1631" s="19">
        <f>AND(G1631="Service A",H1631="Band 3")</f>
        <v/>
      </c>
      <c r="J1631" s="33">
        <f>IF(AND(YEAR(B1631)=2025,G1631="Service B",OR(H1631="Band 3",H1631="Band 5"),ISNUMBER(F1631)),F1631,"")</f>
        <v/>
      </c>
    </row>
    <row r="1632">
      <c r="A1632" s="19" t="inlineStr">
        <is>
          <t>User1175</t>
        </is>
      </c>
      <c r="B1632" s="60" t="n">
        <v>45870</v>
      </c>
      <c r="C1632" s="21" t="n">
        <v>148</v>
      </c>
      <c r="D1632" s="21" t="n">
        <v>119</v>
      </c>
      <c r="E1632" s="21" t="n">
        <v>57</v>
      </c>
      <c r="F1632" s="27">
        <f>IFERROR(IF(OR(C1632="",D1632="",C1632=0),"",D1632/C1632),"")</f>
        <v/>
      </c>
      <c r="G1632" s="21">
        <f>IFERROR(INDEX(Users!$A$2:$A$310,MATCH(A1632,Users!$B$2:$B$310,0)),"")</f>
        <v/>
      </c>
      <c r="H1632" s="21">
        <f>IFERROR(INDEX(Users!$D$2:$D$310,MATCH(A1632,Users!$B$2:$B$310,0)),"")</f>
        <v/>
      </c>
      <c r="I1632" s="19">
        <f>AND(G1632="Service A",H1632="Band 3")</f>
        <v/>
      </c>
      <c r="J1632" s="33">
        <f>IF(AND(YEAR(B1632)=2025,G1632="Service B",OR(H1632="Band 3",H1632="Band 5"),ISNUMBER(F1632)),F1632,"")</f>
        <v/>
      </c>
    </row>
    <row r="1633">
      <c r="A1633" s="19" t="inlineStr">
        <is>
          <t>User1175</t>
        </is>
      </c>
      <c r="B1633" s="60" t="n">
        <v>45901</v>
      </c>
      <c r="C1633" s="21" t="n">
        <v>162.8</v>
      </c>
      <c r="D1633" s="21" t="n">
        <v>128.75</v>
      </c>
      <c r="E1633" s="21" t="n">
        <v>54</v>
      </c>
      <c r="F1633" s="27">
        <f>IFERROR(IF(OR(C1633="",D1633="",C1633=0),"",D1633/C1633),"")</f>
        <v/>
      </c>
      <c r="G1633" s="21">
        <f>IFERROR(INDEX(Users!$A$2:$A$310,MATCH(A1633,Users!$B$2:$B$310,0)),"")</f>
        <v/>
      </c>
      <c r="H1633" s="21">
        <f>IFERROR(INDEX(Users!$D$2:$D$310,MATCH(A1633,Users!$B$2:$B$310,0)),"")</f>
        <v/>
      </c>
      <c r="I1633" s="19">
        <f>AND(G1633="Service A",H1633="Band 3")</f>
        <v/>
      </c>
      <c r="J1633" s="33">
        <f>IF(AND(YEAR(B1633)=2025,G1633="Service B",OR(H1633="Band 3",H1633="Band 5"),ISNUMBER(F1633)),F1633,"")</f>
        <v/>
      </c>
    </row>
    <row r="1634">
      <c r="A1634" s="19" t="inlineStr">
        <is>
          <t>User1175</t>
        </is>
      </c>
      <c r="B1634" s="60" t="n">
        <v>45931</v>
      </c>
      <c r="C1634" s="21" t="n">
        <v>170.2</v>
      </c>
      <c r="D1634" s="21" t="n">
        <v>124</v>
      </c>
      <c r="E1634" s="21" t="n">
        <v>47</v>
      </c>
      <c r="F1634" s="27">
        <f>IFERROR(IF(OR(C1634="",D1634="",C1634=0),"",D1634/C1634),"")</f>
        <v/>
      </c>
      <c r="G1634" s="21">
        <f>IFERROR(INDEX(Users!$A$2:$A$310,MATCH(A1634,Users!$B$2:$B$310,0)),"")</f>
        <v/>
      </c>
      <c r="H1634" s="21">
        <f>IFERROR(INDEX(Users!$D$2:$D$310,MATCH(A1634,Users!$B$2:$B$310,0)),"")</f>
        <v/>
      </c>
      <c r="I1634" s="19">
        <f>AND(G1634="Service A",H1634="Band 3")</f>
        <v/>
      </c>
      <c r="J1634" s="33">
        <f>IF(AND(YEAR(B1634)=2025,G1634="Service B",OR(H1634="Band 3",H1634="Band 5"),ISNUMBER(F1634)),F1634,"")</f>
        <v/>
      </c>
    </row>
    <row r="1635">
      <c r="A1635" s="19" t="inlineStr">
        <is>
          <t>User1175</t>
        </is>
      </c>
      <c r="B1635" s="60" t="n">
        <v>45962</v>
      </c>
      <c r="C1635" s="21" t="n">
        <v>148</v>
      </c>
      <c r="D1635" s="21" t="n">
        <v>120.7533333333333</v>
      </c>
      <c r="E1635" s="21" t="n">
        <v>33.42</v>
      </c>
      <c r="F1635" s="27">
        <f>IFERROR(IF(OR(C1635="",D1635="",C1635=0),"",D1635/C1635),"")</f>
        <v/>
      </c>
      <c r="G1635" s="21">
        <f>IFERROR(INDEX(Users!$A$2:$A$310,MATCH(A1635,Users!$B$2:$B$310,0)),"")</f>
        <v/>
      </c>
      <c r="H1635" s="21">
        <f>IFERROR(INDEX(Users!$D$2:$D$310,MATCH(A1635,Users!$B$2:$B$310,0)),"")</f>
        <v/>
      </c>
      <c r="I1635" s="19">
        <f>AND(G1635="Service A",H1635="Band 3")</f>
        <v/>
      </c>
      <c r="J1635" s="33">
        <f>IF(AND(YEAR(B1635)=2025,G1635="Service B",OR(H1635="Band 3",H1635="Band 5"),ISNUMBER(F1635)),F1635,"")</f>
        <v/>
      </c>
    </row>
    <row r="1636">
      <c r="A1636" s="19" t="inlineStr">
        <is>
          <t>User1175</t>
        </is>
      </c>
      <c r="B1636" s="60" t="n">
        <v>45992</v>
      </c>
      <c r="C1636" s="21" t="n">
        <v>155.4</v>
      </c>
      <c r="D1636" s="21" t="n">
        <v>114</v>
      </c>
      <c r="E1636" s="21" t="n">
        <v>40</v>
      </c>
      <c r="F1636" s="27">
        <f>IFERROR(IF(OR(C1636="",D1636="",C1636=0),"",D1636/C1636),"")</f>
        <v/>
      </c>
      <c r="G1636" s="21">
        <f>IFERROR(INDEX(Users!$A$2:$A$310,MATCH(A1636,Users!$B$2:$B$310,0)),"")</f>
        <v/>
      </c>
      <c r="H1636" s="21">
        <f>IFERROR(INDEX(Users!$D$2:$D$310,MATCH(A1636,Users!$B$2:$B$310,0)),"")</f>
        <v/>
      </c>
      <c r="I1636" s="19">
        <f>AND(G1636="Service A",H1636="Band 3")</f>
        <v/>
      </c>
      <c r="J1636" s="33">
        <f>IF(AND(YEAR(B1636)=2025,G1636="Service B",OR(H1636="Band 3",H1636="Band 5"),ISNUMBER(F1636)),F1636,"")</f>
        <v/>
      </c>
    </row>
    <row r="1637">
      <c r="A1637" s="19" t="inlineStr">
        <is>
          <t>User1175</t>
        </is>
      </c>
      <c r="B1637" s="60" t="n">
        <v>46023</v>
      </c>
      <c r="C1637" s="21" t="n">
        <v>155.4</v>
      </c>
      <c r="D1637" s="21" t="n">
        <v>113.75</v>
      </c>
      <c r="E1637" s="21" t="n">
        <v>47.75</v>
      </c>
      <c r="F1637" s="27">
        <f>IFERROR(IF(OR(C1637="",D1637="",C1637=0),"",D1637/C1637),"")</f>
        <v/>
      </c>
      <c r="G1637" s="21">
        <f>IFERROR(INDEX(Users!$A$2:$A$310,MATCH(A1637,Users!$B$2:$B$310,0)),"")</f>
        <v/>
      </c>
      <c r="H1637" s="21">
        <f>IFERROR(INDEX(Users!$D$2:$D$310,MATCH(A1637,Users!$B$2:$B$310,0)),"")</f>
        <v/>
      </c>
      <c r="I1637" s="19">
        <f>AND(G1637="Service A",H1637="Band 3")</f>
        <v/>
      </c>
      <c r="J1637" s="33">
        <f>IF(AND(YEAR(B1637)=2025,G1637="Service B",OR(H1637="Band 3",H1637="Band 5"),ISNUMBER(F1637)),F1637,"")</f>
        <v/>
      </c>
    </row>
    <row r="1638">
      <c r="A1638" s="19" t="inlineStr">
        <is>
          <t>User1176</t>
        </is>
      </c>
      <c r="B1638" s="60" t="n">
        <v>45658</v>
      </c>
      <c r="C1638" s="21" t="n">
        <v>162.8</v>
      </c>
      <c r="D1638" s="21" t="n">
        <v>162.11</v>
      </c>
      <c r="E1638" s="21" t="n">
        <v>34.56</v>
      </c>
      <c r="F1638" s="27">
        <f>IFERROR(IF(OR(C1638="",D1638="",C1638=0),"",D1638/C1638),"")</f>
        <v/>
      </c>
      <c r="G1638" s="21">
        <f>IFERROR(INDEX(Users!$A$2:$A$310,MATCH(A1638,Users!$B$2:$B$310,0)),"")</f>
        <v/>
      </c>
      <c r="H1638" s="21">
        <f>IFERROR(INDEX(Users!$D$2:$D$310,MATCH(A1638,Users!$B$2:$B$310,0)),"")</f>
        <v/>
      </c>
      <c r="I1638" s="19">
        <f>AND(G1638="Service A",H1638="Band 3")</f>
        <v/>
      </c>
      <c r="J1638" s="33">
        <f>IF(AND(YEAR(B1638)=2025,G1638="Service B",OR(H1638="Band 3",H1638="Band 5"),ISNUMBER(F1638)),F1638,"")</f>
        <v/>
      </c>
    </row>
    <row r="1639">
      <c r="A1639" s="19" t="inlineStr">
        <is>
          <t>User1176</t>
        </is>
      </c>
      <c r="B1639" s="60" t="n">
        <v>45689</v>
      </c>
      <c r="C1639" s="21" t="n">
        <v>148</v>
      </c>
      <c r="D1639" s="21" t="n">
        <v>116.52</v>
      </c>
      <c r="E1639" s="21" t="n">
        <v>49.27000000000001</v>
      </c>
      <c r="F1639" s="27">
        <f>IFERROR(IF(OR(C1639="",D1639="",C1639=0),"",D1639/C1639),"")</f>
        <v/>
      </c>
      <c r="G1639" s="21">
        <f>IFERROR(INDEX(Users!$A$2:$A$310,MATCH(A1639,Users!$B$2:$B$310,0)),"")</f>
        <v/>
      </c>
      <c r="H1639" s="21">
        <f>IFERROR(INDEX(Users!$D$2:$D$310,MATCH(A1639,Users!$B$2:$B$310,0)),"")</f>
        <v/>
      </c>
      <c r="I1639" s="19">
        <f>AND(G1639="Service A",H1639="Band 3")</f>
        <v/>
      </c>
      <c r="J1639" s="33">
        <f>IF(AND(YEAR(B1639)=2025,G1639="Service B",OR(H1639="Band 3",H1639="Band 5"),ISNUMBER(F1639)),F1639,"")</f>
        <v/>
      </c>
    </row>
    <row r="1640">
      <c r="A1640" s="19" t="inlineStr">
        <is>
          <t>User1176</t>
        </is>
      </c>
      <c r="B1640" s="60" t="n">
        <v>45717</v>
      </c>
      <c r="C1640" s="21" t="n">
        <v>155.4</v>
      </c>
      <c r="D1640" s="21" t="n">
        <v>144.5666666666667</v>
      </c>
      <c r="E1640" s="21" t="n">
        <v>84.14999999999999</v>
      </c>
      <c r="F1640" s="27">
        <f>IFERROR(IF(OR(C1640="",D1640="",C1640=0),"",D1640/C1640),"")</f>
        <v/>
      </c>
      <c r="G1640" s="21">
        <f>IFERROR(INDEX(Users!$A$2:$A$310,MATCH(A1640,Users!$B$2:$B$310,0)),"")</f>
        <v/>
      </c>
      <c r="H1640" s="21">
        <f>IFERROR(INDEX(Users!$D$2:$D$310,MATCH(A1640,Users!$B$2:$B$310,0)),"")</f>
        <v/>
      </c>
      <c r="I1640" s="19">
        <f>AND(G1640="Service A",H1640="Band 3")</f>
        <v/>
      </c>
      <c r="J1640" s="33">
        <f>IF(AND(YEAR(B1640)=2025,G1640="Service B",OR(H1640="Band 3",H1640="Band 5"),ISNUMBER(F1640)),F1640,"")</f>
        <v/>
      </c>
    </row>
    <row r="1641">
      <c r="A1641" s="19" t="inlineStr">
        <is>
          <t>User1176</t>
        </is>
      </c>
      <c r="B1641" s="60" t="n">
        <v>45748</v>
      </c>
      <c r="C1641" s="21" t="n">
        <v>148</v>
      </c>
      <c r="D1641" s="21" t="n">
        <v>135.6433333333333</v>
      </c>
      <c r="E1641" s="21" t="n">
        <v>92.06000000000002</v>
      </c>
      <c r="F1641" s="27">
        <f>IFERROR(IF(OR(C1641="",D1641="",C1641=0),"",D1641/C1641),"")</f>
        <v/>
      </c>
      <c r="G1641" s="21">
        <f>IFERROR(INDEX(Users!$A$2:$A$310,MATCH(A1641,Users!$B$2:$B$310,0)),"")</f>
        <v/>
      </c>
      <c r="H1641" s="21">
        <f>IFERROR(INDEX(Users!$D$2:$D$310,MATCH(A1641,Users!$B$2:$B$310,0)),"")</f>
        <v/>
      </c>
      <c r="I1641" s="19">
        <f>AND(G1641="Service A",H1641="Band 3")</f>
        <v/>
      </c>
      <c r="J1641" s="33">
        <f>IF(AND(YEAR(B1641)=2025,G1641="Service B",OR(H1641="Band 3",H1641="Band 5"),ISNUMBER(F1641)),F1641,"")</f>
        <v/>
      </c>
    </row>
    <row r="1642">
      <c r="A1642" s="19" t="inlineStr">
        <is>
          <t>User1176</t>
        </is>
      </c>
      <c r="B1642" s="60" t="n">
        <v>45778</v>
      </c>
      <c r="C1642" s="21" t="n">
        <v>148</v>
      </c>
      <c r="D1642" s="21" t="n">
        <v>116.8166666666667</v>
      </c>
      <c r="E1642" s="21" t="n">
        <v>78.14999999999999</v>
      </c>
      <c r="F1642" s="27">
        <f>IFERROR(IF(OR(C1642="",D1642="",C1642=0),"",D1642/C1642),"")</f>
        <v/>
      </c>
      <c r="G1642" s="21">
        <f>IFERROR(INDEX(Users!$A$2:$A$310,MATCH(A1642,Users!$B$2:$B$310,0)),"")</f>
        <v/>
      </c>
      <c r="H1642" s="21">
        <f>IFERROR(INDEX(Users!$D$2:$D$310,MATCH(A1642,Users!$B$2:$B$310,0)),"")</f>
        <v/>
      </c>
      <c r="I1642" s="19">
        <f>AND(G1642="Service A",H1642="Band 3")</f>
        <v/>
      </c>
      <c r="J1642" s="33">
        <f>IF(AND(YEAR(B1642)=2025,G1642="Service B",OR(H1642="Band 3",H1642="Band 5"),ISNUMBER(F1642)),F1642,"")</f>
        <v/>
      </c>
    </row>
    <row r="1643">
      <c r="A1643" s="19" t="inlineStr">
        <is>
          <t>User1176</t>
        </is>
      </c>
      <c r="B1643" s="60" t="n">
        <v>45809</v>
      </c>
      <c r="C1643" s="21" t="n">
        <v>155.4</v>
      </c>
      <c r="D1643" s="21" t="n">
        <v>122.0433333333334</v>
      </c>
      <c r="E1643" s="21" t="n">
        <v>88.21000000000005</v>
      </c>
      <c r="F1643" s="27">
        <f>IFERROR(IF(OR(C1643="",D1643="",C1643=0),"",D1643/C1643),"")</f>
        <v/>
      </c>
      <c r="G1643" s="21">
        <f>IFERROR(INDEX(Users!$A$2:$A$310,MATCH(A1643,Users!$B$2:$B$310,0)),"")</f>
        <v/>
      </c>
      <c r="H1643" s="21">
        <f>IFERROR(INDEX(Users!$D$2:$D$310,MATCH(A1643,Users!$B$2:$B$310,0)),"")</f>
        <v/>
      </c>
      <c r="I1643" s="19">
        <f>AND(G1643="Service A",H1643="Band 3")</f>
        <v/>
      </c>
      <c r="J1643" s="33">
        <f>IF(AND(YEAR(B1643)=2025,G1643="Service B",OR(H1643="Band 3",H1643="Band 5"),ISNUMBER(F1643)),F1643,"")</f>
        <v/>
      </c>
    </row>
    <row r="1644">
      <c r="A1644" s="19" t="inlineStr">
        <is>
          <t>User1176</t>
        </is>
      </c>
      <c r="B1644" s="60" t="n">
        <v>45839</v>
      </c>
      <c r="C1644" s="21" t="n">
        <v>170.2</v>
      </c>
      <c r="D1644" s="21" t="n">
        <v>175.4400000000001</v>
      </c>
      <c r="E1644" s="21" t="n">
        <v>128.6900000000001</v>
      </c>
      <c r="F1644" s="27">
        <f>IFERROR(IF(OR(C1644="",D1644="",C1644=0),"",D1644/C1644),"")</f>
        <v/>
      </c>
      <c r="G1644" s="21">
        <f>IFERROR(INDEX(Users!$A$2:$A$310,MATCH(A1644,Users!$B$2:$B$310,0)),"")</f>
        <v/>
      </c>
      <c r="H1644" s="21">
        <f>IFERROR(INDEX(Users!$D$2:$D$310,MATCH(A1644,Users!$B$2:$B$310,0)),"")</f>
        <v/>
      </c>
      <c r="I1644" s="19">
        <f>AND(G1644="Service A",H1644="Band 3")</f>
        <v/>
      </c>
      <c r="J1644" s="33">
        <f>IF(AND(YEAR(B1644)=2025,G1644="Service B",OR(H1644="Band 3",H1644="Band 5"),ISNUMBER(F1644)),F1644,"")</f>
        <v/>
      </c>
    </row>
    <row r="1645">
      <c r="A1645" s="19" t="inlineStr">
        <is>
          <t>User1176</t>
        </is>
      </c>
      <c r="B1645" s="60" t="n">
        <v>45870</v>
      </c>
      <c r="C1645" s="21" t="n">
        <v>148</v>
      </c>
      <c r="D1645" s="21" t="n">
        <v>129.84</v>
      </c>
      <c r="E1645" s="21" t="n">
        <v>97.09000000000002</v>
      </c>
      <c r="F1645" s="27">
        <f>IFERROR(IF(OR(C1645="",D1645="",C1645=0),"",D1645/C1645),"")</f>
        <v/>
      </c>
      <c r="G1645" s="21">
        <f>IFERROR(INDEX(Users!$A$2:$A$310,MATCH(A1645,Users!$B$2:$B$310,0)),"")</f>
        <v/>
      </c>
      <c r="H1645" s="21">
        <f>IFERROR(INDEX(Users!$D$2:$D$310,MATCH(A1645,Users!$B$2:$B$310,0)),"")</f>
        <v/>
      </c>
      <c r="I1645" s="19">
        <f>AND(G1645="Service A",H1645="Band 3")</f>
        <v/>
      </c>
      <c r="J1645" s="33">
        <f>IF(AND(YEAR(B1645)=2025,G1645="Service B",OR(H1645="Band 3",H1645="Band 5"),ISNUMBER(F1645)),F1645,"")</f>
        <v/>
      </c>
    </row>
    <row r="1646">
      <c r="A1646" s="19" t="inlineStr">
        <is>
          <t>User1176</t>
        </is>
      </c>
      <c r="B1646" s="60" t="n">
        <v>45901</v>
      </c>
      <c r="C1646" s="21" t="n">
        <v>162.8</v>
      </c>
      <c r="D1646" s="21" t="n">
        <v>179.26</v>
      </c>
      <c r="E1646" s="21" t="n">
        <v>141.01</v>
      </c>
      <c r="F1646" s="27">
        <f>IFERROR(IF(OR(C1646="",D1646="",C1646=0),"",D1646/C1646),"")</f>
        <v/>
      </c>
      <c r="G1646" s="21">
        <f>IFERROR(INDEX(Users!$A$2:$A$310,MATCH(A1646,Users!$B$2:$B$310,0)),"")</f>
        <v/>
      </c>
      <c r="H1646" s="21">
        <f>IFERROR(INDEX(Users!$D$2:$D$310,MATCH(A1646,Users!$B$2:$B$310,0)),"")</f>
        <v/>
      </c>
      <c r="I1646" s="19">
        <f>AND(G1646="Service A",H1646="Band 3")</f>
        <v/>
      </c>
      <c r="J1646" s="33">
        <f>IF(AND(YEAR(B1646)=2025,G1646="Service B",OR(H1646="Band 3",H1646="Band 5"),ISNUMBER(F1646)),F1646,"")</f>
        <v/>
      </c>
    </row>
    <row r="1647">
      <c r="A1647" s="19" t="inlineStr">
        <is>
          <t>User1176</t>
        </is>
      </c>
      <c r="B1647" s="60" t="n">
        <v>45931</v>
      </c>
      <c r="C1647" s="21" t="n">
        <v>170.2</v>
      </c>
      <c r="D1647" s="21" t="n">
        <v>144.1233333333334</v>
      </c>
      <c r="E1647" s="21" t="n">
        <v>108.29</v>
      </c>
      <c r="F1647" s="27">
        <f>IFERROR(IF(OR(C1647="",D1647="",C1647=0),"",D1647/C1647),"")</f>
        <v/>
      </c>
      <c r="G1647" s="21">
        <f>IFERROR(INDEX(Users!$A$2:$A$310,MATCH(A1647,Users!$B$2:$B$310,0)),"")</f>
        <v/>
      </c>
      <c r="H1647" s="21">
        <f>IFERROR(INDEX(Users!$D$2:$D$310,MATCH(A1647,Users!$B$2:$B$310,0)),"")</f>
        <v/>
      </c>
      <c r="I1647" s="19">
        <f>AND(G1647="Service A",H1647="Band 3")</f>
        <v/>
      </c>
      <c r="J1647" s="33">
        <f>IF(AND(YEAR(B1647)=2025,G1647="Service B",OR(H1647="Band 3",H1647="Band 5"),ISNUMBER(F1647)),F1647,"")</f>
        <v/>
      </c>
    </row>
    <row r="1648">
      <c r="A1648" s="19" t="inlineStr">
        <is>
          <t>User1176</t>
        </is>
      </c>
      <c r="B1648" s="60" t="n">
        <v>45962</v>
      </c>
      <c r="C1648" s="21" t="n">
        <v>148</v>
      </c>
      <c r="D1648" s="21" t="n">
        <v>170.03</v>
      </c>
      <c r="E1648" s="21" t="n">
        <v>128.53</v>
      </c>
      <c r="F1648" s="27">
        <f>IFERROR(IF(OR(C1648="",D1648="",C1648=0),"",D1648/C1648),"")</f>
        <v/>
      </c>
      <c r="G1648" s="21">
        <f>IFERROR(INDEX(Users!$A$2:$A$310,MATCH(A1648,Users!$B$2:$B$310,0)),"")</f>
        <v/>
      </c>
      <c r="H1648" s="21">
        <f>IFERROR(INDEX(Users!$D$2:$D$310,MATCH(A1648,Users!$B$2:$B$310,0)),"")</f>
        <v/>
      </c>
      <c r="I1648" s="19">
        <f>AND(G1648="Service A",H1648="Band 3")</f>
        <v/>
      </c>
      <c r="J1648" s="33">
        <f>IF(AND(YEAR(B1648)=2025,G1648="Service B",OR(H1648="Band 3",H1648="Band 5"),ISNUMBER(F1648)),F1648,"")</f>
        <v/>
      </c>
    </row>
    <row r="1649">
      <c r="A1649" s="19" t="inlineStr">
        <is>
          <t>User1176</t>
        </is>
      </c>
      <c r="B1649" s="60" t="n">
        <v>45992</v>
      </c>
      <c r="C1649" s="21" t="n">
        <v>155.4</v>
      </c>
      <c r="D1649" s="21" t="n">
        <v>147.4633333333333</v>
      </c>
      <c r="E1649" s="21" t="n">
        <v>110.13</v>
      </c>
      <c r="F1649" s="27">
        <f>IFERROR(IF(OR(C1649="",D1649="",C1649=0),"",D1649/C1649),"")</f>
        <v/>
      </c>
      <c r="G1649" s="21">
        <f>IFERROR(INDEX(Users!$A$2:$A$310,MATCH(A1649,Users!$B$2:$B$310,0)),"")</f>
        <v/>
      </c>
      <c r="H1649" s="21">
        <f>IFERROR(INDEX(Users!$D$2:$D$310,MATCH(A1649,Users!$B$2:$B$310,0)),"")</f>
        <v/>
      </c>
      <c r="I1649" s="19">
        <f>AND(G1649="Service A",H1649="Band 3")</f>
        <v/>
      </c>
      <c r="J1649" s="33">
        <f>IF(AND(YEAR(B1649)=2025,G1649="Service B",OR(H1649="Band 3",H1649="Band 5"),ISNUMBER(F1649)),F1649,"")</f>
        <v/>
      </c>
    </row>
    <row r="1650">
      <c r="A1650" s="19" t="inlineStr">
        <is>
          <t>User1177</t>
        </is>
      </c>
      <c r="B1650" s="60" t="n">
        <v>45658</v>
      </c>
      <c r="C1650" s="21" t="n">
        <v>162.8</v>
      </c>
      <c r="D1650" s="21" t="n">
        <v>146.05</v>
      </c>
      <c r="E1650" s="21" t="n">
        <v>79.95</v>
      </c>
      <c r="F1650" s="27">
        <f>IFERROR(IF(OR(C1650="",D1650="",C1650=0),"",D1650/C1650),"")</f>
        <v/>
      </c>
      <c r="G1650" s="21">
        <f>IFERROR(INDEX(Users!$A$2:$A$310,MATCH(A1650,Users!$B$2:$B$310,0)),"")</f>
        <v/>
      </c>
      <c r="H1650" s="21">
        <f>IFERROR(INDEX(Users!$D$2:$D$310,MATCH(A1650,Users!$B$2:$B$310,0)),"")</f>
        <v/>
      </c>
      <c r="I1650" s="19">
        <f>AND(G1650="Service A",H1650="Band 3")</f>
        <v/>
      </c>
      <c r="J1650" s="33">
        <f>IF(AND(YEAR(B1650)=2025,G1650="Service B",OR(H1650="Band 3",H1650="Band 5"),ISNUMBER(F1650)),F1650,"")</f>
        <v/>
      </c>
    </row>
    <row r="1651">
      <c r="A1651" s="19" t="inlineStr">
        <is>
          <t>User1177</t>
        </is>
      </c>
      <c r="B1651" s="60" t="n">
        <v>45689</v>
      </c>
      <c r="C1651" s="21" t="n">
        <v>148</v>
      </c>
      <c r="D1651" s="21" t="n">
        <v>112.0066666666667</v>
      </c>
      <c r="E1651" s="21" t="n">
        <v>51.14000000000001</v>
      </c>
      <c r="F1651" s="27">
        <f>IFERROR(IF(OR(C1651="",D1651="",C1651=0),"",D1651/C1651),"")</f>
        <v/>
      </c>
      <c r="G1651" s="21">
        <f>IFERROR(INDEX(Users!$A$2:$A$310,MATCH(A1651,Users!$B$2:$B$310,0)),"")</f>
        <v/>
      </c>
      <c r="H1651" s="21">
        <f>IFERROR(INDEX(Users!$D$2:$D$310,MATCH(A1651,Users!$B$2:$B$310,0)),"")</f>
        <v/>
      </c>
      <c r="I1651" s="19">
        <f>AND(G1651="Service A",H1651="Band 3")</f>
        <v/>
      </c>
      <c r="J1651" s="33">
        <f>IF(AND(YEAR(B1651)=2025,G1651="Service B",OR(H1651="Band 3",H1651="Band 5"),ISNUMBER(F1651)),F1651,"")</f>
        <v/>
      </c>
    </row>
    <row r="1652">
      <c r="A1652" s="19" t="inlineStr">
        <is>
          <t>User1177</t>
        </is>
      </c>
      <c r="B1652" s="60" t="n">
        <v>45717</v>
      </c>
      <c r="C1652" s="21" t="n">
        <v>155.4</v>
      </c>
      <c r="D1652" s="21" t="n">
        <v>156.0466666666667</v>
      </c>
      <c r="E1652" s="21" t="n">
        <v>93.18000000000001</v>
      </c>
      <c r="F1652" s="27">
        <f>IFERROR(IF(OR(C1652="",D1652="",C1652=0),"",D1652/C1652),"")</f>
        <v/>
      </c>
      <c r="G1652" s="21">
        <f>IFERROR(INDEX(Users!$A$2:$A$310,MATCH(A1652,Users!$B$2:$B$310,0)),"")</f>
        <v/>
      </c>
      <c r="H1652" s="21">
        <f>IFERROR(INDEX(Users!$D$2:$D$310,MATCH(A1652,Users!$B$2:$B$310,0)),"")</f>
        <v/>
      </c>
      <c r="I1652" s="19">
        <f>AND(G1652="Service A",H1652="Band 3")</f>
        <v/>
      </c>
      <c r="J1652" s="33">
        <f>IF(AND(YEAR(B1652)=2025,G1652="Service B",OR(H1652="Band 3",H1652="Band 5"),ISNUMBER(F1652)),F1652,"")</f>
        <v/>
      </c>
    </row>
    <row r="1653">
      <c r="A1653" s="19" t="inlineStr">
        <is>
          <t>User1177</t>
        </is>
      </c>
      <c r="B1653" s="60" t="n">
        <v>45748</v>
      </c>
      <c r="C1653" s="21" t="n">
        <v>148</v>
      </c>
      <c r="D1653" s="21" t="n">
        <v>89.12666666666665</v>
      </c>
      <c r="E1653" s="21" t="n">
        <v>50.01</v>
      </c>
      <c r="F1653" s="27">
        <f>IFERROR(IF(OR(C1653="",D1653="",C1653=0),"",D1653/C1653),"")</f>
        <v/>
      </c>
      <c r="G1653" s="21">
        <f>IFERROR(INDEX(Users!$A$2:$A$310,MATCH(A1653,Users!$B$2:$B$310,0)),"")</f>
        <v/>
      </c>
      <c r="H1653" s="21">
        <f>IFERROR(INDEX(Users!$D$2:$D$310,MATCH(A1653,Users!$B$2:$B$310,0)),"")</f>
        <v/>
      </c>
      <c r="I1653" s="19">
        <f>AND(G1653="Service A",H1653="Band 3")</f>
        <v/>
      </c>
      <c r="J1653" s="33">
        <f>IF(AND(YEAR(B1653)=2025,G1653="Service B",OR(H1653="Band 3",H1653="Band 5"),ISNUMBER(F1653)),F1653,"")</f>
        <v/>
      </c>
    </row>
    <row r="1654">
      <c r="A1654" s="19" t="inlineStr">
        <is>
          <t>User1177</t>
        </is>
      </c>
      <c r="B1654" s="60" t="n">
        <v>45778</v>
      </c>
      <c r="C1654" s="21" t="n">
        <v>148</v>
      </c>
      <c r="D1654" s="21" t="n">
        <v>148.1666666666667</v>
      </c>
      <c r="E1654" s="21" t="n">
        <v>88.75000000000001</v>
      </c>
      <c r="F1654" s="27">
        <f>IFERROR(IF(OR(C1654="",D1654="",C1654=0),"",D1654/C1654),"")</f>
        <v/>
      </c>
      <c r="G1654" s="21">
        <f>IFERROR(INDEX(Users!$A$2:$A$310,MATCH(A1654,Users!$B$2:$B$310,0)),"")</f>
        <v/>
      </c>
      <c r="H1654" s="21">
        <f>IFERROR(INDEX(Users!$D$2:$D$310,MATCH(A1654,Users!$B$2:$B$310,0)),"")</f>
        <v/>
      </c>
      <c r="I1654" s="19">
        <f>AND(G1654="Service A",H1654="Band 3")</f>
        <v/>
      </c>
      <c r="J1654" s="33">
        <f>IF(AND(YEAR(B1654)=2025,G1654="Service B",OR(H1654="Band 3",H1654="Band 5"),ISNUMBER(F1654)),F1654,"")</f>
        <v/>
      </c>
    </row>
    <row r="1655">
      <c r="A1655" s="19" t="inlineStr">
        <is>
          <t>User1177</t>
        </is>
      </c>
      <c r="B1655" s="60" t="n">
        <v>45809</v>
      </c>
      <c r="C1655" s="21" t="n">
        <v>155.4</v>
      </c>
      <c r="D1655" s="21" t="n">
        <v>135.4566666666667</v>
      </c>
      <c r="E1655" s="21" t="n">
        <v>72.04000000000001</v>
      </c>
      <c r="F1655" s="27">
        <f>IFERROR(IF(OR(C1655="",D1655="",C1655=0),"",D1655/C1655),"")</f>
        <v/>
      </c>
      <c r="G1655" s="21">
        <f>IFERROR(INDEX(Users!$A$2:$A$310,MATCH(A1655,Users!$B$2:$B$310,0)),"")</f>
        <v/>
      </c>
      <c r="H1655" s="21">
        <f>IFERROR(INDEX(Users!$D$2:$D$310,MATCH(A1655,Users!$B$2:$B$310,0)),"")</f>
        <v/>
      </c>
      <c r="I1655" s="19">
        <f>AND(G1655="Service A",H1655="Band 3")</f>
        <v/>
      </c>
      <c r="J1655" s="33">
        <f>IF(AND(YEAR(B1655)=2025,G1655="Service B",OR(H1655="Band 3",H1655="Band 5"),ISNUMBER(F1655)),F1655,"")</f>
        <v/>
      </c>
    </row>
    <row r="1656">
      <c r="A1656" s="19" t="inlineStr">
        <is>
          <t>User1177</t>
        </is>
      </c>
      <c r="B1656" s="60" t="n">
        <v>45839</v>
      </c>
      <c r="C1656" s="21" t="n">
        <v>170.2</v>
      </c>
      <c r="D1656" s="21" t="n">
        <v>123.2133333333333</v>
      </c>
      <c r="E1656" s="21" t="n">
        <v>63.63</v>
      </c>
      <c r="F1656" s="27">
        <f>IFERROR(IF(OR(C1656="",D1656="",C1656=0),"",D1656/C1656),"")</f>
        <v/>
      </c>
      <c r="G1656" s="21">
        <f>IFERROR(INDEX(Users!$A$2:$A$310,MATCH(A1656,Users!$B$2:$B$310,0)),"")</f>
        <v/>
      </c>
      <c r="H1656" s="21">
        <f>IFERROR(INDEX(Users!$D$2:$D$310,MATCH(A1656,Users!$B$2:$B$310,0)),"")</f>
        <v/>
      </c>
      <c r="I1656" s="19">
        <f>AND(G1656="Service A",H1656="Band 3")</f>
        <v/>
      </c>
      <c r="J1656" s="33">
        <f>IF(AND(YEAR(B1656)=2025,G1656="Service B",OR(H1656="Band 3",H1656="Band 5"),ISNUMBER(F1656)),F1656,"")</f>
        <v/>
      </c>
    </row>
    <row r="1657">
      <c r="A1657" s="19" t="inlineStr">
        <is>
          <t>User1177</t>
        </is>
      </c>
      <c r="B1657" s="60" t="n">
        <v>45870</v>
      </c>
      <c r="C1657" s="21" t="n">
        <v>148</v>
      </c>
      <c r="D1657" s="21" t="n">
        <v>133.0833333333333</v>
      </c>
      <c r="E1657" s="21" t="n">
        <v>74.25</v>
      </c>
      <c r="F1657" s="27">
        <f>IFERROR(IF(OR(C1657="",D1657="",C1657=0),"",D1657/C1657),"")</f>
        <v/>
      </c>
      <c r="G1657" s="21">
        <f>IFERROR(INDEX(Users!$A$2:$A$310,MATCH(A1657,Users!$B$2:$B$310,0)),"")</f>
        <v/>
      </c>
      <c r="H1657" s="21">
        <f>IFERROR(INDEX(Users!$D$2:$D$310,MATCH(A1657,Users!$B$2:$B$310,0)),"")</f>
        <v/>
      </c>
      <c r="I1657" s="19">
        <f>AND(G1657="Service A",H1657="Band 3")</f>
        <v/>
      </c>
      <c r="J1657" s="33">
        <f>IF(AND(YEAR(B1657)=2025,G1657="Service B",OR(H1657="Band 3",H1657="Band 5"),ISNUMBER(F1657)),F1657,"")</f>
        <v/>
      </c>
    </row>
    <row r="1658">
      <c r="A1658" s="19" t="inlineStr">
        <is>
          <t>User1177</t>
        </is>
      </c>
      <c r="B1658" s="60" t="n">
        <v>45901</v>
      </c>
      <c r="C1658" s="21" t="n">
        <v>162.8</v>
      </c>
      <c r="D1658" s="21" t="n">
        <v>122.6966666666667</v>
      </c>
      <c r="E1658" s="21" t="n">
        <v>66.13</v>
      </c>
      <c r="F1658" s="27">
        <f>IFERROR(IF(OR(C1658="",D1658="",C1658=0),"",D1658/C1658),"")</f>
        <v/>
      </c>
      <c r="G1658" s="21">
        <f>IFERROR(INDEX(Users!$A$2:$A$310,MATCH(A1658,Users!$B$2:$B$310,0)),"")</f>
        <v/>
      </c>
      <c r="H1658" s="21">
        <f>IFERROR(INDEX(Users!$D$2:$D$310,MATCH(A1658,Users!$B$2:$B$310,0)),"")</f>
        <v/>
      </c>
      <c r="I1658" s="19">
        <f>AND(G1658="Service A",H1658="Band 3")</f>
        <v/>
      </c>
      <c r="J1658" s="33">
        <f>IF(AND(YEAR(B1658)=2025,G1658="Service B",OR(H1658="Band 3",H1658="Band 5"),ISNUMBER(F1658)),F1658,"")</f>
        <v/>
      </c>
    </row>
    <row r="1659">
      <c r="A1659" s="19" t="inlineStr">
        <is>
          <t>User1177</t>
        </is>
      </c>
      <c r="B1659" s="60" t="n">
        <v>45931</v>
      </c>
      <c r="C1659" s="21" t="n">
        <v>170.2</v>
      </c>
      <c r="D1659" s="21" t="n">
        <v>132.3266666666667</v>
      </c>
      <c r="E1659" s="21" t="n">
        <v>73.41</v>
      </c>
      <c r="F1659" s="27">
        <f>IFERROR(IF(OR(C1659="",D1659="",C1659=0),"",D1659/C1659),"")</f>
        <v/>
      </c>
      <c r="G1659" s="21">
        <f>IFERROR(INDEX(Users!$A$2:$A$310,MATCH(A1659,Users!$B$2:$B$310,0)),"")</f>
        <v/>
      </c>
      <c r="H1659" s="21">
        <f>IFERROR(INDEX(Users!$D$2:$D$310,MATCH(A1659,Users!$B$2:$B$310,0)),"")</f>
        <v/>
      </c>
      <c r="I1659" s="19">
        <f>AND(G1659="Service A",H1659="Band 3")</f>
        <v/>
      </c>
      <c r="J1659" s="33">
        <f>IF(AND(YEAR(B1659)=2025,G1659="Service B",OR(H1659="Band 3",H1659="Band 5"),ISNUMBER(F1659)),F1659,"")</f>
        <v/>
      </c>
    </row>
    <row r="1660">
      <c r="A1660" s="19" t="inlineStr">
        <is>
          <t>User1177</t>
        </is>
      </c>
      <c r="B1660" s="60" t="n">
        <v>45962</v>
      </c>
      <c r="C1660" s="21" t="n">
        <v>148</v>
      </c>
      <c r="D1660" s="21" t="n">
        <v>150.65</v>
      </c>
      <c r="E1660" s="21" t="n">
        <v>84.10000000000001</v>
      </c>
      <c r="F1660" s="27">
        <f>IFERROR(IF(OR(C1660="",D1660="",C1660=0),"",D1660/C1660),"")</f>
        <v/>
      </c>
      <c r="G1660" s="21">
        <f>IFERROR(INDEX(Users!$A$2:$A$310,MATCH(A1660,Users!$B$2:$B$310,0)),"")</f>
        <v/>
      </c>
      <c r="H1660" s="21">
        <f>IFERROR(INDEX(Users!$D$2:$D$310,MATCH(A1660,Users!$B$2:$B$310,0)),"")</f>
        <v/>
      </c>
      <c r="I1660" s="19">
        <f>AND(G1660="Service A",H1660="Band 3")</f>
        <v/>
      </c>
      <c r="J1660" s="33">
        <f>IF(AND(YEAR(B1660)=2025,G1660="Service B",OR(H1660="Band 3",H1660="Band 5"),ISNUMBER(F1660)),F1660,"")</f>
        <v/>
      </c>
    </row>
    <row r="1661">
      <c r="A1661" s="19" t="inlineStr">
        <is>
          <t>User1177</t>
        </is>
      </c>
      <c r="B1661" s="60" t="n">
        <v>45992</v>
      </c>
      <c r="C1661" s="21" t="n">
        <v>155.4</v>
      </c>
      <c r="D1661" s="21" t="n">
        <v>122.7366666666667</v>
      </c>
      <c r="E1661" s="21" t="n">
        <v>66.56999999999999</v>
      </c>
      <c r="F1661" s="27">
        <f>IFERROR(IF(OR(C1661="",D1661="",C1661=0),"",D1661/C1661),"")</f>
        <v/>
      </c>
      <c r="G1661" s="21">
        <f>IFERROR(INDEX(Users!$A$2:$A$310,MATCH(A1661,Users!$B$2:$B$310,0)),"")</f>
        <v/>
      </c>
      <c r="H1661" s="21">
        <f>IFERROR(INDEX(Users!$D$2:$D$310,MATCH(A1661,Users!$B$2:$B$310,0)),"")</f>
        <v/>
      </c>
      <c r="I1661" s="19">
        <f>AND(G1661="Service A",H1661="Band 3")</f>
        <v/>
      </c>
      <c r="J1661" s="33">
        <f>IF(AND(YEAR(B1661)=2025,G1661="Service B",OR(H1661="Band 3",H1661="Band 5"),ISNUMBER(F1661)),F1661,"")</f>
        <v/>
      </c>
    </row>
    <row r="1662">
      <c r="A1662" s="19" t="inlineStr">
        <is>
          <t>User1177</t>
        </is>
      </c>
      <c r="B1662" s="60" t="n">
        <v>46023</v>
      </c>
      <c r="C1662" s="21" t="n">
        <v>155.4</v>
      </c>
      <c r="D1662" s="21" t="n">
        <v>162.62</v>
      </c>
      <c r="E1662" s="21" t="n">
        <v>87.12</v>
      </c>
      <c r="F1662" s="27">
        <f>IFERROR(IF(OR(C1662="",D1662="",C1662=0),"",D1662/C1662),"")</f>
        <v/>
      </c>
      <c r="G1662" s="21">
        <f>IFERROR(INDEX(Users!$A$2:$A$310,MATCH(A1662,Users!$B$2:$B$310,0)),"")</f>
        <v/>
      </c>
      <c r="H1662" s="21">
        <f>IFERROR(INDEX(Users!$D$2:$D$310,MATCH(A1662,Users!$B$2:$B$310,0)),"")</f>
        <v/>
      </c>
      <c r="I1662" s="19">
        <f>AND(G1662="Service A",H1662="Band 3")</f>
        <v/>
      </c>
      <c r="J1662" s="33">
        <f>IF(AND(YEAR(B1662)=2025,G1662="Service B",OR(H1662="Band 3",H1662="Band 5"),ISNUMBER(F1662)),F1662,"")</f>
        <v/>
      </c>
    </row>
    <row r="1663">
      <c r="A1663" s="19" t="inlineStr">
        <is>
          <t>User1178</t>
        </is>
      </c>
      <c r="B1663" s="60" t="n">
        <v>45658</v>
      </c>
      <c r="C1663" s="21" t="n">
        <v>162.8</v>
      </c>
      <c r="D1663" s="21" t="n">
        <v>137.05</v>
      </c>
      <c r="E1663" s="21" t="n">
        <v>83.04999999999998</v>
      </c>
      <c r="F1663" s="27">
        <f>IFERROR(IF(OR(C1663="",D1663="",C1663=0),"",D1663/C1663),"")</f>
        <v/>
      </c>
      <c r="G1663" s="21">
        <f>IFERROR(INDEX(Users!$A$2:$A$310,MATCH(A1663,Users!$B$2:$B$310,0)),"")</f>
        <v/>
      </c>
      <c r="H1663" s="21">
        <f>IFERROR(INDEX(Users!$D$2:$D$310,MATCH(A1663,Users!$B$2:$B$310,0)),"")</f>
        <v/>
      </c>
      <c r="I1663" s="19">
        <f>AND(G1663="Service A",H1663="Band 3")</f>
        <v/>
      </c>
      <c r="J1663" s="33">
        <f>IF(AND(YEAR(B1663)=2025,G1663="Service B",OR(H1663="Band 3",H1663="Band 5"),ISNUMBER(F1663)),F1663,"")</f>
        <v/>
      </c>
    </row>
    <row r="1664">
      <c r="A1664" s="19" t="inlineStr">
        <is>
          <t>User1178</t>
        </is>
      </c>
      <c r="B1664" s="60" t="n">
        <v>45689</v>
      </c>
      <c r="C1664" s="21" t="n">
        <v>148</v>
      </c>
      <c r="D1664" s="21" t="n">
        <v>142.9933333333333</v>
      </c>
      <c r="E1664" s="21" t="n">
        <v>83.91000000000001</v>
      </c>
      <c r="F1664" s="27">
        <f>IFERROR(IF(OR(C1664="",D1664="",C1664=0),"",D1664/C1664),"")</f>
        <v/>
      </c>
      <c r="G1664" s="21">
        <f>IFERROR(INDEX(Users!$A$2:$A$310,MATCH(A1664,Users!$B$2:$B$310,0)),"")</f>
        <v/>
      </c>
      <c r="H1664" s="21">
        <f>IFERROR(INDEX(Users!$D$2:$D$310,MATCH(A1664,Users!$B$2:$B$310,0)),"")</f>
        <v/>
      </c>
      <c r="I1664" s="19">
        <f>AND(G1664="Service A",H1664="Band 3")</f>
        <v/>
      </c>
      <c r="J1664" s="33">
        <f>IF(AND(YEAR(B1664)=2025,G1664="Service B",OR(H1664="Band 3",H1664="Band 5"),ISNUMBER(F1664)),F1664,"")</f>
        <v/>
      </c>
    </row>
    <row r="1665">
      <c r="A1665" s="19" t="inlineStr">
        <is>
          <t>User1178</t>
        </is>
      </c>
      <c r="B1665" s="60" t="n">
        <v>45717</v>
      </c>
      <c r="C1665" s="21" t="n">
        <v>155.4</v>
      </c>
      <c r="D1665" s="21" t="n">
        <v>153.9633333333333</v>
      </c>
      <c r="E1665" s="21" t="n">
        <v>100.88</v>
      </c>
      <c r="F1665" s="27">
        <f>IFERROR(IF(OR(C1665="",D1665="",C1665=0),"",D1665/C1665),"")</f>
        <v/>
      </c>
      <c r="G1665" s="21">
        <f>IFERROR(INDEX(Users!$A$2:$A$310,MATCH(A1665,Users!$B$2:$B$310,0)),"")</f>
        <v/>
      </c>
      <c r="H1665" s="21">
        <f>IFERROR(INDEX(Users!$D$2:$D$310,MATCH(A1665,Users!$B$2:$B$310,0)),"")</f>
        <v/>
      </c>
      <c r="I1665" s="19">
        <f>AND(G1665="Service A",H1665="Band 3")</f>
        <v/>
      </c>
      <c r="J1665" s="33">
        <f>IF(AND(YEAR(B1665)=2025,G1665="Service B",OR(H1665="Band 3",H1665="Band 5"),ISNUMBER(F1665)),F1665,"")</f>
        <v/>
      </c>
    </row>
    <row r="1666">
      <c r="A1666" s="19" t="inlineStr">
        <is>
          <t>User1178</t>
        </is>
      </c>
      <c r="B1666" s="60" t="n">
        <v>45748</v>
      </c>
      <c r="C1666" s="21" t="n">
        <v>148</v>
      </c>
      <c r="D1666" s="21" t="n">
        <v>145.3366666666667</v>
      </c>
      <c r="E1666" s="21" t="n">
        <v>102.67</v>
      </c>
      <c r="F1666" s="27">
        <f>IFERROR(IF(OR(C1666="",D1666="",C1666=0),"",D1666/C1666),"")</f>
        <v/>
      </c>
      <c r="G1666" s="21">
        <f>IFERROR(INDEX(Users!$A$2:$A$310,MATCH(A1666,Users!$B$2:$B$310,0)),"")</f>
        <v/>
      </c>
      <c r="H1666" s="21">
        <f>IFERROR(INDEX(Users!$D$2:$D$310,MATCH(A1666,Users!$B$2:$B$310,0)),"")</f>
        <v/>
      </c>
      <c r="I1666" s="19">
        <f>AND(G1666="Service A",H1666="Band 3")</f>
        <v/>
      </c>
      <c r="J1666" s="33">
        <f>IF(AND(YEAR(B1666)=2025,G1666="Service B",OR(H1666="Band 3",H1666="Band 5"),ISNUMBER(F1666)),F1666,"")</f>
        <v/>
      </c>
    </row>
    <row r="1667">
      <c r="A1667" s="19" t="inlineStr">
        <is>
          <t>User1178</t>
        </is>
      </c>
      <c r="B1667" s="60" t="n">
        <v>45778</v>
      </c>
      <c r="C1667" s="21" t="n">
        <v>148</v>
      </c>
      <c r="D1667" s="21" t="n">
        <v>142.6833333333333</v>
      </c>
      <c r="E1667" s="21" t="n">
        <v>103.35</v>
      </c>
      <c r="F1667" s="27">
        <f>IFERROR(IF(OR(C1667="",D1667="",C1667=0),"",D1667/C1667),"")</f>
        <v/>
      </c>
      <c r="G1667" s="21">
        <f>IFERROR(INDEX(Users!$A$2:$A$310,MATCH(A1667,Users!$B$2:$B$310,0)),"")</f>
        <v/>
      </c>
      <c r="H1667" s="21">
        <f>IFERROR(INDEX(Users!$D$2:$D$310,MATCH(A1667,Users!$B$2:$B$310,0)),"")</f>
        <v/>
      </c>
      <c r="I1667" s="19">
        <f>AND(G1667="Service A",H1667="Band 3")</f>
        <v/>
      </c>
      <c r="J1667" s="33">
        <f>IF(AND(YEAR(B1667)=2025,G1667="Service B",OR(H1667="Band 3",H1667="Band 5"),ISNUMBER(F1667)),F1667,"")</f>
        <v/>
      </c>
    </row>
    <row r="1668">
      <c r="A1668" s="19" t="inlineStr">
        <is>
          <t>User1178</t>
        </is>
      </c>
      <c r="B1668" s="60" t="n">
        <v>45809</v>
      </c>
      <c r="C1668" s="21" t="n">
        <v>155.4</v>
      </c>
      <c r="D1668" s="21" t="n">
        <v>121.42</v>
      </c>
      <c r="E1668" s="21" t="n">
        <v>89.16999999999999</v>
      </c>
      <c r="F1668" s="27">
        <f>IFERROR(IF(OR(C1668="",D1668="",C1668=0),"",D1668/C1668),"")</f>
        <v/>
      </c>
      <c r="G1668" s="21">
        <f>IFERROR(INDEX(Users!$A$2:$A$310,MATCH(A1668,Users!$B$2:$B$310,0)),"")</f>
        <v/>
      </c>
      <c r="H1668" s="21">
        <f>IFERROR(INDEX(Users!$D$2:$D$310,MATCH(A1668,Users!$B$2:$B$310,0)),"")</f>
        <v/>
      </c>
      <c r="I1668" s="19">
        <f>AND(G1668="Service A",H1668="Band 3")</f>
        <v/>
      </c>
      <c r="J1668" s="33">
        <f>IF(AND(YEAR(B1668)=2025,G1668="Service B",OR(H1668="Band 3",H1668="Band 5"),ISNUMBER(F1668)),F1668,"")</f>
        <v/>
      </c>
    </row>
    <row r="1669">
      <c r="A1669" s="19" t="inlineStr">
        <is>
          <t>User1178</t>
        </is>
      </c>
      <c r="B1669" s="60" t="n">
        <v>45839</v>
      </c>
      <c r="C1669" s="21" t="n">
        <v>66.60000000000001</v>
      </c>
      <c r="D1669" s="21" t="n">
        <v>26.82333333333334</v>
      </c>
      <c r="E1669" s="21" t="n">
        <v>16.99</v>
      </c>
      <c r="F1669" s="27">
        <f>IFERROR(IF(OR(C1669="",D1669="",C1669=0),"",D1669/C1669),"")</f>
        <v/>
      </c>
      <c r="G1669" s="21">
        <f>IFERROR(INDEX(Users!$A$2:$A$310,MATCH(A1669,Users!$B$2:$B$310,0)),"")</f>
        <v/>
      </c>
      <c r="H1669" s="21">
        <f>IFERROR(INDEX(Users!$D$2:$D$310,MATCH(A1669,Users!$B$2:$B$310,0)),"")</f>
        <v/>
      </c>
      <c r="I1669" s="19">
        <f>AND(G1669="Service A",H1669="Band 3")</f>
        <v/>
      </c>
      <c r="J1669" s="33">
        <f>IF(AND(YEAR(B1669)=2025,G1669="Service B",OR(H1669="Band 3",H1669="Band 5"),ISNUMBER(F1669)),F1669,"")</f>
        <v/>
      </c>
    </row>
    <row r="1670">
      <c r="A1670" s="19" t="inlineStr">
        <is>
          <t>User1179</t>
        </is>
      </c>
      <c r="B1670" s="60" t="n">
        <v>45658</v>
      </c>
      <c r="C1670" s="21" t="n">
        <v>157.25</v>
      </c>
      <c r="D1670" s="21" t="n"/>
      <c r="E1670" s="21" t="n"/>
      <c r="F1670" s="27">
        <f>IFERROR(IF(OR(C1670="",D1670="",C1670=0),"",D1670/C1670),"")</f>
        <v/>
      </c>
      <c r="G1670" s="21">
        <f>IFERROR(INDEX(Users!$A$2:$A$310,MATCH(A1670,Users!$B$2:$B$310,0)),"")</f>
        <v/>
      </c>
      <c r="H1670" s="21">
        <f>IFERROR(INDEX(Users!$D$2:$D$310,MATCH(A1670,Users!$B$2:$B$310,0)),"")</f>
        <v/>
      </c>
      <c r="I1670" s="19">
        <f>AND(G1670="Service A",H1670="Band 3")</f>
        <v/>
      </c>
      <c r="J1670" s="33">
        <f>IF(AND(YEAR(B1670)=2025,G1670="Service B",OR(H1670="Band 3",H1670="Band 5"),ISNUMBER(F1670)),F1670,"")</f>
        <v/>
      </c>
    </row>
    <row r="1671">
      <c r="A1671" s="19" t="inlineStr">
        <is>
          <t>User1179</t>
        </is>
      </c>
      <c r="B1671" s="60" t="n">
        <v>45689</v>
      </c>
      <c r="C1671" s="21" t="n">
        <v>148</v>
      </c>
      <c r="D1671" s="21" t="n">
        <v>63.5</v>
      </c>
      <c r="E1671" s="21" t="n">
        <v>2.25</v>
      </c>
      <c r="F1671" s="27">
        <f>IFERROR(IF(OR(C1671="",D1671="",C1671=0),"",D1671/C1671),"")</f>
        <v/>
      </c>
      <c r="G1671" s="21">
        <f>IFERROR(INDEX(Users!$A$2:$A$310,MATCH(A1671,Users!$B$2:$B$310,0)),"")</f>
        <v/>
      </c>
      <c r="H1671" s="21">
        <f>IFERROR(INDEX(Users!$D$2:$D$310,MATCH(A1671,Users!$B$2:$B$310,0)),"")</f>
        <v/>
      </c>
      <c r="I1671" s="19">
        <f>AND(G1671="Service A",H1671="Band 3")</f>
        <v/>
      </c>
      <c r="J1671" s="33">
        <f>IF(AND(YEAR(B1671)=2025,G1671="Service B",OR(H1671="Band 3",H1671="Band 5"),ISNUMBER(F1671)),F1671,"")</f>
        <v/>
      </c>
    </row>
    <row r="1672">
      <c r="A1672" s="19" t="inlineStr">
        <is>
          <t>User1179</t>
        </is>
      </c>
      <c r="B1672" s="60" t="n">
        <v>45717</v>
      </c>
      <c r="C1672" s="21" t="n">
        <v>157.25</v>
      </c>
      <c r="D1672" s="21" t="n">
        <v>129.9933333333333</v>
      </c>
      <c r="E1672" s="21" t="n">
        <v>29.41</v>
      </c>
      <c r="F1672" s="27">
        <f>IFERROR(IF(OR(C1672="",D1672="",C1672=0),"",D1672/C1672),"")</f>
        <v/>
      </c>
      <c r="G1672" s="21">
        <f>IFERROR(INDEX(Users!$A$2:$A$310,MATCH(A1672,Users!$B$2:$B$310,0)),"")</f>
        <v/>
      </c>
      <c r="H1672" s="21">
        <f>IFERROR(INDEX(Users!$D$2:$D$310,MATCH(A1672,Users!$B$2:$B$310,0)),"")</f>
        <v/>
      </c>
      <c r="I1672" s="19">
        <f>AND(G1672="Service A",H1672="Band 3")</f>
        <v/>
      </c>
      <c r="J1672" s="33">
        <f>IF(AND(YEAR(B1672)=2025,G1672="Service B",OR(H1672="Band 3",H1672="Band 5"),ISNUMBER(F1672)),F1672,"")</f>
        <v/>
      </c>
    </row>
    <row r="1673">
      <c r="A1673" s="19" t="inlineStr">
        <is>
          <t>User1179</t>
        </is>
      </c>
      <c r="B1673" s="60" t="n">
        <v>45748</v>
      </c>
      <c r="C1673" s="21" t="n">
        <v>157.25</v>
      </c>
      <c r="D1673" s="21" t="n">
        <v>107.93</v>
      </c>
      <c r="E1673" s="21" t="n">
        <v>41.43</v>
      </c>
      <c r="F1673" s="27">
        <f>IFERROR(IF(OR(C1673="",D1673="",C1673=0),"",D1673/C1673),"")</f>
        <v/>
      </c>
      <c r="G1673" s="21">
        <f>IFERROR(INDEX(Users!$A$2:$A$310,MATCH(A1673,Users!$B$2:$B$310,0)),"")</f>
        <v/>
      </c>
      <c r="H1673" s="21">
        <f>IFERROR(INDEX(Users!$D$2:$D$310,MATCH(A1673,Users!$B$2:$B$310,0)),"")</f>
        <v/>
      </c>
      <c r="I1673" s="19">
        <f>AND(G1673="Service A",H1673="Band 3")</f>
        <v/>
      </c>
      <c r="J1673" s="33">
        <f>IF(AND(YEAR(B1673)=2025,G1673="Service B",OR(H1673="Band 3",H1673="Band 5"),ISNUMBER(F1673)),F1673,"")</f>
        <v/>
      </c>
    </row>
    <row r="1674">
      <c r="A1674" s="19" t="inlineStr">
        <is>
          <t>User1179</t>
        </is>
      </c>
      <c r="B1674" s="60" t="n">
        <v>45778</v>
      </c>
      <c r="C1674" s="21" t="n">
        <v>138.75</v>
      </c>
      <c r="D1674" s="21" t="n">
        <v>118.0866666666667</v>
      </c>
      <c r="E1674" s="21" t="n">
        <v>29.17</v>
      </c>
      <c r="F1674" s="27">
        <f>IFERROR(IF(OR(C1674="",D1674="",C1674=0),"",D1674/C1674),"")</f>
        <v/>
      </c>
      <c r="G1674" s="21">
        <f>IFERROR(INDEX(Users!$A$2:$A$310,MATCH(A1674,Users!$B$2:$B$310,0)),"")</f>
        <v/>
      </c>
      <c r="H1674" s="21">
        <f>IFERROR(INDEX(Users!$D$2:$D$310,MATCH(A1674,Users!$B$2:$B$310,0)),"")</f>
        <v/>
      </c>
      <c r="I1674" s="19">
        <f>AND(G1674="Service A",H1674="Band 3")</f>
        <v/>
      </c>
      <c r="J1674" s="33">
        <f>IF(AND(YEAR(B1674)=2025,G1674="Service B",OR(H1674="Band 3",H1674="Band 5"),ISNUMBER(F1674)),F1674,"")</f>
        <v/>
      </c>
    </row>
    <row r="1675">
      <c r="A1675" s="19" t="inlineStr">
        <is>
          <t>User1179</t>
        </is>
      </c>
      <c r="B1675" s="60" t="n">
        <v>45809</v>
      </c>
      <c r="C1675" s="21" t="n">
        <v>157.25</v>
      </c>
      <c r="D1675" s="21" t="n">
        <v>140.6666666666667</v>
      </c>
      <c r="E1675" s="21" t="n">
        <v>43.5</v>
      </c>
      <c r="F1675" s="27">
        <f>IFERROR(IF(OR(C1675="",D1675="",C1675=0),"",D1675/C1675),"")</f>
        <v/>
      </c>
      <c r="G1675" s="21">
        <f>IFERROR(INDEX(Users!$A$2:$A$310,MATCH(A1675,Users!$B$2:$B$310,0)),"")</f>
        <v/>
      </c>
      <c r="H1675" s="21">
        <f>IFERROR(INDEX(Users!$D$2:$D$310,MATCH(A1675,Users!$B$2:$B$310,0)),"")</f>
        <v/>
      </c>
      <c r="I1675" s="19">
        <f>AND(G1675="Service A",H1675="Band 3")</f>
        <v/>
      </c>
      <c r="J1675" s="33">
        <f>IF(AND(YEAR(B1675)=2025,G1675="Service B",OR(H1675="Band 3",H1675="Band 5"),ISNUMBER(F1675)),F1675,"")</f>
        <v/>
      </c>
    </row>
    <row r="1676">
      <c r="A1676" s="19" t="inlineStr">
        <is>
          <t>User1179</t>
        </is>
      </c>
      <c r="B1676" s="60" t="n">
        <v>45839</v>
      </c>
      <c r="C1676" s="21" t="n">
        <v>101.75</v>
      </c>
      <c r="D1676" s="21" t="n">
        <v>100.67</v>
      </c>
      <c r="E1676" s="21" t="n">
        <v>3.92</v>
      </c>
      <c r="F1676" s="27">
        <f>IFERROR(IF(OR(C1676="",D1676="",C1676=0),"",D1676/C1676),"")</f>
        <v/>
      </c>
      <c r="G1676" s="21">
        <f>IFERROR(INDEX(Users!$A$2:$A$310,MATCH(A1676,Users!$B$2:$B$310,0)),"")</f>
        <v/>
      </c>
      <c r="H1676" s="21">
        <f>IFERROR(INDEX(Users!$D$2:$D$310,MATCH(A1676,Users!$B$2:$B$310,0)),"")</f>
        <v/>
      </c>
      <c r="I1676" s="19">
        <f>AND(G1676="Service A",H1676="Band 3")</f>
        <v/>
      </c>
      <c r="J1676" s="33">
        <f>IF(AND(YEAR(B1676)=2025,G1676="Service B",OR(H1676="Band 3",H1676="Band 5"),ISNUMBER(F1676)),F1676,"")</f>
        <v/>
      </c>
    </row>
    <row r="1677">
      <c r="A1677" s="19" t="inlineStr">
        <is>
          <t>User1180</t>
        </is>
      </c>
      <c r="B1677" s="60" t="n">
        <v>45658</v>
      </c>
      <c r="C1677" s="21" t="n">
        <v>162.8</v>
      </c>
      <c r="D1677" s="21" t="n">
        <v>156.62</v>
      </c>
      <c r="E1677" s="21" t="n">
        <v>13.42</v>
      </c>
      <c r="F1677" s="27">
        <f>IFERROR(IF(OR(C1677="",D1677="",C1677=0),"",D1677/C1677),"")</f>
        <v/>
      </c>
      <c r="G1677" s="21">
        <f>IFERROR(INDEX(Users!$A$2:$A$310,MATCH(A1677,Users!$B$2:$B$310,0)),"")</f>
        <v/>
      </c>
      <c r="H1677" s="21">
        <f>IFERROR(INDEX(Users!$D$2:$D$310,MATCH(A1677,Users!$B$2:$B$310,0)),"")</f>
        <v/>
      </c>
      <c r="I1677" s="19">
        <f>AND(G1677="Service A",H1677="Band 3")</f>
        <v/>
      </c>
      <c r="J1677" s="33">
        <f>IF(AND(YEAR(B1677)=2025,G1677="Service B",OR(H1677="Band 3",H1677="Band 5"),ISNUMBER(F1677)),F1677,"")</f>
        <v/>
      </c>
    </row>
    <row r="1678">
      <c r="A1678" s="19" t="inlineStr">
        <is>
          <t>User1180</t>
        </is>
      </c>
      <c r="B1678" s="60" t="n">
        <v>45689</v>
      </c>
      <c r="C1678" s="21" t="n">
        <v>148</v>
      </c>
      <c r="D1678" s="21" t="n">
        <v>153.5894444444444</v>
      </c>
      <c r="E1678" s="21" t="n">
        <v>69.13</v>
      </c>
      <c r="F1678" s="27">
        <f>IFERROR(IF(OR(C1678="",D1678="",C1678=0),"",D1678/C1678),"")</f>
        <v/>
      </c>
      <c r="G1678" s="21">
        <f>IFERROR(INDEX(Users!$A$2:$A$310,MATCH(A1678,Users!$B$2:$B$310,0)),"")</f>
        <v/>
      </c>
      <c r="H1678" s="21">
        <f>IFERROR(INDEX(Users!$D$2:$D$310,MATCH(A1678,Users!$B$2:$B$310,0)),"")</f>
        <v/>
      </c>
      <c r="I1678" s="19">
        <f>AND(G1678="Service A",H1678="Band 3")</f>
        <v/>
      </c>
      <c r="J1678" s="33">
        <f>IF(AND(YEAR(B1678)=2025,G1678="Service B",OR(H1678="Band 3",H1678="Band 5"),ISNUMBER(F1678)),F1678,"")</f>
        <v/>
      </c>
    </row>
    <row r="1679">
      <c r="A1679" s="19" t="inlineStr">
        <is>
          <t>User1180</t>
        </is>
      </c>
      <c r="B1679" s="60" t="n">
        <v>45717</v>
      </c>
      <c r="C1679" s="21" t="n">
        <v>155.4</v>
      </c>
      <c r="D1679" s="21" t="n">
        <v>154.9833333333333</v>
      </c>
      <c r="E1679" s="21" t="n">
        <v>82.2</v>
      </c>
      <c r="F1679" s="27">
        <f>IFERROR(IF(OR(C1679="",D1679="",C1679=0),"",D1679/C1679),"")</f>
        <v/>
      </c>
      <c r="G1679" s="21">
        <f>IFERROR(INDEX(Users!$A$2:$A$310,MATCH(A1679,Users!$B$2:$B$310,0)),"")</f>
        <v/>
      </c>
      <c r="H1679" s="21">
        <f>IFERROR(INDEX(Users!$D$2:$D$310,MATCH(A1679,Users!$B$2:$B$310,0)),"")</f>
        <v/>
      </c>
      <c r="I1679" s="19">
        <f>AND(G1679="Service A",H1679="Band 3")</f>
        <v/>
      </c>
      <c r="J1679" s="33">
        <f>IF(AND(YEAR(B1679)=2025,G1679="Service B",OR(H1679="Band 3",H1679="Band 5"),ISNUMBER(F1679)),F1679,"")</f>
        <v/>
      </c>
    </row>
    <row r="1680">
      <c r="A1680" s="19" t="inlineStr">
        <is>
          <t>User1180</t>
        </is>
      </c>
      <c r="B1680" s="60" t="n">
        <v>45748</v>
      </c>
      <c r="C1680" s="21" t="n">
        <v>148</v>
      </c>
      <c r="D1680" s="21" t="n">
        <v>131.0366666666667</v>
      </c>
      <c r="E1680" s="21" t="n">
        <v>86.27000000000002</v>
      </c>
      <c r="F1680" s="27">
        <f>IFERROR(IF(OR(C1680="",D1680="",C1680=0),"",D1680/C1680),"")</f>
        <v/>
      </c>
      <c r="G1680" s="21">
        <f>IFERROR(INDEX(Users!$A$2:$A$310,MATCH(A1680,Users!$B$2:$B$310,0)),"")</f>
        <v/>
      </c>
      <c r="H1680" s="21">
        <f>IFERROR(INDEX(Users!$D$2:$D$310,MATCH(A1680,Users!$B$2:$B$310,0)),"")</f>
        <v/>
      </c>
      <c r="I1680" s="19">
        <f>AND(G1680="Service A",H1680="Band 3")</f>
        <v/>
      </c>
      <c r="J1680" s="33">
        <f>IF(AND(YEAR(B1680)=2025,G1680="Service B",OR(H1680="Band 3",H1680="Band 5"),ISNUMBER(F1680)),F1680,"")</f>
        <v/>
      </c>
    </row>
    <row r="1681">
      <c r="A1681" s="19" t="inlineStr">
        <is>
          <t>User1180</t>
        </is>
      </c>
      <c r="B1681" s="60" t="n">
        <v>45778</v>
      </c>
      <c r="C1681" s="21" t="n">
        <v>148</v>
      </c>
      <c r="D1681" s="21" t="n">
        <v>134.05</v>
      </c>
      <c r="E1681" s="21" t="n">
        <v>55.90000000000002</v>
      </c>
      <c r="F1681" s="27">
        <f>IFERROR(IF(OR(C1681="",D1681="",C1681=0),"",D1681/C1681),"")</f>
        <v/>
      </c>
      <c r="G1681" s="21">
        <f>IFERROR(INDEX(Users!$A$2:$A$310,MATCH(A1681,Users!$B$2:$B$310,0)),"")</f>
        <v/>
      </c>
      <c r="H1681" s="21">
        <f>IFERROR(INDEX(Users!$D$2:$D$310,MATCH(A1681,Users!$B$2:$B$310,0)),"")</f>
        <v/>
      </c>
      <c r="I1681" s="19">
        <f>AND(G1681="Service A",H1681="Band 3")</f>
        <v/>
      </c>
      <c r="J1681" s="33">
        <f>IF(AND(YEAR(B1681)=2025,G1681="Service B",OR(H1681="Band 3",H1681="Band 5"),ISNUMBER(F1681)),F1681,"")</f>
        <v/>
      </c>
    </row>
    <row r="1682">
      <c r="A1682" s="19" t="inlineStr">
        <is>
          <t>User1180</t>
        </is>
      </c>
      <c r="B1682" s="60" t="n">
        <v>45809</v>
      </c>
      <c r="C1682" s="21" t="n">
        <v>155.4</v>
      </c>
      <c r="D1682" s="21" t="n">
        <v>144.67</v>
      </c>
      <c r="E1682" s="21" t="n">
        <v>64.02000000000002</v>
      </c>
      <c r="F1682" s="27">
        <f>IFERROR(IF(OR(C1682="",D1682="",C1682=0),"",D1682/C1682),"")</f>
        <v/>
      </c>
      <c r="G1682" s="21">
        <f>IFERROR(INDEX(Users!$A$2:$A$310,MATCH(A1682,Users!$B$2:$B$310,0)),"")</f>
        <v/>
      </c>
      <c r="H1682" s="21">
        <f>IFERROR(INDEX(Users!$D$2:$D$310,MATCH(A1682,Users!$B$2:$B$310,0)),"")</f>
        <v/>
      </c>
      <c r="I1682" s="19">
        <f>AND(G1682="Service A",H1682="Band 3")</f>
        <v/>
      </c>
      <c r="J1682" s="33">
        <f>IF(AND(YEAR(B1682)=2025,G1682="Service B",OR(H1682="Band 3",H1682="Band 5"),ISNUMBER(F1682)),F1682,"")</f>
        <v/>
      </c>
    </row>
    <row r="1683">
      <c r="A1683" s="19" t="inlineStr">
        <is>
          <t>User1180</t>
        </is>
      </c>
      <c r="B1683" s="60" t="n">
        <v>45839</v>
      </c>
      <c r="C1683" s="21" t="n">
        <v>170.2</v>
      </c>
      <c r="D1683" s="21" t="n">
        <v>165.1533333333334</v>
      </c>
      <c r="E1683" s="21" t="n">
        <v>81.17000000000002</v>
      </c>
      <c r="F1683" s="27">
        <f>IFERROR(IF(OR(C1683="",D1683="",C1683=0),"",D1683/C1683),"")</f>
        <v/>
      </c>
      <c r="G1683" s="21">
        <f>IFERROR(INDEX(Users!$A$2:$A$310,MATCH(A1683,Users!$B$2:$B$310,0)),"")</f>
        <v/>
      </c>
      <c r="H1683" s="21">
        <f>IFERROR(INDEX(Users!$D$2:$D$310,MATCH(A1683,Users!$B$2:$B$310,0)),"")</f>
        <v/>
      </c>
      <c r="I1683" s="19">
        <f>AND(G1683="Service A",H1683="Band 3")</f>
        <v/>
      </c>
      <c r="J1683" s="33">
        <f>IF(AND(YEAR(B1683)=2025,G1683="Service B",OR(H1683="Band 3",H1683="Band 5"),ISNUMBER(F1683)),F1683,"")</f>
        <v/>
      </c>
    </row>
    <row r="1684">
      <c r="A1684" s="19" t="inlineStr">
        <is>
          <t>User1180</t>
        </is>
      </c>
      <c r="B1684" s="60" t="n">
        <v>45870</v>
      </c>
      <c r="C1684" s="21" t="n">
        <v>148</v>
      </c>
      <c r="D1684" s="21" t="n">
        <v>54.59666666666668</v>
      </c>
      <c r="E1684" s="21" t="n">
        <v>32.08000000000001</v>
      </c>
      <c r="F1684" s="27">
        <f>IFERROR(IF(OR(C1684="",D1684="",C1684=0),"",D1684/C1684),"")</f>
        <v/>
      </c>
      <c r="G1684" s="21">
        <f>IFERROR(INDEX(Users!$A$2:$A$310,MATCH(A1684,Users!$B$2:$B$310,0)),"")</f>
        <v/>
      </c>
      <c r="H1684" s="21">
        <f>IFERROR(INDEX(Users!$D$2:$D$310,MATCH(A1684,Users!$B$2:$B$310,0)),"")</f>
        <v/>
      </c>
      <c r="I1684" s="19">
        <f>AND(G1684="Service A",H1684="Band 3")</f>
        <v/>
      </c>
      <c r="J1684" s="33">
        <f>IF(AND(YEAR(B1684)=2025,G1684="Service B",OR(H1684="Band 3",H1684="Band 5"),ISNUMBER(F1684)),F1684,"")</f>
        <v/>
      </c>
    </row>
    <row r="1685">
      <c r="A1685" s="19" t="inlineStr">
        <is>
          <t>User1180</t>
        </is>
      </c>
      <c r="B1685" s="60" t="n">
        <v>45901</v>
      </c>
      <c r="C1685" s="21" t="n">
        <v>162.8</v>
      </c>
      <c r="D1685" s="21" t="n">
        <v>169.6233333333333</v>
      </c>
      <c r="E1685" s="21" t="n">
        <v>115.0399999999999</v>
      </c>
      <c r="F1685" s="27">
        <f>IFERROR(IF(OR(C1685="",D1685="",C1685=0),"",D1685/C1685),"")</f>
        <v/>
      </c>
      <c r="G1685" s="21">
        <f>IFERROR(INDEX(Users!$A$2:$A$310,MATCH(A1685,Users!$B$2:$B$310,0)),"")</f>
        <v/>
      </c>
      <c r="H1685" s="21">
        <f>IFERROR(INDEX(Users!$D$2:$D$310,MATCH(A1685,Users!$B$2:$B$310,0)),"")</f>
        <v/>
      </c>
      <c r="I1685" s="19">
        <f>AND(G1685="Service A",H1685="Band 3")</f>
        <v/>
      </c>
      <c r="J1685" s="33">
        <f>IF(AND(YEAR(B1685)=2025,G1685="Service B",OR(H1685="Band 3",H1685="Band 5"),ISNUMBER(F1685)),F1685,"")</f>
        <v/>
      </c>
    </row>
    <row r="1686">
      <c r="A1686" s="19" t="inlineStr">
        <is>
          <t>User1180</t>
        </is>
      </c>
      <c r="B1686" s="60" t="n">
        <v>45931</v>
      </c>
      <c r="C1686" s="21" t="n">
        <v>170.2</v>
      </c>
      <c r="D1686" s="21" t="n">
        <v>208.8599999999999</v>
      </c>
      <c r="E1686" s="21" t="n">
        <v>176.6099999999999</v>
      </c>
      <c r="F1686" s="27">
        <f>IFERROR(IF(OR(C1686="",D1686="",C1686=0),"",D1686/C1686),"")</f>
        <v/>
      </c>
      <c r="G1686" s="21">
        <f>IFERROR(INDEX(Users!$A$2:$A$310,MATCH(A1686,Users!$B$2:$B$310,0)),"")</f>
        <v/>
      </c>
      <c r="H1686" s="21">
        <f>IFERROR(INDEX(Users!$D$2:$D$310,MATCH(A1686,Users!$B$2:$B$310,0)),"")</f>
        <v/>
      </c>
      <c r="I1686" s="19">
        <f>AND(G1686="Service A",H1686="Band 3")</f>
        <v/>
      </c>
      <c r="J1686" s="33">
        <f>IF(AND(YEAR(B1686)=2025,G1686="Service B",OR(H1686="Band 3",H1686="Band 5"),ISNUMBER(F1686)),F1686,"")</f>
        <v/>
      </c>
    </row>
    <row r="1687">
      <c r="A1687" s="19" t="inlineStr">
        <is>
          <t>User1180</t>
        </is>
      </c>
      <c r="B1687" s="60" t="n">
        <v>45962</v>
      </c>
      <c r="C1687" s="21" t="n">
        <v>148</v>
      </c>
      <c r="D1687" s="21" t="n">
        <v>168.5366666666667</v>
      </c>
      <c r="E1687" s="21" t="n">
        <v>149.67</v>
      </c>
      <c r="F1687" s="27">
        <f>IFERROR(IF(OR(C1687="",D1687="",C1687=0),"",D1687/C1687),"")</f>
        <v/>
      </c>
      <c r="G1687" s="21">
        <f>IFERROR(INDEX(Users!$A$2:$A$310,MATCH(A1687,Users!$B$2:$B$310,0)),"")</f>
        <v/>
      </c>
      <c r="H1687" s="21">
        <f>IFERROR(INDEX(Users!$D$2:$D$310,MATCH(A1687,Users!$B$2:$B$310,0)),"")</f>
        <v/>
      </c>
      <c r="I1687" s="19">
        <f>AND(G1687="Service A",H1687="Band 3")</f>
        <v/>
      </c>
      <c r="J1687" s="33">
        <f>IF(AND(YEAR(B1687)=2025,G1687="Service B",OR(H1687="Band 3",H1687="Band 5"),ISNUMBER(F1687)),F1687,"")</f>
        <v/>
      </c>
    </row>
    <row r="1688">
      <c r="A1688" s="19" t="inlineStr">
        <is>
          <t>User1180</t>
        </is>
      </c>
      <c r="B1688" s="60" t="n">
        <v>45992</v>
      </c>
      <c r="C1688" s="21" t="n">
        <v>155.4</v>
      </c>
      <c r="D1688" s="21" t="n">
        <v>164.5966666666667</v>
      </c>
      <c r="E1688" s="21" t="n">
        <v>142.33</v>
      </c>
      <c r="F1688" s="27">
        <f>IFERROR(IF(OR(C1688="",D1688="",C1688=0),"",D1688/C1688),"")</f>
        <v/>
      </c>
      <c r="G1688" s="21">
        <f>IFERROR(INDEX(Users!$A$2:$A$310,MATCH(A1688,Users!$B$2:$B$310,0)),"")</f>
        <v/>
      </c>
      <c r="H1688" s="21">
        <f>IFERROR(INDEX(Users!$D$2:$D$310,MATCH(A1688,Users!$B$2:$B$310,0)),"")</f>
        <v/>
      </c>
      <c r="I1688" s="19">
        <f>AND(G1688="Service A",H1688="Band 3")</f>
        <v/>
      </c>
      <c r="J1688" s="33">
        <f>IF(AND(YEAR(B1688)=2025,G1688="Service B",OR(H1688="Band 3",H1688="Band 5"),ISNUMBER(F1688)),F1688,"")</f>
        <v/>
      </c>
    </row>
    <row r="1689">
      <c r="A1689" s="19" t="inlineStr">
        <is>
          <t>User1180</t>
        </is>
      </c>
      <c r="B1689" s="60" t="n">
        <v>46023</v>
      </c>
      <c r="C1689" s="21" t="n">
        <v>155.4</v>
      </c>
      <c r="D1689" s="21" t="n">
        <v>137.59</v>
      </c>
      <c r="E1689" s="21" t="n">
        <v>107.04</v>
      </c>
      <c r="F1689" s="27">
        <f>IFERROR(IF(OR(C1689="",D1689="",C1689=0),"",D1689/C1689),"")</f>
        <v/>
      </c>
      <c r="G1689" s="21">
        <f>IFERROR(INDEX(Users!$A$2:$A$310,MATCH(A1689,Users!$B$2:$B$310,0)),"")</f>
        <v/>
      </c>
      <c r="H1689" s="21">
        <f>IFERROR(INDEX(Users!$D$2:$D$310,MATCH(A1689,Users!$B$2:$B$310,0)),"")</f>
        <v/>
      </c>
      <c r="I1689" s="19">
        <f>AND(G1689="Service A",H1689="Band 3")</f>
        <v/>
      </c>
      <c r="J1689" s="33">
        <f>IF(AND(YEAR(B1689)=2025,G1689="Service B",OR(H1689="Band 3",H1689="Band 5"),ISNUMBER(F1689)),F1689,"")</f>
        <v/>
      </c>
    </row>
    <row r="1690">
      <c r="A1690" s="19" t="inlineStr">
        <is>
          <t>User1181</t>
        </is>
      </c>
      <c r="B1690" s="60" t="n">
        <v>45658</v>
      </c>
      <c r="C1690" s="21" t="n">
        <v>162.8</v>
      </c>
      <c r="D1690" s="21" t="n">
        <v>178.0633333333333</v>
      </c>
      <c r="E1690" s="21" t="n">
        <v>53.34</v>
      </c>
      <c r="F1690" s="27">
        <f>IFERROR(IF(OR(C1690="",D1690="",C1690=0),"",D1690/C1690),"")</f>
        <v/>
      </c>
      <c r="G1690" s="21">
        <f>IFERROR(INDEX(Users!$A$2:$A$310,MATCH(A1690,Users!$B$2:$B$310,0)),"")</f>
        <v/>
      </c>
      <c r="H1690" s="21">
        <f>IFERROR(INDEX(Users!$D$2:$D$310,MATCH(A1690,Users!$B$2:$B$310,0)),"")</f>
        <v/>
      </c>
      <c r="I1690" s="19">
        <f>AND(G1690="Service A",H1690="Band 3")</f>
        <v/>
      </c>
      <c r="J1690" s="33">
        <f>IF(AND(YEAR(B1690)=2025,G1690="Service B",OR(H1690="Band 3",H1690="Band 5"),ISNUMBER(F1690)),F1690,"")</f>
        <v/>
      </c>
    </row>
    <row r="1691">
      <c r="A1691" s="19" t="inlineStr">
        <is>
          <t>User1181</t>
        </is>
      </c>
      <c r="B1691" s="60" t="n">
        <v>45689</v>
      </c>
      <c r="C1691" s="21" t="n">
        <v>148</v>
      </c>
      <c r="D1691" s="21" t="n">
        <v>146.0833333333333</v>
      </c>
      <c r="E1691" s="21" t="n">
        <v>60.67</v>
      </c>
      <c r="F1691" s="27">
        <f>IFERROR(IF(OR(C1691="",D1691="",C1691=0),"",D1691/C1691),"")</f>
        <v/>
      </c>
      <c r="G1691" s="21">
        <f>IFERROR(INDEX(Users!$A$2:$A$310,MATCH(A1691,Users!$B$2:$B$310,0)),"")</f>
        <v/>
      </c>
      <c r="H1691" s="21">
        <f>IFERROR(INDEX(Users!$D$2:$D$310,MATCH(A1691,Users!$B$2:$B$310,0)),"")</f>
        <v/>
      </c>
      <c r="I1691" s="19">
        <f>AND(G1691="Service A",H1691="Band 3")</f>
        <v/>
      </c>
      <c r="J1691" s="33">
        <f>IF(AND(YEAR(B1691)=2025,G1691="Service B",OR(H1691="Band 3",H1691="Band 5"),ISNUMBER(F1691)),F1691,"")</f>
        <v/>
      </c>
    </row>
    <row r="1692">
      <c r="A1692" s="19" t="inlineStr">
        <is>
          <t>User1181</t>
        </is>
      </c>
      <c r="B1692" s="60" t="n">
        <v>45717</v>
      </c>
      <c r="C1692" s="21" t="n">
        <v>155.4</v>
      </c>
      <c r="D1692" s="21" t="n">
        <v>37.5</v>
      </c>
      <c r="E1692" s="21" t="n">
        <v>17</v>
      </c>
      <c r="F1692" s="27">
        <f>IFERROR(IF(OR(C1692="",D1692="",C1692=0),"",D1692/C1692),"")</f>
        <v/>
      </c>
      <c r="G1692" s="21">
        <f>IFERROR(INDEX(Users!$A$2:$A$310,MATCH(A1692,Users!$B$2:$B$310,0)),"")</f>
        <v/>
      </c>
      <c r="H1692" s="21">
        <f>IFERROR(INDEX(Users!$D$2:$D$310,MATCH(A1692,Users!$B$2:$B$310,0)),"")</f>
        <v/>
      </c>
      <c r="I1692" s="19">
        <f>AND(G1692="Service A",H1692="Band 3")</f>
        <v/>
      </c>
      <c r="J1692" s="33">
        <f>IF(AND(YEAR(B1692)=2025,G1692="Service B",OR(H1692="Band 3",H1692="Band 5"),ISNUMBER(F1692)),F1692,"")</f>
        <v/>
      </c>
    </row>
    <row r="1693">
      <c r="A1693" s="19" t="inlineStr">
        <is>
          <t>User1181</t>
        </is>
      </c>
      <c r="B1693" s="60" t="n">
        <v>45748</v>
      </c>
      <c r="C1693" s="21" t="n">
        <v>148</v>
      </c>
      <c r="D1693" s="21" t="n">
        <v>45</v>
      </c>
      <c r="E1693" s="21" t="n">
        <v>11</v>
      </c>
      <c r="F1693" s="27">
        <f>IFERROR(IF(OR(C1693="",D1693="",C1693=0),"",D1693/C1693),"")</f>
        <v/>
      </c>
      <c r="G1693" s="21">
        <f>IFERROR(INDEX(Users!$A$2:$A$310,MATCH(A1693,Users!$B$2:$B$310,0)),"")</f>
        <v/>
      </c>
      <c r="H1693" s="21">
        <f>IFERROR(INDEX(Users!$D$2:$D$310,MATCH(A1693,Users!$B$2:$B$310,0)),"")</f>
        <v/>
      </c>
      <c r="I1693" s="19">
        <f>AND(G1693="Service A",H1693="Band 3")</f>
        <v/>
      </c>
      <c r="J1693" s="33">
        <f>IF(AND(YEAR(B1693)=2025,G1693="Service B",OR(H1693="Band 3",H1693="Band 5"),ISNUMBER(F1693)),F1693,"")</f>
        <v/>
      </c>
    </row>
    <row r="1694">
      <c r="A1694" s="19" t="inlineStr">
        <is>
          <t>User1181</t>
        </is>
      </c>
      <c r="B1694" s="60" t="n">
        <v>45778</v>
      </c>
      <c r="C1694" s="21" t="n">
        <v>148</v>
      </c>
      <c r="D1694" s="21" t="n">
        <v>6</v>
      </c>
      <c r="E1694" s="21" t="n">
        <v>6</v>
      </c>
      <c r="F1694" s="27">
        <f>IFERROR(IF(OR(C1694="",D1694="",C1694=0),"",D1694/C1694),"")</f>
        <v/>
      </c>
      <c r="G1694" s="21">
        <f>IFERROR(INDEX(Users!$A$2:$A$310,MATCH(A1694,Users!$B$2:$B$310,0)),"")</f>
        <v/>
      </c>
      <c r="H1694" s="21">
        <f>IFERROR(INDEX(Users!$D$2:$D$310,MATCH(A1694,Users!$B$2:$B$310,0)),"")</f>
        <v/>
      </c>
      <c r="I1694" s="19">
        <f>AND(G1694="Service A",H1694="Band 3")</f>
        <v/>
      </c>
      <c r="J1694" s="33">
        <f>IF(AND(YEAR(B1694)=2025,G1694="Service B",OR(H1694="Band 3",H1694="Band 5"),ISNUMBER(F1694)),F1694,"")</f>
        <v/>
      </c>
    </row>
    <row r="1695">
      <c r="A1695" s="19" t="inlineStr">
        <is>
          <t>User1181</t>
        </is>
      </c>
      <c r="B1695" s="60" t="n">
        <v>45809</v>
      </c>
      <c r="C1695" s="21" t="n">
        <v>155.4</v>
      </c>
      <c r="D1695" s="21" t="n">
        <v>115.0319444444444</v>
      </c>
      <c r="E1695" s="21" t="n">
        <v>43.02999999999997</v>
      </c>
      <c r="F1695" s="27">
        <f>IFERROR(IF(OR(C1695="",D1695="",C1695=0),"",D1695/C1695),"")</f>
        <v/>
      </c>
      <c r="G1695" s="21">
        <f>IFERROR(INDEX(Users!$A$2:$A$310,MATCH(A1695,Users!$B$2:$B$310,0)),"")</f>
        <v/>
      </c>
      <c r="H1695" s="21">
        <f>IFERROR(INDEX(Users!$D$2:$D$310,MATCH(A1695,Users!$B$2:$B$310,0)),"")</f>
        <v/>
      </c>
      <c r="I1695" s="19">
        <f>AND(G1695="Service A",H1695="Band 3")</f>
        <v/>
      </c>
      <c r="J1695" s="33">
        <f>IF(AND(YEAR(B1695)=2025,G1695="Service B",OR(H1695="Band 3",H1695="Band 5"),ISNUMBER(F1695)),F1695,"")</f>
        <v/>
      </c>
    </row>
    <row r="1696">
      <c r="A1696" s="19" t="inlineStr">
        <is>
          <t>User1181</t>
        </is>
      </c>
      <c r="B1696" s="60" t="n">
        <v>45839</v>
      </c>
      <c r="C1696" s="21" t="n">
        <v>170.2</v>
      </c>
      <c r="D1696" s="21" t="n">
        <v>150.4233333333333</v>
      </c>
      <c r="E1696" s="21" t="n">
        <v>87.09</v>
      </c>
      <c r="F1696" s="27">
        <f>IFERROR(IF(OR(C1696="",D1696="",C1696=0),"",D1696/C1696),"")</f>
        <v/>
      </c>
      <c r="G1696" s="21">
        <f>IFERROR(INDEX(Users!$A$2:$A$310,MATCH(A1696,Users!$B$2:$B$310,0)),"")</f>
        <v/>
      </c>
      <c r="H1696" s="21">
        <f>IFERROR(INDEX(Users!$D$2:$D$310,MATCH(A1696,Users!$B$2:$B$310,0)),"")</f>
        <v/>
      </c>
      <c r="I1696" s="19">
        <f>AND(G1696="Service A",H1696="Band 3")</f>
        <v/>
      </c>
      <c r="J1696" s="33">
        <f>IF(AND(YEAR(B1696)=2025,G1696="Service B",OR(H1696="Band 3",H1696="Band 5"),ISNUMBER(F1696)),F1696,"")</f>
        <v/>
      </c>
    </row>
    <row r="1697">
      <c r="A1697" s="19" t="inlineStr">
        <is>
          <t>User1181</t>
        </is>
      </c>
      <c r="B1697" s="60" t="n">
        <v>45870</v>
      </c>
      <c r="C1697" s="21" t="n">
        <v>148</v>
      </c>
      <c r="D1697" s="21" t="n">
        <v>118.5766666666667</v>
      </c>
      <c r="E1697" s="21" t="n">
        <v>75.91</v>
      </c>
      <c r="F1697" s="27">
        <f>IFERROR(IF(OR(C1697="",D1697="",C1697=0),"",D1697/C1697),"")</f>
        <v/>
      </c>
      <c r="G1697" s="21">
        <f>IFERROR(INDEX(Users!$A$2:$A$310,MATCH(A1697,Users!$B$2:$B$310,0)),"")</f>
        <v/>
      </c>
      <c r="H1697" s="21">
        <f>IFERROR(INDEX(Users!$D$2:$D$310,MATCH(A1697,Users!$B$2:$B$310,0)),"")</f>
        <v/>
      </c>
      <c r="I1697" s="19">
        <f>AND(G1697="Service A",H1697="Band 3")</f>
        <v/>
      </c>
      <c r="J1697" s="33">
        <f>IF(AND(YEAR(B1697)=2025,G1697="Service B",OR(H1697="Band 3",H1697="Band 5"),ISNUMBER(F1697)),F1697,"")</f>
        <v/>
      </c>
    </row>
    <row r="1698">
      <c r="A1698" s="19" t="inlineStr">
        <is>
          <t>User1181</t>
        </is>
      </c>
      <c r="B1698" s="60" t="n">
        <v>45901</v>
      </c>
      <c r="C1698" s="21" t="n">
        <v>162.8</v>
      </c>
      <c r="D1698" s="21" t="n">
        <v>141.9213888888889</v>
      </c>
      <c r="E1698" s="21" t="n">
        <v>65.27</v>
      </c>
      <c r="F1698" s="27">
        <f>IFERROR(IF(OR(C1698="",D1698="",C1698=0),"",D1698/C1698),"")</f>
        <v/>
      </c>
      <c r="G1698" s="21">
        <f>IFERROR(INDEX(Users!$A$2:$A$310,MATCH(A1698,Users!$B$2:$B$310,0)),"")</f>
        <v/>
      </c>
      <c r="H1698" s="21">
        <f>IFERROR(INDEX(Users!$D$2:$D$310,MATCH(A1698,Users!$B$2:$B$310,0)),"")</f>
        <v/>
      </c>
      <c r="I1698" s="19">
        <f>AND(G1698="Service A",H1698="Band 3")</f>
        <v/>
      </c>
      <c r="J1698" s="33">
        <f>IF(AND(YEAR(B1698)=2025,G1698="Service B",OR(H1698="Band 3",H1698="Band 5"),ISNUMBER(F1698)),F1698,"")</f>
        <v/>
      </c>
    </row>
    <row r="1699">
      <c r="A1699" s="19" t="inlineStr">
        <is>
          <t>User1181</t>
        </is>
      </c>
      <c r="B1699" s="60" t="n">
        <v>45931</v>
      </c>
      <c r="C1699" s="21" t="n">
        <v>170.2</v>
      </c>
      <c r="D1699" s="21" t="n">
        <v>113.09</v>
      </c>
      <c r="E1699" s="21" t="n">
        <v>70.59</v>
      </c>
      <c r="F1699" s="27">
        <f>IFERROR(IF(OR(C1699="",D1699="",C1699=0),"",D1699/C1699),"")</f>
        <v/>
      </c>
      <c r="G1699" s="21">
        <f>IFERROR(INDEX(Users!$A$2:$A$310,MATCH(A1699,Users!$B$2:$B$310,0)),"")</f>
        <v/>
      </c>
      <c r="H1699" s="21">
        <f>IFERROR(INDEX(Users!$D$2:$D$310,MATCH(A1699,Users!$B$2:$B$310,0)),"")</f>
        <v/>
      </c>
      <c r="I1699" s="19">
        <f>AND(G1699="Service A",H1699="Band 3")</f>
        <v/>
      </c>
      <c r="J1699" s="33">
        <f>IF(AND(YEAR(B1699)=2025,G1699="Service B",OR(H1699="Band 3",H1699="Band 5"),ISNUMBER(F1699)),F1699,"")</f>
        <v/>
      </c>
    </row>
    <row r="1700">
      <c r="A1700" s="19" t="inlineStr">
        <is>
          <t>User1181</t>
        </is>
      </c>
      <c r="B1700" s="60" t="n">
        <v>45962</v>
      </c>
      <c r="C1700" s="21" t="n">
        <v>148</v>
      </c>
      <c r="D1700" s="21" t="n">
        <v>36.24333333333333</v>
      </c>
      <c r="E1700" s="21" t="n">
        <v>6.16</v>
      </c>
      <c r="F1700" s="27">
        <f>IFERROR(IF(OR(C1700="",D1700="",C1700=0),"",D1700/C1700),"")</f>
        <v/>
      </c>
      <c r="G1700" s="21">
        <f>IFERROR(INDEX(Users!$A$2:$A$310,MATCH(A1700,Users!$B$2:$B$310,0)),"")</f>
        <v/>
      </c>
      <c r="H1700" s="21">
        <f>IFERROR(INDEX(Users!$D$2:$D$310,MATCH(A1700,Users!$B$2:$B$310,0)),"")</f>
        <v/>
      </c>
      <c r="I1700" s="19">
        <f>AND(G1700="Service A",H1700="Band 3")</f>
        <v/>
      </c>
      <c r="J1700" s="33">
        <f>IF(AND(YEAR(B1700)=2025,G1700="Service B",OR(H1700="Band 3",H1700="Band 5"),ISNUMBER(F1700)),F1700,"")</f>
        <v/>
      </c>
    </row>
    <row r="1701">
      <c r="A1701" s="19" t="inlineStr">
        <is>
          <t>User1181</t>
        </is>
      </c>
      <c r="B1701" s="60" t="n">
        <v>45992</v>
      </c>
      <c r="C1701" s="21" t="n">
        <v>155.4</v>
      </c>
      <c r="D1701" s="21" t="n">
        <v>137.0933333333333</v>
      </c>
      <c r="E1701" s="21" t="n">
        <v>54.25999999999998</v>
      </c>
      <c r="F1701" s="27">
        <f>IFERROR(IF(OR(C1701="",D1701="",C1701=0),"",D1701/C1701),"")</f>
        <v/>
      </c>
      <c r="G1701" s="21">
        <f>IFERROR(INDEX(Users!$A$2:$A$310,MATCH(A1701,Users!$B$2:$B$310,0)),"")</f>
        <v/>
      </c>
      <c r="H1701" s="21">
        <f>IFERROR(INDEX(Users!$D$2:$D$310,MATCH(A1701,Users!$B$2:$B$310,0)),"")</f>
        <v/>
      </c>
      <c r="I1701" s="19">
        <f>AND(G1701="Service A",H1701="Band 3")</f>
        <v/>
      </c>
      <c r="J1701" s="33">
        <f>IF(AND(YEAR(B1701)=2025,G1701="Service B",OR(H1701="Band 3",H1701="Band 5"),ISNUMBER(F1701)),F1701,"")</f>
        <v/>
      </c>
    </row>
    <row r="1702">
      <c r="A1702" s="19" t="inlineStr">
        <is>
          <t>User1181</t>
        </is>
      </c>
      <c r="B1702" s="60" t="n">
        <v>46023</v>
      </c>
      <c r="C1702" s="21" t="n">
        <v>155.4</v>
      </c>
      <c r="D1702" s="21" t="n">
        <v>147.4566666666666</v>
      </c>
      <c r="E1702" s="21" t="n">
        <v>72.78999999999999</v>
      </c>
      <c r="F1702" s="27">
        <f>IFERROR(IF(OR(C1702="",D1702="",C1702=0),"",D1702/C1702),"")</f>
        <v/>
      </c>
      <c r="G1702" s="21">
        <f>IFERROR(INDEX(Users!$A$2:$A$310,MATCH(A1702,Users!$B$2:$B$310,0)),"")</f>
        <v/>
      </c>
      <c r="H1702" s="21">
        <f>IFERROR(INDEX(Users!$D$2:$D$310,MATCH(A1702,Users!$B$2:$B$310,0)),"")</f>
        <v/>
      </c>
      <c r="I1702" s="19">
        <f>AND(G1702="Service A",H1702="Band 3")</f>
        <v/>
      </c>
      <c r="J1702" s="33">
        <f>IF(AND(YEAR(B1702)=2025,G1702="Service B",OR(H1702="Band 3",H1702="Band 5"),ISNUMBER(F1702)),F1702,"")</f>
        <v/>
      </c>
    </row>
    <row r="1703">
      <c r="A1703" s="19" t="inlineStr">
        <is>
          <t>User1182</t>
        </is>
      </c>
      <c r="B1703" s="60" t="n">
        <v>45901</v>
      </c>
      <c r="C1703" s="21" t="n">
        <v>51.8</v>
      </c>
      <c r="D1703" s="21" t="n"/>
      <c r="E1703" s="21" t="n"/>
      <c r="F1703" s="27">
        <f>IFERROR(IF(OR(C1703="",D1703="",C1703=0),"",D1703/C1703),"")</f>
        <v/>
      </c>
      <c r="G1703" s="21">
        <f>IFERROR(INDEX(Users!$A$2:$A$310,MATCH(A1703,Users!$B$2:$B$310,0)),"")</f>
        <v/>
      </c>
      <c r="H1703" s="21">
        <f>IFERROR(INDEX(Users!$D$2:$D$310,MATCH(A1703,Users!$B$2:$B$310,0)),"")</f>
        <v/>
      </c>
      <c r="I1703" s="19">
        <f>AND(G1703="Service A",H1703="Band 3")</f>
        <v/>
      </c>
      <c r="J1703" s="33">
        <f>IF(AND(YEAR(B1703)=2025,G1703="Service B",OR(H1703="Band 3",H1703="Band 5"),ISNUMBER(F1703)),F1703,"")</f>
        <v/>
      </c>
    </row>
    <row r="1704">
      <c r="A1704" s="19" t="inlineStr">
        <is>
          <t>User1182</t>
        </is>
      </c>
      <c r="B1704" s="60" t="n">
        <v>45931</v>
      </c>
      <c r="C1704" s="21" t="n">
        <v>170.2000000000001</v>
      </c>
      <c r="D1704" s="21" t="n">
        <v>151.8033333333334</v>
      </c>
      <c r="E1704" s="21" t="n">
        <v>22.52</v>
      </c>
      <c r="F1704" s="27">
        <f>IFERROR(IF(OR(C1704="",D1704="",C1704=0),"",D1704/C1704),"")</f>
        <v/>
      </c>
      <c r="G1704" s="21">
        <f>IFERROR(INDEX(Users!$A$2:$A$310,MATCH(A1704,Users!$B$2:$B$310,0)),"")</f>
        <v/>
      </c>
      <c r="H1704" s="21">
        <f>IFERROR(INDEX(Users!$D$2:$D$310,MATCH(A1704,Users!$B$2:$B$310,0)),"")</f>
        <v/>
      </c>
      <c r="I1704" s="19">
        <f>AND(G1704="Service A",H1704="Band 3")</f>
        <v/>
      </c>
      <c r="J1704" s="33">
        <f>IF(AND(YEAR(B1704)=2025,G1704="Service B",OR(H1704="Band 3",H1704="Band 5"),ISNUMBER(F1704)),F1704,"")</f>
        <v/>
      </c>
    </row>
    <row r="1705">
      <c r="A1705" s="19" t="inlineStr">
        <is>
          <t>User1182</t>
        </is>
      </c>
      <c r="B1705" s="60" t="n">
        <v>45962</v>
      </c>
      <c r="C1705" s="21" t="n">
        <v>148.0000000000001</v>
      </c>
      <c r="D1705" s="21" t="n">
        <v>153.8633333333333</v>
      </c>
      <c r="E1705" s="21" t="n">
        <v>82.47999999999999</v>
      </c>
      <c r="F1705" s="27">
        <f>IFERROR(IF(OR(C1705="",D1705="",C1705=0),"",D1705/C1705),"")</f>
        <v/>
      </c>
      <c r="G1705" s="21">
        <f>IFERROR(INDEX(Users!$A$2:$A$310,MATCH(A1705,Users!$B$2:$B$310,0)),"")</f>
        <v/>
      </c>
      <c r="H1705" s="21">
        <f>IFERROR(INDEX(Users!$D$2:$D$310,MATCH(A1705,Users!$B$2:$B$310,0)),"")</f>
        <v/>
      </c>
      <c r="I1705" s="19">
        <f>AND(G1705="Service A",H1705="Band 3")</f>
        <v/>
      </c>
      <c r="J1705" s="33">
        <f>IF(AND(YEAR(B1705)=2025,G1705="Service B",OR(H1705="Band 3",H1705="Band 5"),ISNUMBER(F1705)),F1705,"")</f>
        <v/>
      </c>
    </row>
    <row r="1706">
      <c r="A1706" s="19" t="inlineStr">
        <is>
          <t>User1182</t>
        </is>
      </c>
      <c r="B1706" s="60" t="n">
        <v>45992</v>
      </c>
      <c r="C1706" s="21" t="n">
        <v>155.4000000000001</v>
      </c>
      <c r="D1706" s="21" t="n">
        <v>161.9866666666667</v>
      </c>
      <c r="E1706" s="21" t="n">
        <v>86.52000000000001</v>
      </c>
      <c r="F1706" s="27">
        <f>IFERROR(IF(OR(C1706="",D1706="",C1706=0),"",D1706/C1706),"")</f>
        <v/>
      </c>
      <c r="G1706" s="21">
        <f>IFERROR(INDEX(Users!$A$2:$A$310,MATCH(A1706,Users!$B$2:$B$310,0)),"")</f>
        <v/>
      </c>
      <c r="H1706" s="21">
        <f>IFERROR(INDEX(Users!$D$2:$D$310,MATCH(A1706,Users!$B$2:$B$310,0)),"")</f>
        <v/>
      </c>
      <c r="I1706" s="19">
        <f>AND(G1706="Service A",H1706="Band 3")</f>
        <v/>
      </c>
      <c r="J1706" s="33">
        <f>IF(AND(YEAR(B1706)=2025,G1706="Service B",OR(H1706="Band 3",H1706="Band 5"),ISNUMBER(F1706)),F1706,"")</f>
        <v/>
      </c>
    </row>
    <row r="1707">
      <c r="A1707" s="19" t="inlineStr">
        <is>
          <t>User1182</t>
        </is>
      </c>
      <c r="B1707" s="60" t="n">
        <v>46023</v>
      </c>
      <c r="C1707" s="21" t="n">
        <v>155.4000000000001</v>
      </c>
      <c r="D1707" s="21" t="n">
        <v>45.24333333333334</v>
      </c>
      <c r="E1707" s="21" t="n">
        <v>25.91</v>
      </c>
      <c r="F1707" s="27">
        <f>IFERROR(IF(OR(C1707="",D1707="",C1707=0),"",D1707/C1707),"")</f>
        <v/>
      </c>
      <c r="G1707" s="21">
        <f>IFERROR(INDEX(Users!$A$2:$A$310,MATCH(A1707,Users!$B$2:$B$310,0)),"")</f>
        <v/>
      </c>
      <c r="H1707" s="21">
        <f>IFERROR(INDEX(Users!$D$2:$D$310,MATCH(A1707,Users!$B$2:$B$310,0)),"")</f>
        <v/>
      </c>
      <c r="I1707" s="19">
        <f>AND(G1707="Service A",H1707="Band 3")</f>
        <v/>
      </c>
      <c r="J1707" s="33">
        <f>IF(AND(YEAR(B1707)=2025,G1707="Service B",OR(H1707="Band 3",H1707="Band 5"),ISNUMBER(F1707)),F1707,"")</f>
        <v/>
      </c>
    </row>
    <row r="1708">
      <c r="A1708" s="19" t="inlineStr">
        <is>
          <t>User1183</t>
        </is>
      </c>
      <c r="B1708" s="60" t="n">
        <v>45658</v>
      </c>
      <c r="C1708" s="21" t="n">
        <v>162.8</v>
      </c>
      <c r="D1708" s="21" t="n">
        <v>148.0566666666666</v>
      </c>
      <c r="E1708" s="21" t="n">
        <v>129.89</v>
      </c>
      <c r="F1708" s="27">
        <f>IFERROR(IF(OR(C1708="",D1708="",C1708=0),"",D1708/C1708),"")</f>
        <v/>
      </c>
      <c r="G1708" s="21">
        <f>IFERROR(INDEX(Users!$A$2:$A$310,MATCH(A1708,Users!$B$2:$B$310,0)),"")</f>
        <v/>
      </c>
      <c r="H1708" s="21">
        <f>IFERROR(INDEX(Users!$D$2:$D$310,MATCH(A1708,Users!$B$2:$B$310,0)),"")</f>
        <v/>
      </c>
      <c r="I1708" s="19">
        <f>AND(G1708="Service A",H1708="Band 3")</f>
        <v/>
      </c>
      <c r="J1708" s="33">
        <f>IF(AND(YEAR(B1708)=2025,G1708="Service B",OR(H1708="Band 3",H1708="Band 5"),ISNUMBER(F1708)),F1708,"")</f>
        <v/>
      </c>
    </row>
    <row r="1709">
      <c r="A1709" s="19" t="inlineStr">
        <is>
          <t>User1183</t>
        </is>
      </c>
      <c r="B1709" s="60" t="n">
        <v>45689</v>
      </c>
      <c r="C1709" s="21" t="n">
        <v>148</v>
      </c>
      <c r="D1709" s="21" t="n">
        <v>129.1533333333333</v>
      </c>
      <c r="E1709" s="21" t="n">
        <v>91.31999999999999</v>
      </c>
      <c r="F1709" s="27">
        <f>IFERROR(IF(OR(C1709="",D1709="",C1709=0),"",D1709/C1709),"")</f>
        <v/>
      </c>
      <c r="G1709" s="21">
        <f>IFERROR(INDEX(Users!$A$2:$A$310,MATCH(A1709,Users!$B$2:$B$310,0)),"")</f>
        <v/>
      </c>
      <c r="H1709" s="21">
        <f>IFERROR(INDEX(Users!$D$2:$D$310,MATCH(A1709,Users!$B$2:$B$310,0)),"")</f>
        <v/>
      </c>
      <c r="I1709" s="19">
        <f>AND(G1709="Service A",H1709="Band 3")</f>
        <v/>
      </c>
      <c r="J1709" s="33">
        <f>IF(AND(YEAR(B1709)=2025,G1709="Service B",OR(H1709="Band 3",H1709="Band 5"),ISNUMBER(F1709)),F1709,"")</f>
        <v/>
      </c>
    </row>
    <row r="1710">
      <c r="A1710" s="19" t="inlineStr">
        <is>
          <t>User1183</t>
        </is>
      </c>
      <c r="B1710" s="60" t="n">
        <v>45717</v>
      </c>
      <c r="C1710" s="21" t="n">
        <v>155.4</v>
      </c>
      <c r="D1710" s="21" t="n">
        <v>143.9466666666667</v>
      </c>
      <c r="E1710" s="21" t="n">
        <v>113.98</v>
      </c>
      <c r="F1710" s="27">
        <f>IFERROR(IF(OR(C1710="",D1710="",C1710=0),"",D1710/C1710),"")</f>
        <v/>
      </c>
      <c r="G1710" s="21">
        <f>IFERROR(INDEX(Users!$A$2:$A$310,MATCH(A1710,Users!$B$2:$B$310,0)),"")</f>
        <v/>
      </c>
      <c r="H1710" s="21">
        <f>IFERROR(INDEX(Users!$D$2:$D$310,MATCH(A1710,Users!$B$2:$B$310,0)),"")</f>
        <v/>
      </c>
      <c r="I1710" s="19">
        <f>AND(G1710="Service A",H1710="Band 3")</f>
        <v/>
      </c>
      <c r="J1710" s="33">
        <f>IF(AND(YEAR(B1710)=2025,G1710="Service B",OR(H1710="Band 3",H1710="Band 5"),ISNUMBER(F1710)),F1710,"")</f>
        <v/>
      </c>
    </row>
    <row r="1711">
      <c r="A1711" s="19" t="inlineStr">
        <is>
          <t>User1183</t>
        </is>
      </c>
      <c r="B1711" s="60" t="n">
        <v>45748</v>
      </c>
      <c r="C1711" s="21" t="n">
        <v>148</v>
      </c>
      <c r="D1711" s="21" t="n">
        <v>144.2733333333333</v>
      </c>
      <c r="E1711" s="21" t="n">
        <v>107.44</v>
      </c>
      <c r="F1711" s="27">
        <f>IFERROR(IF(OR(C1711="",D1711="",C1711=0),"",D1711/C1711),"")</f>
        <v/>
      </c>
      <c r="G1711" s="21">
        <f>IFERROR(INDEX(Users!$A$2:$A$310,MATCH(A1711,Users!$B$2:$B$310,0)),"")</f>
        <v/>
      </c>
      <c r="H1711" s="21">
        <f>IFERROR(INDEX(Users!$D$2:$D$310,MATCH(A1711,Users!$B$2:$B$310,0)),"")</f>
        <v/>
      </c>
      <c r="I1711" s="19">
        <f>AND(G1711="Service A",H1711="Band 3")</f>
        <v/>
      </c>
      <c r="J1711" s="33">
        <f>IF(AND(YEAR(B1711)=2025,G1711="Service B",OR(H1711="Band 3",H1711="Band 5"),ISNUMBER(F1711)),F1711,"")</f>
        <v/>
      </c>
    </row>
    <row r="1712">
      <c r="A1712" s="19" t="inlineStr">
        <is>
          <t>User1183</t>
        </is>
      </c>
      <c r="B1712" s="60" t="n">
        <v>45778</v>
      </c>
      <c r="C1712" s="21" t="n">
        <v>148</v>
      </c>
      <c r="D1712" s="21" t="n">
        <v>109.56</v>
      </c>
      <c r="E1712" s="21" t="n">
        <v>85.75999999999999</v>
      </c>
      <c r="F1712" s="27">
        <f>IFERROR(IF(OR(C1712="",D1712="",C1712=0),"",D1712/C1712),"")</f>
        <v/>
      </c>
      <c r="G1712" s="21">
        <f>IFERROR(INDEX(Users!$A$2:$A$310,MATCH(A1712,Users!$B$2:$B$310,0)),"")</f>
        <v/>
      </c>
      <c r="H1712" s="21">
        <f>IFERROR(INDEX(Users!$D$2:$D$310,MATCH(A1712,Users!$B$2:$B$310,0)),"")</f>
        <v/>
      </c>
      <c r="I1712" s="19">
        <f>AND(G1712="Service A",H1712="Band 3")</f>
        <v/>
      </c>
      <c r="J1712" s="33">
        <f>IF(AND(YEAR(B1712)=2025,G1712="Service B",OR(H1712="Band 3",H1712="Band 5"),ISNUMBER(F1712)),F1712,"")</f>
        <v/>
      </c>
    </row>
    <row r="1713">
      <c r="A1713" s="19" t="inlineStr">
        <is>
          <t>User1183</t>
        </is>
      </c>
      <c r="B1713" s="60" t="n">
        <v>45809</v>
      </c>
      <c r="C1713" s="21" t="n">
        <v>155.4</v>
      </c>
      <c r="D1713" s="21" t="n">
        <v>146.68</v>
      </c>
      <c r="E1713" s="21" t="n">
        <v>113.93</v>
      </c>
      <c r="F1713" s="27">
        <f>IFERROR(IF(OR(C1713="",D1713="",C1713=0),"",D1713/C1713),"")</f>
        <v/>
      </c>
      <c r="G1713" s="21">
        <f>IFERROR(INDEX(Users!$A$2:$A$310,MATCH(A1713,Users!$B$2:$B$310,0)),"")</f>
        <v/>
      </c>
      <c r="H1713" s="21">
        <f>IFERROR(INDEX(Users!$D$2:$D$310,MATCH(A1713,Users!$B$2:$B$310,0)),"")</f>
        <v/>
      </c>
      <c r="I1713" s="19">
        <f>AND(G1713="Service A",H1713="Band 3")</f>
        <v/>
      </c>
      <c r="J1713" s="33">
        <f>IF(AND(YEAR(B1713)=2025,G1713="Service B",OR(H1713="Band 3",H1713="Band 5"),ISNUMBER(F1713)),F1713,"")</f>
        <v/>
      </c>
    </row>
    <row r="1714">
      <c r="A1714" s="19" t="inlineStr">
        <is>
          <t>User1183</t>
        </is>
      </c>
      <c r="B1714" s="60" t="n">
        <v>45839</v>
      </c>
      <c r="C1714" s="21" t="n">
        <v>170.2</v>
      </c>
      <c r="D1714" s="21" t="n">
        <v>143.9933333333333</v>
      </c>
      <c r="E1714" s="21" t="n">
        <v>126.91</v>
      </c>
      <c r="F1714" s="27">
        <f>IFERROR(IF(OR(C1714="",D1714="",C1714=0),"",D1714/C1714),"")</f>
        <v/>
      </c>
      <c r="G1714" s="21">
        <f>IFERROR(INDEX(Users!$A$2:$A$310,MATCH(A1714,Users!$B$2:$B$310,0)),"")</f>
        <v/>
      </c>
      <c r="H1714" s="21">
        <f>IFERROR(INDEX(Users!$D$2:$D$310,MATCH(A1714,Users!$B$2:$B$310,0)),"")</f>
        <v/>
      </c>
      <c r="I1714" s="19">
        <f>AND(G1714="Service A",H1714="Band 3")</f>
        <v/>
      </c>
      <c r="J1714" s="33">
        <f>IF(AND(YEAR(B1714)=2025,G1714="Service B",OR(H1714="Band 3",H1714="Band 5"),ISNUMBER(F1714)),F1714,"")</f>
        <v/>
      </c>
    </row>
    <row r="1715">
      <c r="A1715" s="19" t="inlineStr">
        <is>
          <t>User1183</t>
        </is>
      </c>
      <c r="B1715" s="60" t="n">
        <v>45870</v>
      </c>
      <c r="C1715" s="21" t="n">
        <v>148</v>
      </c>
      <c r="D1715" s="21" t="n">
        <v>142.6366666666667</v>
      </c>
      <c r="E1715" s="21" t="n">
        <v>114.22</v>
      </c>
      <c r="F1715" s="27">
        <f>IFERROR(IF(OR(C1715="",D1715="",C1715=0),"",D1715/C1715),"")</f>
        <v/>
      </c>
      <c r="G1715" s="21">
        <f>IFERROR(INDEX(Users!$A$2:$A$310,MATCH(A1715,Users!$B$2:$B$310,0)),"")</f>
        <v/>
      </c>
      <c r="H1715" s="21">
        <f>IFERROR(INDEX(Users!$D$2:$D$310,MATCH(A1715,Users!$B$2:$B$310,0)),"")</f>
        <v/>
      </c>
      <c r="I1715" s="19">
        <f>AND(G1715="Service A",H1715="Band 3")</f>
        <v/>
      </c>
      <c r="J1715" s="33">
        <f>IF(AND(YEAR(B1715)=2025,G1715="Service B",OR(H1715="Band 3",H1715="Band 5"),ISNUMBER(F1715)),F1715,"")</f>
        <v/>
      </c>
    </row>
    <row r="1716">
      <c r="A1716" s="19" t="inlineStr">
        <is>
          <t>User1183</t>
        </is>
      </c>
      <c r="B1716" s="60" t="n">
        <v>45901</v>
      </c>
      <c r="C1716" s="21" t="n">
        <v>162.8</v>
      </c>
      <c r="D1716" s="21" t="n">
        <v>175.83</v>
      </c>
      <c r="E1716" s="21" t="n">
        <v>139.33</v>
      </c>
      <c r="F1716" s="27">
        <f>IFERROR(IF(OR(C1716="",D1716="",C1716=0),"",D1716/C1716),"")</f>
        <v/>
      </c>
      <c r="G1716" s="21">
        <f>IFERROR(INDEX(Users!$A$2:$A$310,MATCH(A1716,Users!$B$2:$B$310,0)),"")</f>
        <v/>
      </c>
      <c r="H1716" s="21">
        <f>IFERROR(INDEX(Users!$D$2:$D$310,MATCH(A1716,Users!$B$2:$B$310,0)),"")</f>
        <v/>
      </c>
      <c r="I1716" s="19">
        <f>AND(G1716="Service A",H1716="Band 3")</f>
        <v/>
      </c>
      <c r="J1716" s="33">
        <f>IF(AND(YEAR(B1716)=2025,G1716="Service B",OR(H1716="Band 3",H1716="Band 5"),ISNUMBER(F1716)),F1716,"")</f>
        <v/>
      </c>
    </row>
    <row r="1717">
      <c r="A1717" s="19" t="inlineStr">
        <is>
          <t>User1183</t>
        </is>
      </c>
      <c r="B1717" s="60" t="n">
        <v>45931</v>
      </c>
      <c r="C1717" s="21" t="n">
        <v>170.2</v>
      </c>
      <c r="D1717" s="21" t="n">
        <v>114.16</v>
      </c>
      <c r="E1717" s="21" t="n">
        <v>83.16</v>
      </c>
      <c r="F1717" s="27">
        <f>IFERROR(IF(OR(C1717="",D1717="",C1717=0),"",D1717/C1717),"")</f>
        <v/>
      </c>
      <c r="G1717" s="21">
        <f>IFERROR(INDEX(Users!$A$2:$A$310,MATCH(A1717,Users!$B$2:$B$310,0)),"")</f>
        <v/>
      </c>
      <c r="H1717" s="21">
        <f>IFERROR(INDEX(Users!$D$2:$D$310,MATCH(A1717,Users!$B$2:$B$310,0)),"")</f>
        <v/>
      </c>
      <c r="I1717" s="19">
        <f>AND(G1717="Service A",H1717="Band 3")</f>
        <v/>
      </c>
      <c r="J1717" s="33">
        <f>IF(AND(YEAR(B1717)=2025,G1717="Service B",OR(H1717="Band 3",H1717="Band 5"),ISNUMBER(F1717)),F1717,"")</f>
        <v/>
      </c>
    </row>
    <row r="1718">
      <c r="A1718" s="19" t="inlineStr">
        <is>
          <t>User1183</t>
        </is>
      </c>
      <c r="B1718" s="60" t="n">
        <v>45962</v>
      </c>
      <c r="C1718" s="21" t="n">
        <v>148</v>
      </c>
      <c r="D1718" s="21" t="n">
        <v>75.91</v>
      </c>
      <c r="E1718" s="21" t="n">
        <v>63.66</v>
      </c>
      <c r="F1718" s="27">
        <f>IFERROR(IF(OR(C1718="",D1718="",C1718=0),"",D1718/C1718),"")</f>
        <v/>
      </c>
      <c r="G1718" s="21">
        <f>IFERROR(INDEX(Users!$A$2:$A$310,MATCH(A1718,Users!$B$2:$B$310,0)),"")</f>
        <v/>
      </c>
      <c r="H1718" s="21">
        <f>IFERROR(INDEX(Users!$D$2:$D$310,MATCH(A1718,Users!$B$2:$B$310,0)),"")</f>
        <v/>
      </c>
      <c r="I1718" s="19">
        <f>AND(G1718="Service A",H1718="Band 3")</f>
        <v/>
      </c>
      <c r="J1718" s="33">
        <f>IF(AND(YEAR(B1718)=2025,G1718="Service B",OR(H1718="Band 3",H1718="Band 5"),ISNUMBER(F1718)),F1718,"")</f>
        <v/>
      </c>
    </row>
    <row r="1719">
      <c r="A1719" s="19" t="inlineStr">
        <is>
          <t>User1183</t>
        </is>
      </c>
      <c r="B1719" s="60" t="n">
        <v>45992</v>
      </c>
      <c r="C1719" s="21" t="n">
        <v>155.4</v>
      </c>
      <c r="D1719" s="21" t="n">
        <v>102.5133333333333</v>
      </c>
      <c r="E1719" s="21" t="n">
        <v>69.18000000000001</v>
      </c>
      <c r="F1719" s="27">
        <f>IFERROR(IF(OR(C1719="",D1719="",C1719=0),"",D1719/C1719),"")</f>
        <v/>
      </c>
      <c r="G1719" s="21">
        <f>IFERROR(INDEX(Users!$A$2:$A$310,MATCH(A1719,Users!$B$2:$B$310,0)),"")</f>
        <v/>
      </c>
      <c r="H1719" s="21">
        <f>IFERROR(INDEX(Users!$D$2:$D$310,MATCH(A1719,Users!$B$2:$B$310,0)),"")</f>
        <v/>
      </c>
      <c r="I1719" s="19">
        <f>AND(G1719="Service A",H1719="Band 3")</f>
        <v/>
      </c>
      <c r="J1719" s="33">
        <f>IF(AND(YEAR(B1719)=2025,G1719="Service B",OR(H1719="Band 3",H1719="Band 5"),ISNUMBER(F1719)),F1719,"")</f>
        <v/>
      </c>
    </row>
    <row r="1720">
      <c r="A1720" s="19" t="inlineStr">
        <is>
          <t>User1183</t>
        </is>
      </c>
      <c r="B1720" s="60" t="n">
        <v>46023</v>
      </c>
      <c r="C1720" s="21" t="n">
        <v>155.4</v>
      </c>
      <c r="D1720" s="21" t="n">
        <v>142.1966666666667</v>
      </c>
      <c r="E1720" s="21" t="n">
        <v>105.98</v>
      </c>
      <c r="F1720" s="27">
        <f>IFERROR(IF(OR(C1720="",D1720="",C1720=0),"",D1720/C1720),"")</f>
        <v/>
      </c>
      <c r="G1720" s="21">
        <f>IFERROR(INDEX(Users!$A$2:$A$310,MATCH(A1720,Users!$B$2:$B$310,0)),"")</f>
        <v/>
      </c>
      <c r="H1720" s="21">
        <f>IFERROR(INDEX(Users!$D$2:$D$310,MATCH(A1720,Users!$B$2:$B$310,0)),"")</f>
        <v/>
      </c>
      <c r="I1720" s="19">
        <f>AND(G1720="Service A",H1720="Band 3")</f>
        <v/>
      </c>
      <c r="J1720" s="33">
        <f>IF(AND(YEAR(B1720)=2025,G1720="Service B",OR(H1720="Band 3",H1720="Band 5"),ISNUMBER(F1720)),F1720,"")</f>
        <v/>
      </c>
    </row>
    <row r="1721">
      <c r="A1721" s="19" t="inlineStr">
        <is>
          <t>User1184</t>
        </is>
      </c>
      <c r="B1721" s="60" t="n">
        <v>45658</v>
      </c>
      <c r="C1721" s="21" t="n">
        <v>162.8</v>
      </c>
      <c r="D1721" s="21" t="n">
        <v>142.96</v>
      </c>
      <c r="E1721" s="21" t="n">
        <v>105.31</v>
      </c>
      <c r="F1721" s="27">
        <f>IFERROR(IF(OR(C1721="",D1721="",C1721=0),"",D1721/C1721),"")</f>
        <v/>
      </c>
      <c r="G1721" s="21">
        <f>IFERROR(INDEX(Users!$A$2:$A$310,MATCH(A1721,Users!$B$2:$B$310,0)),"")</f>
        <v/>
      </c>
      <c r="H1721" s="21">
        <f>IFERROR(INDEX(Users!$D$2:$D$310,MATCH(A1721,Users!$B$2:$B$310,0)),"")</f>
        <v/>
      </c>
      <c r="I1721" s="19">
        <f>AND(G1721="Service A",H1721="Band 3")</f>
        <v/>
      </c>
      <c r="J1721" s="33">
        <f>IF(AND(YEAR(B1721)=2025,G1721="Service B",OR(H1721="Band 3",H1721="Band 5"),ISNUMBER(F1721)),F1721,"")</f>
        <v/>
      </c>
    </row>
    <row r="1722">
      <c r="A1722" s="19" t="inlineStr">
        <is>
          <t>User1184</t>
        </is>
      </c>
      <c r="B1722" s="60" t="n">
        <v>45689</v>
      </c>
      <c r="C1722" s="21" t="n">
        <v>148</v>
      </c>
      <c r="D1722" s="21" t="n">
        <v>143.1266666666667</v>
      </c>
      <c r="E1722" s="21" t="n">
        <v>119.46</v>
      </c>
      <c r="F1722" s="27">
        <f>IFERROR(IF(OR(C1722="",D1722="",C1722=0),"",D1722/C1722),"")</f>
        <v/>
      </c>
      <c r="G1722" s="21">
        <f>IFERROR(INDEX(Users!$A$2:$A$310,MATCH(A1722,Users!$B$2:$B$310,0)),"")</f>
        <v/>
      </c>
      <c r="H1722" s="21">
        <f>IFERROR(INDEX(Users!$D$2:$D$310,MATCH(A1722,Users!$B$2:$B$310,0)),"")</f>
        <v/>
      </c>
      <c r="I1722" s="19">
        <f>AND(G1722="Service A",H1722="Band 3")</f>
        <v/>
      </c>
      <c r="J1722" s="33">
        <f>IF(AND(YEAR(B1722)=2025,G1722="Service B",OR(H1722="Band 3",H1722="Band 5"),ISNUMBER(F1722)),F1722,"")</f>
        <v/>
      </c>
    </row>
    <row r="1723">
      <c r="A1723" s="19" t="inlineStr">
        <is>
          <t>User1184</t>
        </is>
      </c>
      <c r="B1723" s="60" t="n">
        <v>45717</v>
      </c>
      <c r="C1723" s="21" t="n">
        <v>155.4</v>
      </c>
      <c r="D1723" s="21" t="n">
        <v>164.5433333333334</v>
      </c>
      <c r="E1723" s="21" t="n">
        <v>63.21000000000002</v>
      </c>
      <c r="F1723" s="27">
        <f>IFERROR(IF(OR(C1723="",D1723="",C1723=0),"",D1723/C1723),"")</f>
        <v/>
      </c>
      <c r="G1723" s="21">
        <f>IFERROR(INDEX(Users!$A$2:$A$310,MATCH(A1723,Users!$B$2:$B$310,0)),"")</f>
        <v/>
      </c>
      <c r="H1723" s="21">
        <f>IFERROR(INDEX(Users!$D$2:$D$310,MATCH(A1723,Users!$B$2:$B$310,0)),"")</f>
        <v/>
      </c>
      <c r="I1723" s="19">
        <f>AND(G1723="Service A",H1723="Band 3")</f>
        <v/>
      </c>
      <c r="J1723" s="33">
        <f>IF(AND(YEAR(B1723)=2025,G1723="Service B",OR(H1723="Band 3",H1723="Band 5"),ISNUMBER(F1723)),F1723,"")</f>
        <v/>
      </c>
    </row>
    <row r="1724">
      <c r="A1724" s="19" t="inlineStr">
        <is>
          <t>User1185</t>
        </is>
      </c>
      <c r="B1724" s="60" t="n">
        <v>45658</v>
      </c>
      <c r="C1724" s="21" t="n">
        <v>162.8</v>
      </c>
      <c r="D1724" s="21" t="n">
        <v>124.6333333333333</v>
      </c>
      <c r="E1724" s="21" t="n">
        <v>8.550000000000001</v>
      </c>
      <c r="F1724" s="27">
        <f>IFERROR(IF(OR(C1724="",D1724="",C1724=0),"",D1724/C1724),"")</f>
        <v/>
      </c>
      <c r="G1724" s="21">
        <f>IFERROR(INDEX(Users!$A$2:$A$310,MATCH(A1724,Users!$B$2:$B$310,0)),"")</f>
        <v/>
      </c>
      <c r="H1724" s="21">
        <f>IFERROR(INDEX(Users!$D$2:$D$310,MATCH(A1724,Users!$B$2:$B$310,0)),"")</f>
        <v/>
      </c>
      <c r="I1724" s="19">
        <f>AND(G1724="Service A",H1724="Band 3")</f>
        <v/>
      </c>
      <c r="J1724" s="33">
        <f>IF(AND(YEAR(B1724)=2025,G1724="Service B",OR(H1724="Band 3",H1724="Band 5"),ISNUMBER(F1724)),F1724,"")</f>
        <v/>
      </c>
    </row>
    <row r="1725">
      <c r="A1725" s="19" t="inlineStr">
        <is>
          <t>User1185</t>
        </is>
      </c>
      <c r="B1725" s="60" t="n">
        <v>45689</v>
      </c>
      <c r="C1725" s="21" t="n">
        <v>148</v>
      </c>
      <c r="D1725" s="21" t="n">
        <v>85.44333333333333</v>
      </c>
      <c r="E1725" s="21" t="n">
        <v>18.56</v>
      </c>
      <c r="F1725" s="27">
        <f>IFERROR(IF(OR(C1725="",D1725="",C1725=0),"",D1725/C1725),"")</f>
        <v/>
      </c>
      <c r="G1725" s="21">
        <f>IFERROR(INDEX(Users!$A$2:$A$310,MATCH(A1725,Users!$B$2:$B$310,0)),"")</f>
        <v/>
      </c>
      <c r="H1725" s="21">
        <f>IFERROR(INDEX(Users!$D$2:$D$310,MATCH(A1725,Users!$B$2:$B$310,0)),"")</f>
        <v/>
      </c>
      <c r="I1725" s="19">
        <f>AND(G1725="Service A",H1725="Band 3")</f>
        <v/>
      </c>
      <c r="J1725" s="33">
        <f>IF(AND(YEAR(B1725)=2025,G1725="Service B",OR(H1725="Band 3",H1725="Band 5"),ISNUMBER(F1725)),F1725,"")</f>
        <v/>
      </c>
    </row>
    <row r="1726">
      <c r="A1726" s="19" t="inlineStr">
        <is>
          <t>User1185</t>
        </is>
      </c>
      <c r="B1726" s="60" t="n">
        <v>45717</v>
      </c>
      <c r="C1726" s="21" t="n">
        <v>155.4</v>
      </c>
      <c r="D1726" s="21" t="n">
        <v>72.93333333333334</v>
      </c>
      <c r="E1726" s="21" t="n">
        <v>23.85</v>
      </c>
      <c r="F1726" s="27">
        <f>IFERROR(IF(OR(C1726="",D1726="",C1726=0),"",D1726/C1726),"")</f>
        <v/>
      </c>
      <c r="G1726" s="21">
        <f>IFERROR(INDEX(Users!$A$2:$A$310,MATCH(A1726,Users!$B$2:$B$310,0)),"")</f>
        <v/>
      </c>
      <c r="H1726" s="21">
        <f>IFERROR(INDEX(Users!$D$2:$D$310,MATCH(A1726,Users!$B$2:$B$310,0)),"")</f>
        <v/>
      </c>
      <c r="I1726" s="19">
        <f>AND(G1726="Service A",H1726="Band 3")</f>
        <v/>
      </c>
      <c r="J1726" s="33">
        <f>IF(AND(YEAR(B1726)=2025,G1726="Service B",OR(H1726="Band 3",H1726="Band 5"),ISNUMBER(F1726)),F1726,"")</f>
        <v/>
      </c>
    </row>
    <row r="1727">
      <c r="A1727" s="19" t="inlineStr">
        <is>
          <t>User1185</t>
        </is>
      </c>
      <c r="B1727" s="60" t="n">
        <v>45748</v>
      </c>
      <c r="C1727" s="21" t="n">
        <v>148</v>
      </c>
      <c r="D1727" s="21" t="n">
        <v>52.60333333333332</v>
      </c>
      <c r="E1727" s="21" t="n">
        <v>24.02</v>
      </c>
      <c r="F1727" s="27">
        <f>IFERROR(IF(OR(C1727="",D1727="",C1727=0),"",D1727/C1727),"")</f>
        <v/>
      </c>
      <c r="G1727" s="21">
        <f>IFERROR(INDEX(Users!$A$2:$A$310,MATCH(A1727,Users!$B$2:$B$310,0)),"")</f>
        <v/>
      </c>
      <c r="H1727" s="21">
        <f>IFERROR(INDEX(Users!$D$2:$D$310,MATCH(A1727,Users!$B$2:$B$310,0)),"")</f>
        <v/>
      </c>
      <c r="I1727" s="19">
        <f>AND(G1727="Service A",H1727="Band 3")</f>
        <v/>
      </c>
      <c r="J1727" s="33">
        <f>IF(AND(YEAR(B1727)=2025,G1727="Service B",OR(H1727="Band 3",H1727="Band 5"),ISNUMBER(F1727)),F1727,"")</f>
        <v/>
      </c>
    </row>
    <row r="1728">
      <c r="A1728" s="19" t="inlineStr">
        <is>
          <t>User1185</t>
        </is>
      </c>
      <c r="B1728" s="60" t="n">
        <v>45778</v>
      </c>
      <c r="C1728" s="21" t="n">
        <v>148</v>
      </c>
      <c r="D1728" s="21" t="n">
        <v>99.69</v>
      </c>
      <c r="E1728" s="21" t="n">
        <v>46.19</v>
      </c>
      <c r="F1728" s="27">
        <f>IFERROR(IF(OR(C1728="",D1728="",C1728=0),"",D1728/C1728),"")</f>
        <v/>
      </c>
      <c r="G1728" s="21">
        <f>IFERROR(INDEX(Users!$A$2:$A$310,MATCH(A1728,Users!$B$2:$B$310,0)),"")</f>
        <v/>
      </c>
      <c r="H1728" s="21">
        <f>IFERROR(INDEX(Users!$D$2:$D$310,MATCH(A1728,Users!$B$2:$B$310,0)),"")</f>
        <v/>
      </c>
      <c r="I1728" s="19">
        <f>AND(G1728="Service A",H1728="Band 3")</f>
        <v/>
      </c>
      <c r="J1728" s="33">
        <f>IF(AND(YEAR(B1728)=2025,G1728="Service B",OR(H1728="Band 3",H1728="Band 5"),ISNUMBER(F1728)),F1728,"")</f>
        <v/>
      </c>
    </row>
    <row r="1729">
      <c r="A1729" s="19" t="inlineStr">
        <is>
          <t>User1185</t>
        </is>
      </c>
      <c r="B1729" s="60" t="n">
        <v>45809</v>
      </c>
      <c r="C1729" s="21" t="n">
        <v>155.4</v>
      </c>
      <c r="D1729" s="21" t="n">
        <v>117.2966666666667</v>
      </c>
      <c r="E1729" s="21" t="n">
        <v>48.38000000000001</v>
      </c>
      <c r="F1729" s="27">
        <f>IFERROR(IF(OR(C1729="",D1729="",C1729=0),"",D1729/C1729),"")</f>
        <v/>
      </c>
      <c r="G1729" s="21">
        <f>IFERROR(INDEX(Users!$A$2:$A$310,MATCH(A1729,Users!$B$2:$B$310,0)),"")</f>
        <v/>
      </c>
      <c r="H1729" s="21">
        <f>IFERROR(INDEX(Users!$D$2:$D$310,MATCH(A1729,Users!$B$2:$B$310,0)),"")</f>
        <v/>
      </c>
      <c r="I1729" s="19">
        <f>AND(G1729="Service A",H1729="Band 3")</f>
        <v/>
      </c>
      <c r="J1729" s="33">
        <f>IF(AND(YEAR(B1729)=2025,G1729="Service B",OR(H1729="Band 3",H1729="Band 5"),ISNUMBER(F1729)),F1729,"")</f>
        <v/>
      </c>
    </row>
    <row r="1730">
      <c r="A1730" s="19" t="inlineStr">
        <is>
          <t>User1185</t>
        </is>
      </c>
      <c r="B1730" s="60" t="n">
        <v>45839</v>
      </c>
      <c r="C1730" s="21" t="n">
        <v>170.2</v>
      </c>
      <c r="D1730" s="21" t="n">
        <v>129.5</v>
      </c>
      <c r="E1730" s="21" t="n">
        <v>73.74999999999999</v>
      </c>
      <c r="F1730" s="27">
        <f>IFERROR(IF(OR(C1730="",D1730="",C1730=0),"",D1730/C1730),"")</f>
        <v/>
      </c>
      <c r="G1730" s="21">
        <f>IFERROR(INDEX(Users!$A$2:$A$310,MATCH(A1730,Users!$B$2:$B$310,0)),"")</f>
        <v/>
      </c>
      <c r="H1730" s="21">
        <f>IFERROR(INDEX(Users!$D$2:$D$310,MATCH(A1730,Users!$B$2:$B$310,0)),"")</f>
        <v/>
      </c>
      <c r="I1730" s="19">
        <f>AND(G1730="Service A",H1730="Band 3")</f>
        <v/>
      </c>
      <c r="J1730" s="33">
        <f>IF(AND(YEAR(B1730)=2025,G1730="Service B",OR(H1730="Band 3",H1730="Band 5"),ISNUMBER(F1730)),F1730,"")</f>
        <v/>
      </c>
    </row>
    <row r="1731">
      <c r="A1731" s="19" t="inlineStr">
        <is>
          <t>User1185</t>
        </is>
      </c>
      <c r="B1731" s="60" t="n">
        <v>45870</v>
      </c>
      <c r="C1731" s="21" t="n">
        <v>148</v>
      </c>
      <c r="D1731" s="21" t="n">
        <v>108.8966666666667</v>
      </c>
      <c r="E1731" s="21" t="n">
        <v>64.72999999999999</v>
      </c>
      <c r="F1731" s="27">
        <f>IFERROR(IF(OR(C1731="",D1731="",C1731=0),"",D1731/C1731),"")</f>
        <v/>
      </c>
      <c r="G1731" s="21">
        <f>IFERROR(INDEX(Users!$A$2:$A$310,MATCH(A1731,Users!$B$2:$B$310,0)),"")</f>
        <v/>
      </c>
      <c r="H1731" s="21">
        <f>IFERROR(INDEX(Users!$D$2:$D$310,MATCH(A1731,Users!$B$2:$B$310,0)),"")</f>
        <v/>
      </c>
      <c r="I1731" s="19">
        <f>AND(G1731="Service A",H1731="Band 3")</f>
        <v/>
      </c>
      <c r="J1731" s="33">
        <f>IF(AND(YEAR(B1731)=2025,G1731="Service B",OR(H1731="Band 3",H1731="Band 5"),ISNUMBER(F1731)),F1731,"")</f>
        <v/>
      </c>
    </row>
    <row r="1732">
      <c r="A1732" s="19" t="inlineStr">
        <is>
          <t>User1185</t>
        </is>
      </c>
      <c r="B1732" s="60" t="n">
        <v>45901</v>
      </c>
      <c r="C1732" s="21" t="n">
        <v>162.8</v>
      </c>
      <c r="D1732" s="21" t="n">
        <v>114.2666666666667</v>
      </c>
      <c r="E1732" s="21" t="n">
        <v>68.09999999999997</v>
      </c>
      <c r="F1732" s="27">
        <f>IFERROR(IF(OR(C1732="",D1732="",C1732=0),"",D1732/C1732),"")</f>
        <v/>
      </c>
      <c r="G1732" s="21">
        <f>IFERROR(INDEX(Users!$A$2:$A$310,MATCH(A1732,Users!$B$2:$B$310,0)),"")</f>
        <v/>
      </c>
      <c r="H1732" s="21">
        <f>IFERROR(INDEX(Users!$D$2:$D$310,MATCH(A1732,Users!$B$2:$B$310,0)),"")</f>
        <v/>
      </c>
      <c r="I1732" s="19">
        <f>AND(G1732="Service A",H1732="Band 3")</f>
        <v/>
      </c>
      <c r="J1732" s="33">
        <f>IF(AND(YEAR(B1732)=2025,G1732="Service B",OR(H1732="Band 3",H1732="Band 5"),ISNUMBER(F1732)),F1732,"")</f>
        <v/>
      </c>
    </row>
    <row r="1733">
      <c r="A1733" s="19" t="inlineStr">
        <is>
          <t>User1185</t>
        </is>
      </c>
      <c r="B1733" s="60" t="n">
        <v>45931</v>
      </c>
      <c r="C1733" s="21" t="n">
        <v>170.2</v>
      </c>
      <c r="D1733" s="21" t="n">
        <v>137.8966666666666</v>
      </c>
      <c r="E1733" s="21" t="n">
        <v>83.47999999999996</v>
      </c>
      <c r="F1733" s="27">
        <f>IFERROR(IF(OR(C1733="",D1733="",C1733=0),"",D1733/C1733),"")</f>
        <v/>
      </c>
      <c r="G1733" s="21">
        <f>IFERROR(INDEX(Users!$A$2:$A$310,MATCH(A1733,Users!$B$2:$B$310,0)),"")</f>
        <v/>
      </c>
      <c r="H1733" s="21">
        <f>IFERROR(INDEX(Users!$D$2:$D$310,MATCH(A1733,Users!$B$2:$B$310,0)),"")</f>
        <v/>
      </c>
      <c r="I1733" s="19">
        <f>AND(G1733="Service A",H1733="Band 3")</f>
        <v/>
      </c>
      <c r="J1733" s="33">
        <f>IF(AND(YEAR(B1733)=2025,G1733="Service B",OR(H1733="Band 3",H1733="Band 5"),ISNUMBER(F1733)),F1733,"")</f>
        <v/>
      </c>
    </row>
    <row r="1734">
      <c r="A1734" s="19" t="inlineStr">
        <is>
          <t>User1185</t>
        </is>
      </c>
      <c r="B1734" s="60" t="n">
        <v>45962</v>
      </c>
      <c r="C1734" s="21" t="n">
        <v>148</v>
      </c>
      <c r="D1734" s="21" t="n">
        <v>102.42</v>
      </c>
      <c r="E1734" s="21" t="n">
        <v>58.17000000000001</v>
      </c>
      <c r="F1734" s="27">
        <f>IFERROR(IF(OR(C1734="",D1734="",C1734=0),"",D1734/C1734),"")</f>
        <v/>
      </c>
      <c r="G1734" s="21">
        <f>IFERROR(INDEX(Users!$A$2:$A$310,MATCH(A1734,Users!$B$2:$B$310,0)),"")</f>
        <v/>
      </c>
      <c r="H1734" s="21">
        <f>IFERROR(INDEX(Users!$D$2:$D$310,MATCH(A1734,Users!$B$2:$B$310,0)),"")</f>
        <v/>
      </c>
      <c r="I1734" s="19">
        <f>AND(G1734="Service A",H1734="Band 3")</f>
        <v/>
      </c>
      <c r="J1734" s="33">
        <f>IF(AND(YEAR(B1734)=2025,G1734="Service B",OR(H1734="Band 3",H1734="Band 5"),ISNUMBER(F1734)),F1734,"")</f>
        <v/>
      </c>
    </row>
    <row r="1735">
      <c r="A1735" s="19" t="inlineStr">
        <is>
          <t>User1185</t>
        </is>
      </c>
      <c r="B1735" s="60" t="n">
        <v>45992</v>
      </c>
      <c r="C1735" s="21" t="n">
        <v>155.4</v>
      </c>
      <c r="D1735" s="21" t="n">
        <v>119.18</v>
      </c>
      <c r="E1735" s="21" t="n">
        <v>65.93000000000001</v>
      </c>
      <c r="F1735" s="27">
        <f>IFERROR(IF(OR(C1735="",D1735="",C1735=0),"",D1735/C1735),"")</f>
        <v/>
      </c>
      <c r="G1735" s="21">
        <f>IFERROR(INDEX(Users!$A$2:$A$310,MATCH(A1735,Users!$B$2:$B$310,0)),"")</f>
        <v/>
      </c>
      <c r="H1735" s="21">
        <f>IFERROR(INDEX(Users!$D$2:$D$310,MATCH(A1735,Users!$B$2:$B$310,0)),"")</f>
        <v/>
      </c>
      <c r="I1735" s="19">
        <f>AND(G1735="Service A",H1735="Band 3")</f>
        <v/>
      </c>
      <c r="J1735" s="33">
        <f>IF(AND(YEAR(B1735)=2025,G1735="Service B",OR(H1735="Band 3",H1735="Band 5"),ISNUMBER(F1735)),F1735,"")</f>
        <v/>
      </c>
    </row>
    <row r="1736">
      <c r="A1736" s="19" t="inlineStr">
        <is>
          <t>User1185</t>
        </is>
      </c>
      <c r="B1736" s="60" t="n">
        <v>46023</v>
      </c>
      <c r="C1736" s="21" t="n">
        <v>155.4</v>
      </c>
      <c r="D1736" s="21" t="n">
        <v>114.8866666666667</v>
      </c>
      <c r="E1736" s="21" t="n">
        <v>51.97</v>
      </c>
      <c r="F1736" s="27">
        <f>IFERROR(IF(OR(C1736="",D1736="",C1736=0),"",D1736/C1736),"")</f>
        <v/>
      </c>
      <c r="G1736" s="21">
        <f>IFERROR(INDEX(Users!$A$2:$A$310,MATCH(A1736,Users!$B$2:$B$310,0)),"")</f>
        <v/>
      </c>
      <c r="H1736" s="21">
        <f>IFERROR(INDEX(Users!$D$2:$D$310,MATCH(A1736,Users!$B$2:$B$310,0)),"")</f>
        <v/>
      </c>
      <c r="I1736" s="19">
        <f>AND(G1736="Service A",H1736="Band 3")</f>
        <v/>
      </c>
      <c r="J1736" s="33">
        <f>IF(AND(YEAR(B1736)=2025,G1736="Service B",OR(H1736="Band 3",H1736="Band 5"),ISNUMBER(F1736)),F1736,"")</f>
        <v/>
      </c>
    </row>
    <row r="1737">
      <c r="A1737" s="19" t="inlineStr">
        <is>
          <t>User1186</t>
        </is>
      </c>
      <c r="B1737" s="60" t="n">
        <v>45689</v>
      </c>
      <c r="C1737" s="21" t="n">
        <v>37</v>
      </c>
      <c r="D1737" s="21" t="n"/>
      <c r="E1737" s="21" t="n"/>
      <c r="F1737" s="27">
        <f>IFERROR(IF(OR(C1737="",D1737="",C1737=0),"",D1737/C1737),"")</f>
        <v/>
      </c>
      <c r="G1737" s="21">
        <f>IFERROR(INDEX(Users!$A$2:$A$310,MATCH(A1737,Users!$B$2:$B$310,0)),"")</f>
        <v/>
      </c>
      <c r="H1737" s="21">
        <f>IFERROR(INDEX(Users!$D$2:$D$310,MATCH(A1737,Users!$B$2:$B$310,0)),"")</f>
        <v/>
      </c>
      <c r="I1737" s="19">
        <f>AND(G1737="Service A",H1737="Band 3")</f>
        <v/>
      </c>
      <c r="J1737" s="33">
        <f>IF(AND(YEAR(B1737)=2025,G1737="Service B",OR(H1737="Band 3",H1737="Band 5"),ISNUMBER(F1737)),F1737,"")</f>
        <v/>
      </c>
    </row>
    <row r="1738">
      <c r="A1738" s="19" t="inlineStr">
        <is>
          <t>User1186</t>
        </is>
      </c>
      <c r="B1738" s="60" t="n">
        <v>45717</v>
      </c>
      <c r="C1738" s="21" t="n">
        <v>155.4000000000001</v>
      </c>
      <c r="D1738" s="21" t="n">
        <v>43.42</v>
      </c>
      <c r="E1738" s="21" t="n">
        <v>2.92</v>
      </c>
      <c r="F1738" s="27">
        <f>IFERROR(IF(OR(C1738="",D1738="",C1738=0),"",D1738/C1738),"")</f>
        <v/>
      </c>
      <c r="G1738" s="21">
        <f>IFERROR(INDEX(Users!$A$2:$A$310,MATCH(A1738,Users!$B$2:$B$310,0)),"")</f>
        <v/>
      </c>
      <c r="H1738" s="21">
        <f>IFERROR(INDEX(Users!$D$2:$D$310,MATCH(A1738,Users!$B$2:$B$310,0)),"")</f>
        <v/>
      </c>
      <c r="I1738" s="19">
        <f>AND(G1738="Service A",H1738="Band 3")</f>
        <v/>
      </c>
      <c r="J1738" s="33">
        <f>IF(AND(YEAR(B1738)=2025,G1738="Service B",OR(H1738="Band 3",H1738="Band 5"),ISNUMBER(F1738)),F1738,"")</f>
        <v/>
      </c>
    </row>
    <row r="1739">
      <c r="A1739" s="19" t="inlineStr">
        <is>
          <t>User1186</t>
        </is>
      </c>
      <c r="B1739" s="60" t="n">
        <v>45748</v>
      </c>
      <c r="C1739" s="21" t="n">
        <v>148.0000000000001</v>
      </c>
      <c r="D1739" s="21" t="n">
        <v>54.33</v>
      </c>
      <c r="E1739" s="21" t="n">
        <v>5.58</v>
      </c>
      <c r="F1739" s="27">
        <f>IFERROR(IF(OR(C1739="",D1739="",C1739=0),"",D1739/C1739),"")</f>
        <v/>
      </c>
      <c r="G1739" s="21">
        <f>IFERROR(INDEX(Users!$A$2:$A$310,MATCH(A1739,Users!$B$2:$B$310,0)),"")</f>
        <v/>
      </c>
      <c r="H1739" s="21">
        <f>IFERROR(INDEX(Users!$D$2:$D$310,MATCH(A1739,Users!$B$2:$B$310,0)),"")</f>
        <v/>
      </c>
      <c r="I1739" s="19">
        <f>AND(G1739="Service A",H1739="Band 3")</f>
        <v/>
      </c>
      <c r="J1739" s="33">
        <f>IF(AND(YEAR(B1739)=2025,G1739="Service B",OR(H1739="Band 3",H1739="Band 5"),ISNUMBER(F1739)),F1739,"")</f>
        <v/>
      </c>
    </row>
    <row r="1740">
      <c r="A1740" s="19" t="inlineStr">
        <is>
          <t>User1186</t>
        </is>
      </c>
      <c r="B1740" s="60" t="n">
        <v>45778</v>
      </c>
      <c r="C1740" s="21" t="n">
        <v>148.0000000000001</v>
      </c>
      <c r="D1740" s="21" t="n">
        <v>37.14</v>
      </c>
      <c r="E1740" s="21" t="n">
        <v>16.14</v>
      </c>
      <c r="F1740" s="27">
        <f>IFERROR(IF(OR(C1740="",D1740="",C1740=0),"",D1740/C1740),"")</f>
        <v/>
      </c>
      <c r="G1740" s="21">
        <f>IFERROR(INDEX(Users!$A$2:$A$310,MATCH(A1740,Users!$B$2:$B$310,0)),"")</f>
        <v/>
      </c>
      <c r="H1740" s="21">
        <f>IFERROR(INDEX(Users!$D$2:$D$310,MATCH(A1740,Users!$B$2:$B$310,0)),"")</f>
        <v/>
      </c>
      <c r="I1740" s="19">
        <f>AND(G1740="Service A",H1740="Band 3")</f>
        <v/>
      </c>
      <c r="J1740" s="33">
        <f>IF(AND(YEAR(B1740)=2025,G1740="Service B",OR(H1740="Band 3",H1740="Band 5"),ISNUMBER(F1740)),F1740,"")</f>
        <v/>
      </c>
    </row>
    <row r="1741">
      <c r="A1741" s="19" t="inlineStr">
        <is>
          <t>User1186</t>
        </is>
      </c>
      <c r="B1741" s="60" t="n">
        <v>45809</v>
      </c>
      <c r="C1741" s="21" t="n">
        <v>155.4000000000001</v>
      </c>
      <c r="D1741" s="21" t="n">
        <v>115.9133333333333</v>
      </c>
      <c r="E1741" s="21" t="n">
        <v>88.32999999999998</v>
      </c>
      <c r="F1741" s="27">
        <f>IFERROR(IF(OR(C1741="",D1741="",C1741=0),"",D1741/C1741),"")</f>
        <v/>
      </c>
      <c r="G1741" s="21">
        <f>IFERROR(INDEX(Users!$A$2:$A$310,MATCH(A1741,Users!$B$2:$B$310,0)),"")</f>
        <v/>
      </c>
      <c r="H1741" s="21">
        <f>IFERROR(INDEX(Users!$D$2:$D$310,MATCH(A1741,Users!$B$2:$B$310,0)),"")</f>
        <v/>
      </c>
      <c r="I1741" s="19">
        <f>AND(G1741="Service A",H1741="Band 3")</f>
        <v/>
      </c>
      <c r="J1741" s="33">
        <f>IF(AND(YEAR(B1741)=2025,G1741="Service B",OR(H1741="Band 3",H1741="Band 5"),ISNUMBER(F1741)),F1741,"")</f>
        <v/>
      </c>
    </row>
    <row r="1742">
      <c r="A1742" s="19" t="inlineStr">
        <is>
          <t>User1186</t>
        </is>
      </c>
      <c r="B1742" s="60" t="n">
        <v>45839</v>
      </c>
      <c r="C1742" s="21" t="n">
        <v>170.2000000000001</v>
      </c>
      <c r="D1742" s="21" t="n">
        <v>170.78</v>
      </c>
      <c r="E1742" s="21" t="n">
        <v>128.53</v>
      </c>
      <c r="F1742" s="27">
        <f>IFERROR(IF(OR(C1742="",D1742="",C1742=0),"",D1742/C1742),"")</f>
        <v/>
      </c>
      <c r="G1742" s="21">
        <f>IFERROR(INDEX(Users!$A$2:$A$310,MATCH(A1742,Users!$B$2:$B$310,0)),"")</f>
        <v/>
      </c>
      <c r="H1742" s="21">
        <f>IFERROR(INDEX(Users!$D$2:$D$310,MATCH(A1742,Users!$B$2:$B$310,0)),"")</f>
        <v/>
      </c>
      <c r="I1742" s="19">
        <f>AND(G1742="Service A",H1742="Band 3")</f>
        <v/>
      </c>
      <c r="J1742" s="33">
        <f>IF(AND(YEAR(B1742)=2025,G1742="Service B",OR(H1742="Band 3",H1742="Band 5"),ISNUMBER(F1742)),F1742,"")</f>
        <v/>
      </c>
    </row>
    <row r="1743">
      <c r="A1743" s="19" t="inlineStr">
        <is>
          <t>User1186</t>
        </is>
      </c>
      <c r="B1743" s="60" t="n">
        <v>45870</v>
      </c>
      <c r="C1743" s="21" t="n">
        <v>148.0000000000001</v>
      </c>
      <c r="D1743" s="21" t="n">
        <v>138.79</v>
      </c>
      <c r="E1743" s="21" t="n">
        <v>111.39</v>
      </c>
      <c r="F1743" s="27">
        <f>IFERROR(IF(OR(C1743="",D1743="",C1743=0),"",D1743/C1743),"")</f>
        <v/>
      </c>
      <c r="G1743" s="21">
        <f>IFERROR(INDEX(Users!$A$2:$A$310,MATCH(A1743,Users!$B$2:$B$310,0)),"")</f>
        <v/>
      </c>
      <c r="H1743" s="21">
        <f>IFERROR(INDEX(Users!$D$2:$D$310,MATCH(A1743,Users!$B$2:$B$310,0)),"")</f>
        <v/>
      </c>
      <c r="I1743" s="19">
        <f>AND(G1743="Service A",H1743="Band 3")</f>
        <v/>
      </c>
      <c r="J1743" s="33">
        <f>IF(AND(YEAR(B1743)=2025,G1743="Service B",OR(H1743="Band 3",H1743="Band 5"),ISNUMBER(F1743)),F1743,"")</f>
        <v/>
      </c>
    </row>
    <row r="1744">
      <c r="A1744" s="19" t="inlineStr">
        <is>
          <t>User1186</t>
        </is>
      </c>
      <c r="B1744" s="60" t="n">
        <v>45901</v>
      </c>
      <c r="C1744" s="21" t="n">
        <v>162.8000000000001</v>
      </c>
      <c r="D1744" s="21" t="n">
        <v>160.76</v>
      </c>
      <c r="E1744" s="21" t="n">
        <v>132.26</v>
      </c>
      <c r="F1744" s="27">
        <f>IFERROR(IF(OR(C1744="",D1744="",C1744=0),"",D1744/C1744),"")</f>
        <v/>
      </c>
      <c r="G1744" s="21">
        <f>IFERROR(INDEX(Users!$A$2:$A$310,MATCH(A1744,Users!$B$2:$B$310,0)),"")</f>
        <v/>
      </c>
      <c r="H1744" s="21">
        <f>IFERROR(INDEX(Users!$D$2:$D$310,MATCH(A1744,Users!$B$2:$B$310,0)),"")</f>
        <v/>
      </c>
      <c r="I1744" s="19">
        <f>AND(G1744="Service A",H1744="Band 3")</f>
        <v/>
      </c>
      <c r="J1744" s="33">
        <f>IF(AND(YEAR(B1744)=2025,G1744="Service B",OR(H1744="Band 3",H1744="Band 5"),ISNUMBER(F1744)),F1744,"")</f>
        <v/>
      </c>
    </row>
    <row r="1745">
      <c r="A1745" s="19" t="inlineStr">
        <is>
          <t>User1186</t>
        </is>
      </c>
      <c r="B1745" s="60" t="n">
        <v>45931</v>
      </c>
      <c r="C1745" s="21" t="n">
        <v>170.2000000000001</v>
      </c>
      <c r="D1745" s="21" t="n">
        <v>165.34</v>
      </c>
      <c r="E1745" s="21" t="n">
        <v>126.59</v>
      </c>
      <c r="F1745" s="27">
        <f>IFERROR(IF(OR(C1745="",D1745="",C1745=0),"",D1745/C1745),"")</f>
        <v/>
      </c>
      <c r="G1745" s="21">
        <f>IFERROR(INDEX(Users!$A$2:$A$310,MATCH(A1745,Users!$B$2:$B$310,0)),"")</f>
        <v/>
      </c>
      <c r="H1745" s="21">
        <f>IFERROR(INDEX(Users!$D$2:$D$310,MATCH(A1745,Users!$B$2:$B$310,0)),"")</f>
        <v/>
      </c>
      <c r="I1745" s="19">
        <f>AND(G1745="Service A",H1745="Band 3")</f>
        <v/>
      </c>
      <c r="J1745" s="33">
        <f>IF(AND(YEAR(B1745)=2025,G1745="Service B",OR(H1745="Band 3",H1745="Band 5"),ISNUMBER(F1745)),F1745,"")</f>
        <v/>
      </c>
    </row>
    <row r="1746">
      <c r="A1746" s="19" t="inlineStr">
        <is>
          <t>User1186</t>
        </is>
      </c>
      <c r="B1746" s="60" t="n">
        <v>45962</v>
      </c>
      <c r="C1746" s="21" t="n">
        <v>148.0000000000001</v>
      </c>
      <c r="D1746" s="21" t="n">
        <v>92.34999999999999</v>
      </c>
      <c r="E1746" s="21" t="n">
        <v>66.84999999999999</v>
      </c>
      <c r="F1746" s="27">
        <f>IFERROR(IF(OR(C1746="",D1746="",C1746=0),"",D1746/C1746),"")</f>
        <v/>
      </c>
      <c r="G1746" s="21">
        <f>IFERROR(INDEX(Users!$A$2:$A$310,MATCH(A1746,Users!$B$2:$B$310,0)),"")</f>
        <v/>
      </c>
      <c r="H1746" s="21">
        <f>IFERROR(INDEX(Users!$D$2:$D$310,MATCH(A1746,Users!$B$2:$B$310,0)),"")</f>
        <v/>
      </c>
      <c r="I1746" s="19">
        <f>AND(G1746="Service A",H1746="Band 3")</f>
        <v/>
      </c>
      <c r="J1746" s="33">
        <f>IF(AND(YEAR(B1746)=2025,G1746="Service B",OR(H1746="Band 3",H1746="Band 5"),ISNUMBER(F1746)),F1746,"")</f>
        <v/>
      </c>
    </row>
    <row r="1747">
      <c r="A1747" s="19" t="inlineStr">
        <is>
          <t>User1186</t>
        </is>
      </c>
      <c r="B1747" s="60" t="n">
        <v>45992</v>
      </c>
      <c r="C1747" s="21" t="n">
        <v>155.4000000000001</v>
      </c>
      <c r="D1747" s="21" t="n">
        <v>81.5</v>
      </c>
      <c r="E1747" s="21" t="n">
        <v>60</v>
      </c>
      <c r="F1747" s="27">
        <f>IFERROR(IF(OR(C1747="",D1747="",C1747=0),"",D1747/C1747),"")</f>
        <v/>
      </c>
      <c r="G1747" s="21">
        <f>IFERROR(INDEX(Users!$A$2:$A$310,MATCH(A1747,Users!$B$2:$B$310,0)),"")</f>
        <v/>
      </c>
      <c r="H1747" s="21">
        <f>IFERROR(INDEX(Users!$D$2:$D$310,MATCH(A1747,Users!$B$2:$B$310,0)),"")</f>
        <v/>
      </c>
      <c r="I1747" s="19">
        <f>AND(G1747="Service A",H1747="Band 3")</f>
        <v/>
      </c>
      <c r="J1747" s="33">
        <f>IF(AND(YEAR(B1747)=2025,G1747="Service B",OR(H1747="Band 3",H1747="Band 5"),ISNUMBER(F1747)),F1747,"")</f>
        <v/>
      </c>
    </row>
    <row r="1748">
      <c r="A1748" s="19" t="inlineStr">
        <is>
          <t>User1186</t>
        </is>
      </c>
      <c r="B1748" s="60" t="n">
        <v>46023</v>
      </c>
      <c r="C1748" s="21" t="n">
        <v>155.4000000000001</v>
      </c>
      <c r="D1748" s="21" t="n">
        <v>151.0933333333333</v>
      </c>
      <c r="E1748" s="21" t="n">
        <v>102.26</v>
      </c>
      <c r="F1748" s="27">
        <f>IFERROR(IF(OR(C1748="",D1748="",C1748=0),"",D1748/C1748),"")</f>
        <v/>
      </c>
      <c r="G1748" s="21">
        <f>IFERROR(INDEX(Users!$A$2:$A$310,MATCH(A1748,Users!$B$2:$B$310,0)),"")</f>
        <v/>
      </c>
      <c r="H1748" s="21">
        <f>IFERROR(INDEX(Users!$D$2:$D$310,MATCH(A1748,Users!$B$2:$B$310,0)),"")</f>
        <v/>
      </c>
      <c r="I1748" s="19">
        <f>AND(G1748="Service A",H1748="Band 3")</f>
        <v/>
      </c>
      <c r="J1748" s="33">
        <f>IF(AND(YEAR(B1748)=2025,G1748="Service B",OR(H1748="Band 3",H1748="Band 5"),ISNUMBER(F1748)),F1748,"")</f>
        <v/>
      </c>
    </row>
    <row r="1749">
      <c r="A1749" s="19" t="inlineStr">
        <is>
          <t>User1187</t>
        </is>
      </c>
      <c r="B1749" s="60" t="n">
        <v>45809</v>
      </c>
      <c r="C1749" s="21" t="n">
        <v>155.4</v>
      </c>
      <c r="D1749" s="21" t="n">
        <v>141.1533333333333</v>
      </c>
      <c r="E1749" s="21" t="n">
        <v>3.870000000000001</v>
      </c>
      <c r="F1749" s="27">
        <f>IFERROR(IF(OR(C1749="",D1749="",C1749=0),"",D1749/C1749),"")</f>
        <v/>
      </c>
      <c r="G1749" s="21">
        <f>IFERROR(INDEX(Users!$A$2:$A$310,MATCH(A1749,Users!$B$2:$B$310,0)),"")</f>
        <v/>
      </c>
      <c r="H1749" s="21">
        <f>IFERROR(INDEX(Users!$D$2:$D$310,MATCH(A1749,Users!$B$2:$B$310,0)),"")</f>
        <v/>
      </c>
      <c r="I1749" s="19">
        <f>AND(G1749="Service A",H1749="Band 3")</f>
        <v/>
      </c>
      <c r="J1749" s="33">
        <f>IF(AND(YEAR(B1749)=2025,G1749="Service B",OR(H1749="Band 3",H1749="Band 5"),ISNUMBER(F1749)),F1749,"")</f>
        <v/>
      </c>
    </row>
    <row r="1750">
      <c r="A1750" s="19" t="inlineStr">
        <is>
          <t>User1187</t>
        </is>
      </c>
      <c r="B1750" s="60" t="n">
        <v>45839</v>
      </c>
      <c r="C1750" s="21" t="n">
        <v>170.2</v>
      </c>
      <c r="D1750" s="21" t="n">
        <v>118.6266666666667</v>
      </c>
      <c r="E1750" s="21" t="n">
        <v>10.56</v>
      </c>
      <c r="F1750" s="27">
        <f>IFERROR(IF(OR(C1750="",D1750="",C1750=0),"",D1750/C1750),"")</f>
        <v/>
      </c>
      <c r="G1750" s="21">
        <f>IFERROR(INDEX(Users!$A$2:$A$310,MATCH(A1750,Users!$B$2:$B$310,0)),"")</f>
        <v/>
      </c>
      <c r="H1750" s="21">
        <f>IFERROR(INDEX(Users!$D$2:$D$310,MATCH(A1750,Users!$B$2:$B$310,0)),"")</f>
        <v/>
      </c>
      <c r="I1750" s="19">
        <f>AND(G1750="Service A",H1750="Band 3")</f>
        <v/>
      </c>
      <c r="J1750" s="33">
        <f>IF(AND(YEAR(B1750)=2025,G1750="Service B",OR(H1750="Band 3",H1750="Band 5"),ISNUMBER(F1750)),F1750,"")</f>
        <v/>
      </c>
    </row>
    <row r="1751">
      <c r="A1751" s="19" t="inlineStr">
        <is>
          <t>User1187</t>
        </is>
      </c>
      <c r="B1751" s="60" t="n">
        <v>45870</v>
      </c>
      <c r="C1751" s="21" t="n">
        <v>148</v>
      </c>
      <c r="D1751" s="21" t="n">
        <v>135.05</v>
      </c>
      <c r="E1751" s="21" t="n">
        <v>29.95</v>
      </c>
      <c r="F1751" s="27">
        <f>IFERROR(IF(OR(C1751="",D1751="",C1751=0),"",D1751/C1751),"")</f>
        <v/>
      </c>
      <c r="G1751" s="21">
        <f>IFERROR(INDEX(Users!$A$2:$A$310,MATCH(A1751,Users!$B$2:$B$310,0)),"")</f>
        <v/>
      </c>
      <c r="H1751" s="21">
        <f>IFERROR(INDEX(Users!$D$2:$D$310,MATCH(A1751,Users!$B$2:$B$310,0)),"")</f>
        <v/>
      </c>
      <c r="I1751" s="19">
        <f>AND(G1751="Service A",H1751="Band 3")</f>
        <v/>
      </c>
      <c r="J1751" s="33">
        <f>IF(AND(YEAR(B1751)=2025,G1751="Service B",OR(H1751="Band 3",H1751="Band 5"),ISNUMBER(F1751)),F1751,"")</f>
        <v/>
      </c>
    </row>
    <row r="1752">
      <c r="A1752" s="19" t="inlineStr">
        <is>
          <t>User1187</t>
        </is>
      </c>
      <c r="B1752" s="60" t="n">
        <v>45901</v>
      </c>
      <c r="C1752" s="21" t="n">
        <v>162.8</v>
      </c>
      <c r="D1752" s="21" t="n">
        <v>114.55</v>
      </c>
      <c r="E1752" s="21" t="n">
        <v>19.3</v>
      </c>
      <c r="F1752" s="27">
        <f>IFERROR(IF(OR(C1752="",D1752="",C1752=0),"",D1752/C1752),"")</f>
        <v/>
      </c>
      <c r="G1752" s="21">
        <f>IFERROR(INDEX(Users!$A$2:$A$310,MATCH(A1752,Users!$B$2:$B$310,0)),"")</f>
        <v/>
      </c>
      <c r="H1752" s="21">
        <f>IFERROR(INDEX(Users!$D$2:$D$310,MATCH(A1752,Users!$B$2:$B$310,0)),"")</f>
        <v/>
      </c>
      <c r="I1752" s="19">
        <f>AND(G1752="Service A",H1752="Band 3")</f>
        <v/>
      </c>
      <c r="J1752" s="33">
        <f>IF(AND(YEAR(B1752)=2025,G1752="Service B",OR(H1752="Band 3",H1752="Band 5"),ISNUMBER(F1752)),F1752,"")</f>
        <v/>
      </c>
    </row>
    <row r="1753">
      <c r="A1753" s="19" t="inlineStr">
        <is>
          <t>User1187</t>
        </is>
      </c>
      <c r="B1753" s="60" t="n">
        <v>45931</v>
      </c>
      <c r="C1753" s="21" t="n">
        <v>170.2</v>
      </c>
      <c r="D1753" s="21" t="n">
        <v>126.1833333333333</v>
      </c>
      <c r="E1753" s="21" t="n">
        <v>14.6</v>
      </c>
      <c r="F1753" s="27">
        <f>IFERROR(IF(OR(C1753="",D1753="",C1753=0),"",D1753/C1753),"")</f>
        <v/>
      </c>
      <c r="G1753" s="21">
        <f>IFERROR(INDEX(Users!$A$2:$A$310,MATCH(A1753,Users!$B$2:$B$310,0)),"")</f>
        <v/>
      </c>
      <c r="H1753" s="21">
        <f>IFERROR(INDEX(Users!$D$2:$D$310,MATCH(A1753,Users!$B$2:$B$310,0)),"")</f>
        <v/>
      </c>
      <c r="I1753" s="19">
        <f>AND(G1753="Service A",H1753="Band 3")</f>
        <v/>
      </c>
      <c r="J1753" s="33">
        <f>IF(AND(YEAR(B1753)=2025,G1753="Service B",OR(H1753="Band 3",H1753="Band 5"),ISNUMBER(F1753)),F1753,"")</f>
        <v/>
      </c>
    </row>
    <row r="1754">
      <c r="A1754" s="19" t="inlineStr">
        <is>
          <t>User1187</t>
        </is>
      </c>
      <c r="B1754" s="60" t="n">
        <v>45962</v>
      </c>
      <c r="C1754" s="21" t="n">
        <v>148</v>
      </c>
      <c r="D1754" s="21" t="n">
        <v>124.1233333333333</v>
      </c>
      <c r="E1754" s="21" t="n">
        <v>3.59</v>
      </c>
      <c r="F1754" s="27">
        <f>IFERROR(IF(OR(C1754="",D1754="",C1754=0),"",D1754/C1754),"")</f>
        <v/>
      </c>
      <c r="G1754" s="21">
        <f>IFERROR(INDEX(Users!$A$2:$A$310,MATCH(A1754,Users!$B$2:$B$310,0)),"")</f>
        <v/>
      </c>
      <c r="H1754" s="21">
        <f>IFERROR(INDEX(Users!$D$2:$D$310,MATCH(A1754,Users!$B$2:$B$310,0)),"")</f>
        <v/>
      </c>
      <c r="I1754" s="19">
        <f>AND(G1754="Service A",H1754="Band 3")</f>
        <v/>
      </c>
      <c r="J1754" s="33">
        <f>IF(AND(YEAR(B1754)=2025,G1754="Service B",OR(H1754="Band 3",H1754="Band 5"),ISNUMBER(F1754)),F1754,"")</f>
        <v/>
      </c>
    </row>
    <row r="1755">
      <c r="A1755" s="19" t="inlineStr">
        <is>
          <t>User1187</t>
        </is>
      </c>
      <c r="B1755" s="60" t="n">
        <v>45992</v>
      </c>
      <c r="C1755" s="21" t="n">
        <v>155.4</v>
      </c>
      <c r="D1755" s="21" t="n">
        <v>128.61</v>
      </c>
      <c r="E1755" s="21" t="n">
        <v>8.01</v>
      </c>
      <c r="F1755" s="27">
        <f>IFERROR(IF(OR(C1755="",D1755="",C1755=0),"",D1755/C1755),"")</f>
        <v/>
      </c>
      <c r="G1755" s="21">
        <f>IFERROR(INDEX(Users!$A$2:$A$310,MATCH(A1755,Users!$B$2:$B$310,0)),"")</f>
        <v/>
      </c>
      <c r="H1755" s="21">
        <f>IFERROR(INDEX(Users!$D$2:$D$310,MATCH(A1755,Users!$B$2:$B$310,0)),"")</f>
        <v/>
      </c>
      <c r="I1755" s="19">
        <f>AND(G1755="Service A",H1755="Band 3")</f>
        <v/>
      </c>
      <c r="J1755" s="33">
        <f>IF(AND(YEAR(B1755)=2025,G1755="Service B",OR(H1755="Band 3",H1755="Band 5"),ISNUMBER(F1755)),F1755,"")</f>
        <v/>
      </c>
    </row>
    <row r="1756">
      <c r="A1756" s="19" t="inlineStr">
        <is>
          <t>User1187</t>
        </is>
      </c>
      <c r="B1756" s="60" t="n">
        <v>46023</v>
      </c>
      <c r="C1756" s="21" t="n">
        <v>155.4</v>
      </c>
      <c r="D1756" s="21" t="n">
        <v>140.9233333333333</v>
      </c>
      <c r="E1756" s="21" t="n">
        <v>3.69</v>
      </c>
      <c r="F1756" s="27">
        <f>IFERROR(IF(OR(C1756="",D1756="",C1756=0),"",D1756/C1756),"")</f>
        <v/>
      </c>
      <c r="G1756" s="21">
        <f>IFERROR(INDEX(Users!$A$2:$A$310,MATCH(A1756,Users!$B$2:$B$310,0)),"")</f>
        <v/>
      </c>
      <c r="H1756" s="21">
        <f>IFERROR(INDEX(Users!$D$2:$D$310,MATCH(A1756,Users!$B$2:$B$310,0)),"")</f>
        <v/>
      </c>
      <c r="I1756" s="19">
        <f>AND(G1756="Service A",H1756="Band 3")</f>
        <v/>
      </c>
      <c r="J1756" s="33">
        <f>IF(AND(YEAR(B1756)=2025,G1756="Service B",OR(H1756="Band 3",H1756="Band 5"),ISNUMBER(F1756)),F1756,"")</f>
        <v/>
      </c>
    </row>
    <row r="1757">
      <c r="A1757" s="19" t="inlineStr">
        <is>
          <t>User1188</t>
        </is>
      </c>
      <c r="B1757" s="60" t="n">
        <v>45931</v>
      </c>
      <c r="C1757" s="21" t="n">
        <v>148</v>
      </c>
      <c r="D1757" s="21" t="n">
        <v>103.4916666666667</v>
      </c>
      <c r="E1757" s="21" t="n"/>
      <c r="F1757" s="27">
        <f>IFERROR(IF(OR(C1757="",D1757="",C1757=0),"",D1757/C1757),"")</f>
        <v/>
      </c>
      <c r="G1757" s="21">
        <f>IFERROR(INDEX(Users!$A$2:$A$310,MATCH(A1757,Users!$B$2:$B$310,0)),"")</f>
        <v/>
      </c>
      <c r="H1757" s="21">
        <f>IFERROR(INDEX(Users!$D$2:$D$310,MATCH(A1757,Users!$B$2:$B$310,0)),"")</f>
        <v/>
      </c>
      <c r="I1757" s="19">
        <f>AND(G1757="Service A",H1757="Band 3")</f>
        <v/>
      </c>
      <c r="J1757" s="33">
        <f>IF(AND(YEAR(B1757)=2025,G1757="Service B",OR(H1757="Band 3",H1757="Band 5"),ISNUMBER(F1757)),F1757,"")</f>
        <v/>
      </c>
    </row>
    <row r="1758">
      <c r="A1758" s="19" t="inlineStr">
        <is>
          <t>User1188</t>
        </is>
      </c>
      <c r="B1758" s="60" t="n">
        <v>45962</v>
      </c>
      <c r="C1758" s="21" t="n">
        <v>148</v>
      </c>
      <c r="D1758" s="21" t="n">
        <v>133.9541666666667</v>
      </c>
      <c r="E1758" s="21" t="n"/>
      <c r="F1758" s="27">
        <f>IFERROR(IF(OR(C1758="",D1758="",C1758=0),"",D1758/C1758),"")</f>
        <v/>
      </c>
      <c r="G1758" s="21">
        <f>IFERROR(INDEX(Users!$A$2:$A$310,MATCH(A1758,Users!$B$2:$B$310,0)),"")</f>
        <v/>
      </c>
      <c r="H1758" s="21">
        <f>IFERROR(INDEX(Users!$D$2:$D$310,MATCH(A1758,Users!$B$2:$B$310,0)),"")</f>
        <v/>
      </c>
      <c r="I1758" s="19">
        <f>AND(G1758="Service A",H1758="Band 3")</f>
        <v/>
      </c>
      <c r="J1758" s="33">
        <f>IF(AND(YEAR(B1758)=2025,G1758="Service B",OR(H1758="Band 3",H1758="Band 5"),ISNUMBER(F1758)),F1758,"")</f>
        <v/>
      </c>
    </row>
    <row r="1759">
      <c r="A1759" s="19" t="inlineStr">
        <is>
          <t>User1188</t>
        </is>
      </c>
      <c r="B1759" s="60" t="n">
        <v>45992</v>
      </c>
      <c r="C1759" s="21" t="n">
        <v>155.4</v>
      </c>
      <c r="D1759" s="21" t="n">
        <v>54.5</v>
      </c>
      <c r="E1759" s="21" t="n"/>
      <c r="F1759" s="27">
        <f>IFERROR(IF(OR(C1759="",D1759="",C1759=0),"",D1759/C1759),"")</f>
        <v/>
      </c>
      <c r="G1759" s="21">
        <f>IFERROR(INDEX(Users!$A$2:$A$310,MATCH(A1759,Users!$B$2:$B$310,0)),"")</f>
        <v/>
      </c>
      <c r="H1759" s="21">
        <f>IFERROR(INDEX(Users!$D$2:$D$310,MATCH(A1759,Users!$B$2:$B$310,0)),"")</f>
        <v/>
      </c>
      <c r="I1759" s="19">
        <f>AND(G1759="Service A",H1759="Band 3")</f>
        <v/>
      </c>
      <c r="J1759" s="33">
        <f>IF(AND(YEAR(B1759)=2025,G1759="Service B",OR(H1759="Band 3",H1759="Band 5"),ISNUMBER(F1759)),F1759,"")</f>
        <v/>
      </c>
    </row>
    <row r="1760">
      <c r="A1760" s="19" t="inlineStr">
        <is>
          <t>User1188</t>
        </is>
      </c>
      <c r="B1760" s="60" t="n">
        <v>46023</v>
      </c>
      <c r="C1760" s="21" t="n">
        <v>155.4</v>
      </c>
      <c r="D1760" s="21" t="n">
        <v>120</v>
      </c>
      <c r="E1760" s="21" t="n"/>
      <c r="F1760" s="27">
        <f>IFERROR(IF(OR(C1760="",D1760="",C1760=0),"",D1760/C1760),"")</f>
        <v/>
      </c>
      <c r="G1760" s="21">
        <f>IFERROR(INDEX(Users!$A$2:$A$310,MATCH(A1760,Users!$B$2:$B$310,0)),"")</f>
        <v/>
      </c>
      <c r="H1760" s="21">
        <f>IFERROR(INDEX(Users!$D$2:$D$310,MATCH(A1760,Users!$B$2:$B$310,0)),"")</f>
        <v/>
      </c>
      <c r="I1760" s="19">
        <f>AND(G1760="Service A",H1760="Band 3")</f>
        <v/>
      </c>
      <c r="J1760" s="33">
        <f>IF(AND(YEAR(B1760)=2025,G1760="Service B",OR(H1760="Band 3",H1760="Band 5"),ISNUMBER(F1760)),F1760,"")</f>
        <v/>
      </c>
    </row>
    <row r="1761">
      <c r="A1761" s="19" t="inlineStr">
        <is>
          <t>User1189</t>
        </is>
      </c>
      <c r="B1761" s="60" t="n">
        <v>45658</v>
      </c>
      <c r="C1761" s="21" t="n">
        <v>162.8</v>
      </c>
      <c r="D1761" s="21" t="n">
        <v>148.0566666666667</v>
      </c>
      <c r="E1761" s="21" t="n">
        <v>105.74</v>
      </c>
      <c r="F1761" s="27">
        <f>IFERROR(IF(OR(C1761="",D1761="",C1761=0),"",D1761/C1761),"")</f>
        <v/>
      </c>
      <c r="G1761" s="21">
        <f>IFERROR(INDEX(Users!$A$2:$A$310,MATCH(A1761,Users!$B$2:$B$310,0)),"")</f>
        <v/>
      </c>
      <c r="H1761" s="21">
        <f>IFERROR(INDEX(Users!$D$2:$D$310,MATCH(A1761,Users!$B$2:$B$310,0)),"")</f>
        <v/>
      </c>
      <c r="I1761" s="19">
        <f>AND(G1761="Service A",H1761="Band 3")</f>
        <v/>
      </c>
      <c r="J1761" s="33">
        <f>IF(AND(YEAR(B1761)=2025,G1761="Service B",OR(H1761="Band 3",H1761="Band 5"),ISNUMBER(F1761)),F1761,"")</f>
        <v/>
      </c>
    </row>
    <row r="1762">
      <c r="A1762" s="19" t="inlineStr">
        <is>
          <t>User1189</t>
        </is>
      </c>
      <c r="B1762" s="60" t="n">
        <v>45689</v>
      </c>
      <c r="C1762" s="21" t="n">
        <v>148</v>
      </c>
      <c r="D1762" s="21" t="n">
        <v>128.5833333333333</v>
      </c>
      <c r="E1762" s="21" t="n">
        <v>89.5</v>
      </c>
      <c r="F1762" s="27">
        <f>IFERROR(IF(OR(C1762="",D1762="",C1762=0),"",D1762/C1762),"")</f>
        <v/>
      </c>
      <c r="G1762" s="21">
        <f>IFERROR(INDEX(Users!$A$2:$A$310,MATCH(A1762,Users!$B$2:$B$310,0)),"")</f>
        <v/>
      </c>
      <c r="H1762" s="21">
        <f>IFERROR(INDEX(Users!$D$2:$D$310,MATCH(A1762,Users!$B$2:$B$310,0)),"")</f>
        <v/>
      </c>
      <c r="I1762" s="19">
        <f>AND(G1762="Service A",H1762="Band 3")</f>
        <v/>
      </c>
      <c r="J1762" s="33">
        <f>IF(AND(YEAR(B1762)=2025,G1762="Service B",OR(H1762="Band 3",H1762="Band 5"),ISNUMBER(F1762)),F1762,"")</f>
        <v/>
      </c>
    </row>
    <row r="1763">
      <c r="A1763" s="19" t="inlineStr">
        <is>
          <t>User1189</t>
        </is>
      </c>
      <c r="B1763" s="60" t="n">
        <v>45717</v>
      </c>
      <c r="C1763" s="21" t="n">
        <v>155.4</v>
      </c>
      <c r="D1763" s="21" t="n">
        <v>144.2533333333333</v>
      </c>
      <c r="E1763" s="21" t="n">
        <v>104.42</v>
      </c>
      <c r="F1763" s="27">
        <f>IFERROR(IF(OR(C1763="",D1763="",C1763=0),"",D1763/C1763),"")</f>
        <v/>
      </c>
      <c r="G1763" s="21">
        <f>IFERROR(INDEX(Users!$A$2:$A$310,MATCH(A1763,Users!$B$2:$B$310,0)),"")</f>
        <v/>
      </c>
      <c r="H1763" s="21">
        <f>IFERROR(INDEX(Users!$D$2:$D$310,MATCH(A1763,Users!$B$2:$B$310,0)),"")</f>
        <v/>
      </c>
      <c r="I1763" s="19">
        <f>AND(G1763="Service A",H1763="Band 3")</f>
        <v/>
      </c>
      <c r="J1763" s="33">
        <f>IF(AND(YEAR(B1763)=2025,G1763="Service B",OR(H1763="Band 3",H1763="Band 5"),ISNUMBER(F1763)),F1763,"")</f>
        <v/>
      </c>
    </row>
    <row r="1764">
      <c r="A1764" s="19" t="inlineStr">
        <is>
          <t>User1189</t>
        </is>
      </c>
      <c r="B1764" s="60" t="n">
        <v>45748</v>
      </c>
      <c r="C1764" s="21" t="n">
        <v>148</v>
      </c>
      <c r="D1764" s="21" t="n">
        <v>112.22</v>
      </c>
      <c r="E1764" s="21" t="n">
        <v>85.97</v>
      </c>
      <c r="F1764" s="27">
        <f>IFERROR(IF(OR(C1764="",D1764="",C1764=0),"",D1764/C1764),"")</f>
        <v/>
      </c>
      <c r="G1764" s="21">
        <f>IFERROR(INDEX(Users!$A$2:$A$310,MATCH(A1764,Users!$B$2:$B$310,0)),"")</f>
        <v/>
      </c>
      <c r="H1764" s="21">
        <f>IFERROR(INDEX(Users!$D$2:$D$310,MATCH(A1764,Users!$B$2:$B$310,0)),"")</f>
        <v/>
      </c>
      <c r="I1764" s="19">
        <f>AND(G1764="Service A",H1764="Band 3")</f>
        <v/>
      </c>
      <c r="J1764" s="33">
        <f>IF(AND(YEAR(B1764)=2025,G1764="Service B",OR(H1764="Band 3",H1764="Band 5"),ISNUMBER(F1764)),F1764,"")</f>
        <v/>
      </c>
    </row>
    <row r="1765">
      <c r="A1765" s="19" t="inlineStr">
        <is>
          <t>User1189</t>
        </is>
      </c>
      <c r="B1765" s="60" t="n">
        <v>45778</v>
      </c>
      <c r="C1765" s="21" t="n">
        <v>148</v>
      </c>
      <c r="D1765" s="21" t="n">
        <v>67.99666666666667</v>
      </c>
      <c r="E1765" s="21" t="n">
        <v>43.83</v>
      </c>
      <c r="F1765" s="27">
        <f>IFERROR(IF(OR(C1765="",D1765="",C1765=0),"",D1765/C1765),"")</f>
        <v/>
      </c>
      <c r="G1765" s="21">
        <f>IFERROR(INDEX(Users!$A$2:$A$310,MATCH(A1765,Users!$B$2:$B$310,0)),"")</f>
        <v/>
      </c>
      <c r="H1765" s="21">
        <f>IFERROR(INDEX(Users!$D$2:$D$310,MATCH(A1765,Users!$B$2:$B$310,0)),"")</f>
        <v/>
      </c>
      <c r="I1765" s="19">
        <f>AND(G1765="Service A",H1765="Band 3")</f>
        <v/>
      </c>
      <c r="J1765" s="33">
        <f>IF(AND(YEAR(B1765)=2025,G1765="Service B",OR(H1765="Band 3",H1765="Band 5"),ISNUMBER(F1765)),F1765,"")</f>
        <v/>
      </c>
    </row>
    <row r="1766">
      <c r="A1766" s="19" t="inlineStr">
        <is>
          <t>User1189</t>
        </is>
      </c>
      <c r="B1766" s="60" t="n">
        <v>45809</v>
      </c>
      <c r="C1766" s="21" t="n">
        <v>155.4</v>
      </c>
      <c r="D1766" s="21" t="n">
        <v>148.9166666666667</v>
      </c>
      <c r="E1766" s="21" t="n">
        <v>99</v>
      </c>
      <c r="F1766" s="27">
        <f>IFERROR(IF(OR(C1766="",D1766="",C1766=0),"",D1766/C1766),"")</f>
        <v/>
      </c>
      <c r="G1766" s="21">
        <f>IFERROR(INDEX(Users!$A$2:$A$310,MATCH(A1766,Users!$B$2:$B$310,0)),"")</f>
        <v/>
      </c>
      <c r="H1766" s="21">
        <f>IFERROR(INDEX(Users!$D$2:$D$310,MATCH(A1766,Users!$B$2:$B$310,0)),"")</f>
        <v/>
      </c>
      <c r="I1766" s="19">
        <f>AND(G1766="Service A",H1766="Band 3")</f>
        <v/>
      </c>
      <c r="J1766" s="33">
        <f>IF(AND(YEAR(B1766)=2025,G1766="Service B",OR(H1766="Band 3",H1766="Band 5"),ISNUMBER(F1766)),F1766,"")</f>
        <v/>
      </c>
    </row>
    <row r="1767">
      <c r="A1767" s="19" t="inlineStr">
        <is>
          <t>User1189</t>
        </is>
      </c>
      <c r="B1767" s="60" t="n">
        <v>45839</v>
      </c>
      <c r="C1767" s="21" t="n">
        <v>29.6</v>
      </c>
      <c r="D1767" s="21" t="n"/>
      <c r="E1767" s="21" t="n"/>
      <c r="F1767" s="27">
        <f>IFERROR(IF(OR(C1767="",D1767="",C1767=0),"",D1767/C1767),"")</f>
        <v/>
      </c>
      <c r="G1767" s="21">
        <f>IFERROR(INDEX(Users!$A$2:$A$310,MATCH(A1767,Users!$B$2:$B$310,0)),"")</f>
        <v/>
      </c>
      <c r="H1767" s="21">
        <f>IFERROR(INDEX(Users!$D$2:$D$310,MATCH(A1767,Users!$B$2:$B$310,0)),"")</f>
        <v/>
      </c>
      <c r="I1767" s="19">
        <f>AND(G1767="Service A",H1767="Band 3")</f>
        <v/>
      </c>
      <c r="J1767" s="33">
        <f>IF(AND(YEAR(B1767)=2025,G1767="Service B",OR(H1767="Band 3",H1767="Band 5"),ISNUMBER(F1767)),F1767,"")</f>
        <v/>
      </c>
    </row>
    <row r="1768">
      <c r="A1768" s="19" t="inlineStr">
        <is>
          <t>User1190</t>
        </is>
      </c>
      <c r="B1768" s="60" t="n">
        <v>45658</v>
      </c>
      <c r="C1768" s="21" t="n">
        <v>162.8</v>
      </c>
      <c r="D1768" s="21" t="n">
        <v>131.2036111111111</v>
      </c>
      <c r="E1768" s="21" t="n">
        <v>42.51000000000001</v>
      </c>
      <c r="F1768" s="27">
        <f>IFERROR(IF(OR(C1768="",D1768="",C1768=0),"",D1768/C1768),"")</f>
        <v/>
      </c>
      <c r="G1768" s="21">
        <f>IFERROR(INDEX(Users!$A$2:$A$310,MATCH(A1768,Users!$B$2:$B$310,0)),"")</f>
        <v/>
      </c>
      <c r="H1768" s="21">
        <f>IFERROR(INDEX(Users!$D$2:$D$310,MATCH(A1768,Users!$B$2:$B$310,0)),"")</f>
        <v/>
      </c>
      <c r="I1768" s="19">
        <f>AND(G1768="Service A",H1768="Band 3")</f>
        <v/>
      </c>
      <c r="J1768" s="33">
        <f>IF(AND(YEAR(B1768)=2025,G1768="Service B",OR(H1768="Band 3",H1768="Band 5"),ISNUMBER(F1768)),F1768,"")</f>
        <v/>
      </c>
    </row>
    <row r="1769">
      <c r="A1769" s="19" t="inlineStr">
        <is>
          <t>User1190</t>
        </is>
      </c>
      <c r="B1769" s="60" t="n">
        <v>45689</v>
      </c>
      <c r="C1769" s="21" t="n">
        <v>148</v>
      </c>
      <c r="D1769" s="21" t="n">
        <v>113.0941666666667</v>
      </c>
      <c r="E1769" s="21" t="n">
        <v>47.99</v>
      </c>
      <c r="F1769" s="27">
        <f>IFERROR(IF(OR(C1769="",D1769="",C1769=0),"",D1769/C1769),"")</f>
        <v/>
      </c>
      <c r="G1769" s="21">
        <f>IFERROR(INDEX(Users!$A$2:$A$310,MATCH(A1769,Users!$B$2:$B$310,0)),"")</f>
        <v/>
      </c>
      <c r="H1769" s="21">
        <f>IFERROR(INDEX(Users!$D$2:$D$310,MATCH(A1769,Users!$B$2:$B$310,0)),"")</f>
        <v/>
      </c>
      <c r="I1769" s="19">
        <f>AND(G1769="Service A",H1769="Band 3")</f>
        <v/>
      </c>
      <c r="J1769" s="33">
        <f>IF(AND(YEAR(B1769)=2025,G1769="Service B",OR(H1769="Band 3",H1769="Band 5"),ISNUMBER(F1769)),F1769,"")</f>
        <v/>
      </c>
    </row>
    <row r="1770">
      <c r="A1770" s="19" t="inlineStr">
        <is>
          <t>User1190</t>
        </is>
      </c>
      <c r="B1770" s="60" t="n">
        <v>45717</v>
      </c>
      <c r="C1770" s="21" t="n">
        <v>155.4</v>
      </c>
      <c r="D1770" s="21" t="n">
        <v>144.2866666666667</v>
      </c>
      <c r="E1770" s="21" t="n">
        <v>69.51000000000001</v>
      </c>
      <c r="F1770" s="27">
        <f>IFERROR(IF(OR(C1770="",D1770="",C1770=0),"",D1770/C1770),"")</f>
        <v/>
      </c>
      <c r="G1770" s="21">
        <f>IFERROR(INDEX(Users!$A$2:$A$310,MATCH(A1770,Users!$B$2:$B$310,0)),"")</f>
        <v/>
      </c>
      <c r="H1770" s="21">
        <f>IFERROR(INDEX(Users!$D$2:$D$310,MATCH(A1770,Users!$B$2:$B$310,0)),"")</f>
        <v/>
      </c>
      <c r="I1770" s="19">
        <f>AND(G1770="Service A",H1770="Band 3")</f>
        <v/>
      </c>
      <c r="J1770" s="33">
        <f>IF(AND(YEAR(B1770)=2025,G1770="Service B",OR(H1770="Band 3",H1770="Band 5"),ISNUMBER(F1770)),F1770,"")</f>
        <v/>
      </c>
    </row>
    <row r="1771">
      <c r="A1771" s="19" t="inlineStr">
        <is>
          <t>User1190</t>
        </is>
      </c>
      <c r="B1771" s="60" t="n">
        <v>45748</v>
      </c>
      <c r="C1771" s="21" t="n">
        <v>148</v>
      </c>
      <c r="D1771" s="21" t="n">
        <v>140.9161111111111</v>
      </c>
      <c r="E1771" s="21" t="n">
        <v>78.23</v>
      </c>
      <c r="F1771" s="27">
        <f>IFERROR(IF(OR(C1771="",D1771="",C1771=0),"",D1771/C1771),"")</f>
        <v/>
      </c>
      <c r="G1771" s="21">
        <f>IFERROR(INDEX(Users!$A$2:$A$310,MATCH(A1771,Users!$B$2:$B$310,0)),"")</f>
        <v/>
      </c>
      <c r="H1771" s="21">
        <f>IFERROR(INDEX(Users!$D$2:$D$310,MATCH(A1771,Users!$B$2:$B$310,0)),"")</f>
        <v/>
      </c>
      <c r="I1771" s="19">
        <f>AND(G1771="Service A",H1771="Band 3")</f>
        <v/>
      </c>
      <c r="J1771" s="33">
        <f>IF(AND(YEAR(B1771)=2025,G1771="Service B",OR(H1771="Band 3",H1771="Band 5"),ISNUMBER(F1771)),F1771,"")</f>
        <v/>
      </c>
    </row>
    <row r="1772">
      <c r="A1772" s="19" t="inlineStr">
        <is>
          <t>User1190</t>
        </is>
      </c>
      <c r="B1772" s="60" t="n">
        <v>45778</v>
      </c>
      <c r="C1772" s="21" t="n">
        <v>148</v>
      </c>
      <c r="D1772" s="21" t="n">
        <v>150.9986111111111</v>
      </c>
      <c r="E1772" s="21" t="n">
        <v>98.81</v>
      </c>
      <c r="F1772" s="27">
        <f>IFERROR(IF(OR(C1772="",D1772="",C1772=0),"",D1772/C1772),"")</f>
        <v/>
      </c>
      <c r="G1772" s="21">
        <f>IFERROR(INDEX(Users!$A$2:$A$310,MATCH(A1772,Users!$B$2:$B$310,0)),"")</f>
        <v/>
      </c>
      <c r="H1772" s="21">
        <f>IFERROR(INDEX(Users!$D$2:$D$310,MATCH(A1772,Users!$B$2:$B$310,0)),"")</f>
        <v/>
      </c>
      <c r="I1772" s="19">
        <f>AND(G1772="Service A",H1772="Band 3")</f>
        <v/>
      </c>
      <c r="J1772" s="33">
        <f>IF(AND(YEAR(B1772)=2025,G1772="Service B",OR(H1772="Band 3",H1772="Band 5"),ISNUMBER(F1772)),F1772,"")</f>
        <v/>
      </c>
    </row>
    <row r="1773">
      <c r="A1773" s="19" t="inlineStr">
        <is>
          <t>User1190</t>
        </is>
      </c>
      <c r="B1773" s="60" t="n">
        <v>45809</v>
      </c>
      <c r="C1773" s="21" t="n">
        <v>155.4</v>
      </c>
      <c r="D1773" s="21" t="n">
        <v>120.1488888888889</v>
      </c>
      <c r="E1773" s="21" t="n">
        <v>71.48</v>
      </c>
      <c r="F1773" s="27">
        <f>IFERROR(IF(OR(C1773="",D1773="",C1773=0),"",D1773/C1773),"")</f>
        <v/>
      </c>
      <c r="G1773" s="21">
        <f>IFERROR(INDEX(Users!$A$2:$A$310,MATCH(A1773,Users!$B$2:$B$310,0)),"")</f>
        <v/>
      </c>
      <c r="H1773" s="21">
        <f>IFERROR(INDEX(Users!$D$2:$D$310,MATCH(A1773,Users!$B$2:$B$310,0)),"")</f>
        <v/>
      </c>
      <c r="I1773" s="19">
        <f>AND(G1773="Service A",H1773="Band 3")</f>
        <v/>
      </c>
      <c r="J1773" s="33">
        <f>IF(AND(YEAR(B1773)=2025,G1773="Service B",OR(H1773="Band 3",H1773="Band 5"),ISNUMBER(F1773)),F1773,"")</f>
        <v/>
      </c>
    </row>
    <row r="1774">
      <c r="A1774" s="19" t="inlineStr">
        <is>
          <t>User1190</t>
        </is>
      </c>
      <c r="B1774" s="60" t="n">
        <v>45839</v>
      </c>
      <c r="C1774" s="21" t="n">
        <v>170.2</v>
      </c>
      <c r="D1774" s="21" t="n">
        <v>162.0647222222222</v>
      </c>
      <c r="E1774" s="21" t="n">
        <v>108.13</v>
      </c>
      <c r="F1774" s="27">
        <f>IFERROR(IF(OR(C1774="",D1774="",C1774=0),"",D1774/C1774),"")</f>
        <v/>
      </c>
      <c r="G1774" s="21">
        <f>IFERROR(INDEX(Users!$A$2:$A$310,MATCH(A1774,Users!$B$2:$B$310,0)),"")</f>
        <v/>
      </c>
      <c r="H1774" s="21">
        <f>IFERROR(INDEX(Users!$D$2:$D$310,MATCH(A1774,Users!$B$2:$B$310,0)),"")</f>
        <v/>
      </c>
      <c r="I1774" s="19">
        <f>AND(G1774="Service A",H1774="Band 3")</f>
        <v/>
      </c>
      <c r="J1774" s="33">
        <f>IF(AND(YEAR(B1774)=2025,G1774="Service B",OR(H1774="Band 3",H1774="Band 5"),ISNUMBER(F1774)),F1774,"")</f>
        <v/>
      </c>
    </row>
    <row r="1775">
      <c r="A1775" s="19" t="inlineStr">
        <is>
          <t>User1190</t>
        </is>
      </c>
      <c r="B1775" s="60" t="n">
        <v>45870</v>
      </c>
      <c r="C1775" s="21" t="n">
        <v>148</v>
      </c>
      <c r="D1775" s="21" t="n">
        <v>150.1747222222222</v>
      </c>
      <c r="E1775" s="21" t="n">
        <v>109.99</v>
      </c>
      <c r="F1775" s="27">
        <f>IFERROR(IF(OR(C1775="",D1775="",C1775=0),"",D1775/C1775),"")</f>
        <v/>
      </c>
      <c r="G1775" s="21">
        <f>IFERROR(INDEX(Users!$A$2:$A$310,MATCH(A1775,Users!$B$2:$B$310,0)),"")</f>
        <v/>
      </c>
      <c r="H1775" s="21">
        <f>IFERROR(INDEX(Users!$D$2:$D$310,MATCH(A1775,Users!$B$2:$B$310,0)),"")</f>
        <v/>
      </c>
      <c r="I1775" s="19">
        <f>AND(G1775="Service A",H1775="Band 3")</f>
        <v/>
      </c>
      <c r="J1775" s="33">
        <f>IF(AND(YEAR(B1775)=2025,G1775="Service B",OR(H1775="Band 3",H1775="Band 5"),ISNUMBER(F1775)),F1775,"")</f>
        <v/>
      </c>
    </row>
    <row r="1776">
      <c r="A1776" s="19" t="inlineStr">
        <is>
          <t>User1190</t>
        </is>
      </c>
      <c r="B1776" s="60" t="n">
        <v>45901</v>
      </c>
      <c r="C1776" s="21" t="n">
        <v>162.8</v>
      </c>
      <c r="D1776" s="21" t="n">
        <v>140.5030555555555</v>
      </c>
      <c r="E1776" s="21" t="n">
        <v>105.9</v>
      </c>
      <c r="F1776" s="27">
        <f>IFERROR(IF(OR(C1776="",D1776="",C1776=0),"",D1776/C1776),"")</f>
        <v/>
      </c>
      <c r="G1776" s="21">
        <f>IFERROR(INDEX(Users!$A$2:$A$310,MATCH(A1776,Users!$B$2:$B$310,0)),"")</f>
        <v/>
      </c>
      <c r="H1776" s="21">
        <f>IFERROR(INDEX(Users!$D$2:$D$310,MATCH(A1776,Users!$B$2:$B$310,0)),"")</f>
        <v/>
      </c>
      <c r="I1776" s="19">
        <f>AND(G1776="Service A",H1776="Band 3")</f>
        <v/>
      </c>
      <c r="J1776" s="33">
        <f>IF(AND(YEAR(B1776)=2025,G1776="Service B",OR(H1776="Band 3",H1776="Band 5"),ISNUMBER(F1776)),F1776,"")</f>
        <v/>
      </c>
    </row>
    <row r="1777">
      <c r="A1777" s="19" t="inlineStr">
        <is>
          <t>User1190</t>
        </is>
      </c>
      <c r="B1777" s="60" t="n">
        <v>45931</v>
      </c>
      <c r="C1777" s="21" t="n">
        <v>170.2</v>
      </c>
      <c r="D1777" s="21" t="n">
        <v>134.2027777777778</v>
      </c>
      <c r="E1777" s="21" t="n">
        <v>115.1</v>
      </c>
      <c r="F1777" s="27">
        <f>IFERROR(IF(OR(C1777="",D1777="",C1777=0),"",D1777/C1777),"")</f>
        <v/>
      </c>
      <c r="G1777" s="21">
        <f>IFERROR(INDEX(Users!$A$2:$A$310,MATCH(A1777,Users!$B$2:$B$310,0)),"")</f>
        <v/>
      </c>
      <c r="H1777" s="21">
        <f>IFERROR(INDEX(Users!$D$2:$D$310,MATCH(A1777,Users!$B$2:$B$310,0)),"")</f>
        <v/>
      </c>
      <c r="I1777" s="19">
        <f>AND(G1777="Service A",H1777="Band 3")</f>
        <v/>
      </c>
      <c r="J1777" s="33">
        <f>IF(AND(YEAR(B1777)=2025,G1777="Service B",OR(H1777="Band 3",H1777="Band 5"),ISNUMBER(F1777)),F1777,"")</f>
        <v/>
      </c>
    </row>
    <row r="1778">
      <c r="A1778" s="19" t="inlineStr">
        <is>
          <t>User1190</t>
        </is>
      </c>
      <c r="B1778" s="60" t="n">
        <v>45962</v>
      </c>
      <c r="C1778" s="21" t="n">
        <v>148</v>
      </c>
      <c r="D1778" s="21" t="n">
        <v>146.4922222222222</v>
      </c>
      <c r="E1778" s="21" t="n">
        <v>123.14</v>
      </c>
      <c r="F1778" s="27">
        <f>IFERROR(IF(OR(C1778="",D1778="",C1778=0),"",D1778/C1778),"")</f>
        <v/>
      </c>
      <c r="G1778" s="21">
        <f>IFERROR(INDEX(Users!$A$2:$A$310,MATCH(A1778,Users!$B$2:$B$310,0)),"")</f>
        <v/>
      </c>
      <c r="H1778" s="21">
        <f>IFERROR(INDEX(Users!$D$2:$D$310,MATCH(A1778,Users!$B$2:$B$310,0)),"")</f>
        <v/>
      </c>
      <c r="I1778" s="19">
        <f>AND(G1778="Service A",H1778="Band 3")</f>
        <v/>
      </c>
      <c r="J1778" s="33">
        <f>IF(AND(YEAR(B1778)=2025,G1778="Service B",OR(H1778="Band 3",H1778="Band 5"),ISNUMBER(F1778)),F1778,"")</f>
        <v/>
      </c>
    </row>
    <row r="1779">
      <c r="A1779" s="19" t="inlineStr">
        <is>
          <t>User1190</t>
        </is>
      </c>
      <c r="B1779" s="60" t="n">
        <v>45992</v>
      </c>
      <c r="C1779" s="21" t="n">
        <v>155.4</v>
      </c>
      <c r="D1779" s="21" t="n">
        <v>89.8275</v>
      </c>
      <c r="E1779" s="21" t="n">
        <v>76.15000000000001</v>
      </c>
      <c r="F1779" s="27">
        <f>IFERROR(IF(OR(C1779="",D1779="",C1779=0),"",D1779/C1779),"")</f>
        <v/>
      </c>
      <c r="G1779" s="21">
        <f>IFERROR(INDEX(Users!$A$2:$A$310,MATCH(A1779,Users!$B$2:$B$310,0)),"")</f>
        <v/>
      </c>
      <c r="H1779" s="21">
        <f>IFERROR(INDEX(Users!$D$2:$D$310,MATCH(A1779,Users!$B$2:$B$310,0)),"")</f>
        <v/>
      </c>
      <c r="I1779" s="19">
        <f>AND(G1779="Service A",H1779="Band 3")</f>
        <v/>
      </c>
      <c r="J1779" s="33">
        <f>IF(AND(YEAR(B1779)=2025,G1779="Service B",OR(H1779="Band 3",H1779="Band 5"),ISNUMBER(F1779)),F1779,"")</f>
        <v/>
      </c>
    </row>
    <row r="1780">
      <c r="A1780" s="19" t="inlineStr">
        <is>
          <t>User1190</t>
        </is>
      </c>
      <c r="B1780" s="60" t="n">
        <v>46023</v>
      </c>
      <c r="C1780" s="21" t="n">
        <v>155.4</v>
      </c>
      <c r="D1780" s="21" t="n">
        <v>143.8525</v>
      </c>
      <c r="E1780" s="21" t="n">
        <v>113.25</v>
      </c>
      <c r="F1780" s="27">
        <f>IFERROR(IF(OR(C1780="",D1780="",C1780=0),"",D1780/C1780),"")</f>
        <v/>
      </c>
      <c r="G1780" s="21">
        <f>IFERROR(INDEX(Users!$A$2:$A$310,MATCH(A1780,Users!$B$2:$B$310,0)),"")</f>
        <v/>
      </c>
      <c r="H1780" s="21">
        <f>IFERROR(INDEX(Users!$D$2:$D$310,MATCH(A1780,Users!$B$2:$B$310,0)),"")</f>
        <v/>
      </c>
      <c r="I1780" s="19">
        <f>AND(G1780="Service A",H1780="Band 3")</f>
        <v/>
      </c>
      <c r="J1780" s="33">
        <f>IF(AND(YEAR(B1780)=2025,G1780="Service B",OR(H1780="Band 3",H1780="Band 5"),ISNUMBER(F1780)),F1780,"")</f>
        <v/>
      </c>
    </row>
    <row r="1781">
      <c r="A1781" s="19" t="inlineStr">
        <is>
          <t>User1191</t>
        </is>
      </c>
      <c r="B1781" s="60" t="n">
        <v>45658</v>
      </c>
      <c r="C1781" s="21" t="n">
        <v>162.8</v>
      </c>
      <c r="D1781" s="21" t="n">
        <v>166.2533333333333</v>
      </c>
      <c r="E1781" s="21" t="n">
        <v>101.17</v>
      </c>
      <c r="F1781" s="27">
        <f>IFERROR(IF(OR(C1781="",D1781="",C1781=0),"",D1781/C1781),"")</f>
        <v/>
      </c>
      <c r="G1781" s="21">
        <f>IFERROR(INDEX(Users!$A$2:$A$310,MATCH(A1781,Users!$B$2:$B$310,0)),"")</f>
        <v/>
      </c>
      <c r="H1781" s="21">
        <f>IFERROR(INDEX(Users!$D$2:$D$310,MATCH(A1781,Users!$B$2:$B$310,0)),"")</f>
        <v/>
      </c>
      <c r="I1781" s="19">
        <f>AND(G1781="Service A",H1781="Band 3")</f>
        <v/>
      </c>
      <c r="J1781" s="33">
        <f>IF(AND(YEAR(B1781)=2025,G1781="Service B",OR(H1781="Band 3",H1781="Band 5"),ISNUMBER(F1781)),F1781,"")</f>
        <v/>
      </c>
    </row>
    <row r="1782">
      <c r="A1782" s="19" t="inlineStr">
        <is>
          <t>User1191</t>
        </is>
      </c>
      <c r="B1782" s="60" t="n">
        <v>45689</v>
      </c>
      <c r="C1782" s="21" t="n">
        <v>148</v>
      </c>
      <c r="D1782" s="21" t="n">
        <v>155.1366666666667</v>
      </c>
      <c r="E1782" s="21" t="n">
        <v>91.67</v>
      </c>
      <c r="F1782" s="27">
        <f>IFERROR(IF(OR(C1782="",D1782="",C1782=0),"",D1782/C1782),"")</f>
        <v/>
      </c>
      <c r="G1782" s="21">
        <f>IFERROR(INDEX(Users!$A$2:$A$310,MATCH(A1782,Users!$B$2:$B$310,0)),"")</f>
        <v/>
      </c>
      <c r="H1782" s="21">
        <f>IFERROR(INDEX(Users!$D$2:$D$310,MATCH(A1782,Users!$B$2:$B$310,0)),"")</f>
        <v/>
      </c>
      <c r="I1782" s="19">
        <f>AND(G1782="Service A",H1782="Band 3")</f>
        <v/>
      </c>
      <c r="J1782" s="33">
        <f>IF(AND(YEAR(B1782)=2025,G1782="Service B",OR(H1782="Band 3",H1782="Band 5"),ISNUMBER(F1782)),F1782,"")</f>
        <v/>
      </c>
    </row>
    <row r="1783">
      <c r="A1783" s="19" t="inlineStr">
        <is>
          <t>User1191</t>
        </is>
      </c>
      <c r="B1783" s="60" t="n">
        <v>45717</v>
      </c>
      <c r="C1783" s="21" t="n">
        <v>155.4</v>
      </c>
      <c r="D1783" s="21" t="n">
        <v>117.9366666666667</v>
      </c>
      <c r="E1783" s="21" t="n">
        <v>78.31999999999999</v>
      </c>
      <c r="F1783" s="27">
        <f>IFERROR(IF(OR(C1783="",D1783="",C1783=0),"",D1783/C1783),"")</f>
        <v/>
      </c>
      <c r="G1783" s="21">
        <f>IFERROR(INDEX(Users!$A$2:$A$310,MATCH(A1783,Users!$B$2:$B$310,0)),"")</f>
        <v/>
      </c>
      <c r="H1783" s="21">
        <f>IFERROR(INDEX(Users!$D$2:$D$310,MATCH(A1783,Users!$B$2:$B$310,0)),"")</f>
        <v/>
      </c>
      <c r="I1783" s="19">
        <f>AND(G1783="Service A",H1783="Band 3")</f>
        <v/>
      </c>
      <c r="J1783" s="33">
        <f>IF(AND(YEAR(B1783)=2025,G1783="Service B",OR(H1783="Band 3",H1783="Band 5"),ISNUMBER(F1783)),F1783,"")</f>
        <v/>
      </c>
    </row>
    <row r="1784">
      <c r="A1784" s="19" t="inlineStr">
        <is>
          <t>User1191</t>
        </is>
      </c>
      <c r="B1784" s="60" t="n">
        <v>45748</v>
      </c>
      <c r="C1784" s="21" t="n">
        <v>148</v>
      </c>
      <c r="D1784" s="21" t="n">
        <v>105.82</v>
      </c>
      <c r="E1784" s="21" t="n">
        <v>60.77</v>
      </c>
      <c r="F1784" s="27">
        <f>IFERROR(IF(OR(C1784="",D1784="",C1784=0),"",D1784/C1784),"")</f>
        <v/>
      </c>
      <c r="G1784" s="21">
        <f>IFERROR(INDEX(Users!$A$2:$A$310,MATCH(A1784,Users!$B$2:$B$310,0)),"")</f>
        <v/>
      </c>
      <c r="H1784" s="21">
        <f>IFERROR(INDEX(Users!$D$2:$D$310,MATCH(A1784,Users!$B$2:$B$310,0)),"")</f>
        <v/>
      </c>
      <c r="I1784" s="19">
        <f>AND(G1784="Service A",H1784="Band 3")</f>
        <v/>
      </c>
      <c r="J1784" s="33">
        <f>IF(AND(YEAR(B1784)=2025,G1784="Service B",OR(H1784="Band 3",H1784="Band 5"),ISNUMBER(F1784)),F1784,"")</f>
        <v/>
      </c>
    </row>
    <row r="1785">
      <c r="A1785" s="19" t="inlineStr">
        <is>
          <t>User1191</t>
        </is>
      </c>
      <c r="B1785" s="60" t="n">
        <v>45778</v>
      </c>
      <c r="C1785" s="21" t="n">
        <v>148</v>
      </c>
      <c r="D1785" s="21" t="n">
        <v>142.8866666666667</v>
      </c>
      <c r="E1785" s="21" t="n">
        <v>108.67</v>
      </c>
      <c r="F1785" s="27">
        <f>IFERROR(IF(OR(C1785="",D1785="",C1785=0),"",D1785/C1785),"")</f>
        <v/>
      </c>
      <c r="G1785" s="21">
        <f>IFERROR(INDEX(Users!$A$2:$A$310,MATCH(A1785,Users!$B$2:$B$310,0)),"")</f>
        <v/>
      </c>
      <c r="H1785" s="21">
        <f>IFERROR(INDEX(Users!$D$2:$D$310,MATCH(A1785,Users!$B$2:$B$310,0)),"")</f>
        <v/>
      </c>
      <c r="I1785" s="19">
        <f>AND(G1785="Service A",H1785="Band 3")</f>
        <v/>
      </c>
      <c r="J1785" s="33">
        <f>IF(AND(YEAR(B1785)=2025,G1785="Service B",OR(H1785="Band 3",H1785="Band 5"),ISNUMBER(F1785)),F1785,"")</f>
        <v/>
      </c>
    </row>
    <row r="1786">
      <c r="A1786" s="19" t="inlineStr">
        <is>
          <t>User1191</t>
        </is>
      </c>
      <c r="B1786" s="60" t="n">
        <v>45809</v>
      </c>
      <c r="C1786" s="21" t="n">
        <v>155.4</v>
      </c>
      <c r="D1786" s="21" t="n">
        <v>134.3366666666667</v>
      </c>
      <c r="E1786" s="21" t="n">
        <v>77.92</v>
      </c>
      <c r="F1786" s="27">
        <f>IFERROR(IF(OR(C1786="",D1786="",C1786=0),"",D1786/C1786),"")</f>
        <v/>
      </c>
      <c r="G1786" s="21">
        <f>IFERROR(INDEX(Users!$A$2:$A$310,MATCH(A1786,Users!$B$2:$B$310,0)),"")</f>
        <v/>
      </c>
      <c r="H1786" s="21">
        <f>IFERROR(INDEX(Users!$D$2:$D$310,MATCH(A1786,Users!$B$2:$B$310,0)),"")</f>
        <v/>
      </c>
      <c r="I1786" s="19">
        <f>AND(G1786="Service A",H1786="Band 3")</f>
        <v/>
      </c>
      <c r="J1786" s="33">
        <f>IF(AND(YEAR(B1786)=2025,G1786="Service B",OR(H1786="Band 3",H1786="Band 5"),ISNUMBER(F1786)),F1786,"")</f>
        <v/>
      </c>
    </row>
    <row r="1787">
      <c r="A1787" s="19" t="inlineStr">
        <is>
          <t>User1191</t>
        </is>
      </c>
      <c r="B1787" s="60" t="n">
        <v>45839</v>
      </c>
      <c r="C1787" s="21" t="n">
        <v>170.2</v>
      </c>
      <c r="D1787" s="21" t="n">
        <v>104.0866666666667</v>
      </c>
      <c r="E1787" s="21" t="n">
        <v>73.17</v>
      </c>
      <c r="F1787" s="27">
        <f>IFERROR(IF(OR(C1787="",D1787="",C1787=0),"",D1787/C1787),"")</f>
        <v/>
      </c>
      <c r="G1787" s="21">
        <f>IFERROR(INDEX(Users!$A$2:$A$310,MATCH(A1787,Users!$B$2:$B$310,0)),"")</f>
        <v/>
      </c>
      <c r="H1787" s="21">
        <f>IFERROR(INDEX(Users!$D$2:$D$310,MATCH(A1787,Users!$B$2:$B$310,0)),"")</f>
        <v/>
      </c>
      <c r="I1787" s="19">
        <f>AND(G1787="Service A",H1787="Band 3")</f>
        <v/>
      </c>
      <c r="J1787" s="33">
        <f>IF(AND(YEAR(B1787)=2025,G1787="Service B",OR(H1787="Band 3",H1787="Band 5"),ISNUMBER(F1787)),F1787,"")</f>
        <v/>
      </c>
    </row>
    <row r="1788">
      <c r="A1788" s="19" t="inlineStr">
        <is>
          <t>User1191</t>
        </is>
      </c>
      <c r="B1788" s="60" t="n">
        <v>45870</v>
      </c>
      <c r="C1788" s="21" t="n">
        <v>148</v>
      </c>
      <c r="D1788" s="21" t="n">
        <v>78.33666666666667</v>
      </c>
      <c r="E1788" s="21" t="n">
        <v>56.17</v>
      </c>
      <c r="F1788" s="27">
        <f>IFERROR(IF(OR(C1788="",D1788="",C1788=0),"",D1788/C1788),"")</f>
        <v/>
      </c>
      <c r="G1788" s="21">
        <f>IFERROR(INDEX(Users!$A$2:$A$310,MATCH(A1788,Users!$B$2:$B$310,0)),"")</f>
        <v/>
      </c>
      <c r="H1788" s="21">
        <f>IFERROR(INDEX(Users!$D$2:$D$310,MATCH(A1788,Users!$B$2:$B$310,0)),"")</f>
        <v/>
      </c>
      <c r="I1788" s="19">
        <f>AND(G1788="Service A",H1788="Band 3")</f>
        <v/>
      </c>
      <c r="J1788" s="33">
        <f>IF(AND(YEAR(B1788)=2025,G1788="Service B",OR(H1788="Band 3",H1788="Band 5"),ISNUMBER(F1788)),F1788,"")</f>
        <v/>
      </c>
    </row>
    <row r="1789">
      <c r="A1789" s="19" t="inlineStr">
        <is>
          <t>User1191</t>
        </is>
      </c>
      <c r="B1789" s="60" t="n">
        <v>45901</v>
      </c>
      <c r="C1789" s="21" t="n">
        <v>162.8</v>
      </c>
      <c r="D1789" s="21" t="n">
        <v>110.41</v>
      </c>
      <c r="E1789" s="21" t="n">
        <v>81.91</v>
      </c>
      <c r="F1789" s="27">
        <f>IFERROR(IF(OR(C1789="",D1789="",C1789=0),"",D1789/C1789),"")</f>
        <v/>
      </c>
      <c r="G1789" s="21">
        <f>IFERROR(INDEX(Users!$A$2:$A$310,MATCH(A1789,Users!$B$2:$B$310,0)),"")</f>
        <v/>
      </c>
      <c r="H1789" s="21">
        <f>IFERROR(INDEX(Users!$D$2:$D$310,MATCH(A1789,Users!$B$2:$B$310,0)),"")</f>
        <v/>
      </c>
      <c r="I1789" s="19">
        <f>AND(G1789="Service A",H1789="Band 3")</f>
        <v/>
      </c>
      <c r="J1789" s="33">
        <f>IF(AND(YEAR(B1789)=2025,G1789="Service B",OR(H1789="Band 3",H1789="Band 5"),ISNUMBER(F1789)),F1789,"")</f>
        <v/>
      </c>
    </row>
    <row r="1790">
      <c r="A1790" s="19" t="inlineStr">
        <is>
          <t>User1191</t>
        </is>
      </c>
      <c r="B1790" s="60" t="n">
        <v>45931</v>
      </c>
      <c r="C1790" s="21" t="n">
        <v>170.2</v>
      </c>
      <c r="D1790" s="21" t="n">
        <v>160.7433333333333</v>
      </c>
      <c r="E1790" s="21" t="n">
        <v>113.16</v>
      </c>
      <c r="F1790" s="27">
        <f>IFERROR(IF(OR(C1790="",D1790="",C1790=0),"",D1790/C1790),"")</f>
        <v/>
      </c>
      <c r="G1790" s="21">
        <f>IFERROR(INDEX(Users!$A$2:$A$310,MATCH(A1790,Users!$B$2:$B$310,0)),"")</f>
        <v/>
      </c>
      <c r="H1790" s="21">
        <f>IFERROR(INDEX(Users!$D$2:$D$310,MATCH(A1790,Users!$B$2:$B$310,0)),"")</f>
        <v/>
      </c>
      <c r="I1790" s="19">
        <f>AND(G1790="Service A",H1790="Band 3")</f>
        <v/>
      </c>
      <c r="J1790" s="33">
        <f>IF(AND(YEAR(B1790)=2025,G1790="Service B",OR(H1790="Band 3",H1790="Band 5"),ISNUMBER(F1790)),F1790,"")</f>
        <v/>
      </c>
    </row>
    <row r="1791">
      <c r="A1791" s="19" t="inlineStr">
        <is>
          <t>User1191</t>
        </is>
      </c>
      <c r="B1791" s="60" t="n">
        <v>45962</v>
      </c>
      <c r="C1791" s="21" t="n">
        <v>148</v>
      </c>
      <c r="D1791" s="21" t="n">
        <v>108.4166666666667</v>
      </c>
      <c r="E1791" s="21" t="n">
        <v>69.5</v>
      </c>
      <c r="F1791" s="27">
        <f>IFERROR(IF(OR(C1791="",D1791="",C1791=0),"",D1791/C1791),"")</f>
        <v/>
      </c>
      <c r="G1791" s="21">
        <f>IFERROR(INDEX(Users!$A$2:$A$310,MATCH(A1791,Users!$B$2:$B$310,0)),"")</f>
        <v/>
      </c>
      <c r="H1791" s="21">
        <f>IFERROR(INDEX(Users!$D$2:$D$310,MATCH(A1791,Users!$B$2:$B$310,0)),"")</f>
        <v/>
      </c>
      <c r="I1791" s="19">
        <f>AND(G1791="Service A",H1791="Band 3")</f>
        <v/>
      </c>
      <c r="J1791" s="33">
        <f>IF(AND(YEAR(B1791)=2025,G1791="Service B",OR(H1791="Band 3",H1791="Band 5"),ISNUMBER(F1791)),F1791,"")</f>
        <v/>
      </c>
    </row>
    <row r="1792">
      <c r="A1792" s="19" t="inlineStr">
        <is>
          <t>User1191</t>
        </is>
      </c>
      <c r="B1792" s="60" t="n">
        <v>45992</v>
      </c>
      <c r="C1792" s="21" t="n">
        <v>155.4</v>
      </c>
      <c r="D1792" s="21" t="n">
        <v>97.47666666666666</v>
      </c>
      <c r="E1792" s="21" t="n">
        <v>61.41</v>
      </c>
      <c r="F1792" s="27">
        <f>IFERROR(IF(OR(C1792="",D1792="",C1792=0),"",D1792/C1792),"")</f>
        <v/>
      </c>
      <c r="G1792" s="21">
        <f>IFERROR(INDEX(Users!$A$2:$A$310,MATCH(A1792,Users!$B$2:$B$310,0)),"")</f>
        <v/>
      </c>
      <c r="H1792" s="21">
        <f>IFERROR(INDEX(Users!$D$2:$D$310,MATCH(A1792,Users!$B$2:$B$310,0)),"")</f>
        <v/>
      </c>
      <c r="I1792" s="19">
        <f>AND(G1792="Service A",H1792="Band 3")</f>
        <v/>
      </c>
      <c r="J1792" s="33">
        <f>IF(AND(YEAR(B1792)=2025,G1792="Service B",OR(H1792="Band 3",H1792="Band 5"),ISNUMBER(F1792)),F1792,"")</f>
        <v/>
      </c>
    </row>
    <row r="1793">
      <c r="A1793" s="19" t="inlineStr">
        <is>
          <t>User1191</t>
        </is>
      </c>
      <c r="B1793" s="60" t="n">
        <v>46023</v>
      </c>
      <c r="C1793" s="21" t="n">
        <v>155.4</v>
      </c>
      <c r="D1793" s="21" t="n">
        <v>145.1633333333333</v>
      </c>
      <c r="E1793" s="21" t="n">
        <v>101.58</v>
      </c>
      <c r="F1793" s="27">
        <f>IFERROR(IF(OR(C1793="",D1793="",C1793=0),"",D1793/C1793),"")</f>
        <v/>
      </c>
      <c r="G1793" s="21">
        <f>IFERROR(INDEX(Users!$A$2:$A$310,MATCH(A1793,Users!$B$2:$B$310,0)),"")</f>
        <v/>
      </c>
      <c r="H1793" s="21">
        <f>IFERROR(INDEX(Users!$D$2:$D$310,MATCH(A1793,Users!$B$2:$B$310,0)),"")</f>
        <v/>
      </c>
      <c r="I1793" s="19">
        <f>AND(G1793="Service A",H1793="Band 3")</f>
        <v/>
      </c>
      <c r="J1793" s="33">
        <f>IF(AND(YEAR(B1793)=2025,G1793="Service B",OR(H1793="Band 3",H1793="Band 5"),ISNUMBER(F1793)),F1793,"")</f>
        <v/>
      </c>
    </row>
    <row r="1794">
      <c r="A1794" s="19" t="inlineStr">
        <is>
          <t>User1192</t>
        </is>
      </c>
      <c r="B1794" s="60" t="n">
        <v>45658</v>
      </c>
      <c r="C1794" s="21" t="n">
        <v>162.8</v>
      </c>
      <c r="D1794" s="21" t="n">
        <v>144.9933333333333</v>
      </c>
      <c r="E1794" s="21" t="n">
        <v>64.16</v>
      </c>
      <c r="F1794" s="27">
        <f>IFERROR(IF(OR(C1794="",D1794="",C1794=0),"",D1794/C1794),"")</f>
        <v/>
      </c>
      <c r="G1794" s="21">
        <f>IFERROR(INDEX(Users!$A$2:$A$310,MATCH(A1794,Users!$B$2:$B$310,0)),"")</f>
        <v/>
      </c>
      <c r="H1794" s="21">
        <f>IFERROR(INDEX(Users!$D$2:$D$310,MATCH(A1794,Users!$B$2:$B$310,0)),"")</f>
        <v/>
      </c>
      <c r="I1794" s="19">
        <f>AND(G1794="Service A",H1794="Band 3")</f>
        <v/>
      </c>
      <c r="J1794" s="33">
        <f>IF(AND(YEAR(B1794)=2025,G1794="Service B",OR(H1794="Band 3",H1794="Band 5"),ISNUMBER(F1794)),F1794,"")</f>
        <v/>
      </c>
    </row>
    <row r="1795">
      <c r="A1795" s="19" t="inlineStr">
        <is>
          <t>User1192</t>
        </is>
      </c>
      <c r="B1795" s="60" t="n">
        <v>45689</v>
      </c>
      <c r="C1795" s="21" t="n">
        <v>148</v>
      </c>
      <c r="D1795" s="21" t="n">
        <v>120.42</v>
      </c>
      <c r="E1795" s="21" t="n">
        <v>59.92</v>
      </c>
      <c r="F1795" s="27">
        <f>IFERROR(IF(OR(C1795="",D1795="",C1795=0),"",D1795/C1795),"")</f>
        <v/>
      </c>
      <c r="G1795" s="21">
        <f>IFERROR(INDEX(Users!$A$2:$A$310,MATCH(A1795,Users!$B$2:$B$310,0)),"")</f>
        <v/>
      </c>
      <c r="H1795" s="21">
        <f>IFERROR(INDEX(Users!$D$2:$D$310,MATCH(A1795,Users!$B$2:$B$310,0)),"")</f>
        <v/>
      </c>
      <c r="I1795" s="19">
        <f>AND(G1795="Service A",H1795="Band 3")</f>
        <v/>
      </c>
      <c r="J1795" s="33">
        <f>IF(AND(YEAR(B1795)=2025,G1795="Service B",OR(H1795="Band 3",H1795="Band 5"),ISNUMBER(F1795)),F1795,"")</f>
        <v/>
      </c>
    </row>
    <row r="1796">
      <c r="A1796" s="19" t="inlineStr">
        <is>
          <t>User1192</t>
        </is>
      </c>
      <c r="B1796" s="60" t="n">
        <v>45717</v>
      </c>
      <c r="C1796" s="21" t="n">
        <v>155.4</v>
      </c>
      <c r="D1796" s="21" t="n">
        <v>155.1666666666667</v>
      </c>
      <c r="E1796" s="21" t="n">
        <v>54</v>
      </c>
      <c r="F1796" s="27">
        <f>IFERROR(IF(OR(C1796="",D1796="",C1796=0),"",D1796/C1796),"")</f>
        <v/>
      </c>
      <c r="G1796" s="21">
        <f>IFERROR(INDEX(Users!$A$2:$A$310,MATCH(A1796,Users!$B$2:$B$310,0)),"")</f>
        <v/>
      </c>
      <c r="H1796" s="21">
        <f>IFERROR(INDEX(Users!$D$2:$D$310,MATCH(A1796,Users!$B$2:$B$310,0)),"")</f>
        <v/>
      </c>
      <c r="I1796" s="19">
        <f>AND(G1796="Service A",H1796="Band 3")</f>
        <v/>
      </c>
      <c r="J1796" s="33">
        <f>IF(AND(YEAR(B1796)=2025,G1796="Service B",OR(H1796="Band 3",H1796="Band 5"),ISNUMBER(F1796)),F1796,"")</f>
        <v/>
      </c>
    </row>
    <row r="1797">
      <c r="A1797" s="19" t="inlineStr">
        <is>
          <t>User1192</t>
        </is>
      </c>
      <c r="B1797" s="60" t="n">
        <v>45748</v>
      </c>
      <c r="C1797" s="21" t="n">
        <v>148</v>
      </c>
      <c r="D1797" s="21" t="n">
        <v>122.33</v>
      </c>
      <c r="E1797" s="21" t="n">
        <v>35.33</v>
      </c>
      <c r="F1797" s="27">
        <f>IFERROR(IF(OR(C1797="",D1797="",C1797=0),"",D1797/C1797),"")</f>
        <v/>
      </c>
      <c r="G1797" s="21">
        <f>IFERROR(INDEX(Users!$A$2:$A$310,MATCH(A1797,Users!$B$2:$B$310,0)),"")</f>
        <v/>
      </c>
      <c r="H1797" s="21">
        <f>IFERROR(INDEX(Users!$D$2:$D$310,MATCH(A1797,Users!$B$2:$B$310,0)),"")</f>
        <v/>
      </c>
      <c r="I1797" s="19">
        <f>AND(G1797="Service A",H1797="Band 3")</f>
        <v/>
      </c>
      <c r="J1797" s="33">
        <f>IF(AND(YEAR(B1797)=2025,G1797="Service B",OR(H1797="Band 3",H1797="Band 5"),ISNUMBER(F1797)),F1797,"")</f>
        <v/>
      </c>
    </row>
    <row r="1798">
      <c r="A1798" s="19" t="inlineStr">
        <is>
          <t>User1192</t>
        </is>
      </c>
      <c r="B1798" s="60" t="n">
        <v>45778</v>
      </c>
      <c r="C1798" s="21" t="n">
        <v>148</v>
      </c>
      <c r="D1798" s="21" t="n">
        <v>125.6666666666667</v>
      </c>
      <c r="E1798" s="21" t="n">
        <v>48.5</v>
      </c>
      <c r="F1798" s="27">
        <f>IFERROR(IF(OR(C1798="",D1798="",C1798=0),"",D1798/C1798),"")</f>
        <v/>
      </c>
      <c r="G1798" s="21">
        <f>IFERROR(INDEX(Users!$A$2:$A$310,MATCH(A1798,Users!$B$2:$B$310,0)),"")</f>
        <v/>
      </c>
      <c r="H1798" s="21">
        <f>IFERROR(INDEX(Users!$D$2:$D$310,MATCH(A1798,Users!$B$2:$B$310,0)),"")</f>
        <v/>
      </c>
      <c r="I1798" s="19">
        <f>AND(G1798="Service A",H1798="Band 3")</f>
        <v/>
      </c>
      <c r="J1798" s="33">
        <f>IF(AND(YEAR(B1798)=2025,G1798="Service B",OR(H1798="Band 3",H1798="Band 5"),ISNUMBER(F1798)),F1798,"")</f>
        <v/>
      </c>
    </row>
    <row r="1799">
      <c r="A1799" s="19" t="inlineStr">
        <is>
          <t>User1192</t>
        </is>
      </c>
      <c r="B1799" s="60" t="n">
        <v>45809</v>
      </c>
      <c r="C1799" s="21" t="n">
        <v>155.4</v>
      </c>
      <c r="D1799" s="21" t="n">
        <v>156</v>
      </c>
      <c r="E1799" s="21" t="n">
        <v>60</v>
      </c>
      <c r="F1799" s="27">
        <f>IFERROR(IF(OR(C1799="",D1799="",C1799=0),"",D1799/C1799),"")</f>
        <v/>
      </c>
      <c r="G1799" s="21">
        <f>IFERROR(INDEX(Users!$A$2:$A$310,MATCH(A1799,Users!$B$2:$B$310,0)),"")</f>
        <v/>
      </c>
      <c r="H1799" s="21">
        <f>IFERROR(INDEX(Users!$D$2:$D$310,MATCH(A1799,Users!$B$2:$B$310,0)),"")</f>
        <v/>
      </c>
      <c r="I1799" s="19">
        <f>AND(G1799="Service A",H1799="Band 3")</f>
        <v/>
      </c>
      <c r="J1799" s="33">
        <f>IF(AND(YEAR(B1799)=2025,G1799="Service B",OR(H1799="Band 3",H1799="Band 5"),ISNUMBER(F1799)),F1799,"")</f>
        <v/>
      </c>
    </row>
    <row r="1800">
      <c r="A1800" s="19" t="inlineStr">
        <is>
          <t>User1192</t>
        </is>
      </c>
      <c r="B1800" s="60" t="n">
        <v>45839</v>
      </c>
      <c r="C1800" s="21" t="n">
        <v>170.2</v>
      </c>
      <c r="D1800" s="21" t="n">
        <v>170.33</v>
      </c>
      <c r="E1800" s="21" t="n">
        <v>86.83</v>
      </c>
      <c r="F1800" s="27">
        <f>IFERROR(IF(OR(C1800="",D1800="",C1800=0),"",D1800/C1800),"")</f>
        <v/>
      </c>
      <c r="G1800" s="21">
        <f>IFERROR(INDEX(Users!$A$2:$A$310,MATCH(A1800,Users!$B$2:$B$310,0)),"")</f>
        <v/>
      </c>
      <c r="H1800" s="21">
        <f>IFERROR(INDEX(Users!$D$2:$D$310,MATCH(A1800,Users!$B$2:$B$310,0)),"")</f>
        <v/>
      </c>
      <c r="I1800" s="19">
        <f>AND(G1800="Service A",H1800="Band 3")</f>
        <v/>
      </c>
      <c r="J1800" s="33">
        <f>IF(AND(YEAR(B1800)=2025,G1800="Service B",OR(H1800="Band 3",H1800="Band 5"),ISNUMBER(F1800)),F1800,"")</f>
        <v/>
      </c>
    </row>
    <row r="1801">
      <c r="A1801" s="19" t="inlineStr">
        <is>
          <t>User1192</t>
        </is>
      </c>
      <c r="B1801" s="60" t="n">
        <v>45870</v>
      </c>
      <c r="C1801" s="21" t="n">
        <v>148</v>
      </c>
      <c r="D1801" s="21" t="n">
        <v>69.32666666666667</v>
      </c>
      <c r="E1801" s="21" t="n">
        <v>23.66</v>
      </c>
      <c r="F1801" s="27">
        <f>IFERROR(IF(OR(C1801="",D1801="",C1801=0),"",D1801/C1801),"")</f>
        <v/>
      </c>
      <c r="G1801" s="21">
        <f>IFERROR(INDEX(Users!$A$2:$A$310,MATCH(A1801,Users!$B$2:$B$310,0)),"")</f>
        <v/>
      </c>
      <c r="H1801" s="21">
        <f>IFERROR(INDEX(Users!$D$2:$D$310,MATCH(A1801,Users!$B$2:$B$310,0)),"")</f>
        <v/>
      </c>
      <c r="I1801" s="19">
        <f>AND(G1801="Service A",H1801="Band 3")</f>
        <v/>
      </c>
      <c r="J1801" s="33">
        <f>IF(AND(YEAR(B1801)=2025,G1801="Service B",OR(H1801="Band 3",H1801="Band 5"),ISNUMBER(F1801)),F1801,"")</f>
        <v/>
      </c>
    </row>
    <row r="1802">
      <c r="A1802" s="19" t="inlineStr">
        <is>
          <t>User1192</t>
        </is>
      </c>
      <c r="B1802" s="60" t="n">
        <v>45901</v>
      </c>
      <c r="C1802" s="21" t="n">
        <v>162.8</v>
      </c>
      <c r="D1802" s="21" t="n">
        <v>94.83333333333333</v>
      </c>
      <c r="E1802" s="21" t="n">
        <v>48</v>
      </c>
      <c r="F1802" s="27">
        <f>IFERROR(IF(OR(C1802="",D1802="",C1802=0),"",D1802/C1802),"")</f>
        <v/>
      </c>
      <c r="G1802" s="21">
        <f>IFERROR(INDEX(Users!$A$2:$A$310,MATCH(A1802,Users!$B$2:$B$310,0)),"")</f>
        <v/>
      </c>
      <c r="H1802" s="21">
        <f>IFERROR(INDEX(Users!$D$2:$D$310,MATCH(A1802,Users!$B$2:$B$310,0)),"")</f>
        <v/>
      </c>
      <c r="I1802" s="19">
        <f>AND(G1802="Service A",H1802="Band 3")</f>
        <v/>
      </c>
      <c r="J1802" s="33">
        <f>IF(AND(YEAR(B1802)=2025,G1802="Service B",OR(H1802="Band 3",H1802="Band 5"),ISNUMBER(F1802)),F1802,"")</f>
        <v/>
      </c>
    </row>
    <row r="1803">
      <c r="A1803" s="19" t="inlineStr">
        <is>
          <t>User1192</t>
        </is>
      </c>
      <c r="B1803" s="60" t="n">
        <v>45931</v>
      </c>
      <c r="C1803" s="21" t="n">
        <v>170.2</v>
      </c>
      <c r="D1803" s="21" t="n">
        <v>115</v>
      </c>
      <c r="E1803" s="21" t="n">
        <v>38.5</v>
      </c>
      <c r="F1803" s="27">
        <f>IFERROR(IF(OR(C1803="",D1803="",C1803=0),"",D1803/C1803),"")</f>
        <v/>
      </c>
      <c r="G1803" s="21">
        <f>IFERROR(INDEX(Users!$A$2:$A$310,MATCH(A1803,Users!$B$2:$B$310,0)),"")</f>
        <v/>
      </c>
      <c r="H1803" s="21">
        <f>IFERROR(INDEX(Users!$D$2:$D$310,MATCH(A1803,Users!$B$2:$B$310,0)),"")</f>
        <v/>
      </c>
      <c r="I1803" s="19">
        <f>AND(G1803="Service A",H1803="Band 3")</f>
        <v/>
      </c>
      <c r="J1803" s="33">
        <f>IF(AND(YEAR(B1803)=2025,G1803="Service B",OR(H1803="Band 3",H1803="Band 5"),ISNUMBER(F1803)),F1803,"")</f>
        <v/>
      </c>
    </row>
    <row r="1804">
      <c r="A1804" s="19" t="inlineStr">
        <is>
          <t>User1192</t>
        </is>
      </c>
      <c r="B1804" s="60" t="n">
        <v>45962</v>
      </c>
      <c r="C1804" s="21" t="n">
        <v>148</v>
      </c>
      <c r="D1804" s="21" t="n">
        <v>143.09</v>
      </c>
      <c r="E1804" s="21" t="n">
        <v>68.09</v>
      </c>
      <c r="F1804" s="27">
        <f>IFERROR(IF(OR(C1804="",D1804="",C1804=0),"",D1804/C1804),"")</f>
        <v/>
      </c>
      <c r="G1804" s="21">
        <f>IFERROR(INDEX(Users!$A$2:$A$310,MATCH(A1804,Users!$B$2:$B$310,0)),"")</f>
        <v/>
      </c>
      <c r="H1804" s="21">
        <f>IFERROR(INDEX(Users!$D$2:$D$310,MATCH(A1804,Users!$B$2:$B$310,0)),"")</f>
        <v/>
      </c>
      <c r="I1804" s="19">
        <f>AND(G1804="Service A",H1804="Band 3")</f>
        <v/>
      </c>
      <c r="J1804" s="33">
        <f>IF(AND(YEAR(B1804)=2025,G1804="Service B",OR(H1804="Band 3",H1804="Band 5"),ISNUMBER(F1804)),F1804,"")</f>
        <v/>
      </c>
    </row>
    <row r="1805">
      <c r="A1805" s="19" t="inlineStr">
        <is>
          <t>User1192</t>
        </is>
      </c>
      <c r="B1805" s="60" t="n">
        <v>45992</v>
      </c>
      <c r="C1805" s="21" t="n">
        <v>155.4</v>
      </c>
      <c r="D1805" s="21" t="n">
        <v>128.72</v>
      </c>
      <c r="E1805" s="21" t="n">
        <v>42.22</v>
      </c>
      <c r="F1805" s="27">
        <f>IFERROR(IF(OR(C1805="",D1805="",C1805=0),"",D1805/C1805),"")</f>
        <v/>
      </c>
      <c r="G1805" s="21">
        <f>IFERROR(INDEX(Users!$A$2:$A$310,MATCH(A1805,Users!$B$2:$B$310,0)),"")</f>
        <v/>
      </c>
      <c r="H1805" s="21">
        <f>IFERROR(INDEX(Users!$D$2:$D$310,MATCH(A1805,Users!$B$2:$B$310,0)),"")</f>
        <v/>
      </c>
      <c r="I1805" s="19">
        <f>AND(G1805="Service A",H1805="Band 3")</f>
        <v/>
      </c>
      <c r="J1805" s="33">
        <f>IF(AND(YEAR(B1805)=2025,G1805="Service B",OR(H1805="Band 3",H1805="Band 5"),ISNUMBER(F1805)),F1805,"")</f>
        <v/>
      </c>
    </row>
    <row r="1806">
      <c r="A1806" s="19" t="inlineStr">
        <is>
          <t>User1192</t>
        </is>
      </c>
      <c r="B1806" s="60" t="n">
        <v>46023</v>
      </c>
      <c r="C1806" s="21" t="n">
        <v>155.4</v>
      </c>
      <c r="D1806" s="21" t="n">
        <v>154.8333333333333</v>
      </c>
      <c r="E1806" s="21" t="n">
        <v>64.5</v>
      </c>
      <c r="F1806" s="27">
        <f>IFERROR(IF(OR(C1806="",D1806="",C1806=0),"",D1806/C1806),"")</f>
        <v/>
      </c>
      <c r="G1806" s="21">
        <f>IFERROR(INDEX(Users!$A$2:$A$310,MATCH(A1806,Users!$B$2:$B$310,0)),"")</f>
        <v/>
      </c>
      <c r="H1806" s="21">
        <f>IFERROR(INDEX(Users!$D$2:$D$310,MATCH(A1806,Users!$B$2:$B$310,0)),"")</f>
        <v/>
      </c>
      <c r="I1806" s="19">
        <f>AND(G1806="Service A",H1806="Band 3")</f>
        <v/>
      </c>
      <c r="J1806" s="33">
        <f>IF(AND(YEAR(B1806)=2025,G1806="Service B",OR(H1806="Band 3",H1806="Band 5"),ISNUMBER(F1806)),F1806,"")</f>
        <v/>
      </c>
    </row>
    <row r="1807">
      <c r="A1807" s="19" t="inlineStr">
        <is>
          <t>User1193</t>
        </is>
      </c>
      <c r="B1807" s="60" t="n">
        <v>45658</v>
      </c>
      <c r="C1807" s="21" t="n">
        <v>132</v>
      </c>
      <c r="D1807" s="21" t="n">
        <v>143.2313888888889</v>
      </c>
      <c r="E1807" s="21" t="n">
        <v>69.57000000000002</v>
      </c>
      <c r="F1807" s="27">
        <f>IFERROR(IF(OR(C1807="",D1807="",C1807=0),"",D1807/C1807),"")</f>
        <v/>
      </c>
      <c r="G1807" s="21">
        <f>IFERROR(INDEX(Users!$A$2:$A$310,MATCH(A1807,Users!$B$2:$B$310,0)),"")</f>
        <v/>
      </c>
      <c r="H1807" s="21">
        <f>IFERROR(INDEX(Users!$D$2:$D$310,MATCH(A1807,Users!$B$2:$B$310,0)),"")</f>
        <v/>
      </c>
      <c r="I1807" s="19">
        <f>AND(G1807="Service A",H1807="Band 3")</f>
        <v/>
      </c>
      <c r="J1807" s="33">
        <f>IF(AND(YEAR(B1807)=2025,G1807="Service B",OR(H1807="Band 3",H1807="Band 5"),ISNUMBER(F1807)),F1807,"")</f>
        <v/>
      </c>
    </row>
    <row r="1808">
      <c r="A1808" s="19" t="inlineStr">
        <is>
          <t>User1193</t>
        </is>
      </c>
      <c r="B1808" s="60" t="n">
        <v>45689</v>
      </c>
      <c r="C1808" s="21" t="n">
        <v>120</v>
      </c>
      <c r="D1808" s="21" t="n">
        <v>109.5433333333334</v>
      </c>
      <c r="E1808" s="21" t="n">
        <v>38.66000000000001</v>
      </c>
      <c r="F1808" s="27">
        <f>IFERROR(IF(OR(C1808="",D1808="",C1808=0),"",D1808/C1808),"")</f>
        <v/>
      </c>
      <c r="G1808" s="21">
        <f>IFERROR(INDEX(Users!$A$2:$A$310,MATCH(A1808,Users!$B$2:$B$310,0)),"")</f>
        <v/>
      </c>
      <c r="H1808" s="21">
        <f>IFERROR(INDEX(Users!$D$2:$D$310,MATCH(A1808,Users!$B$2:$B$310,0)),"")</f>
        <v/>
      </c>
      <c r="I1808" s="19">
        <f>AND(G1808="Service A",H1808="Band 3")</f>
        <v/>
      </c>
      <c r="J1808" s="33">
        <f>IF(AND(YEAR(B1808)=2025,G1808="Service B",OR(H1808="Band 3",H1808="Band 5"),ISNUMBER(F1808)),F1808,"")</f>
        <v/>
      </c>
    </row>
    <row r="1809">
      <c r="A1809" s="19" t="inlineStr">
        <is>
          <t>User1193</t>
        </is>
      </c>
      <c r="B1809" s="60" t="n">
        <v>45717</v>
      </c>
      <c r="C1809" s="21" t="n">
        <v>126</v>
      </c>
      <c r="D1809" s="21" t="n">
        <v>114.1733333333333</v>
      </c>
      <c r="E1809" s="21" t="n">
        <v>43.34</v>
      </c>
      <c r="F1809" s="27">
        <f>IFERROR(IF(OR(C1809="",D1809="",C1809=0),"",D1809/C1809),"")</f>
        <v/>
      </c>
      <c r="G1809" s="21">
        <f>IFERROR(INDEX(Users!$A$2:$A$310,MATCH(A1809,Users!$B$2:$B$310,0)),"")</f>
        <v/>
      </c>
      <c r="H1809" s="21">
        <f>IFERROR(INDEX(Users!$D$2:$D$310,MATCH(A1809,Users!$B$2:$B$310,0)),"")</f>
        <v/>
      </c>
      <c r="I1809" s="19">
        <f>AND(G1809="Service A",H1809="Band 3")</f>
        <v/>
      </c>
      <c r="J1809" s="33">
        <f>IF(AND(YEAR(B1809)=2025,G1809="Service B",OR(H1809="Band 3",H1809="Band 5"),ISNUMBER(F1809)),F1809,"")</f>
        <v/>
      </c>
    </row>
    <row r="1810">
      <c r="A1810" s="19" t="inlineStr">
        <is>
          <t>User1193</t>
        </is>
      </c>
      <c r="B1810" s="60" t="n">
        <v>45748</v>
      </c>
      <c r="C1810" s="21" t="n">
        <v>120</v>
      </c>
      <c r="D1810" s="21" t="n">
        <v>122.1266666666667</v>
      </c>
      <c r="E1810" s="21" t="n">
        <v>64.46000000000001</v>
      </c>
      <c r="F1810" s="27">
        <f>IFERROR(IF(OR(C1810="",D1810="",C1810=0),"",D1810/C1810),"")</f>
        <v/>
      </c>
      <c r="G1810" s="21">
        <f>IFERROR(INDEX(Users!$A$2:$A$310,MATCH(A1810,Users!$B$2:$B$310,0)),"")</f>
        <v/>
      </c>
      <c r="H1810" s="21">
        <f>IFERROR(INDEX(Users!$D$2:$D$310,MATCH(A1810,Users!$B$2:$B$310,0)),"")</f>
        <v/>
      </c>
      <c r="I1810" s="19">
        <f>AND(G1810="Service A",H1810="Band 3")</f>
        <v/>
      </c>
      <c r="J1810" s="33">
        <f>IF(AND(YEAR(B1810)=2025,G1810="Service B",OR(H1810="Band 3",H1810="Band 5"),ISNUMBER(F1810)),F1810,"")</f>
        <v/>
      </c>
    </row>
    <row r="1811">
      <c r="A1811" s="19" t="inlineStr">
        <is>
          <t>User1193</t>
        </is>
      </c>
      <c r="B1811" s="60" t="n">
        <v>45778</v>
      </c>
      <c r="C1811" s="21" t="n">
        <v>120</v>
      </c>
      <c r="D1811" s="21" t="n">
        <v>90.57000000000005</v>
      </c>
      <c r="E1811" s="21" t="n">
        <v>48.32000000000004</v>
      </c>
      <c r="F1811" s="27">
        <f>IFERROR(IF(OR(C1811="",D1811="",C1811=0),"",D1811/C1811),"")</f>
        <v/>
      </c>
      <c r="G1811" s="21">
        <f>IFERROR(INDEX(Users!$A$2:$A$310,MATCH(A1811,Users!$B$2:$B$310,0)),"")</f>
        <v/>
      </c>
      <c r="H1811" s="21">
        <f>IFERROR(INDEX(Users!$D$2:$D$310,MATCH(A1811,Users!$B$2:$B$310,0)),"")</f>
        <v/>
      </c>
      <c r="I1811" s="19">
        <f>AND(G1811="Service A",H1811="Band 3")</f>
        <v/>
      </c>
      <c r="J1811" s="33">
        <f>IF(AND(YEAR(B1811)=2025,G1811="Service B",OR(H1811="Band 3",H1811="Band 5"),ISNUMBER(F1811)),F1811,"")</f>
        <v/>
      </c>
    </row>
    <row r="1812">
      <c r="A1812" s="19" t="inlineStr">
        <is>
          <t>User1193</t>
        </is>
      </c>
      <c r="B1812" s="60" t="n">
        <v>45809</v>
      </c>
      <c r="C1812" s="21" t="n">
        <v>126</v>
      </c>
      <c r="D1812" s="21" t="n">
        <v>129.82</v>
      </c>
      <c r="E1812" s="21" t="n">
        <v>68.06999999999999</v>
      </c>
      <c r="F1812" s="27">
        <f>IFERROR(IF(OR(C1812="",D1812="",C1812=0),"",D1812/C1812),"")</f>
        <v/>
      </c>
      <c r="G1812" s="21">
        <f>IFERROR(INDEX(Users!$A$2:$A$310,MATCH(A1812,Users!$B$2:$B$310,0)),"")</f>
        <v/>
      </c>
      <c r="H1812" s="21">
        <f>IFERROR(INDEX(Users!$D$2:$D$310,MATCH(A1812,Users!$B$2:$B$310,0)),"")</f>
        <v/>
      </c>
      <c r="I1812" s="19">
        <f>AND(G1812="Service A",H1812="Band 3")</f>
        <v/>
      </c>
      <c r="J1812" s="33">
        <f>IF(AND(YEAR(B1812)=2025,G1812="Service B",OR(H1812="Band 3",H1812="Band 5"),ISNUMBER(F1812)),F1812,"")</f>
        <v/>
      </c>
    </row>
    <row r="1813">
      <c r="A1813" s="19" t="inlineStr">
        <is>
          <t>User1193</t>
        </is>
      </c>
      <c r="B1813" s="60" t="n">
        <v>45839</v>
      </c>
      <c r="C1813" s="21" t="n">
        <v>138</v>
      </c>
      <c r="D1813" s="21" t="n">
        <v>120.0652777777778</v>
      </c>
      <c r="E1813" s="21" t="n">
        <v>56.19000000000003</v>
      </c>
      <c r="F1813" s="27">
        <f>IFERROR(IF(OR(C1813="",D1813="",C1813=0),"",D1813/C1813),"")</f>
        <v/>
      </c>
      <c r="G1813" s="21">
        <f>IFERROR(INDEX(Users!$A$2:$A$310,MATCH(A1813,Users!$B$2:$B$310,0)),"")</f>
        <v/>
      </c>
      <c r="H1813" s="21">
        <f>IFERROR(INDEX(Users!$D$2:$D$310,MATCH(A1813,Users!$B$2:$B$310,0)),"")</f>
        <v/>
      </c>
      <c r="I1813" s="19">
        <f>AND(G1813="Service A",H1813="Band 3")</f>
        <v/>
      </c>
      <c r="J1813" s="33">
        <f>IF(AND(YEAR(B1813)=2025,G1813="Service B",OR(H1813="Band 3",H1813="Band 5"),ISNUMBER(F1813)),F1813,"")</f>
        <v/>
      </c>
    </row>
    <row r="1814">
      <c r="A1814" s="19" t="inlineStr">
        <is>
          <t>User1193</t>
        </is>
      </c>
      <c r="B1814" s="60" t="n">
        <v>45870</v>
      </c>
      <c r="C1814" s="21" t="n">
        <v>120</v>
      </c>
      <c r="D1814" s="21" t="n">
        <v>110.1766666666667</v>
      </c>
      <c r="E1814" s="21" t="n">
        <v>74.51000000000002</v>
      </c>
      <c r="F1814" s="27">
        <f>IFERROR(IF(OR(C1814="",D1814="",C1814=0),"",D1814/C1814),"")</f>
        <v/>
      </c>
      <c r="G1814" s="21">
        <f>IFERROR(INDEX(Users!$A$2:$A$310,MATCH(A1814,Users!$B$2:$B$310,0)),"")</f>
        <v/>
      </c>
      <c r="H1814" s="21">
        <f>IFERROR(INDEX(Users!$D$2:$D$310,MATCH(A1814,Users!$B$2:$B$310,0)),"")</f>
        <v/>
      </c>
      <c r="I1814" s="19">
        <f>AND(G1814="Service A",H1814="Band 3")</f>
        <v/>
      </c>
      <c r="J1814" s="33">
        <f>IF(AND(YEAR(B1814)=2025,G1814="Service B",OR(H1814="Band 3",H1814="Band 5"),ISNUMBER(F1814)),F1814,"")</f>
        <v/>
      </c>
    </row>
    <row r="1815">
      <c r="A1815" s="19" t="inlineStr">
        <is>
          <t>User1193</t>
        </is>
      </c>
      <c r="B1815" s="60" t="n">
        <v>45901</v>
      </c>
      <c r="C1815" s="21" t="n">
        <v>132</v>
      </c>
      <c r="D1815" s="21" t="n">
        <v>86.64666666666668</v>
      </c>
      <c r="E1815" s="21" t="n">
        <v>29.73</v>
      </c>
      <c r="F1815" s="27">
        <f>IFERROR(IF(OR(C1815="",D1815="",C1815=0),"",D1815/C1815),"")</f>
        <v/>
      </c>
      <c r="G1815" s="21">
        <f>IFERROR(INDEX(Users!$A$2:$A$310,MATCH(A1815,Users!$B$2:$B$310,0)),"")</f>
        <v/>
      </c>
      <c r="H1815" s="21">
        <f>IFERROR(INDEX(Users!$D$2:$D$310,MATCH(A1815,Users!$B$2:$B$310,0)),"")</f>
        <v/>
      </c>
      <c r="I1815" s="19">
        <f>AND(G1815="Service A",H1815="Band 3")</f>
        <v/>
      </c>
      <c r="J1815" s="33">
        <f>IF(AND(YEAR(B1815)=2025,G1815="Service B",OR(H1815="Band 3",H1815="Band 5"),ISNUMBER(F1815)),F1815,"")</f>
        <v/>
      </c>
    </row>
    <row r="1816">
      <c r="A1816" s="19" t="inlineStr">
        <is>
          <t>User1193</t>
        </is>
      </c>
      <c r="B1816" s="60" t="n">
        <v>45931</v>
      </c>
      <c r="C1816" s="21" t="n">
        <v>138</v>
      </c>
      <c r="D1816" s="21" t="n">
        <v>101.4966666666667</v>
      </c>
      <c r="E1816" s="21" t="n">
        <v>57.58</v>
      </c>
      <c r="F1816" s="27">
        <f>IFERROR(IF(OR(C1816="",D1816="",C1816=0),"",D1816/C1816),"")</f>
        <v/>
      </c>
      <c r="G1816" s="21">
        <f>IFERROR(INDEX(Users!$A$2:$A$310,MATCH(A1816,Users!$B$2:$B$310,0)),"")</f>
        <v/>
      </c>
      <c r="H1816" s="21">
        <f>IFERROR(INDEX(Users!$D$2:$D$310,MATCH(A1816,Users!$B$2:$B$310,0)),"")</f>
        <v/>
      </c>
      <c r="I1816" s="19">
        <f>AND(G1816="Service A",H1816="Band 3")</f>
        <v/>
      </c>
      <c r="J1816" s="33">
        <f>IF(AND(YEAR(B1816)=2025,G1816="Service B",OR(H1816="Band 3",H1816="Band 5"),ISNUMBER(F1816)),F1816,"")</f>
        <v/>
      </c>
    </row>
    <row r="1817">
      <c r="A1817" s="19" t="inlineStr">
        <is>
          <t>User1193</t>
        </is>
      </c>
      <c r="B1817" s="60" t="n">
        <v>45962</v>
      </c>
      <c r="C1817" s="21" t="n">
        <v>120</v>
      </c>
      <c r="D1817" s="21" t="n">
        <v>125.44</v>
      </c>
      <c r="E1817" s="21" t="n">
        <v>62.94</v>
      </c>
      <c r="F1817" s="27">
        <f>IFERROR(IF(OR(C1817="",D1817="",C1817=0),"",D1817/C1817),"")</f>
        <v/>
      </c>
      <c r="G1817" s="21">
        <f>IFERROR(INDEX(Users!$A$2:$A$310,MATCH(A1817,Users!$B$2:$B$310,0)),"")</f>
        <v/>
      </c>
      <c r="H1817" s="21">
        <f>IFERROR(INDEX(Users!$D$2:$D$310,MATCH(A1817,Users!$B$2:$B$310,0)),"")</f>
        <v/>
      </c>
      <c r="I1817" s="19">
        <f>AND(G1817="Service A",H1817="Band 3")</f>
        <v/>
      </c>
      <c r="J1817" s="33">
        <f>IF(AND(YEAR(B1817)=2025,G1817="Service B",OR(H1817="Band 3",H1817="Band 5"),ISNUMBER(F1817)),F1817,"")</f>
        <v/>
      </c>
    </row>
    <row r="1818">
      <c r="A1818" s="19" t="inlineStr">
        <is>
          <t>User1193</t>
        </is>
      </c>
      <c r="B1818" s="60" t="n">
        <v>45992</v>
      </c>
      <c r="C1818" s="21" t="n">
        <v>30</v>
      </c>
      <c r="D1818" s="21" t="n">
        <v>38.25</v>
      </c>
      <c r="E1818" s="21" t="n">
        <v>16.25</v>
      </c>
      <c r="F1818" s="27">
        <f>IFERROR(IF(OR(C1818="",D1818="",C1818=0),"",D1818/C1818),"")</f>
        <v/>
      </c>
      <c r="G1818" s="21">
        <f>IFERROR(INDEX(Users!$A$2:$A$310,MATCH(A1818,Users!$B$2:$B$310,0)),"")</f>
        <v/>
      </c>
      <c r="H1818" s="21">
        <f>IFERROR(INDEX(Users!$D$2:$D$310,MATCH(A1818,Users!$B$2:$B$310,0)),"")</f>
        <v/>
      </c>
      <c r="I1818" s="19">
        <f>AND(G1818="Service A",H1818="Band 3")</f>
        <v/>
      </c>
      <c r="J1818" s="33">
        <f>IF(AND(YEAR(B1818)=2025,G1818="Service B",OR(H1818="Band 3",H1818="Band 5"),ISNUMBER(F1818)),F1818,"")</f>
        <v/>
      </c>
    </row>
    <row r="1819">
      <c r="A1819" s="19" t="inlineStr">
        <is>
          <t>User1194</t>
        </is>
      </c>
      <c r="B1819" s="60" t="n">
        <v>45658</v>
      </c>
      <c r="C1819" s="21" t="n">
        <v>162.8</v>
      </c>
      <c r="D1819" s="21" t="n">
        <v>97.71000000000001</v>
      </c>
      <c r="E1819" s="21" t="n">
        <v>61.21</v>
      </c>
      <c r="F1819" s="27">
        <f>IFERROR(IF(OR(C1819="",D1819="",C1819=0),"",D1819/C1819),"")</f>
        <v/>
      </c>
      <c r="G1819" s="21">
        <f>IFERROR(INDEX(Users!$A$2:$A$310,MATCH(A1819,Users!$B$2:$B$310,0)),"")</f>
        <v/>
      </c>
      <c r="H1819" s="21">
        <f>IFERROR(INDEX(Users!$D$2:$D$310,MATCH(A1819,Users!$B$2:$B$310,0)),"")</f>
        <v/>
      </c>
      <c r="I1819" s="19">
        <f>AND(G1819="Service A",H1819="Band 3")</f>
        <v/>
      </c>
      <c r="J1819" s="33">
        <f>IF(AND(YEAR(B1819)=2025,G1819="Service B",OR(H1819="Band 3",H1819="Band 5"),ISNUMBER(F1819)),F1819,"")</f>
        <v/>
      </c>
    </row>
    <row r="1820">
      <c r="A1820" s="19" t="inlineStr">
        <is>
          <t>User1194</t>
        </is>
      </c>
      <c r="B1820" s="60" t="n">
        <v>45689</v>
      </c>
      <c r="C1820" s="21" t="n">
        <v>111</v>
      </c>
      <c r="D1820" s="21" t="n">
        <v>70.83</v>
      </c>
      <c r="E1820" s="21" t="n">
        <v>22.83</v>
      </c>
      <c r="F1820" s="27">
        <f>IFERROR(IF(OR(C1820="",D1820="",C1820=0),"",D1820/C1820),"")</f>
        <v/>
      </c>
      <c r="G1820" s="21">
        <f>IFERROR(INDEX(Users!$A$2:$A$310,MATCH(A1820,Users!$B$2:$B$310,0)),"")</f>
        <v/>
      </c>
      <c r="H1820" s="21">
        <f>IFERROR(INDEX(Users!$D$2:$D$310,MATCH(A1820,Users!$B$2:$B$310,0)),"")</f>
        <v/>
      </c>
      <c r="I1820" s="19">
        <f>AND(G1820="Service A",H1820="Band 3")</f>
        <v/>
      </c>
      <c r="J1820" s="33">
        <f>IF(AND(YEAR(B1820)=2025,G1820="Service B",OR(H1820="Band 3",H1820="Band 5"),ISNUMBER(F1820)),F1820,"")</f>
        <v/>
      </c>
    </row>
    <row r="1821">
      <c r="A1821" s="19" t="inlineStr">
        <is>
          <t>User1195</t>
        </is>
      </c>
      <c r="B1821" s="60" t="n">
        <v>45658</v>
      </c>
      <c r="C1821" s="21" t="n">
        <v>162.8</v>
      </c>
      <c r="D1821" s="21" t="n">
        <v>134.1066666666667</v>
      </c>
      <c r="E1821" s="21" t="n">
        <v>51.69</v>
      </c>
      <c r="F1821" s="27">
        <f>IFERROR(IF(OR(C1821="",D1821="",C1821=0),"",D1821/C1821),"")</f>
        <v/>
      </c>
      <c r="G1821" s="21">
        <f>IFERROR(INDEX(Users!$A$2:$A$310,MATCH(A1821,Users!$B$2:$B$310,0)),"")</f>
        <v/>
      </c>
      <c r="H1821" s="21">
        <f>IFERROR(INDEX(Users!$D$2:$D$310,MATCH(A1821,Users!$B$2:$B$310,0)),"")</f>
        <v/>
      </c>
      <c r="I1821" s="19">
        <f>AND(G1821="Service A",H1821="Band 3")</f>
        <v/>
      </c>
      <c r="J1821" s="33">
        <f>IF(AND(YEAR(B1821)=2025,G1821="Service B",OR(H1821="Band 3",H1821="Band 5"),ISNUMBER(F1821)),F1821,"")</f>
        <v/>
      </c>
    </row>
    <row r="1822">
      <c r="A1822" s="19" t="inlineStr">
        <is>
          <t>User1195</t>
        </is>
      </c>
      <c r="B1822" s="60" t="n">
        <v>45689</v>
      </c>
      <c r="C1822" s="21" t="n">
        <v>133.2</v>
      </c>
      <c r="D1822" s="21" t="n">
        <v>104.9933333333333</v>
      </c>
      <c r="E1822" s="21" t="n">
        <v>52.41</v>
      </c>
      <c r="F1822" s="27">
        <f>IFERROR(IF(OR(C1822="",D1822="",C1822=0),"",D1822/C1822),"")</f>
        <v/>
      </c>
      <c r="G1822" s="21">
        <f>IFERROR(INDEX(Users!$A$2:$A$310,MATCH(A1822,Users!$B$2:$B$310,0)),"")</f>
        <v/>
      </c>
      <c r="H1822" s="21">
        <f>IFERROR(INDEX(Users!$D$2:$D$310,MATCH(A1822,Users!$B$2:$B$310,0)),"")</f>
        <v/>
      </c>
      <c r="I1822" s="19">
        <f>AND(G1822="Service A",H1822="Band 3")</f>
        <v/>
      </c>
      <c r="J1822" s="33">
        <f>IF(AND(YEAR(B1822)=2025,G1822="Service B",OR(H1822="Band 3",H1822="Band 5"),ISNUMBER(F1822)),F1822,"")</f>
        <v/>
      </c>
    </row>
    <row r="1823">
      <c r="A1823" s="19" t="inlineStr">
        <is>
          <t>User1196</t>
        </is>
      </c>
      <c r="B1823" s="60" t="n">
        <v>45658</v>
      </c>
      <c r="C1823" s="21" t="n">
        <v>162.8</v>
      </c>
      <c r="D1823" s="21" t="n">
        <v>160.2758333333333</v>
      </c>
      <c r="E1823" s="21" t="n">
        <v>20.81</v>
      </c>
      <c r="F1823" s="27">
        <f>IFERROR(IF(OR(C1823="",D1823="",C1823=0),"",D1823/C1823),"")</f>
        <v/>
      </c>
      <c r="G1823" s="21">
        <f>IFERROR(INDEX(Users!$A$2:$A$310,MATCH(A1823,Users!$B$2:$B$310,0)),"")</f>
        <v/>
      </c>
      <c r="H1823" s="21">
        <f>IFERROR(INDEX(Users!$D$2:$D$310,MATCH(A1823,Users!$B$2:$B$310,0)),"")</f>
        <v/>
      </c>
      <c r="I1823" s="19">
        <f>AND(G1823="Service A",H1823="Band 3")</f>
        <v/>
      </c>
      <c r="J1823" s="33">
        <f>IF(AND(YEAR(B1823)=2025,G1823="Service B",OR(H1823="Band 3",H1823="Band 5"),ISNUMBER(F1823)),F1823,"")</f>
        <v/>
      </c>
    </row>
    <row r="1824">
      <c r="A1824" s="19" t="inlineStr">
        <is>
          <t>User1196</t>
        </is>
      </c>
      <c r="B1824" s="60" t="n">
        <v>45689</v>
      </c>
      <c r="C1824" s="21" t="n">
        <v>148</v>
      </c>
      <c r="D1824" s="21" t="n">
        <v>141.9902777777777</v>
      </c>
      <c r="E1824" s="21" t="n">
        <v>71.04999999999998</v>
      </c>
      <c r="F1824" s="27">
        <f>IFERROR(IF(OR(C1824="",D1824="",C1824=0),"",D1824/C1824),"")</f>
        <v/>
      </c>
      <c r="G1824" s="21">
        <f>IFERROR(INDEX(Users!$A$2:$A$310,MATCH(A1824,Users!$B$2:$B$310,0)),"")</f>
        <v/>
      </c>
      <c r="H1824" s="21">
        <f>IFERROR(INDEX(Users!$D$2:$D$310,MATCH(A1824,Users!$B$2:$B$310,0)),"")</f>
        <v/>
      </c>
      <c r="I1824" s="19">
        <f>AND(G1824="Service A",H1824="Band 3")</f>
        <v/>
      </c>
      <c r="J1824" s="33">
        <f>IF(AND(YEAR(B1824)=2025,G1824="Service B",OR(H1824="Band 3",H1824="Band 5"),ISNUMBER(F1824)),F1824,"")</f>
        <v/>
      </c>
    </row>
    <row r="1825">
      <c r="A1825" s="19" t="inlineStr">
        <is>
          <t>User1196</t>
        </is>
      </c>
      <c r="B1825" s="60" t="n">
        <v>45717</v>
      </c>
      <c r="C1825" s="21" t="n">
        <v>155.4</v>
      </c>
      <c r="D1825" s="21" t="n">
        <v>151.8188888888889</v>
      </c>
      <c r="E1825" s="21" t="n">
        <v>88.28999999999998</v>
      </c>
      <c r="F1825" s="27">
        <f>IFERROR(IF(OR(C1825="",D1825="",C1825=0),"",D1825/C1825),"")</f>
        <v/>
      </c>
      <c r="G1825" s="21">
        <f>IFERROR(INDEX(Users!$A$2:$A$310,MATCH(A1825,Users!$B$2:$B$310,0)),"")</f>
        <v/>
      </c>
      <c r="H1825" s="21">
        <f>IFERROR(INDEX(Users!$D$2:$D$310,MATCH(A1825,Users!$B$2:$B$310,0)),"")</f>
        <v/>
      </c>
      <c r="I1825" s="19">
        <f>AND(G1825="Service A",H1825="Band 3")</f>
        <v/>
      </c>
      <c r="J1825" s="33">
        <f>IF(AND(YEAR(B1825)=2025,G1825="Service B",OR(H1825="Band 3",H1825="Band 5"),ISNUMBER(F1825)),F1825,"")</f>
        <v/>
      </c>
    </row>
    <row r="1826">
      <c r="A1826" s="19" t="inlineStr">
        <is>
          <t>User1196</t>
        </is>
      </c>
      <c r="B1826" s="60" t="n">
        <v>45748</v>
      </c>
      <c r="C1826" s="21" t="n">
        <v>148</v>
      </c>
      <c r="D1826" s="21" t="n">
        <v>140.1005555555556</v>
      </c>
      <c r="E1826" s="21" t="n">
        <v>77.28</v>
      </c>
      <c r="F1826" s="27">
        <f>IFERROR(IF(OR(C1826="",D1826="",C1826=0),"",D1826/C1826),"")</f>
        <v/>
      </c>
      <c r="G1826" s="21">
        <f>IFERROR(INDEX(Users!$A$2:$A$310,MATCH(A1826,Users!$B$2:$B$310,0)),"")</f>
        <v/>
      </c>
      <c r="H1826" s="21">
        <f>IFERROR(INDEX(Users!$D$2:$D$310,MATCH(A1826,Users!$B$2:$B$310,0)),"")</f>
        <v/>
      </c>
      <c r="I1826" s="19">
        <f>AND(G1826="Service A",H1826="Band 3")</f>
        <v/>
      </c>
      <c r="J1826" s="33">
        <f>IF(AND(YEAR(B1826)=2025,G1826="Service B",OR(H1826="Band 3",H1826="Band 5"),ISNUMBER(F1826)),F1826,"")</f>
        <v/>
      </c>
    </row>
    <row r="1827">
      <c r="A1827" s="19" t="inlineStr">
        <is>
          <t>User1196</t>
        </is>
      </c>
      <c r="B1827" s="60" t="n">
        <v>45778</v>
      </c>
      <c r="C1827" s="21" t="n">
        <v>148</v>
      </c>
      <c r="D1827" s="21" t="n">
        <v>116.465</v>
      </c>
      <c r="E1827" s="21" t="n">
        <v>60.84000000000002</v>
      </c>
      <c r="F1827" s="27">
        <f>IFERROR(IF(OR(C1827="",D1827="",C1827=0),"",D1827/C1827),"")</f>
        <v/>
      </c>
      <c r="G1827" s="21">
        <f>IFERROR(INDEX(Users!$A$2:$A$310,MATCH(A1827,Users!$B$2:$B$310,0)),"")</f>
        <v/>
      </c>
      <c r="H1827" s="21">
        <f>IFERROR(INDEX(Users!$D$2:$D$310,MATCH(A1827,Users!$B$2:$B$310,0)),"")</f>
        <v/>
      </c>
      <c r="I1827" s="19">
        <f>AND(G1827="Service A",H1827="Band 3")</f>
        <v/>
      </c>
      <c r="J1827" s="33">
        <f>IF(AND(YEAR(B1827)=2025,G1827="Service B",OR(H1827="Band 3",H1827="Band 5"),ISNUMBER(F1827)),F1827,"")</f>
        <v/>
      </c>
    </row>
    <row r="1828">
      <c r="A1828" s="19" t="inlineStr">
        <is>
          <t>User1196</t>
        </is>
      </c>
      <c r="B1828" s="60" t="n">
        <v>45809</v>
      </c>
      <c r="C1828" s="21" t="n">
        <v>155.4</v>
      </c>
      <c r="D1828" s="21" t="n">
        <v>155.5780555555556</v>
      </c>
      <c r="E1828" s="21" t="n">
        <v>76.33000000000001</v>
      </c>
      <c r="F1828" s="27">
        <f>IFERROR(IF(OR(C1828="",D1828="",C1828=0),"",D1828/C1828),"")</f>
        <v/>
      </c>
      <c r="G1828" s="21">
        <f>IFERROR(INDEX(Users!$A$2:$A$310,MATCH(A1828,Users!$B$2:$B$310,0)),"")</f>
        <v/>
      </c>
      <c r="H1828" s="21">
        <f>IFERROR(INDEX(Users!$D$2:$D$310,MATCH(A1828,Users!$B$2:$B$310,0)),"")</f>
        <v/>
      </c>
      <c r="I1828" s="19">
        <f>AND(G1828="Service A",H1828="Band 3")</f>
        <v/>
      </c>
      <c r="J1828" s="33">
        <f>IF(AND(YEAR(B1828)=2025,G1828="Service B",OR(H1828="Band 3",H1828="Band 5"),ISNUMBER(F1828)),F1828,"")</f>
        <v/>
      </c>
    </row>
    <row r="1829">
      <c r="A1829" s="19" t="inlineStr">
        <is>
          <t>User1196</t>
        </is>
      </c>
      <c r="B1829" s="60" t="n">
        <v>45839</v>
      </c>
      <c r="C1829" s="21" t="n">
        <v>170.2</v>
      </c>
      <c r="D1829" s="21" t="n">
        <v>165.7238888888889</v>
      </c>
      <c r="E1829" s="21" t="n">
        <v>88.02000000000002</v>
      </c>
      <c r="F1829" s="27">
        <f>IFERROR(IF(OR(C1829="",D1829="",C1829=0),"",D1829/C1829),"")</f>
        <v/>
      </c>
      <c r="G1829" s="21">
        <f>IFERROR(INDEX(Users!$A$2:$A$310,MATCH(A1829,Users!$B$2:$B$310,0)),"")</f>
        <v/>
      </c>
      <c r="H1829" s="21">
        <f>IFERROR(INDEX(Users!$D$2:$D$310,MATCH(A1829,Users!$B$2:$B$310,0)),"")</f>
        <v/>
      </c>
      <c r="I1829" s="19">
        <f>AND(G1829="Service A",H1829="Band 3")</f>
        <v/>
      </c>
      <c r="J1829" s="33">
        <f>IF(AND(YEAR(B1829)=2025,G1829="Service B",OR(H1829="Band 3",H1829="Band 5"),ISNUMBER(F1829)),F1829,"")</f>
        <v/>
      </c>
    </row>
    <row r="1830">
      <c r="A1830" s="19" t="inlineStr">
        <is>
          <t>User1196</t>
        </is>
      </c>
      <c r="B1830" s="60" t="n">
        <v>45870</v>
      </c>
      <c r="C1830" s="21" t="n">
        <v>148</v>
      </c>
      <c r="D1830" s="21" t="n">
        <v>116.1980555555556</v>
      </c>
      <c r="E1830" s="21" t="n">
        <v>59.37</v>
      </c>
      <c r="F1830" s="27">
        <f>IFERROR(IF(OR(C1830="",D1830="",C1830=0),"",D1830/C1830),"")</f>
        <v/>
      </c>
      <c r="G1830" s="21">
        <f>IFERROR(INDEX(Users!$A$2:$A$310,MATCH(A1830,Users!$B$2:$B$310,0)),"")</f>
        <v/>
      </c>
      <c r="H1830" s="21">
        <f>IFERROR(INDEX(Users!$D$2:$D$310,MATCH(A1830,Users!$B$2:$B$310,0)),"")</f>
        <v/>
      </c>
      <c r="I1830" s="19">
        <f>AND(G1830="Service A",H1830="Band 3")</f>
        <v/>
      </c>
      <c r="J1830" s="33">
        <f>IF(AND(YEAR(B1830)=2025,G1830="Service B",OR(H1830="Band 3",H1830="Band 5"),ISNUMBER(F1830)),F1830,"")</f>
        <v/>
      </c>
    </row>
    <row r="1831">
      <c r="A1831" s="19" t="inlineStr">
        <is>
          <t>User1196</t>
        </is>
      </c>
      <c r="B1831" s="60" t="n">
        <v>45901</v>
      </c>
      <c r="C1831" s="21" t="n">
        <v>162.8</v>
      </c>
      <c r="D1831" s="21" t="n">
        <v>148.2316666666667</v>
      </c>
      <c r="E1831" s="21" t="n">
        <v>88.11000000000003</v>
      </c>
      <c r="F1831" s="27">
        <f>IFERROR(IF(OR(C1831="",D1831="",C1831=0),"",D1831/C1831),"")</f>
        <v/>
      </c>
      <c r="G1831" s="21">
        <f>IFERROR(INDEX(Users!$A$2:$A$310,MATCH(A1831,Users!$B$2:$B$310,0)),"")</f>
        <v/>
      </c>
      <c r="H1831" s="21">
        <f>IFERROR(INDEX(Users!$D$2:$D$310,MATCH(A1831,Users!$B$2:$B$310,0)),"")</f>
        <v/>
      </c>
      <c r="I1831" s="19">
        <f>AND(G1831="Service A",H1831="Band 3")</f>
        <v/>
      </c>
      <c r="J1831" s="33">
        <f>IF(AND(YEAR(B1831)=2025,G1831="Service B",OR(H1831="Band 3",H1831="Band 5"),ISNUMBER(F1831)),F1831,"")</f>
        <v/>
      </c>
    </row>
    <row r="1832">
      <c r="A1832" s="19" t="inlineStr">
        <is>
          <t>User1196</t>
        </is>
      </c>
      <c r="B1832" s="60" t="n">
        <v>45931</v>
      </c>
      <c r="C1832" s="21" t="n">
        <v>170.2</v>
      </c>
      <c r="D1832" s="21" t="n">
        <v>141.1875</v>
      </c>
      <c r="E1832" s="21" t="n">
        <v>98.56999999999996</v>
      </c>
      <c r="F1832" s="27">
        <f>IFERROR(IF(OR(C1832="",D1832="",C1832=0),"",D1832/C1832),"")</f>
        <v/>
      </c>
      <c r="G1832" s="21">
        <f>IFERROR(INDEX(Users!$A$2:$A$310,MATCH(A1832,Users!$B$2:$B$310,0)),"")</f>
        <v/>
      </c>
      <c r="H1832" s="21">
        <f>IFERROR(INDEX(Users!$D$2:$D$310,MATCH(A1832,Users!$B$2:$B$310,0)),"")</f>
        <v/>
      </c>
      <c r="I1832" s="19">
        <f>AND(G1832="Service A",H1832="Band 3")</f>
        <v/>
      </c>
      <c r="J1832" s="33">
        <f>IF(AND(YEAR(B1832)=2025,G1832="Service B",OR(H1832="Band 3",H1832="Band 5"),ISNUMBER(F1832)),F1832,"")</f>
        <v/>
      </c>
    </row>
    <row r="1833">
      <c r="A1833" s="19" t="inlineStr">
        <is>
          <t>User1196</t>
        </is>
      </c>
      <c r="B1833" s="60" t="n">
        <v>45962</v>
      </c>
      <c r="C1833" s="21" t="n">
        <v>148</v>
      </c>
      <c r="D1833" s="21" t="n">
        <v>152.3483333333334</v>
      </c>
      <c r="E1833" s="21" t="n">
        <v>92.65000000000002</v>
      </c>
      <c r="F1833" s="27">
        <f>IFERROR(IF(OR(C1833="",D1833="",C1833=0),"",D1833/C1833),"")</f>
        <v/>
      </c>
      <c r="G1833" s="21">
        <f>IFERROR(INDEX(Users!$A$2:$A$310,MATCH(A1833,Users!$B$2:$B$310,0)),"")</f>
        <v/>
      </c>
      <c r="H1833" s="21">
        <f>IFERROR(INDEX(Users!$D$2:$D$310,MATCH(A1833,Users!$B$2:$B$310,0)),"")</f>
        <v/>
      </c>
      <c r="I1833" s="19">
        <f>AND(G1833="Service A",H1833="Band 3")</f>
        <v/>
      </c>
      <c r="J1833" s="33">
        <f>IF(AND(YEAR(B1833)=2025,G1833="Service B",OR(H1833="Band 3",H1833="Band 5"),ISNUMBER(F1833)),F1833,"")</f>
        <v/>
      </c>
    </row>
    <row r="1834">
      <c r="A1834" s="19" t="inlineStr">
        <is>
          <t>User1196</t>
        </is>
      </c>
      <c r="B1834" s="60" t="n">
        <v>45992</v>
      </c>
      <c r="C1834" s="21" t="n">
        <v>155.4</v>
      </c>
      <c r="D1834" s="21" t="n">
        <v>120.1883333333334</v>
      </c>
      <c r="E1834" s="21" t="n">
        <v>59.73000000000003</v>
      </c>
      <c r="F1834" s="27">
        <f>IFERROR(IF(OR(C1834="",D1834="",C1834=0),"",D1834/C1834),"")</f>
        <v/>
      </c>
      <c r="G1834" s="21">
        <f>IFERROR(INDEX(Users!$A$2:$A$310,MATCH(A1834,Users!$B$2:$B$310,0)),"")</f>
        <v/>
      </c>
      <c r="H1834" s="21">
        <f>IFERROR(INDEX(Users!$D$2:$D$310,MATCH(A1834,Users!$B$2:$B$310,0)),"")</f>
        <v/>
      </c>
      <c r="I1834" s="19">
        <f>AND(G1834="Service A",H1834="Band 3")</f>
        <v/>
      </c>
      <c r="J1834" s="33">
        <f>IF(AND(YEAR(B1834)=2025,G1834="Service B",OR(H1834="Band 3",H1834="Band 5"),ISNUMBER(F1834)),F1834,"")</f>
        <v/>
      </c>
    </row>
    <row r="1835">
      <c r="A1835" s="19" t="inlineStr">
        <is>
          <t>User1196</t>
        </is>
      </c>
      <c r="B1835" s="60" t="n">
        <v>46023</v>
      </c>
      <c r="C1835" s="21" t="n">
        <v>155.4</v>
      </c>
      <c r="D1835" s="21" t="n">
        <v>149.9697222222223</v>
      </c>
      <c r="E1835" s="21" t="n">
        <v>90.76000000000005</v>
      </c>
      <c r="F1835" s="27">
        <f>IFERROR(IF(OR(C1835="",D1835="",C1835=0),"",D1835/C1835),"")</f>
        <v/>
      </c>
      <c r="G1835" s="21">
        <f>IFERROR(INDEX(Users!$A$2:$A$310,MATCH(A1835,Users!$B$2:$B$310,0)),"")</f>
        <v/>
      </c>
      <c r="H1835" s="21">
        <f>IFERROR(INDEX(Users!$D$2:$D$310,MATCH(A1835,Users!$B$2:$B$310,0)),"")</f>
        <v/>
      </c>
      <c r="I1835" s="19">
        <f>AND(G1835="Service A",H1835="Band 3")</f>
        <v/>
      </c>
      <c r="J1835" s="33">
        <f>IF(AND(YEAR(B1835)=2025,G1835="Service B",OR(H1835="Band 3",H1835="Band 5"),ISNUMBER(F1835)),F1835,"")</f>
        <v/>
      </c>
    </row>
    <row r="1836">
      <c r="A1836" s="19" t="inlineStr">
        <is>
          <t>User1197</t>
        </is>
      </c>
      <c r="B1836" s="60" t="n">
        <v>45658</v>
      </c>
      <c r="C1836" s="21" t="n">
        <v>162.8</v>
      </c>
      <c r="D1836" s="21" t="n">
        <v>43.62166666666667</v>
      </c>
      <c r="E1836" s="21" t="n">
        <v>2.25</v>
      </c>
      <c r="F1836" s="27">
        <f>IFERROR(IF(OR(C1836="",D1836="",C1836=0),"",D1836/C1836),"")</f>
        <v/>
      </c>
      <c r="G1836" s="21">
        <f>IFERROR(INDEX(Users!$A$2:$A$310,MATCH(A1836,Users!$B$2:$B$310,0)),"")</f>
        <v/>
      </c>
      <c r="H1836" s="21">
        <f>IFERROR(INDEX(Users!$D$2:$D$310,MATCH(A1836,Users!$B$2:$B$310,0)),"")</f>
        <v/>
      </c>
      <c r="I1836" s="19">
        <f>AND(G1836="Service A",H1836="Band 3")</f>
        <v/>
      </c>
      <c r="J1836" s="33">
        <f>IF(AND(YEAR(B1836)=2025,G1836="Service B",OR(H1836="Band 3",H1836="Band 5"),ISNUMBER(F1836)),F1836,"")</f>
        <v/>
      </c>
    </row>
    <row r="1837">
      <c r="A1837" s="19" t="inlineStr">
        <is>
          <t>User1197</t>
        </is>
      </c>
      <c r="B1837" s="60" t="n">
        <v>45689</v>
      </c>
      <c r="C1837" s="21" t="n">
        <v>148</v>
      </c>
      <c r="D1837" s="21" t="n">
        <v>151.0933333333333</v>
      </c>
      <c r="E1837" s="21" t="n">
        <v>39.66</v>
      </c>
      <c r="F1837" s="27">
        <f>IFERROR(IF(OR(C1837="",D1837="",C1837=0),"",D1837/C1837),"")</f>
        <v/>
      </c>
      <c r="G1837" s="21">
        <f>IFERROR(INDEX(Users!$A$2:$A$310,MATCH(A1837,Users!$B$2:$B$310,0)),"")</f>
        <v/>
      </c>
      <c r="H1837" s="21">
        <f>IFERROR(INDEX(Users!$D$2:$D$310,MATCH(A1837,Users!$B$2:$B$310,0)),"")</f>
        <v/>
      </c>
      <c r="I1837" s="19">
        <f>AND(G1837="Service A",H1837="Band 3")</f>
        <v/>
      </c>
      <c r="J1837" s="33">
        <f>IF(AND(YEAR(B1837)=2025,G1837="Service B",OR(H1837="Band 3",H1837="Band 5"),ISNUMBER(F1837)),F1837,"")</f>
        <v/>
      </c>
    </row>
    <row r="1838">
      <c r="A1838" s="19" t="inlineStr">
        <is>
          <t>User1197</t>
        </is>
      </c>
      <c r="B1838" s="60" t="n">
        <v>45717</v>
      </c>
      <c r="C1838" s="21" t="n">
        <v>155.4</v>
      </c>
      <c r="D1838" s="21" t="n">
        <v>156.39</v>
      </c>
      <c r="E1838" s="21" t="n">
        <v>55.64</v>
      </c>
      <c r="F1838" s="27">
        <f>IFERROR(IF(OR(C1838="",D1838="",C1838=0),"",D1838/C1838),"")</f>
        <v/>
      </c>
      <c r="G1838" s="21">
        <f>IFERROR(INDEX(Users!$A$2:$A$310,MATCH(A1838,Users!$B$2:$B$310,0)),"")</f>
        <v/>
      </c>
      <c r="H1838" s="21">
        <f>IFERROR(INDEX(Users!$D$2:$D$310,MATCH(A1838,Users!$B$2:$B$310,0)),"")</f>
        <v/>
      </c>
      <c r="I1838" s="19">
        <f>AND(G1838="Service A",H1838="Band 3")</f>
        <v/>
      </c>
      <c r="J1838" s="33">
        <f>IF(AND(YEAR(B1838)=2025,G1838="Service B",OR(H1838="Band 3",H1838="Band 5"),ISNUMBER(F1838)),F1838,"")</f>
        <v/>
      </c>
    </row>
    <row r="1839">
      <c r="A1839" s="19" t="inlineStr">
        <is>
          <t>User1197</t>
        </is>
      </c>
      <c r="B1839" s="60" t="n">
        <v>45748</v>
      </c>
      <c r="C1839" s="21" t="n">
        <v>148</v>
      </c>
      <c r="D1839" s="21" t="n">
        <v>149.05</v>
      </c>
      <c r="E1839" s="21" t="n">
        <v>62.3</v>
      </c>
      <c r="F1839" s="27">
        <f>IFERROR(IF(OR(C1839="",D1839="",C1839=0),"",D1839/C1839),"")</f>
        <v/>
      </c>
      <c r="G1839" s="21">
        <f>IFERROR(INDEX(Users!$A$2:$A$310,MATCH(A1839,Users!$B$2:$B$310,0)),"")</f>
        <v/>
      </c>
      <c r="H1839" s="21">
        <f>IFERROR(INDEX(Users!$D$2:$D$310,MATCH(A1839,Users!$B$2:$B$310,0)),"")</f>
        <v/>
      </c>
      <c r="I1839" s="19">
        <f>AND(G1839="Service A",H1839="Band 3")</f>
        <v/>
      </c>
      <c r="J1839" s="33">
        <f>IF(AND(YEAR(B1839)=2025,G1839="Service B",OR(H1839="Band 3",H1839="Band 5"),ISNUMBER(F1839)),F1839,"")</f>
        <v/>
      </c>
    </row>
    <row r="1840">
      <c r="A1840" s="19" t="inlineStr">
        <is>
          <t>User1197</t>
        </is>
      </c>
      <c r="B1840" s="60" t="n">
        <v>45778</v>
      </c>
      <c r="C1840" s="21" t="n">
        <v>148</v>
      </c>
      <c r="D1840" s="21" t="n">
        <v>157.9366666666667</v>
      </c>
      <c r="E1840" s="21" t="n">
        <v>75.62</v>
      </c>
      <c r="F1840" s="27">
        <f>IFERROR(IF(OR(C1840="",D1840="",C1840=0),"",D1840/C1840),"")</f>
        <v/>
      </c>
      <c r="G1840" s="21">
        <f>IFERROR(INDEX(Users!$A$2:$A$310,MATCH(A1840,Users!$B$2:$B$310,0)),"")</f>
        <v/>
      </c>
      <c r="H1840" s="21">
        <f>IFERROR(INDEX(Users!$D$2:$D$310,MATCH(A1840,Users!$B$2:$B$310,0)),"")</f>
        <v/>
      </c>
      <c r="I1840" s="19">
        <f>AND(G1840="Service A",H1840="Band 3")</f>
        <v/>
      </c>
      <c r="J1840" s="33">
        <f>IF(AND(YEAR(B1840)=2025,G1840="Service B",OR(H1840="Band 3",H1840="Band 5"),ISNUMBER(F1840)),F1840,"")</f>
        <v/>
      </c>
    </row>
    <row r="1841">
      <c r="A1841" s="19" t="inlineStr">
        <is>
          <t>User1197</t>
        </is>
      </c>
      <c r="B1841" s="60" t="n">
        <v>45809</v>
      </c>
      <c r="C1841" s="21" t="n">
        <v>155.4</v>
      </c>
      <c r="D1841" s="21" t="n">
        <v>161.1266666666667</v>
      </c>
      <c r="E1841" s="21" t="n">
        <v>75.61</v>
      </c>
      <c r="F1841" s="27">
        <f>IFERROR(IF(OR(C1841="",D1841="",C1841=0),"",D1841/C1841),"")</f>
        <v/>
      </c>
      <c r="G1841" s="21">
        <f>IFERROR(INDEX(Users!$A$2:$A$310,MATCH(A1841,Users!$B$2:$B$310,0)),"")</f>
        <v/>
      </c>
      <c r="H1841" s="21">
        <f>IFERROR(INDEX(Users!$D$2:$D$310,MATCH(A1841,Users!$B$2:$B$310,0)),"")</f>
        <v/>
      </c>
      <c r="I1841" s="19">
        <f>AND(G1841="Service A",H1841="Band 3")</f>
        <v/>
      </c>
      <c r="J1841" s="33">
        <f>IF(AND(YEAR(B1841)=2025,G1841="Service B",OR(H1841="Band 3",H1841="Band 5"),ISNUMBER(F1841)),F1841,"")</f>
        <v/>
      </c>
    </row>
    <row r="1842">
      <c r="A1842" s="19" t="inlineStr">
        <is>
          <t>User1197</t>
        </is>
      </c>
      <c r="B1842" s="60" t="n">
        <v>45839</v>
      </c>
      <c r="C1842" s="21" t="n">
        <v>170.2</v>
      </c>
      <c r="D1842" s="21" t="n">
        <v>158.5533333333333</v>
      </c>
      <c r="E1842" s="21" t="n">
        <v>103.97</v>
      </c>
      <c r="F1842" s="27">
        <f>IFERROR(IF(OR(C1842="",D1842="",C1842=0),"",D1842/C1842),"")</f>
        <v/>
      </c>
      <c r="G1842" s="21">
        <f>IFERROR(INDEX(Users!$A$2:$A$310,MATCH(A1842,Users!$B$2:$B$310,0)),"")</f>
        <v/>
      </c>
      <c r="H1842" s="21">
        <f>IFERROR(INDEX(Users!$D$2:$D$310,MATCH(A1842,Users!$B$2:$B$310,0)),"")</f>
        <v/>
      </c>
      <c r="I1842" s="19">
        <f>AND(G1842="Service A",H1842="Band 3")</f>
        <v/>
      </c>
      <c r="J1842" s="33">
        <f>IF(AND(YEAR(B1842)=2025,G1842="Service B",OR(H1842="Band 3",H1842="Band 5"),ISNUMBER(F1842)),F1842,"")</f>
        <v/>
      </c>
    </row>
    <row r="1843">
      <c r="A1843" s="19" t="inlineStr">
        <is>
          <t>User1197</t>
        </is>
      </c>
      <c r="B1843" s="60" t="n">
        <v>45870</v>
      </c>
      <c r="C1843" s="21" t="n">
        <v>148</v>
      </c>
      <c r="D1843" s="21" t="n">
        <v>85.72666666666667</v>
      </c>
      <c r="E1843" s="21" t="n">
        <v>56.01000000000001</v>
      </c>
      <c r="F1843" s="27">
        <f>IFERROR(IF(OR(C1843="",D1843="",C1843=0),"",D1843/C1843),"")</f>
        <v/>
      </c>
      <c r="G1843" s="21">
        <f>IFERROR(INDEX(Users!$A$2:$A$310,MATCH(A1843,Users!$B$2:$B$310,0)),"")</f>
        <v/>
      </c>
      <c r="H1843" s="21">
        <f>IFERROR(INDEX(Users!$D$2:$D$310,MATCH(A1843,Users!$B$2:$B$310,0)),"")</f>
        <v/>
      </c>
      <c r="I1843" s="19">
        <f>AND(G1843="Service A",H1843="Band 3")</f>
        <v/>
      </c>
      <c r="J1843" s="33">
        <f>IF(AND(YEAR(B1843)=2025,G1843="Service B",OR(H1843="Band 3",H1843="Band 5"),ISNUMBER(F1843)),F1843,"")</f>
        <v/>
      </c>
    </row>
    <row r="1844">
      <c r="A1844" s="19" t="inlineStr">
        <is>
          <t>User1197</t>
        </is>
      </c>
      <c r="B1844" s="60" t="n">
        <v>45901</v>
      </c>
      <c r="C1844" s="21" t="n">
        <v>162.8</v>
      </c>
      <c r="D1844" s="21" t="n">
        <v>160.9333333333333</v>
      </c>
      <c r="E1844" s="21" t="n">
        <v>111.65</v>
      </c>
      <c r="F1844" s="27">
        <f>IFERROR(IF(OR(C1844="",D1844="",C1844=0),"",D1844/C1844),"")</f>
        <v/>
      </c>
      <c r="G1844" s="21">
        <f>IFERROR(INDEX(Users!$A$2:$A$310,MATCH(A1844,Users!$B$2:$B$310,0)),"")</f>
        <v/>
      </c>
      <c r="H1844" s="21">
        <f>IFERROR(INDEX(Users!$D$2:$D$310,MATCH(A1844,Users!$B$2:$B$310,0)),"")</f>
        <v/>
      </c>
      <c r="I1844" s="19">
        <f>AND(G1844="Service A",H1844="Band 3")</f>
        <v/>
      </c>
      <c r="J1844" s="33">
        <f>IF(AND(YEAR(B1844)=2025,G1844="Service B",OR(H1844="Band 3",H1844="Band 5"),ISNUMBER(F1844)),F1844,"")</f>
        <v/>
      </c>
    </row>
    <row r="1845">
      <c r="A1845" s="19" t="inlineStr">
        <is>
          <t>User1197</t>
        </is>
      </c>
      <c r="B1845" s="60" t="n">
        <v>45931</v>
      </c>
      <c r="C1845" s="21" t="n">
        <v>170.2</v>
      </c>
      <c r="D1845" s="21" t="n">
        <v>167.3333333333333</v>
      </c>
      <c r="E1845" s="21" t="n">
        <v>120.1</v>
      </c>
      <c r="F1845" s="27">
        <f>IFERROR(IF(OR(C1845="",D1845="",C1845=0),"",D1845/C1845),"")</f>
        <v/>
      </c>
      <c r="G1845" s="21">
        <f>IFERROR(INDEX(Users!$A$2:$A$310,MATCH(A1845,Users!$B$2:$B$310,0)),"")</f>
        <v/>
      </c>
      <c r="H1845" s="21">
        <f>IFERROR(INDEX(Users!$D$2:$D$310,MATCH(A1845,Users!$B$2:$B$310,0)),"")</f>
        <v/>
      </c>
      <c r="I1845" s="19">
        <f>AND(G1845="Service A",H1845="Band 3")</f>
        <v/>
      </c>
      <c r="J1845" s="33">
        <f>IF(AND(YEAR(B1845)=2025,G1845="Service B",OR(H1845="Band 3",H1845="Band 5"),ISNUMBER(F1845)),F1845,"")</f>
        <v/>
      </c>
    </row>
    <row r="1846">
      <c r="A1846" s="19" t="inlineStr">
        <is>
          <t>User1197</t>
        </is>
      </c>
      <c r="B1846" s="60" t="n">
        <v>45962</v>
      </c>
      <c r="C1846" s="21" t="n">
        <v>148</v>
      </c>
      <c r="D1846" s="21" t="n">
        <v>127.8366666666667</v>
      </c>
      <c r="E1846" s="21" t="n">
        <v>87.77</v>
      </c>
      <c r="F1846" s="27">
        <f>IFERROR(IF(OR(C1846="",D1846="",C1846=0),"",D1846/C1846),"")</f>
        <v/>
      </c>
      <c r="G1846" s="21">
        <f>IFERROR(INDEX(Users!$A$2:$A$310,MATCH(A1846,Users!$B$2:$B$310,0)),"")</f>
        <v/>
      </c>
      <c r="H1846" s="21">
        <f>IFERROR(INDEX(Users!$D$2:$D$310,MATCH(A1846,Users!$B$2:$B$310,0)),"")</f>
        <v/>
      </c>
      <c r="I1846" s="19">
        <f>AND(G1846="Service A",H1846="Band 3")</f>
        <v/>
      </c>
      <c r="J1846" s="33">
        <f>IF(AND(YEAR(B1846)=2025,G1846="Service B",OR(H1846="Band 3",H1846="Band 5"),ISNUMBER(F1846)),F1846,"")</f>
        <v/>
      </c>
    </row>
    <row r="1847">
      <c r="A1847" s="19" t="inlineStr">
        <is>
          <t>User1197</t>
        </is>
      </c>
      <c r="B1847" s="60" t="n">
        <v>45992</v>
      </c>
      <c r="C1847" s="21" t="n">
        <v>155.4</v>
      </c>
      <c r="D1847" s="21" t="n">
        <v>160.0533333333333</v>
      </c>
      <c r="E1847" s="21" t="n">
        <v>117.07</v>
      </c>
      <c r="F1847" s="27">
        <f>IFERROR(IF(OR(C1847="",D1847="",C1847=0),"",D1847/C1847),"")</f>
        <v/>
      </c>
      <c r="G1847" s="21">
        <f>IFERROR(INDEX(Users!$A$2:$A$310,MATCH(A1847,Users!$B$2:$B$310,0)),"")</f>
        <v/>
      </c>
      <c r="H1847" s="21">
        <f>IFERROR(INDEX(Users!$D$2:$D$310,MATCH(A1847,Users!$B$2:$B$310,0)),"")</f>
        <v/>
      </c>
      <c r="I1847" s="19">
        <f>AND(G1847="Service A",H1847="Band 3")</f>
        <v/>
      </c>
      <c r="J1847" s="33">
        <f>IF(AND(YEAR(B1847)=2025,G1847="Service B",OR(H1847="Band 3",H1847="Band 5"),ISNUMBER(F1847)),F1847,"")</f>
        <v/>
      </c>
    </row>
    <row r="1848">
      <c r="A1848" s="19" t="inlineStr">
        <is>
          <t>User1197</t>
        </is>
      </c>
      <c r="B1848" s="60" t="n">
        <v>46023</v>
      </c>
      <c r="C1848" s="21" t="n">
        <v>155.4</v>
      </c>
      <c r="D1848" s="21" t="n">
        <v>152.4733333333334</v>
      </c>
      <c r="E1848" s="21" t="n">
        <v>97.19000000000001</v>
      </c>
      <c r="F1848" s="27">
        <f>IFERROR(IF(OR(C1848="",D1848="",C1848=0),"",D1848/C1848),"")</f>
        <v/>
      </c>
      <c r="G1848" s="21">
        <f>IFERROR(INDEX(Users!$A$2:$A$310,MATCH(A1848,Users!$B$2:$B$310,0)),"")</f>
        <v/>
      </c>
      <c r="H1848" s="21">
        <f>IFERROR(INDEX(Users!$D$2:$D$310,MATCH(A1848,Users!$B$2:$B$310,0)),"")</f>
        <v/>
      </c>
      <c r="I1848" s="19">
        <f>AND(G1848="Service A",H1848="Band 3")</f>
        <v/>
      </c>
      <c r="J1848" s="33">
        <f>IF(AND(YEAR(B1848)=2025,G1848="Service B",OR(H1848="Band 3",H1848="Band 5"),ISNUMBER(F1848)),F1848,"")</f>
        <v/>
      </c>
    </row>
    <row r="1849">
      <c r="A1849" s="19" t="inlineStr">
        <is>
          <t>User1198</t>
        </is>
      </c>
      <c r="B1849" s="60" t="n">
        <v>45901</v>
      </c>
      <c r="C1849" s="21" t="n">
        <v>51.8</v>
      </c>
      <c r="D1849" s="21" t="n"/>
      <c r="E1849" s="21" t="n"/>
      <c r="F1849" s="27">
        <f>IFERROR(IF(OR(C1849="",D1849="",C1849=0),"",D1849/C1849),"")</f>
        <v/>
      </c>
      <c r="G1849" s="21">
        <f>IFERROR(INDEX(Users!$A$2:$A$310,MATCH(A1849,Users!$B$2:$B$310,0)),"")</f>
        <v/>
      </c>
      <c r="H1849" s="21">
        <f>IFERROR(INDEX(Users!$D$2:$D$310,MATCH(A1849,Users!$B$2:$B$310,0)),"")</f>
        <v/>
      </c>
      <c r="I1849" s="19">
        <f>AND(G1849="Service A",H1849="Band 3")</f>
        <v/>
      </c>
      <c r="J1849" s="33">
        <f>IF(AND(YEAR(B1849)=2025,G1849="Service B",OR(H1849="Band 3",H1849="Band 5"),ISNUMBER(F1849)),F1849,"")</f>
        <v/>
      </c>
    </row>
    <row r="1850">
      <c r="A1850" s="19" t="inlineStr">
        <is>
          <t>User1198</t>
        </is>
      </c>
      <c r="B1850" s="60" t="n">
        <v>45931</v>
      </c>
      <c r="C1850" s="21" t="n">
        <v>170.2000000000001</v>
      </c>
      <c r="D1850" s="21" t="n">
        <v>159.8766666666667</v>
      </c>
      <c r="E1850" s="21" t="n">
        <v>33.11</v>
      </c>
      <c r="F1850" s="27">
        <f>IFERROR(IF(OR(C1850="",D1850="",C1850=0),"",D1850/C1850),"")</f>
        <v/>
      </c>
      <c r="G1850" s="21">
        <f>IFERROR(INDEX(Users!$A$2:$A$310,MATCH(A1850,Users!$B$2:$B$310,0)),"")</f>
        <v/>
      </c>
      <c r="H1850" s="21">
        <f>IFERROR(INDEX(Users!$D$2:$D$310,MATCH(A1850,Users!$B$2:$B$310,0)),"")</f>
        <v/>
      </c>
      <c r="I1850" s="19">
        <f>AND(G1850="Service A",H1850="Band 3")</f>
        <v/>
      </c>
      <c r="J1850" s="33">
        <f>IF(AND(YEAR(B1850)=2025,G1850="Service B",OR(H1850="Band 3",H1850="Band 5"),ISNUMBER(F1850)),F1850,"")</f>
        <v/>
      </c>
    </row>
    <row r="1851">
      <c r="A1851" s="19" t="inlineStr">
        <is>
          <t>User1198</t>
        </is>
      </c>
      <c r="B1851" s="60" t="n">
        <v>45962</v>
      </c>
      <c r="C1851" s="21" t="n">
        <v>148.0000000000001</v>
      </c>
      <c r="D1851" s="21" t="n">
        <v>145.96</v>
      </c>
      <c r="E1851" s="21" t="n">
        <v>66.66</v>
      </c>
      <c r="F1851" s="27">
        <f>IFERROR(IF(OR(C1851="",D1851="",C1851=0),"",D1851/C1851),"")</f>
        <v/>
      </c>
      <c r="G1851" s="21">
        <f>IFERROR(INDEX(Users!$A$2:$A$310,MATCH(A1851,Users!$B$2:$B$310,0)),"")</f>
        <v/>
      </c>
      <c r="H1851" s="21">
        <f>IFERROR(INDEX(Users!$D$2:$D$310,MATCH(A1851,Users!$B$2:$B$310,0)),"")</f>
        <v/>
      </c>
      <c r="I1851" s="19">
        <f>AND(G1851="Service A",H1851="Band 3")</f>
        <v/>
      </c>
      <c r="J1851" s="33">
        <f>IF(AND(YEAR(B1851)=2025,G1851="Service B",OR(H1851="Band 3",H1851="Band 5"),ISNUMBER(F1851)),F1851,"")</f>
        <v/>
      </c>
    </row>
    <row r="1852">
      <c r="A1852" s="19" t="inlineStr">
        <is>
          <t>User1198</t>
        </is>
      </c>
      <c r="B1852" s="60" t="n">
        <v>45992</v>
      </c>
      <c r="C1852" s="21" t="n">
        <v>155.4000000000001</v>
      </c>
      <c r="D1852" s="21" t="n">
        <v>157.9333333333333</v>
      </c>
      <c r="E1852" s="21" t="n">
        <v>92.54999999999998</v>
      </c>
      <c r="F1852" s="27">
        <f>IFERROR(IF(OR(C1852="",D1852="",C1852=0),"",D1852/C1852),"")</f>
        <v/>
      </c>
      <c r="G1852" s="21">
        <f>IFERROR(INDEX(Users!$A$2:$A$310,MATCH(A1852,Users!$B$2:$B$310,0)),"")</f>
        <v/>
      </c>
      <c r="H1852" s="21">
        <f>IFERROR(INDEX(Users!$D$2:$D$310,MATCH(A1852,Users!$B$2:$B$310,0)),"")</f>
        <v/>
      </c>
      <c r="I1852" s="19">
        <f>AND(G1852="Service A",H1852="Band 3")</f>
        <v/>
      </c>
      <c r="J1852" s="33">
        <f>IF(AND(YEAR(B1852)=2025,G1852="Service B",OR(H1852="Band 3",H1852="Band 5"),ISNUMBER(F1852)),F1852,"")</f>
        <v/>
      </c>
    </row>
    <row r="1853">
      <c r="A1853" s="19" t="inlineStr">
        <is>
          <t>User1198</t>
        </is>
      </c>
      <c r="B1853" s="60" t="n">
        <v>46023</v>
      </c>
      <c r="C1853" s="21" t="n">
        <v>155.4000000000001</v>
      </c>
      <c r="D1853" s="21" t="n">
        <v>157.6066666666667</v>
      </c>
      <c r="E1853" s="21" t="n">
        <v>94.44</v>
      </c>
      <c r="F1853" s="27">
        <f>IFERROR(IF(OR(C1853="",D1853="",C1853=0),"",D1853/C1853),"")</f>
        <v/>
      </c>
      <c r="G1853" s="21">
        <f>IFERROR(INDEX(Users!$A$2:$A$310,MATCH(A1853,Users!$B$2:$B$310,0)),"")</f>
        <v/>
      </c>
      <c r="H1853" s="21">
        <f>IFERROR(INDEX(Users!$D$2:$D$310,MATCH(A1853,Users!$B$2:$B$310,0)),"")</f>
        <v/>
      </c>
      <c r="I1853" s="19">
        <f>AND(G1853="Service A",H1853="Band 3")</f>
        <v/>
      </c>
      <c r="J1853" s="33">
        <f>IF(AND(YEAR(B1853)=2025,G1853="Service B",OR(H1853="Band 3",H1853="Band 5"),ISNUMBER(F1853)),F1853,"")</f>
        <v/>
      </c>
    </row>
    <row r="1854">
      <c r="A1854" s="19" t="inlineStr">
        <is>
          <t>User1199</t>
        </is>
      </c>
      <c r="B1854" s="60" t="n">
        <v>45717</v>
      </c>
      <c r="C1854" s="21" t="n">
        <v>155.4000000000001</v>
      </c>
      <c r="D1854" s="21" t="n">
        <v>45.43000000000001</v>
      </c>
      <c r="E1854" s="21" t="n">
        <v>1.03</v>
      </c>
      <c r="F1854" s="27">
        <f>IFERROR(IF(OR(C1854="",D1854="",C1854=0),"",D1854/C1854),"")</f>
        <v/>
      </c>
      <c r="G1854" s="21">
        <f>IFERROR(INDEX(Users!$A$2:$A$310,MATCH(A1854,Users!$B$2:$B$310,0)),"")</f>
        <v/>
      </c>
      <c r="H1854" s="21">
        <f>IFERROR(INDEX(Users!$D$2:$D$310,MATCH(A1854,Users!$B$2:$B$310,0)),"")</f>
        <v/>
      </c>
      <c r="I1854" s="19">
        <f>AND(G1854="Service A",H1854="Band 3")</f>
        <v/>
      </c>
      <c r="J1854" s="33">
        <f>IF(AND(YEAR(B1854)=2025,G1854="Service B",OR(H1854="Band 3",H1854="Band 5"),ISNUMBER(F1854)),F1854,"")</f>
        <v/>
      </c>
    </row>
    <row r="1855">
      <c r="A1855" s="19" t="inlineStr">
        <is>
          <t>User1199</t>
        </is>
      </c>
      <c r="B1855" s="60" t="n">
        <v>45748</v>
      </c>
      <c r="C1855" s="21" t="n">
        <v>148.0000000000001</v>
      </c>
      <c r="D1855" s="21" t="n">
        <v>128.5733333333334</v>
      </c>
      <c r="E1855" s="21" t="n">
        <v>5.59</v>
      </c>
      <c r="F1855" s="27">
        <f>IFERROR(IF(OR(C1855="",D1855="",C1855=0),"",D1855/C1855),"")</f>
        <v/>
      </c>
      <c r="G1855" s="21">
        <f>IFERROR(INDEX(Users!$A$2:$A$310,MATCH(A1855,Users!$B$2:$B$310,0)),"")</f>
        <v/>
      </c>
      <c r="H1855" s="21">
        <f>IFERROR(INDEX(Users!$D$2:$D$310,MATCH(A1855,Users!$B$2:$B$310,0)),"")</f>
        <v/>
      </c>
      <c r="I1855" s="19">
        <f>AND(G1855="Service A",H1855="Band 3")</f>
        <v/>
      </c>
      <c r="J1855" s="33">
        <f>IF(AND(YEAR(B1855)=2025,G1855="Service B",OR(H1855="Band 3",H1855="Band 5"),ISNUMBER(F1855)),F1855,"")</f>
        <v/>
      </c>
    </row>
    <row r="1856">
      <c r="A1856" s="19" t="inlineStr">
        <is>
          <t>User1199</t>
        </is>
      </c>
      <c r="B1856" s="60" t="n">
        <v>45778</v>
      </c>
      <c r="C1856" s="21" t="n">
        <v>148.0000000000001</v>
      </c>
      <c r="D1856" s="21" t="n">
        <v>129.5</v>
      </c>
      <c r="E1856" s="21" t="n">
        <v>32.9</v>
      </c>
      <c r="F1856" s="27">
        <f>IFERROR(IF(OR(C1856="",D1856="",C1856=0),"",D1856/C1856),"")</f>
        <v/>
      </c>
      <c r="G1856" s="21">
        <f>IFERROR(INDEX(Users!$A$2:$A$310,MATCH(A1856,Users!$B$2:$B$310,0)),"")</f>
        <v/>
      </c>
      <c r="H1856" s="21">
        <f>IFERROR(INDEX(Users!$D$2:$D$310,MATCH(A1856,Users!$B$2:$B$310,0)),"")</f>
        <v/>
      </c>
      <c r="I1856" s="19">
        <f>AND(G1856="Service A",H1856="Band 3")</f>
        <v/>
      </c>
      <c r="J1856" s="33">
        <f>IF(AND(YEAR(B1856)=2025,G1856="Service B",OR(H1856="Band 3",H1856="Band 5"),ISNUMBER(F1856)),F1856,"")</f>
        <v/>
      </c>
    </row>
    <row r="1857">
      <c r="A1857" s="19" t="inlineStr">
        <is>
          <t>User1199</t>
        </is>
      </c>
      <c r="B1857" s="60" t="n">
        <v>45809</v>
      </c>
      <c r="C1857" s="21" t="n">
        <v>155.4000000000001</v>
      </c>
      <c r="D1857" s="21" t="n">
        <v>141.5233333333333</v>
      </c>
      <c r="E1857" s="21" t="n">
        <v>55.69</v>
      </c>
      <c r="F1857" s="27">
        <f>IFERROR(IF(OR(C1857="",D1857="",C1857=0),"",D1857/C1857),"")</f>
        <v/>
      </c>
      <c r="G1857" s="21">
        <f>IFERROR(INDEX(Users!$A$2:$A$310,MATCH(A1857,Users!$B$2:$B$310,0)),"")</f>
        <v/>
      </c>
      <c r="H1857" s="21">
        <f>IFERROR(INDEX(Users!$D$2:$D$310,MATCH(A1857,Users!$B$2:$B$310,0)),"")</f>
        <v/>
      </c>
      <c r="I1857" s="19">
        <f>AND(G1857="Service A",H1857="Band 3")</f>
        <v/>
      </c>
      <c r="J1857" s="33">
        <f>IF(AND(YEAR(B1857)=2025,G1857="Service B",OR(H1857="Band 3",H1857="Band 5"),ISNUMBER(F1857)),F1857,"")</f>
        <v/>
      </c>
    </row>
    <row r="1858">
      <c r="A1858" s="19" t="inlineStr">
        <is>
          <t>User1199</t>
        </is>
      </c>
      <c r="B1858" s="60" t="n">
        <v>45839</v>
      </c>
      <c r="C1858" s="21" t="n">
        <v>170.2000000000001</v>
      </c>
      <c r="D1858" s="21" t="n">
        <v>130.8133333333333</v>
      </c>
      <c r="E1858" s="21" t="n">
        <v>85.73</v>
      </c>
      <c r="F1858" s="27">
        <f>IFERROR(IF(OR(C1858="",D1858="",C1858=0),"",D1858/C1858),"")</f>
        <v/>
      </c>
      <c r="G1858" s="21">
        <f>IFERROR(INDEX(Users!$A$2:$A$310,MATCH(A1858,Users!$B$2:$B$310,0)),"")</f>
        <v/>
      </c>
      <c r="H1858" s="21">
        <f>IFERROR(INDEX(Users!$D$2:$D$310,MATCH(A1858,Users!$B$2:$B$310,0)),"")</f>
        <v/>
      </c>
      <c r="I1858" s="19">
        <f>AND(G1858="Service A",H1858="Band 3")</f>
        <v/>
      </c>
      <c r="J1858" s="33">
        <f>IF(AND(YEAR(B1858)=2025,G1858="Service B",OR(H1858="Band 3",H1858="Band 5"),ISNUMBER(F1858)),F1858,"")</f>
        <v/>
      </c>
    </row>
    <row r="1859">
      <c r="A1859" s="19" t="inlineStr">
        <is>
          <t>User1199</t>
        </is>
      </c>
      <c r="B1859" s="60" t="n">
        <v>45870</v>
      </c>
      <c r="C1859" s="21" t="n">
        <v>148.0000000000001</v>
      </c>
      <c r="D1859" s="21" t="n">
        <v>80.95</v>
      </c>
      <c r="E1859" s="21" t="n">
        <v>48.95</v>
      </c>
      <c r="F1859" s="27">
        <f>IFERROR(IF(OR(C1859="",D1859="",C1859=0),"",D1859/C1859),"")</f>
        <v/>
      </c>
      <c r="G1859" s="21">
        <f>IFERROR(INDEX(Users!$A$2:$A$310,MATCH(A1859,Users!$B$2:$B$310,0)),"")</f>
        <v/>
      </c>
      <c r="H1859" s="21">
        <f>IFERROR(INDEX(Users!$D$2:$D$310,MATCH(A1859,Users!$B$2:$B$310,0)),"")</f>
        <v/>
      </c>
      <c r="I1859" s="19">
        <f>AND(G1859="Service A",H1859="Band 3")</f>
        <v/>
      </c>
      <c r="J1859" s="33">
        <f>IF(AND(YEAR(B1859)=2025,G1859="Service B",OR(H1859="Band 3",H1859="Band 5"),ISNUMBER(F1859)),F1859,"")</f>
        <v/>
      </c>
    </row>
    <row r="1860">
      <c r="A1860" s="19" t="inlineStr">
        <is>
          <t>User1199</t>
        </is>
      </c>
      <c r="B1860" s="60" t="n">
        <v>45901</v>
      </c>
      <c r="C1860" s="21" t="n">
        <v>162.8000000000001</v>
      </c>
      <c r="D1860" s="21" t="n">
        <v>147.19</v>
      </c>
      <c r="E1860" s="21" t="n">
        <v>94.14000000000001</v>
      </c>
      <c r="F1860" s="27">
        <f>IFERROR(IF(OR(C1860="",D1860="",C1860=0),"",D1860/C1860),"")</f>
        <v/>
      </c>
      <c r="G1860" s="21">
        <f>IFERROR(INDEX(Users!$A$2:$A$310,MATCH(A1860,Users!$B$2:$B$310,0)),"")</f>
        <v/>
      </c>
      <c r="H1860" s="21">
        <f>IFERROR(INDEX(Users!$D$2:$D$310,MATCH(A1860,Users!$B$2:$B$310,0)),"")</f>
        <v/>
      </c>
      <c r="I1860" s="19">
        <f>AND(G1860="Service A",H1860="Band 3")</f>
        <v/>
      </c>
      <c r="J1860" s="33">
        <f>IF(AND(YEAR(B1860)=2025,G1860="Service B",OR(H1860="Band 3",H1860="Band 5"),ISNUMBER(F1860)),F1860,"")</f>
        <v/>
      </c>
    </row>
    <row r="1861">
      <c r="A1861" s="19" t="inlineStr">
        <is>
          <t>User1199</t>
        </is>
      </c>
      <c r="B1861" s="60" t="n">
        <v>45931</v>
      </c>
      <c r="C1861" s="21" t="n">
        <v>170.2000000000001</v>
      </c>
      <c r="D1861" s="21" t="n">
        <v>143.3933333333333</v>
      </c>
      <c r="E1861" s="21" t="n">
        <v>100.56</v>
      </c>
      <c r="F1861" s="27">
        <f>IFERROR(IF(OR(C1861="",D1861="",C1861=0),"",D1861/C1861),"")</f>
        <v/>
      </c>
      <c r="G1861" s="21">
        <f>IFERROR(INDEX(Users!$A$2:$A$310,MATCH(A1861,Users!$B$2:$B$310,0)),"")</f>
        <v/>
      </c>
      <c r="H1861" s="21">
        <f>IFERROR(INDEX(Users!$D$2:$D$310,MATCH(A1861,Users!$B$2:$B$310,0)),"")</f>
        <v/>
      </c>
      <c r="I1861" s="19">
        <f>AND(G1861="Service A",H1861="Band 3")</f>
        <v/>
      </c>
      <c r="J1861" s="33">
        <f>IF(AND(YEAR(B1861)=2025,G1861="Service B",OR(H1861="Band 3",H1861="Band 5"),ISNUMBER(F1861)),F1861,"")</f>
        <v/>
      </c>
    </row>
    <row r="1862">
      <c r="A1862" s="19" t="inlineStr">
        <is>
          <t>User1199</t>
        </is>
      </c>
      <c r="B1862" s="60" t="n">
        <v>45962</v>
      </c>
      <c r="C1862" s="21" t="n">
        <v>148.0000000000001</v>
      </c>
      <c r="D1862" s="21" t="n">
        <v>134.1133333333333</v>
      </c>
      <c r="E1862" s="21" t="n">
        <v>96.03000000000002</v>
      </c>
      <c r="F1862" s="27">
        <f>IFERROR(IF(OR(C1862="",D1862="",C1862=0),"",D1862/C1862),"")</f>
        <v/>
      </c>
      <c r="G1862" s="21">
        <f>IFERROR(INDEX(Users!$A$2:$A$310,MATCH(A1862,Users!$B$2:$B$310,0)),"")</f>
        <v/>
      </c>
      <c r="H1862" s="21">
        <f>IFERROR(INDEX(Users!$D$2:$D$310,MATCH(A1862,Users!$B$2:$B$310,0)),"")</f>
        <v/>
      </c>
      <c r="I1862" s="19">
        <f>AND(G1862="Service A",H1862="Band 3")</f>
        <v/>
      </c>
      <c r="J1862" s="33">
        <f>IF(AND(YEAR(B1862)=2025,G1862="Service B",OR(H1862="Band 3",H1862="Band 5"),ISNUMBER(F1862)),F1862,"")</f>
        <v/>
      </c>
    </row>
    <row r="1863">
      <c r="A1863" s="19" t="inlineStr">
        <is>
          <t>User1199</t>
        </is>
      </c>
      <c r="B1863" s="60" t="n">
        <v>45992</v>
      </c>
      <c r="C1863" s="21" t="n">
        <v>155.4000000000001</v>
      </c>
      <c r="D1863" s="21" t="n">
        <v>114.1733333333333</v>
      </c>
      <c r="E1863" s="21" t="n">
        <v>74.84</v>
      </c>
      <c r="F1863" s="27">
        <f>IFERROR(IF(OR(C1863="",D1863="",C1863=0),"",D1863/C1863),"")</f>
        <v/>
      </c>
      <c r="G1863" s="21">
        <f>IFERROR(INDEX(Users!$A$2:$A$310,MATCH(A1863,Users!$B$2:$B$310,0)),"")</f>
        <v/>
      </c>
      <c r="H1863" s="21">
        <f>IFERROR(INDEX(Users!$D$2:$D$310,MATCH(A1863,Users!$B$2:$B$310,0)),"")</f>
        <v/>
      </c>
      <c r="I1863" s="19">
        <f>AND(G1863="Service A",H1863="Band 3")</f>
        <v/>
      </c>
      <c r="J1863" s="33">
        <f>IF(AND(YEAR(B1863)=2025,G1863="Service B",OR(H1863="Band 3",H1863="Band 5"),ISNUMBER(F1863)),F1863,"")</f>
        <v/>
      </c>
    </row>
    <row r="1864">
      <c r="A1864" s="19" t="inlineStr">
        <is>
          <t>User1199</t>
        </is>
      </c>
      <c r="B1864" s="60" t="n">
        <v>46023</v>
      </c>
      <c r="C1864" s="21" t="n">
        <v>155.4000000000001</v>
      </c>
      <c r="D1864" s="21" t="n">
        <v>103.5966666666667</v>
      </c>
      <c r="E1864" s="21" t="n">
        <v>56.43</v>
      </c>
      <c r="F1864" s="27">
        <f>IFERROR(IF(OR(C1864="",D1864="",C1864=0),"",D1864/C1864),"")</f>
        <v/>
      </c>
      <c r="G1864" s="21">
        <f>IFERROR(INDEX(Users!$A$2:$A$310,MATCH(A1864,Users!$B$2:$B$310,0)),"")</f>
        <v/>
      </c>
      <c r="H1864" s="21">
        <f>IFERROR(INDEX(Users!$D$2:$D$310,MATCH(A1864,Users!$B$2:$B$310,0)),"")</f>
        <v/>
      </c>
      <c r="I1864" s="19">
        <f>AND(G1864="Service A",H1864="Band 3")</f>
        <v/>
      </c>
      <c r="J1864" s="33">
        <f>IF(AND(YEAR(B1864)=2025,G1864="Service B",OR(H1864="Band 3",H1864="Band 5"),ISNUMBER(F1864)),F1864,"")</f>
        <v/>
      </c>
    </row>
    <row r="1865">
      <c r="A1865" s="19" t="inlineStr">
        <is>
          <t>User1200</t>
        </is>
      </c>
      <c r="B1865" s="60" t="n">
        <v>45658</v>
      </c>
      <c r="C1865" s="21" t="n">
        <v>162.8</v>
      </c>
      <c r="D1865" s="21" t="n">
        <v>121.98</v>
      </c>
      <c r="E1865" s="21" t="n">
        <v>14.98</v>
      </c>
      <c r="F1865" s="27">
        <f>IFERROR(IF(OR(C1865="",D1865="",C1865=0),"",D1865/C1865),"")</f>
        <v/>
      </c>
      <c r="G1865" s="21">
        <f>IFERROR(INDEX(Users!$A$2:$A$310,MATCH(A1865,Users!$B$2:$B$310,0)),"")</f>
        <v/>
      </c>
      <c r="H1865" s="21">
        <f>IFERROR(INDEX(Users!$D$2:$D$310,MATCH(A1865,Users!$B$2:$B$310,0)),"")</f>
        <v/>
      </c>
      <c r="I1865" s="19">
        <f>AND(G1865="Service A",H1865="Band 3")</f>
        <v/>
      </c>
      <c r="J1865" s="33">
        <f>IF(AND(YEAR(B1865)=2025,G1865="Service B",OR(H1865="Band 3",H1865="Band 5"),ISNUMBER(F1865)),F1865,"")</f>
        <v/>
      </c>
    </row>
    <row r="1866">
      <c r="A1866" s="19" t="inlineStr">
        <is>
          <t>User1200</t>
        </is>
      </c>
      <c r="B1866" s="60" t="n">
        <v>45689</v>
      </c>
      <c r="C1866" s="21" t="n">
        <v>148</v>
      </c>
      <c r="D1866" s="21" t="n">
        <v>108.5666666666667</v>
      </c>
      <c r="E1866" s="21" t="n">
        <v>32.9</v>
      </c>
      <c r="F1866" s="27">
        <f>IFERROR(IF(OR(C1866="",D1866="",C1866=0),"",D1866/C1866),"")</f>
        <v/>
      </c>
      <c r="G1866" s="21">
        <f>IFERROR(INDEX(Users!$A$2:$A$310,MATCH(A1866,Users!$B$2:$B$310,0)),"")</f>
        <v/>
      </c>
      <c r="H1866" s="21">
        <f>IFERROR(INDEX(Users!$D$2:$D$310,MATCH(A1866,Users!$B$2:$B$310,0)),"")</f>
        <v/>
      </c>
      <c r="I1866" s="19">
        <f>AND(G1866="Service A",H1866="Band 3")</f>
        <v/>
      </c>
      <c r="J1866" s="33">
        <f>IF(AND(YEAR(B1866)=2025,G1866="Service B",OR(H1866="Band 3",H1866="Band 5"),ISNUMBER(F1866)),F1866,"")</f>
        <v/>
      </c>
    </row>
    <row r="1867">
      <c r="A1867" s="19" t="inlineStr">
        <is>
          <t>User1200</t>
        </is>
      </c>
      <c r="B1867" s="60" t="n">
        <v>45717</v>
      </c>
      <c r="C1867" s="21" t="n">
        <v>155.4</v>
      </c>
      <c r="D1867" s="21" t="n">
        <v>96.46000000000001</v>
      </c>
      <c r="E1867" s="21" t="n">
        <v>42.46</v>
      </c>
      <c r="F1867" s="27">
        <f>IFERROR(IF(OR(C1867="",D1867="",C1867=0),"",D1867/C1867),"")</f>
        <v/>
      </c>
      <c r="G1867" s="21">
        <f>IFERROR(INDEX(Users!$A$2:$A$310,MATCH(A1867,Users!$B$2:$B$310,0)),"")</f>
        <v/>
      </c>
      <c r="H1867" s="21">
        <f>IFERROR(INDEX(Users!$D$2:$D$310,MATCH(A1867,Users!$B$2:$B$310,0)),"")</f>
        <v/>
      </c>
      <c r="I1867" s="19">
        <f>AND(G1867="Service A",H1867="Band 3")</f>
        <v/>
      </c>
      <c r="J1867" s="33">
        <f>IF(AND(YEAR(B1867)=2025,G1867="Service B",OR(H1867="Band 3",H1867="Band 5"),ISNUMBER(F1867)),F1867,"")</f>
        <v/>
      </c>
    </row>
    <row r="1868">
      <c r="A1868" s="19" t="inlineStr">
        <is>
          <t>User1200</t>
        </is>
      </c>
      <c r="B1868" s="60" t="n">
        <v>45748</v>
      </c>
      <c r="C1868" s="21" t="n">
        <v>148</v>
      </c>
      <c r="D1868" s="21" t="n">
        <v>120.01</v>
      </c>
      <c r="E1868" s="21" t="n">
        <v>45.05999999999999</v>
      </c>
      <c r="F1868" s="27">
        <f>IFERROR(IF(OR(C1868="",D1868="",C1868=0),"",D1868/C1868),"")</f>
        <v/>
      </c>
      <c r="G1868" s="21">
        <f>IFERROR(INDEX(Users!$A$2:$A$310,MATCH(A1868,Users!$B$2:$B$310,0)),"")</f>
        <v/>
      </c>
      <c r="H1868" s="21">
        <f>IFERROR(INDEX(Users!$D$2:$D$310,MATCH(A1868,Users!$B$2:$B$310,0)),"")</f>
        <v/>
      </c>
      <c r="I1868" s="19">
        <f>AND(G1868="Service A",H1868="Band 3")</f>
        <v/>
      </c>
      <c r="J1868" s="33">
        <f>IF(AND(YEAR(B1868)=2025,G1868="Service B",OR(H1868="Band 3",H1868="Band 5"),ISNUMBER(F1868)),F1868,"")</f>
        <v/>
      </c>
    </row>
    <row r="1869">
      <c r="A1869" s="19" t="inlineStr">
        <is>
          <t>User1200</t>
        </is>
      </c>
      <c r="B1869" s="60" t="n">
        <v>45778</v>
      </c>
      <c r="C1869" s="21" t="n">
        <v>148</v>
      </c>
      <c r="D1869" s="21" t="n">
        <v>93.2</v>
      </c>
      <c r="E1869" s="21" t="n">
        <v>22.2</v>
      </c>
      <c r="F1869" s="27">
        <f>IFERROR(IF(OR(C1869="",D1869="",C1869=0),"",D1869/C1869),"")</f>
        <v/>
      </c>
      <c r="G1869" s="21">
        <f>IFERROR(INDEX(Users!$A$2:$A$310,MATCH(A1869,Users!$B$2:$B$310,0)),"")</f>
        <v/>
      </c>
      <c r="H1869" s="21">
        <f>IFERROR(INDEX(Users!$D$2:$D$310,MATCH(A1869,Users!$B$2:$B$310,0)),"")</f>
        <v/>
      </c>
      <c r="I1869" s="19">
        <f>AND(G1869="Service A",H1869="Band 3")</f>
        <v/>
      </c>
      <c r="J1869" s="33">
        <f>IF(AND(YEAR(B1869)=2025,G1869="Service B",OR(H1869="Band 3",H1869="Band 5"),ISNUMBER(F1869)),F1869,"")</f>
        <v/>
      </c>
    </row>
    <row r="1870">
      <c r="A1870" s="19" t="inlineStr">
        <is>
          <t>User1200</t>
        </is>
      </c>
      <c r="B1870" s="60" t="n">
        <v>45809</v>
      </c>
      <c r="C1870" s="21" t="n">
        <v>155.4</v>
      </c>
      <c r="D1870" s="21" t="n">
        <v>136.7966666666667</v>
      </c>
      <c r="E1870" s="21" t="n">
        <v>53.88000000000001</v>
      </c>
      <c r="F1870" s="27">
        <f>IFERROR(IF(OR(C1870="",D1870="",C1870=0),"",D1870/C1870),"")</f>
        <v/>
      </c>
      <c r="G1870" s="21">
        <f>IFERROR(INDEX(Users!$A$2:$A$310,MATCH(A1870,Users!$B$2:$B$310,0)),"")</f>
        <v/>
      </c>
      <c r="H1870" s="21">
        <f>IFERROR(INDEX(Users!$D$2:$D$310,MATCH(A1870,Users!$B$2:$B$310,0)),"")</f>
        <v/>
      </c>
      <c r="I1870" s="19">
        <f>AND(G1870="Service A",H1870="Band 3")</f>
        <v/>
      </c>
      <c r="J1870" s="33">
        <f>IF(AND(YEAR(B1870)=2025,G1870="Service B",OR(H1870="Band 3",H1870="Band 5"),ISNUMBER(F1870)),F1870,"")</f>
        <v/>
      </c>
    </row>
    <row r="1871">
      <c r="A1871" s="19" t="inlineStr">
        <is>
          <t>User1200</t>
        </is>
      </c>
      <c r="B1871" s="60" t="n">
        <v>45839</v>
      </c>
      <c r="C1871" s="21" t="n">
        <v>170.2</v>
      </c>
      <c r="D1871" s="21" t="n">
        <v>151.03</v>
      </c>
      <c r="E1871" s="21" t="n">
        <v>58.53000000000001</v>
      </c>
      <c r="F1871" s="27">
        <f>IFERROR(IF(OR(C1871="",D1871="",C1871=0),"",D1871/C1871),"")</f>
        <v/>
      </c>
      <c r="G1871" s="21">
        <f>IFERROR(INDEX(Users!$A$2:$A$310,MATCH(A1871,Users!$B$2:$B$310,0)),"")</f>
        <v/>
      </c>
      <c r="H1871" s="21">
        <f>IFERROR(INDEX(Users!$D$2:$D$310,MATCH(A1871,Users!$B$2:$B$310,0)),"")</f>
        <v/>
      </c>
      <c r="I1871" s="19">
        <f>AND(G1871="Service A",H1871="Band 3")</f>
        <v/>
      </c>
      <c r="J1871" s="33">
        <f>IF(AND(YEAR(B1871)=2025,G1871="Service B",OR(H1871="Band 3",H1871="Band 5"),ISNUMBER(F1871)),F1871,"")</f>
        <v/>
      </c>
    </row>
    <row r="1872">
      <c r="A1872" s="19" t="inlineStr">
        <is>
          <t>User1200</t>
        </is>
      </c>
      <c r="B1872" s="60" t="n">
        <v>45870</v>
      </c>
      <c r="C1872" s="21" t="n">
        <v>148</v>
      </c>
      <c r="D1872" s="21" t="n">
        <v>81.84666666666665</v>
      </c>
      <c r="E1872" s="21" t="n">
        <v>28.42999999999999</v>
      </c>
      <c r="F1872" s="27">
        <f>IFERROR(IF(OR(C1872="",D1872="",C1872=0),"",D1872/C1872),"")</f>
        <v/>
      </c>
      <c r="G1872" s="21">
        <f>IFERROR(INDEX(Users!$A$2:$A$310,MATCH(A1872,Users!$B$2:$B$310,0)),"")</f>
        <v/>
      </c>
      <c r="H1872" s="21">
        <f>IFERROR(INDEX(Users!$D$2:$D$310,MATCH(A1872,Users!$B$2:$B$310,0)),"")</f>
        <v/>
      </c>
      <c r="I1872" s="19">
        <f>AND(G1872="Service A",H1872="Band 3")</f>
        <v/>
      </c>
      <c r="J1872" s="33">
        <f>IF(AND(YEAR(B1872)=2025,G1872="Service B",OR(H1872="Band 3",H1872="Band 5"),ISNUMBER(F1872)),F1872,"")</f>
        <v/>
      </c>
    </row>
    <row r="1873">
      <c r="A1873" s="19" t="inlineStr">
        <is>
          <t>User1200</t>
        </is>
      </c>
      <c r="B1873" s="60" t="n">
        <v>45901</v>
      </c>
      <c r="C1873" s="21" t="n">
        <v>162.8</v>
      </c>
      <c r="D1873" s="21" t="n">
        <v>122.5166666666667</v>
      </c>
      <c r="E1873" s="21" t="n">
        <v>45.60000000000004</v>
      </c>
      <c r="F1873" s="27">
        <f>IFERROR(IF(OR(C1873="",D1873="",C1873=0),"",D1873/C1873),"")</f>
        <v/>
      </c>
      <c r="G1873" s="21">
        <f>IFERROR(INDEX(Users!$A$2:$A$310,MATCH(A1873,Users!$B$2:$B$310,0)),"")</f>
        <v/>
      </c>
      <c r="H1873" s="21">
        <f>IFERROR(INDEX(Users!$D$2:$D$310,MATCH(A1873,Users!$B$2:$B$310,0)),"")</f>
        <v/>
      </c>
      <c r="I1873" s="19">
        <f>AND(G1873="Service A",H1873="Band 3")</f>
        <v/>
      </c>
      <c r="J1873" s="33">
        <f>IF(AND(YEAR(B1873)=2025,G1873="Service B",OR(H1873="Band 3",H1873="Band 5"),ISNUMBER(F1873)),F1873,"")</f>
        <v/>
      </c>
    </row>
    <row r="1874">
      <c r="A1874" s="19" t="inlineStr">
        <is>
          <t>User1200</t>
        </is>
      </c>
      <c r="B1874" s="60" t="n">
        <v>45931</v>
      </c>
      <c r="C1874" s="21" t="n">
        <v>170.2</v>
      </c>
      <c r="D1874" s="21" t="n">
        <v>161.3566666666667</v>
      </c>
      <c r="E1874" s="21" t="n">
        <v>62.9400000000001</v>
      </c>
      <c r="F1874" s="27">
        <f>IFERROR(IF(OR(C1874="",D1874="",C1874=0),"",D1874/C1874),"")</f>
        <v/>
      </c>
      <c r="G1874" s="21">
        <f>IFERROR(INDEX(Users!$A$2:$A$310,MATCH(A1874,Users!$B$2:$B$310,0)),"")</f>
        <v/>
      </c>
      <c r="H1874" s="21">
        <f>IFERROR(INDEX(Users!$D$2:$D$310,MATCH(A1874,Users!$B$2:$B$310,0)),"")</f>
        <v/>
      </c>
      <c r="I1874" s="19">
        <f>AND(G1874="Service A",H1874="Band 3")</f>
        <v/>
      </c>
      <c r="J1874" s="33">
        <f>IF(AND(YEAR(B1874)=2025,G1874="Service B",OR(H1874="Band 3",H1874="Band 5"),ISNUMBER(F1874)),F1874,"")</f>
        <v/>
      </c>
    </row>
    <row r="1875">
      <c r="A1875" s="19" t="inlineStr">
        <is>
          <t>User1200</t>
        </is>
      </c>
      <c r="B1875" s="60" t="n">
        <v>45962</v>
      </c>
      <c r="C1875" s="21" t="n">
        <v>148</v>
      </c>
      <c r="D1875" s="21" t="n">
        <v>130.94</v>
      </c>
      <c r="E1875" s="21" t="n">
        <v>36.19000000000003</v>
      </c>
      <c r="F1875" s="27">
        <f>IFERROR(IF(OR(C1875="",D1875="",C1875=0),"",D1875/C1875),"")</f>
        <v/>
      </c>
      <c r="G1875" s="21">
        <f>IFERROR(INDEX(Users!$A$2:$A$310,MATCH(A1875,Users!$B$2:$B$310,0)),"")</f>
        <v/>
      </c>
      <c r="H1875" s="21">
        <f>IFERROR(INDEX(Users!$D$2:$D$310,MATCH(A1875,Users!$B$2:$B$310,0)),"")</f>
        <v/>
      </c>
      <c r="I1875" s="19">
        <f>AND(G1875="Service A",H1875="Band 3")</f>
        <v/>
      </c>
      <c r="J1875" s="33">
        <f>IF(AND(YEAR(B1875)=2025,G1875="Service B",OR(H1875="Band 3",H1875="Band 5"),ISNUMBER(F1875)),F1875,"")</f>
        <v/>
      </c>
    </row>
    <row r="1876">
      <c r="A1876" s="19" t="inlineStr">
        <is>
          <t>User1200</t>
        </is>
      </c>
      <c r="B1876" s="60" t="n">
        <v>45992</v>
      </c>
      <c r="C1876" s="21" t="n">
        <v>155.4</v>
      </c>
      <c r="D1876" s="21" t="n">
        <v>114.68</v>
      </c>
      <c r="E1876" s="21" t="n">
        <v>45.93</v>
      </c>
      <c r="F1876" s="27">
        <f>IFERROR(IF(OR(C1876="",D1876="",C1876=0),"",D1876/C1876),"")</f>
        <v/>
      </c>
      <c r="G1876" s="21">
        <f>IFERROR(INDEX(Users!$A$2:$A$310,MATCH(A1876,Users!$B$2:$B$310,0)),"")</f>
        <v/>
      </c>
      <c r="H1876" s="21">
        <f>IFERROR(INDEX(Users!$D$2:$D$310,MATCH(A1876,Users!$B$2:$B$310,0)),"")</f>
        <v/>
      </c>
      <c r="I1876" s="19">
        <f>AND(G1876="Service A",H1876="Band 3")</f>
        <v/>
      </c>
      <c r="J1876" s="33">
        <f>IF(AND(YEAR(B1876)=2025,G1876="Service B",OR(H1876="Band 3",H1876="Band 5"),ISNUMBER(F1876)),F1876,"")</f>
        <v/>
      </c>
    </row>
    <row r="1877">
      <c r="A1877" s="19" t="inlineStr">
        <is>
          <t>User1200</t>
        </is>
      </c>
      <c r="B1877" s="60" t="n">
        <v>46023</v>
      </c>
      <c r="C1877" s="21" t="n">
        <v>155.4</v>
      </c>
      <c r="D1877" s="21" t="n">
        <v>99.66666666666666</v>
      </c>
      <c r="E1877" s="21" t="n">
        <v>24</v>
      </c>
      <c r="F1877" s="27">
        <f>IFERROR(IF(OR(C1877="",D1877="",C1877=0),"",D1877/C1877),"")</f>
        <v/>
      </c>
      <c r="G1877" s="21">
        <f>IFERROR(INDEX(Users!$A$2:$A$310,MATCH(A1877,Users!$B$2:$B$310,0)),"")</f>
        <v/>
      </c>
      <c r="H1877" s="21">
        <f>IFERROR(INDEX(Users!$D$2:$D$310,MATCH(A1877,Users!$B$2:$B$310,0)),"")</f>
        <v/>
      </c>
      <c r="I1877" s="19">
        <f>AND(G1877="Service A",H1877="Band 3")</f>
        <v/>
      </c>
      <c r="J1877" s="33">
        <f>IF(AND(YEAR(B1877)=2025,G1877="Service B",OR(H1877="Band 3",H1877="Band 5"),ISNUMBER(F1877)),F1877,"")</f>
        <v/>
      </c>
    </row>
    <row r="1878">
      <c r="A1878" s="19" t="inlineStr">
        <is>
          <t>User1201</t>
        </is>
      </c>
      <c r="B1878" s="60" t="n">
        <v>45689</v>
      </c>
      <c r="C1878" s="21" t="n">
        <v>37</v>
      </c>
      <c r="D1878" s="21" t="n"/>
      <c r="E1878" s="21" t="n"/>
      <c r="F1878" s="27">
        <f>IFERROR(IF(OR(C1878="",D1878="",C1878=0),"",D1878/C1878),"")</f>
        <v/>
      </c>
      <c r="G1878" s="21">
        <f>IFERROR(INDEX(Users!$A$2:$A$310,MATCH(A1878,Users!$B$2:$B$310,0)),"")</f>
        <v/>
      </c>
      <c r="H1878" s="21">
        <f>IFERROR(INDEX(Users!$D$2:$D$310,MATCH(A1878,Users!$B$2:$B$310,0)),"")</f>
        <v/>
      </c>
      <c r="I1878" s="19">
        <f>AND(G1878="Service A",H1878="Band 3")</f>
        <v/>
      </c>
      <c r="J1878" s="33">
        <f>IF(AND(YEAR(B1878)=2025,G1878="Service B",OR(H1878="Band 3",H1878="Band 5"),ISNUMBER(F1878)),F1878,"")</f>
        <v/>
      </c>
    </row>
    <row r="1879">
      <c r="A1879" s="19" t="inlineStr">
        <is>
          <t>User1201</t>
        </is>
      </c>
      <c r="B1879" s="60" t="n">
        <v>45717</v>
      </c>
      <c r="C1879" s="21" t="n">
        <v>155.4</v>
      </c>
      <c r="D1879" s="21" t="n">
        <v>160.4713888888888</v>
      </c>
      <c r="E1879" s="21" t="n">
        <v>55.63999999999996</v>
      </c>
      <c r="F1879" s="27">
        <f>IFERROR(IF(OR(C1879="",D1879="",C1879=0),"",D1879/C1879),"")</f>
        <v/>
      </c>
      <c r="G1879" s="21">
        <f>IFERROR(INDEX(Users!$A$2:$A$310,MATCH(A1879,Users!$B$2:$B$310,0)),"")</f>
        <v/>
      </c>
      <c r="H1879" s="21">
        <f>IFERROR(INDEX(Users!$D$2:$D$310,MATCH(A1879,Users!$B$2:$B$310,0)),"")</f>
        <v/>
      </c>
      <c r="I1879" s="19">
        <f>AND(G1879="Service A",H1879="Band 3")</f>
        <v/>
      </c>
      <c r="J1879" s="33">
        <f>IF(AND(YEAR(B1879)=2025,G1879="Service B",OR(H1879="Band 3",H1879="Band 5"),ISNUMBER(F1879)),F1879,"")</f>
        <v/>
      </c>
    </row>
    <row r="1880">
      <c r="A1880" s="19" t="inlineStr">
        <is>
          <t>User1201</t>
        </is>
      </c>
      <c r="B1880" s="60" t="n">
        <v>45748</v>
      </c>
      <c r="C1880" s="21" t="n">
        <v>148</v>
      </c>
      <c r="D1880" s="21" t="n">
        <v>122.2636111111111</v>
      </c>
      <c r="E1880" s="21" t="n">
        <v>68.93000000000004</v>
      </c>
      <c r="F1880" s="27">
        <f>IFERROR(IF(OR(C1880="",D1880="",C1880=0),"",D1880/C1880),"")</f>
        <v/>
      </c>
      <c r="G1880" s="21">
        <f>IFERROR(INDEX(Users!$A$2:$A$310,MATCH(A1880,Users!$B$2:$B$310,0)),"")</f>
        <v/>
      </c>
      <c r="H1880" s="21">
        <f>IFERROR(INDEX(Users!$D$2:$D$310,MATCH(A1880,Users!$B$2:$B$310,0)),"")</f>
        <v/>
      </c>
      <c r="I1880" s="19">
        <f>AND(G1880="Service A",H1880="Band 3")</f>
        <v/>
      </c>
      <c r="J1880" s="33">
        <f>IF(AND(YEAR(B1880)=2025,G1880="Service B",OR(H1880="Band 3",H1880="Band 5"),ISNUMBER(F1880)),F1880,"")</f>
        <v/>
      </c>
    </row>
    <row r="1881">
      <c r="A1881" s="19" t="inlineStr">
        <is>
          <t>User1201</t>
        </is>
      </c>
      <c r="B1881" s="60" t="n">
        <v>45778</v>
      </c>
      <c r="C1881" s="21" t="n">
        <v>148</v>
      </c>
      <c r="D1881" s="21" t="n">
        <v>153.1033333333334</v>
      </c>
      <c r="E1881" s="21" t="n">
        <v>95.02000000000001</v>
      </c>
      <c r="F1881" s="27">
        <f>IFERROR(IF(OR(C1881="",D1881="",C1881=0),"",D1881/C1881),"")</f>
        <v/>
      </c>
      <c r="G1881" s="21">
        <f>IFERROR(INDEX(Users!$A$2:$A$310,MATCH(A1881,Users!$B$2:$B$310,0)),"")</f>
        <v/>
      </c>
      <c r="H1881" s="21">
        <f>IFERROR(INDEX(Users!$D$2:$D$310,MATCH(A1881,Users!$B$2:$B$310,0)),"")</f>
        <v/>
      </c>
      <c r="I1881" s="19">
        <f>AND(G1881="Service A",H1881="Band 3")</f>
        <v/>
      </c>
      <c r="J1881" s="33">
        <f>IF(AND(YEAR(B1881)=2025,G1881="Service B",OR(H1881="Band 3",H1881="Band 5"),ISNUMBER(F1881)),F1881,"")</f>
        <v/>
      </c>
    </row>
    <row r="1882">
      <c r="A1882" s="19" t="inlineStr">
        <is>
          <t>User1201</t>
        </is>
      </c>
      <c r="B1882" s="60" t="n">
        <v>45809</v>
      </c>
      <c r="C1882" s="21" t="n">
        <v>155.4</v>
      </c>
      <c r="D1882" s="21" t="n">
        <v>150.0066666666667</v>
      </c>
      <c r="E1882" s="21" t="n">
        <v>102.84</v>
      </c>
      <c r="F1882" s="27">
        <f>IFERROR(IF(OR(C1882="",D1882="",C1882=0),"",D1882/C1882),"")</f>
        <v/>
      </c>
      <c r="G1882" s="21">
        <f>IFERROR(INDEX(Users!$A$2:$A$310,MATCH(A1882,Users!$B$2:$B$310,0)),"")</f>
        <v/>
      </c>
      <c r="H1882" s="21">
        <f>IFERROR(INDEX(Users!$D$2:$D$310,MATCH(A1882,Users!$B$2:$B$310,0)),"")</f>
        <v/>
      </c>
      <c r="I1882" s="19">
        <f>AND(G1882="Service A",H1882="Band 3")</f>
        <v/>
      </c>
      <c r="J1882" s="33">
        <f>IF(AND(YEAR(B1882)=2025,G1882="Service B",OR(H1882="Band 3",H1882="Band 5"),ISNUMBER(F1882)),F1882,"")</f>
        <v/>
      </c>
    </row>
    <row r="1883">
      <c r="A1883" s="19" t="inlineStr">
        <is>
          <t>User1201</t>
        </is>
      </c>
      <c r="B1883" s="60" t="n">
        <v>45839</v>
      </c>
      <c r="C1883" s="21" t="n">
        <v>170.2</v>
      </c>
      <c r="D1883" s="21" t="n">
        <v>178.2552777777778</v>
      </c>
      <c r="E1883" s="21" t="n">
        <v>117.4600000000001</v>
      </c>
      <c r="F1883" s="27">
        <f>IFERROR(IF(OR(C1883="",D1883="",C1883=0),"",D1883/C1883),"")</f>
        <v/>
      </c>
      <c r="G1883" s="21">
        <f>IFERROR(INDEX(Users!$A$2:$A$310,MATCH(A1883,Users!$B$2:$B$310,0)),"")</f>
        <v/>
      </c>
      <c r="H1883" s="21">
        <f>IFERROR(INDEX(Users!$D$2:$D$310,MATCH(A1883,Users!$B$2:$B$310,0)),"")</f>
        <v/>
      </c>
      <c r="I1883" s="19">
        <f>AND(G1883="Service A",H1883="Band 3")</f>
        <v/>
      </c>
      <c r="J1883" s="33">
        <f>IF(AND(YEAR(B1883)=2025,G1883="Service B",OR(H1883="Band 3",H1883="Band 5"),ISNUMBER(F1883)),F1883,"")</f>
        <v/>
      </c>
    </row>
    <row r="1884">
      <c r="A1884" s="19" t="inlineStr">
        <is>
          <t>User1201</t>
        </is>
      </c>
      <c r="B1884" s="60" t="n">
        <v>45870</v>
      </c>
      <c r="C1884" s="21" t="n">
        <v>148</v>
      </c>
      <c r="D1884" s="21" t="n">
        <v>106.19</v>
      </c>
      <c r="E1884" s="21" t="n">
        <v>76.19</v>
      </c>
      <c r="F1884" s="27">
        <f>IFERROR(IF(OR(C1884="",D1884="",C1884=0),"",D1884/C1884),"")</f>
        <v/>
      </c>
      <c r="G1884" s="21">
        <f>IFERROR(INDEX(Users!$A$2:$A$310,MATCH(A1884,Users!$B$2:$B$310,0)),"")</f>
        <v/>
      </c>
      <c r="H1884" s="21">
        <f>IFERROR(INDEX(Users!$D$2:$D$310,MATCH(A1884,Users!$B$2:$B$310,0)),"")</f>
        <v/>
      </c>
      <c r="I1884" s="19">
        <f>AND(G1884="Service A",H1884="Band 3")</f>
        <v/>
      </c>
      <c r="J1884" s="33">
        <f>IF(AND(YEAR(B1884)=2025,G1884="Service B",OR(H1884="Band 3",H1884="Band 5"),ISNUMBER(F1884)),F1884,"")</f>
        <v/>
      </c>
    </row>
    <row r="1885">
      <c r="A1885" s="19" t="inlineStr">
        <is>
          <t>User1201</t>
        </is>
      </c>
      <c r="B1885" s="60" t="n">
        <v>45901</v>
      </c>
      <c r="C1885" s="21" t="n">
        <v>162.8</v>
      </c>
      <c r="D1885" s="21" t="n">
        <v>144.5366666666667</v>
      </c>
      <c r="E1885" s="21" t="n">
        <v>72.37000000000002</v>
      </c>
      <c r="F1885" s="27">
        <f>IFERROR(IF(OR(C1885="",D1885="",C1885=0),"",D1885/C1885),"")</f>
        <v/>
      </c>
      <c r="G1885" s="21">
        <f>IFERROR(INDEX(Users!$A$2:$A$310,MATCH(A1885,Users!$B$2:$B$310,0)),"")</f>
        <v/>
      </c>
      <c r="H1885" s="21">
        <f>IFERROR(INDEX(Users!$D$2:$D$310,MATCH(A1885,Users!$B$2:$B$310,0)),"")</f>
        <v/>
      </c>
      <c r="I1885" s="19">
        <f>AND(G1885="Service A",H1885="Band 3")</f>
        <v/>
      </c>
      <c r="J1885" s="33">
        <f>IF(AND(YEAR(B1885)=2025,G1885="Service B",OR(H1885="Band 3",H1885="Band 5"),ISNUMBER(F1885)),F1885,"")</f>
        <v/>
      </c>
    </row>
    <row r="1886">
      <c r="A1886" s="19" t="inlineStr">
        <is>
          <t>User1201</t>
        </is>
      </c>
      <c r="B1886" s="60" t="n">
        <v>45931</v>
      </c>
      <c r="C1886" s="21" t="n">
        <v>170.2</v>
      </c>
      <c r="D1886" s="21" t="n">
        <v>172.2766666666666</v>
      </c>
      <c r="E1886" s="21" t="n">
        <v>89.10999999999997</v>
      </c>
      <c r="F1886" s="27">
        <f>IFERROR(IF(OR(C1886="",D1886="",C1886=0),"",D1886/C1886),"")</f>
        <v/>
      </c>
      <c r="G1886" s="21">
        <f>IFERROR(INDEX(Users!$A$2:$A$310,MATCH(A1886,Users!$B$2:$B$310,0)),"")</f>
        <v/>
      </c>
      <c r="H1886" s="21">
        <f>IFERROR(INDEX(Users!$D$2:$D$310,MATCH(A1886,Users!$B$2:$B$310,0)),"")</f>
        <v/>
      </c>
      <c r="I1886" s="19">
        <f>AND(G1886="Service A",H1886="Band 3")</f>
        <v/>
      </c>
      <c r="J1886" s="33">
        <f>IF(AND(YEAR(B1886)=2025,G1886="Service B",OR(H1886="Band 3",H1886="Band 5"),ISNUMBER(F1886)),F1886,"")</f>
        <v/>
      </c>
    </row>
    <row r="1887">
      <c r="A1887" s="19" t="inlineStr">
        <is>
          <t>User1201</t>
        </is>
      </c>
      <c r="B1887" s="60" t="n">
        <v>45962</v>
      </c>
      <c r="C1887" s="21" t="n">
        <v>148</v>
      </c>
      <c r="D1887" s="21" t="n">
        <v>138.8044444444445</v>
      </c>
      <c r="E1887" s="21" t="n">
        <v>77.22000000000001</v>
      </c>
      <c r="F1887" s="27">
        <f>IFERROR(IF(OR(C1887="",D1887="",C1887=0),"",D1887/C1887),"")</f>
        <v/>
      </c>
      <c r="G1887" s="21">
        <f>IFERROR(INDEX(Users!$A$2:$A$310,MATCH(A1887,Users!$B$2:$B$310,0)),"")</f>
        <v/>
      </c>
      <c r="H1887" s="21">
        <f>IFERROR(INDEX(Users!$D$2:$D$310,MATCH(A1887,Users!$B$2:$B$310,0)),"")</f>
        <v/>
      </c>
      <c r="I1887" s="19">
        <f>AND(G1887="Service A",H1887="Band 3")</f>
        <v/>
      </c>
      <c r="J1887" s="33">
        <f>IF(AND(YEAR(B1887)=2025,G1887="Service B",OR(H1887="Band 3",H1887="Band 5"),ISNUMBER(F1887)),F1887,"")</f>
        <v/>
      </c>
    </row>
    <row r="1888">
      <c r="A1888" s="19" t="inlineStr">
        <is>
          <t>User1201</t>
        </is>
      </c>
      <c r="B1888" s="60" t="n">
        <v>45992</v>
      </c>
      <c r="C1888" s="21" t="n">
        <v>155.4</v>
      </c>
      <c r="D1888" s="21" t="n">
        <v>151.2633333333334</v>
      </c>
      <c r="E1888" s="21" t="n">
        <v>81.78000000000004</v>
      </c>
      <c r="F1888" s="27">
        <f>IFERROR(IF(OR(C1888="",D1888="",C1888=0),"",D1888/C1888),"")</f>
        <v/>
      </c>
      <c r="G1888" s="21">
        <f>IFERROR(INDEX(Users!$A$2:$A$310,MATCH(A1888,Users!$B$2:$B$310,0)),"")</f>
        <v/>
      </c>
      <c r="H1888" s="21">
        <f>IFERROR(INDEX(Users!$D$2:$D$310,MATCH(A1888,Users!$B$2:$B$310,0)),"")</f>
        <v/>
      </c>
      <c r="I1888" s="19">
        <f>AND(G1888="Service A",H1888="Band 3")</f>
        <v/>
      </c>
      <c r="J1888" s="33">
        <f>IF(AND(YEAR(B1888)=2025,G1888="Service B",OR(H1888="Band 3",H1888="Band 5"),ISNUMBER(F1888)),F1888,"")</f>
        <v/>
      </c>
    </row>
    <row r="1889">
      <c r="A1889" s="19" t="inlineStr">
        <is>
          <t>User1201</t>
        </is>
      </c>
      <c r="B1889" s="60" t="n">
        <v>46023</v>
      </c>
      <c r="C1889" s="21" t="n">
        <v>155.4</v>
      </c>
      <c r="D1889" s="21" t="n">
        <v>99.38666666666668</v>
      </c>
      <c r="E1889" s="21" t="n">
        <v>42.22000000000003</v>
      </c>
      <c r="F1889" s="27">
        <f>IFERROR(IF(OR(C1889="",D1889="",C1889=0),"",D1889/C1889),"")</f>
        <v/>
      </c>
      <c r="G1889" s="21">
        <f>IFERROR(INDEX(Users!$A$2:$A$310,MATCH(A1889,Users!$B$2:$B$310,0)),"")</f>
        <v/>
      </c>
      <c r="H1889" s="21">
        <f>IFERROR(INDEX(Users!$D$2:$D$310,MATCH(A1889,Users!$B$2:$B$310,0)),"")</f>
        <v/>
      </c>
      <c r="I1889" s="19">
        <f>AND(G1889="Service A",H1889="Band 3")</f>
        <v/>
      </c>
      <c r="J1889" s="33">
        <f>IF(AND(YEAR(B1889)=2025,G1889="Service B",OR(H1889="Band 3",H1889="Band 5"),ISNUMBER(F1889)),F1889,"")</f>
        <v/>
      </c>
    </row>
    <row r="1890">
      <c r="A1890" s="19" t="inlineStr">
        <is>
          <t>User1202</t>
        </is>
      </c>
      <c r="B1890" s="60" t="n">
        <v>45658</v>
      </c>
      <c r="C1890" s="21" t="n">
        <v>162.8</v>
      </c>
      <c r="D1890" s="21" t="n">
        <v>132.5094444444445</v>
      </c>
      <c r="E1890" s="21" t="n">
        <v>58.66000000000001</v>
      </c>
      <c r="F1890" s="27">
        <f>IFERROR(IF(OR(C1890="",D1890="",C1890=0),"",D1890/C1890),"")</f>
        <v/>
      </c>
      <c r="G1890" s="21">
        <f>IFERROR(INDEX(Users!$A$2:$A$310,MATCH(A1890,Users!$B$2:$B$310,0)),"")</f>
        <v/>
      </c>
      <c r="H1890" s="21">
        <f>IFERROR(INDEX(Users!$D$2:$D$310,MATCH(A1890,Users!$B$2:$B$310,0)),"")</f>
        <v/>
      </c>
      <c r="I1890" s="19">
        <f>AND(G1890="Service A",H1890="Band 3")</f>
        <v/>
      </c>
      <c r="J1890" s="33">
        <f>IF(AND(YEAR(B1890)=2025,G1890="Service B",OR(H1890="Band 3",H1890="Band 5"),ISNUMBER(F1890)),F1890,"")</f>
        <v/>
      </c>
    </row>
    <row r="1891">
      <c r="A1891" s="19" t="inlineStr">
        <is>
          <t>User1202</t>
        </is>
      </c>
      <c r="B1891" s="60" t="n">
        <v>45689</v>
      </c>
      <c r="C1891" s="21" t="n">
        <v>111</v>
      </c>
      <c r="D1891" s="21" t="n">
        <v>113.4463888888889</v>
      </c>
      <c r="E1891" s="21" t="n">
        <v>34.10000000000001</v>
      </c>
      <c r="F1891" s="27">
        <f>IFERROR(IF(OR(C1891="",D1891="",C1891=0),"",D1891/C1891),"")</f>
        <v/>
      </c>
      <c r="G1891" s="21">
        <f>IFERROR(INDEX(Users!$A$2:$A$310,MATCH(A1891,Users!$B$2:$B$310,0)),"")</f>
        <v/>
      </c>
      <c r="H1891" s="21">
        <f>IFERROR(INDEX(Users!$D$2:$D$310,MATCH(A1891,Users!$B$2:$B$310,0)),"")</f>
        <v/>
      </c>
      <c r="I1891" s="19">
        <f>AND(G1891="Service A",H1891="Band 3")</f>
        <v/>
      </c>
      <c r="J1891" s="33">
        <f>IF(AND(YEAR(B1891)=2025,G1891="Service B",OR(H1891="Band 3",H1891="Band 5"),ISNUMBER(F1891)),F1891,"")</f>
        <v/>
      </c>
    </row>
    <row r="1892">
      <c r="A1892" s="19" t="inlineStr">
        <is>
          <t>User1203</t>
        </is>
      </c>
      <c r="B1892" s="60" t="n">
        <v>45658</v>
      </c>
      <c r="C1892" s="21" t="n">
        <v>162.8</v>
      </c>
      <c r="D1892" s="21" t="n">
        <v>132.59</v>
      </c>
      <c r="E1892" s="21" t="n">
        <v>88.34</v>
      </c>
      <c r="F1892" s="27">
        <f>IFERROR(IF(OR(C1892="",D1892="",C1892=0),"",D1892/C1892),"")</f>
        <v/>
      </c>
      <c r="G1892" s="21">
        <f>IFERROR(INDEX(Users!$A$2:$A$310,MATCH(A1892,Users!$B$2:$B$310,0)),"")</f>
        <v/>
      </c>
      <c r="H1892" s="21">
        <f>IFERROR(INDEX(Users!$D$2:$D$310,MATCH(A1892,Users!$B$2:$B$310,0)),"")</f>
        <v/>
      </c>
      <c r="I1892" s="19">
        <f>AND(G1892="Service A",H1892="Band 3")</f>
        <v/>
      </c>
      <c r="J1892" s="33">
        <f>IF(AND(YEAR(B1892)=2025,G1892="Service B",OR(H1892="Band 3",H1892="Band 5"),ISNUMBER(F1892)),F1892,"")</f>
        <v/>
      </c>
    </row>
    <row r="1893">
      <c r="A1893" s="19" t="inlineStr">
        <is>
          <t>User1203</t>
        </is>
      </c>
      <c r="B1893" s="60" t="n">
        <v>45689</v>
      </c>
      <c r="C1893" s="21" t="n">
        <v>148</v>
      </c>
      <c r="D1893" s="21" t="n">
        <v>115.6066666666667</v>
      </c>
      <c r="E1893" s="21" t="n">
        <v>77.44</v>
      </c>
      <c r="F1893" s="27">
        <f>IFERROR(IF(OR(C1893="",D1893="",C1893=0),"",D1893/C1893),"")</f>
        <v/>
      </c>
      <c r="G1893" s="21">
        <f>IFERROR(INDEX(Users!$A$2:$A$310,MATCH(A1893,Users!$B$2:$B$310,0)),"")</f>
        <v/>
      </c>
      <c r="H1893" s="21">
        <f>IFERROR(INDEX(Users!$D$2:$D$310,MATCH(A1893,Users!$B$2:$B$310,0)),"")</f>
        <v/>
      </c>
      <c r="I1893" s="19">
        <f>AND(G1893="Service A",H1893="Band 3")</f>
        <v/>
      </c>
      <c r="J1893" s="33">
        <f>IF(AND(YEAR(B1893)=2025,G1893="Service B",OR(H1893="Band 3",H1893="Band 5"),ISNUMBER(F1893)),F1893,"")</f>
        <v/>
      </c>
    </row>
    <row r="1894">
      <c r="A1894" s="19" t="inlineStr">
        <is>
          <t>User1203</t>
        </is>
      </c>
      <c r="B1894" s="60" t="n">
        <v>45717</v>
      </c>
      <c r="C1894" s="21" t="n">
        <v>155.4</v>
      </c>
      <c r="D1894" s="21" t="n">
        <v>156.45</v>
      </c>
      <c r="E1894" s="21" t="n">
        <v>105.45</v>
      </c>
      <c r="F1894" s="27">
        <f>IFERROR(IF(OR(C1894="",D1894="",C1894=0),"",D1894/C1894),"")</f>
        <v/>
      </c>
      <c r="G1894" s="21">
        <f>IFERROR(INDEX(Users!$A$2:$A$310,MATCH(A1894,Users!$B$2:$B$310,0)),"")</f>
        <v/>
      </c>
      <c r="H1894" s="21">
        <f>IFERROR(INDEX(Users!$D$2:$D$310,MATCH(A1894,Users!$B$2:$B$310,0)),"")</f>
        <v/>
      </c>
      <c r="I1894" s="19">
        <f>AND(G1894="Service A",H1894="Band 3")</f>
        <v/>
      </c>
      <c r="J1894" s="33">
        <f>IF(AND(YEAR(B1894)=2025,G1894="Service B",OR(H1894="Band 3",H1894="Band 5"),ISNUMBER(F1894)),F1894,"")</f>
        <v/>
      </c>
    </row>
    <row r="1895">
      <c r="A1895" s="19" t="inlineStr">
        <is>
          <t>User1203</t>
        </is>
      </c>
      <c r="B1895" s="60" t="n">
        <v>45748</v>
      </c>
      <c r="C1895" s="21" t="n">
        <v>148</v>
      </c>
      <c r="D1895" s="21" t="n">
        <v>134.9133333333334</v>
      </c>
      <c r="E1895" s="21" t="n">
        <v>96.08000000000001</v>
      </c>
      <c r="F1895" s="27">
        <f>IFERROR(IF(OR(C1895="",D1895="",C1895=0),"",D1895/C1895),"")</f>
        <v/>
      </c>
      <c r="G1895" s="21">
        <f>IFERROR(INDEX(Users!$A$2:$A$310,MATCH(A1895,Users!$B$2:$B$310,0)),"")</f>
        <v/>
      </c>
      <c r="H1895" s="21">
        <f>IFERROR(INDEX(Users!$D$2:$D$310,MATCH(A1895,Users!$B$2:$B$310,0)),"")</f>
        <v/>
      </c>
      <c r="I1895" s="19">
        <f>AND(G1895="Service A",H1895="Band 3")</f>
        <v/>
      </c>
      <c r="J1895" s="33">
        <f>IF(AND(YEAR(B1895)=2025,G1895="Service B",OR(H1895="Band 3",H1895="Band 5"),ISNUMBER(F1895)),F1895,"")</f>
        <v/>
      </c>
    </row>
    <row r="1896">
      <c r="A1896" s="19" t="inlineStr">
        <is>
          <t>User1203</t>
        </is>
      </c>
      <c r="B1896" s="60" t="n">
        <v>45778</v>
      </c>
      <c r="C1896" s="21" t="n">
        <v>148</v>
      </c>
      <c r="D1896" s="21" t="n">
        <v>130.1066666666667</v>
      </c>
      <c r="E1896" s="21" t="n">
        <v>100.09</v>
      </c>
      <c r="F1896" s="27">
        <f>IFERROR(IF(OR(C1896="",D1896="",C1896=0),"",D1896/C1896),"")</f>
        <v/>
      </c>
      <c r="G1896" s="21">
        <f>IFERROR(INDEX(Users!$A$2:$A$310,MATCH(A1896,Users!$B$2:$B$310,0)),"")</f>
        <v/>
      </c>
      <c r="H1896" s="21">
        <f>IFERROR(INDEX(Users!$D$2:$D$310,MATCH(A1896,Users!$B$2:$B$310,0)),"")</f>
        <v/>
      </c>
      <c r="I1896" s="19">
        <f>AND(G1896="Service A",H1896="Band 3")</f>
        <v/>
      </c>
      <c r="J1896" s="33">
        <f>IF(AND(YEAR(B1896)=2025,G1896="Service B",OR(H1896="Band 3",H1896="Band 5"),ISNUMBER(F1896)),F1896,"")</f>
        <v/>
      </c>
    </row>
    <row r="1897">
      <c r="A1897" s="19" t="inlineStr">
        <is>
          <t>User1203</t>
        </is>
      </c>
      <c r="B1897" s="60" t="n">
        <v>45809</v>
      </c>
      <c r="C1897" s="21" t="n">
        <v>155.4</v>
      </c>
      <c r="D1897" s="21" t="n">
        <v>143.67</v>
      </c>
      <c r="E1897" s="21" t="n">
        <v>105.17</v>
      </c>
      <c r="F1897" s="27">
        <f>IFERROR(IF(OR(C1897="",D1897="",C1897=0),"",D1897/C1897),"")</f>
        <v/>
      </c>
      <c r="G1897" s="21">
        <f>IFERROR(INDEX(Users!$A$2:$A$310,MATCH(A1897,Users!$B$2:$B$310,0)),"")</f>
        <v/>
      </c>
      <c r="H1897" s="21">
        <f>IFERROR(INDEX(Users!$D$2:$D$310,MATCH(A1897,Users!$B$2:$B$310,0)),"")</f>
        <v/>
      </c>
      <c r="I1897" s="19">
        <f>AND(G1897="Service A",H1897="Band 3")</f>
        <v/>
      </c>
      <c r="J1897" s="33">
        <f>IF(AND(YEAR(B1897)=2025,G1897="Service B",OR(H1897="Band 3",H1897="Band 5"),ISNUMBER(F1897)),F1897,"")</f>
        <v/>
      </c>
    </row>
    <row r="1898">
      <c r="A1898" s="19" t="inlineStr">
        <is>
          <t>User1203</t>
        </is>
      </c>
      <c r="B1898" s="60" t="n">
        <v>45839</v>
      </c>
      <c r="C1898" s="21" t="n">
        <v>170.2</v>
      </c>
      <c r="D1898" s="21" t="n">
        <v>173.6766666666667</v>
      </c>
      <c r="E1898" s="21" t="n">
        <v>137.51</v>
      </c>
      <c r="F1898" s="27">
        <f>IFERROR(IF(OR(C1898="",D1898="",C1898=0),"",D1898/C1898),"")</f>
        <v/>
      </c>
      <c r="G1898" s="21">
        <f>IFERROR(INDEX(Users!$A$2:$A$310,MATCH(A1898,Users!$B$2:$B$310,0)),"")</f>
        <v/>
      </c>
      <c r="H1898" s="21">
        <f>IFERROR(INDEX(Users!$D$2:$D$310,MATCH(A1898,Users!$B$2:$B$310,0)),"")</f>
        <v/>
      </c>
      <c r="I1898" s="19">
        <f>AND(G1898="Service A",H1898="Band 3")</f>
        <v/>
      </c>
      <c r="J1898" s="33">
        <f>IF(AND(YEAR(B1898)=2025,G1898="Service B",OR(H1898="Band 3",H1898="Band 5"),ISNUMBER(F1898)),F1898,"")</f>
        <v/>
      </c>
    </row>
    <row r="1899">
      <c r="A1899" s="19" t="inlineStr">
        <is>
          <t>User1203</t>
        </is>
      </c>
      <c r="B1899" s="60" t="n">
        <v>45870</v>
      </c>
      <c r="C1899" s="21" t="n">
        <v>148</v>
      </c>
      <c r="D1899" s="21" t="n">
        <v>122.0033333333333</v>
      </c>
      <c r="E1899" s="21" t="n">
        <v>104.67</v>
      </c>
      <c r="F1899" s="27">
        <f>IFERROR(IF(OR(C1899="",D1899="",C1899=0),"",D1899/C1899),"")</f>
        <v/>
      </c>
      <c r="G1899" s="21">
        <f>IFERROR(INDEX(Users!$A$2:$A$310,MATCH(A1899,Users!$B$2:$B$310,0)),"")</f>
        <v/>
      </c>
      <c r="H1899" s="21">
        <f>IFERROR(INDEX(Users!$D$2:$D$310,MATCH(A1899,Users!$B$2:$B$310,0)),"")</f>
        <v/>
      </c>
      <c r="I1899" s="19">
        <f>AND(G1899="Service A",H1899="Band 3")</f>
        <v/>
      </c>
      <c r="J1899" s="33">
        <f>IF(AND(YEAR(B1899)=2025,G1899="Service B",OR(H1899="Band 3",H1899="Band 5"),ISNUMBER(F1899)),F1899,"")</f>
        <v/>
      </c>
    </row>
    <row r="1900">
      <c r="A1900" s="19" t="inlineStr">
        <is>
          <t>User1203</t>
        </is>
      </c>
      <c r="B1900" s="60" t="n">
        <v>45901</v>
      </c>
      <c r="C1900" s="21" t="n">
        <v>162.8</v>
      </c>
      <c r="D1900" s="21" t="n">
        <v>165.2466666666666</v>
      </c>
      <c r="E1900" s="21" t="n">
        <v>146.08</v>
      </c>
      <c r="F1900" s="27">
        <f>IFERROR(IF(OR(C1900="",D1900="",C1900=0),"",D1900/C1900),"")</f>
        <v/>
      </c>
      <c r="G1900" s="21">
        <f>IFERROR(INDEX(Users!$A$2:$A$310,MATCH(A1900,Users!$B$2:$B$310,0)),"")</f>
        <v/>
      </c>
      <c r="H1900" s="21">
        <f>IFERROR(INDEX(Users!$D$2:$D$310,MATCH(A1900,Users!$B$2:$B$310,0)),"")</f>
        <v/>
      </c>
      <c r="I1900" s="19">
        <f>AND(G1900="Service A",H1900="Band 3")</f>
        <v/>
      </c>
      <c r="J1900" s="33">
        <f>IF(AND(YEAR(B1900)=2025,G1900="Service B",OR(H1900="Band 3",H1900="Band 5"),ISNUMBER(F1900)),F1900,"")</f>
        <v/>
      </c>
    </row>
    <row r="1901">
      <c r="A1901" s="19" t="inlineStr">
        <is>
          <t>User1203</t>
        </is>
      </c>
      <c r="B1901" s="60" t="n">
        <v>45931</v>
      </c>
      <c r="C1901" s="21" t="n">
        <v>170.2</v>
      </c>
      <c r="D1901" s="21" t="n">
        <v>161.6633333333333</v>
      </c>
      <c r="E1901" s="21" t="n">
        <v>141.83</v>
      </c>
      <c r="F1901" s="27">
        <f>IFERROR(IF(OR(C1901="",D1901="",C1901=0),"",D1901/C1901),"")</f>
        <v/>
      </c>
      <c r="G1901" s="21">
        <f>IFERROR(INDEX(Users!$A$2:$A$310,MATCH(A1901,Users!$B$2:$B$310,0)),"")</f>
        <v/>
      </c>
      <c r="H1901" s="21">
        <f>IFERROR(INDEX(Users!$D$2:$D$310,MATCH(A1901,Users!$B$2:$B$310,0)),"")</f>
        <v/>
      </c>
      <c r="I1901" s="19">
        <f>AND(G1901="Service A",H1901="Band 3")</f>
        <v/>
      </c>
      <c r="J1901" s="33">
        <f>IF(AND(YEAR(B1901)=2025,G1901="Service B",OR(H1901="Band 3",H1901="Band 5"),ISNUMBER(F1901)),F1901,"")</f>
        <v/>
      </c>
    </row>
    <row r="1902">
      <c r="A1902" s="19" t="inlineStr">
        <is>
          <t>User1203</t>
        </is>
      </c>
      <c r="B1902" s="60" t="n">
        <v>45962</v>
      </c>
      <c r="C1902" s="21" t="n">
        <v>148</v>
      </c>
      <c r="D1902" s="21" t="n">
        <v>111.9966666666667</v>
      </c>
      <c r="E1902" s="21" t="n">
        <v>106.33</v>
      </c>
      <c r="F1902" s="27">
        <f>IFERROR(IF(OR(C1902="",D1902="",C1902=0),"",D1902/C1902),"")</f>
        <v/>
      </c>
      <c r="G1902" s="21">
        <f>IFERROR(INDEX(Users!$A$2:$A$310,MATCH(A1902,Users!$B$2:$B$310,0)),"")</f>
        <v/>
      </c>
      <c r="H1902" s="21">
        <f>IFERROR(INDEX(Users!$D$2:$D$310,MATCH(A1902,Users!$B$2:$B$310,0)),"")</f>
        <v/>
      </c>
      <c r="I1902" s="19">
        <f>AND(G1902="Service A",H1902="Band 3")</f>
        <v/>
      </c>
      <c r="J1902" s="33">
        <f>IF(AND(YEAR(B1902)=2025,G1902="Service B",OR(H1902="Band 3",H1902="Band 5"),ISNUMBER(F1902)),F1902,"")</f>
        <v/>
      </c>
    </row>
    <row r="1903">
      <c r="A1903" s="19" t="inlineStr">
        <is>
          <t>User1203</t>
        </is>
      </c>
      <c r="B1903" s="60" t="n">
        <v>45992</v>
      </c>
      <c r="C1903" s="21" t="n">
        <v>155.4</v>
      </c>
      <c r="D1903" s="21" t="n">
        <v>68.5</v>
      </c>
      <c r="E1903" s="21" t="n">
        <v>58.5</v>
      </c>
      <c r="F1903" s="27">
        <f>IFERROR(IF(OR(C1903="",D1903="",C1903=0),"",D1903/C1903),"")</f>
        <v/>
      </c>
      <c r="G1903" s="21">
        <f>IFERROR(INDEX(Users!$A$2:$A$310,MATCH(A1903,Users!$B$2:$B$310,0)),"")</f>
        <v/>
      </c>
      <c r="H1903" s="21">
        <f>IFERROR(INDEX(Users!$D$2:$D$310,MATCH(A1903,Users!$B$2:$B$310,0)),"")</f>
        <v/>
      </c>
      <c r="I1903" s="19">
        <f>AND(G1903="Service A",H1903="Band 3")</f>
        <v/>
      </c>
      <c r="J1903" s="33">
        <f>IF(AND(YEAR(B1903)=2025,G1903="Service B",OR(H1903="Band 3",H1903="Band 5"),ISNUMBER(F1903)),F1903,"")</f>
        <v/>
      </c>
    </row>
    <row r="1904">
      <c r="A1904" s="19" t="inlineStr">
        <is>
          <t>User1203</t>
        </is>
      </c>
      <c r="B1904" s="60" t="n">
        <v>46023</v>
      </c>
      <c r="C1904" s="21" t="n">
        <v>155.4</v>
      </c>
      <c r="D1904" s="21" t="n">
        <v>130</v>
      </c>
      <c r="E1904" s="21" t="n">
        <v>114</v>
      </c>
      <c r="F1904" s="27">
        <f>IFERROR(IF(OR(C1904="",D1904="",C1904=0),"",D1904/C1904),"")</f>
        <v/>
      </c>
      <c r="G1904" s="21">
        <f>IFERROR(INDEX(Users!$A$2:$A$310,MATCH(A1904,Users!$B$2:$B$310,0)),"")</f>
        <v/>
      </c>
      <c r="H1904" s="21">
        <f>IFERROR(INDEX(Users!$D$2:$D$310,MATCH(A1904,Users!$B$2:$B$310,0)),"")</f>
        <v/>
      </c>
      <c r="I1904" s="19">
        <f>AND(G1904="Service A",H1904="Band 3")</f>
        <v/>
      </c>
      <c r="J1904" s="33">
        <f>IF(AND(YEAR(B1904)=2025,G1904="Service B",OR(H1904="Band 3",H1904="Band 5"),ISNUMBER(F1904)),F1904,"")</f>
        <v/>
      </c>
    </row>
    <row r="1905">
      <c r="A1905" s="19" t="inlineStr">
        <is>
          <t>User1204</t>
        </is>
      </c>
      <c r="B1905" s="60" t="n">
        <v>45658</v>
      </c>
      <c r="C1905" s="21" t="n">
        <v>162.8</v>
      </c>
      <c r="D1905" s="21" t="n">
        <v>122.1633333333334</v>
      </c>
      <c r="E1905" s="21" t="n">
        <v>33.08</v>
      </c>
      <c r="F1905" s="27">
        <f>IFERROR(IF(OR(C1905="",D1905="",C1905=0),"",D1905/C1905),"")</f>
        <v/>
      </c>
      <c r="G1905" s="21">
        <f>IFERROR(INDEX(Users!$A$2:$A$310,MATCH(A1905,Users!$B$2:$B$310,0)),"")</f>
        <v/>
      </c>
      <c r="H1905" s="21">
        <f>IFERROR(INDEX(Users!$D$2:$D$310,MATCH(A1905,Users!$B$2:$B$310,0)),"")</f>
        <v/>
      </c>
      <c r="I1905" s="19">
        <f>AND(G1905="Service A",H1905="Band 3")</f>
        <v/>
      </c>
      <c r="J1905" s="33">
        <f>IF(AND(YEAR(B1905)=2025,G1905="Service B",OR(H1905="Band 3",H1905="Band 5"),ISNUMBER(F1905)),F1905,"")</f>
        <v/>
      </c>
    </row>
    <row r="1906">
      <c r="A1906" s="19" t="inlineStr">
        <is>
          <t>User1204</t>
        </is>
      </c>
      <c r="B1906" s="60" t="n">
        <v>45689</v>
      </c>
      <c r="C1906" s="21" t="n">
        <v>148</v>
      </c>
      <c r="D1906" s="21" t="n">
        <v>147.9366666666667</v>
      </c>
      <c r="E1906" s="21" t="n">
        <v>51.77</v>
      </c>
      <c r="F1906" s="27">
        <f>IFERROR(IF(OR(C1906="",D1906="",C1906=0),"",D1906/C1906),"")</f>
        <v/>
      </c>
      <c r="G1906" s="21">
        <f>IFERROR(INDEX(Users!$A$2:$A$310,MATCH(A1906,Users!$B$2:$B$310,0)),"")</f>
        <v/>
      </c>
      <c r="H1906" s="21">
        <f>IFERROR(INDEX(Users!$D$2:$D$310,MATCH(A1906,Users!$B$2:$B$310,0)),"")</f>
        <v/>
      </c>
      <c r="I1906" s="19">
        <f>AND(G1906="Service A",H1906="Band 3")</f>
        <v/>
      </c>
      <c r="J1906" s="33">
        <f>IF(AND(YEAR(B1906)=2025,G1906="Service B",OR(H1906="Band 3",H1906="Band 5"),ISNUMBER(F1906)),F1906,"")</f>
        <v/>
      </c>
    </row>
    <row r="1907">
      <c r="A1907" s="19" t="inlineStr">
        <is>
          <t>User1204</t>
        </is>
      </c>
      <c r="B1907" s="60" t="n">
        <v>45717</v>
      </c>
      <c r="C1907" s="21" t="n">
        <v>155.4</v>
      </c>
      <c r="D1907" s="21" t="n">
        <v>147.73</v>
      </c>
      <c r="E1907" s="21" t="n">
        <v>78.92999999999999</v>
      </c>
      <c r="F1907" s="27">
        <f>IFERROR(IF(OR(C1907="",D1907="",C1907=0),"",D1907/C1907),"")</f>
        <v/>
      </c>
      <c r="G1907" s="21">
        <f>IFERROR(INDEX(Users!$A$2:$A$310,MATCH(A1907,Users!$B$2:$B$310,0)),"")</f>
        <v/>
      </c>
      <c r="H1907" s="21">
        <f>IFERROR(INDEX(Users!$D$2:$D$310,MATCH(A1907,Users!$B$2:$B$310,0)),"")</f>
        <v/>
      </c>
      <c r="I1907" s="19">
        <f>AND(G1907="Service A",H1907="Band 3")</f>
        <v/>
      </c>
      <c r="J1907" s="33">
        <f>IF(AND(YEAR(B1907)=2025,G1907="Service B",OR(H1907="Band 3",H1907="Band 5"),ISNUMBER(F1907)),F1907,"")</f>
        <v/>
      </c>
    </row>
    <row r="1908">
      <c r="A1908" s="19" t="inlineStr">
        <is>
          <t>User1204</t>
        </is>
      </c>
      <c r="B1908" s="60" t="n">
        <v>45748</v>
      </c>
      <c r="C1908" s="21" t="n">
        <v>148</v>
      </c>
      <c r="D1908" s="21" t="n">
        <v>119.1233333333333</v>
      </c>
      <c r="E1908" s="21" t="n">
        <v>48.94</v>
      </c>
      <c r="F1908" s="27">
        <f>IFERROR(IF(OR(C1908="",D1908="",C1908=0),"",D1908/C1908),"")</f>
        <v/>
      </c>
      <c r="G1908" s="21">
        <f>IFERROR(INDEX(Users!$A$2:$A$310,MATCH(A1908,Users!$B$2:$B$310,0)),"")</f>
        <v/>
      </c>
      <c r="H1908" s="21">
        <f>IFERROR(INDEX(Users!$D$2:$D$310,MATCH(A1908,Users!$B$2:$B$310,0)),"")</f>
        <v/>
      </c>
      <c r="I1908" s="19">
        <f>AND(G1908="Service A",H1908="Band 3")</f>
        <v/>
      </c>
      <c r="J1908" s="33">
        <f>IF(AND(YEAR(B1908)=2025,G1908="Service B",OR(H1908="Band 3",H1908="Band 5"),ISNUMBER(F1908)),F1908,"")</f>
        <v/>
      </c>
    </row>
    <row r="1909">
      <c r="A1909" s="19" t="inlineStr">
        <is>
          <t>User1204</t>
        </is>
      </c>
      <c r="B1909" s="60" t="n">
        <v>45778</v>
      </c>
      <c r="C1909" s="21" t="n">
        <v>148</v>
      </c>
      <c r="D1909" s="21" t="n">
        <v>147.5033333333333</v>
      </c>
      <c r="E1909" s="21" t="n">
        <v>101.32</v>
      </c>
      <c r="F1909" s="27">
        <f>IFERROR(IF(OR(C1909="",D1909="",C1909=0),"",D1909/C1909),"")</f>
        <v/>
      </c>
      <c r="G1909" s="21">
        <f>IFERROR(INDEX(Users!$A$2:$A$310,MATCH(A1909,Users!$B$2:$B$310,0)),"")</f>
        <v/>
      </c>
      <c r="H1909" s="21">
        <f>IFERROR(INDEX(Users!$D$2:$D$310,MATCH(A1909,Users!$B$2:$B$310,0)),"")</f>
        <v/>
      </c>
      <c r="I1909" s="19">
        <f>AND(G1909="Service A",H1909="Band 3")</f>
        <v/>
      </c>
      <c r="J1909" s="33">
        <f>IF(AND(YEAR(B1909)=2025,G1909="Service B",OR(H1909="Band 3",H1909="Band 5"),ISNUMBER(F1909)),F1909,"")</f>
        <v/>
      </c>
    </row>
    <row r="1910">
      <c r="A1910" s="19" t="inlineStr">
        <is>
          <t>User1204</t>
        </is>
      </c>
      <c r="B1910" s="60" t="n">
        <v>45809</v>
      </c>
      <c r="C1910" s="21" t="n">
        <v>155.4</v>
      </c>
      <c r="D1910" s="21" t="n">
        <v>137.1533333333333</v>
      </c>
      <c r="E1910" s="21" t="n">
        <v>88.27000000000001</v>
      </c>
      <c r="F1910" s="27">
        <f>IFERROR(IF(OR(C1910="",D1910="",C1910=0),"",D1910/C1910),"")</f>
        <v/>
      </c>
      <c r="G1910" s="21">
        <f>IFERROR(INDEX(Users!$A$2:$A$310,MATCH(A1910,Users!$B$2:$B$310,0)),"")</f>
        <v/>
      </c>
      <c r="H1910" s="21">
        <f>IFERROR(INDEX(Users!$D$2:$D$310,MATCH(A1910,Users!$B$2:$B$310,0)),"")</f>
        <v/>
      </c>
      <c r="I1910" s="19">
        <f>AND(G1910="Service A",H1910="Band 3")</f>
        <v/>
      </c>
      <c r="J1910" s="33">
        <f>IF(AND(YEAR(B1910)=2025,G1910="Service B",OR(H1910="Band 3",H1910="Band 5"),ISNUMBER(F1910)),F1910,"")</f>
        <v/>
      </c>
    </row>
    <row r="1911">
      <c r="A1911" s="19" t="inlineStr">
        <is>
          <t>User1204</t>
        </is>
      </c>
      <c r="B1911" s="60" t="n">
        <v>45839</v>
      </c>
      <c r="C1911" s="21" t="n">
        <v>170.2</v>
      </c>
      <c r="D1911" s="21" t="n">
        <v>129.5433333333334</v>
      </c>
      <c r="E1911" s="21" t="n">
        <v>66.36000000000001</v>
      </c>
      <c r="F1911" s="27">
        <f>IFERROR(IF(OR(C1911="",D1911="",C1911=0),"",D1911/C1911),"")</f>
        <v/>
      </c>
      <c r="G1911" s="21">
        <f>IFERROR(INDEX(Users!$A$2:$A$310,MATCH(A1911,Users!$B$2:$B$310,0)),"")</f>
        <v/>
      </c>
      <c r="H1911" s="21">
        <f>IFERROR(INDEX(Users!$D$2:$D$310,MATCH(A1911,Users!$B$2:$B$310,0)),"")</f>
        <v/>
      </c>
      <c r="I1911" s="19">
        <f>AND(G1911="Service A",H1911="Band 3")</f>
        <v/>
      </c>
      <c r="J1911" s="33">
        <f>IF(AND(YEAR(B1911)=2025,G1911="Service B",OR(H1911="Band 3",H1911="Band 5"),ISNUMBER(F1911)),F1911,"")</f>
        <v/>
      </c>
    </row>
    <row r="1912">
      <c r="A1912" s="19" t="inlineStr">
        <is>
          <t>User1204</t>
        </is>
      </c>
      <c r="B1912" s="60" t="n">
        <v>45870</v>
      </c>
      <c r="C1912" s="21" t="n">
        <v>148</v>
      </c>
      <c r="D1912" s="21" t="n">
        <v>137.3833333333333</v>
      </c>
      <c r="E1912" s="21" t="n">
        <v>70.34999999999999</v>
      </c>
      <c r="F1912" s="27">
        <f>IFERROR(IF(OR(C1912="",D1912="",C1912=0),"",D1912/C1912),"")</f>
        <v/>
      </c>
      <c r="G1912" s="21">
        <f>IFERROR(INDEX(Users!$A$2:$A$310,MATCH(A1912,Users!$B$2:$B$310,0)),"")</f>
        <v/>
      </c>
      <c r="H1912" s="21">
        <f>IFERROR(INDEX(Users!$D$2:$D$310,MATCH(A1912,Users!$B$2:$B$310,0)),"")</f>
        <v/>
      </c>
      <c r="I1912" s="19">
        <f>AND(G1912="Service A",H1912="Band 3")</f>
        <v/>
      </c>
      <c r="J1912" s="33">
        <f>IF(AND(YEAR(B1912)=2025,G1912="Service B",OR(H1912="Band 3",H1912="Band 5"),ISNUMBER(F1912)),F1912,"")</f>
        <v/>
      </c>
    </row>
    <row r="1913">
      <c r="A1913" s="19" t="inlineStr">
        <is>
          <t>User1204</t>
        </is>
      </c>
      <c r="B1913" s="60" t="n">
        <v>45901</v>
      </c>
      <c r="C1913" s="21" t="n">
        <v>162.8</v>
      </c>
      <c r="D1913" s="21" t="n">
        <v>144.8066666666667</v>
      </c>
      <c r="E1913" s="21" t="n">
        <v>99.59</v>
      </c>
      <c r="F1913" s="27">
        <f>IFERROR(IF(OR(C1913="",D1913="",C1913=0),"",D1913/C1913),"")</f>
        <v/>
      </c>
      <c r="G1913" s="21">
        <f>IFERROR(INDEX(Users!$A$2:$A$310,MATCH(A1913,Users!$B$2:$B$310,0)),"")</f>
        <v/>
      </c>
      <c r="H1913" s="21">
        <f>IFERROR(INDEX(Users!$D$2:$D$310,MATCH(A1913,Users!$B$2:$B$310,0)),"")</f>
        <v/>
      </c>
      <c r="I1913" s="19">
        <f>AND(G1913="Service A",H1913="Band 3")</f>
        <v/>
      </c>
      <c r="J1913" s="33">
        <f>IF(AND(YEAR(B1913)=2025,G1913="Service B",OR(H1913="Band 3",H1913="Band 5"),ISNUMBER(F1913)),F1913,"")</f>
        <v/>
      </c>
    </row>
    <row r="1914">
      <c r="A1914" s="19" t="inlineStr">
        <is>
          <t>User1204</t>
        </is>
      </c>
      <c r="B1914" s="60" t="n">
        <v>45931</v>
      </c>
      <c r="C1914" s="21" t="n">
        <v>170.2</v>
      </c>
      <c r="D1914" s="21" t="n">
        <v>137.5766666666667</v>
      </c>
      <c r="E1914" s="21" t="n">
        <v>81.10999999999999</v>
      </c>
      <c r="F1914" s="27">
        <f>IFERROR(IF(OR(C1914="",D1914="",C1914=0),"",D1914/C1914),"")</f>
        <v/>
      </c>
      <c r="G1914" s="21">
        <f>IFERROR(INDEX(Users!$A$2:$A$310,MATCH(A1914,Users!$B$2:$B$310,0)),"")</f>
        <v/>
      </c>
      <c r="H1914" s="21">
        <f>IFERROR(INDEX(Users!$D$2:$D$310,MATCH(A1914,Users!$B$2:$B$310,0)),"")</f>
        <v/>
      </c>
      <c r="I1914" s="19">
        <f>AND(G1914="Service A",H1914="Band 3")</f>
        <v/>
      </c>
      <c r="J1914" s="33">
        <f>IF(AND(YEAR(B1914)=2025,G1914="Service B",OR(H1914="Band 3",H1914="Band 5"),ISNUMBER(F1914)),F1914,"")</f>
        <v/>
      </c>
    </row>
    <row r="1915">
      <c r="A1915" s="19" t="inlineStr">
        <is>
          <t>User1204</t>
        </is>
      </c>
      <c r="B1915" s="60" t="n">
        <v>45962</v>
      </c>
      <c r="C1915" s="21" t="n">
        <v>148</v>
      </c>
      <c r="D1915" s="21" t="n">
        <v>147.55</v>
      </c>
      <c r="E1915" s="21" t="n">
        <v>81.45</v>
      </c>
      <c r="F1915" s="27">
        <f>IFERROR(IF(OR(C1915="",D1915="",C1915=0),"",D1915/C1915),"")</f>
        <v/>
      </c>
      <c r="G1915" s="21">
        <f>IFERROR(INDEX(Users!$A$2:$A$310,MATCH(A1915,Users!$B$2:$B$310,0)),"")</f>
        <v/>
      </c>
      <c r="H1915" s="21">
        <f>IFERROR(INDEX(Users!$D$2:$D$310,MATCH(A1915,Users!$B$2:$B$310,0)),"")</f>
        <v/>
      </c>
      <c r="I1915" s="19">
        <f>AND(G1915="Service A",H1915="Band 3")</f>
        <v/>
      </c>
      <c r="J1915" s="33">
        <f>IF(AND(YEAR(B1915)=2025,G1915="Service B",OR(H1915="Band 3",H1915="Band 5"),ISNUMBER(F1915)),F1915,"")</f>
        <v/>
      </c>
    </row>
    <row r="1916">
      <c r="A1916" s="19" t="inlineStr">
        <is>
          <t>User1204</t>
        </is>
      </c>
      <c r="B1916" s="60" t="n">
        <v>45992</v>
      </c>
      <c r="C1916" s="21" t="n">
        <v>155.4</v>
      </c>
      <c r="D1916" s="21" t="n">
        <v>141.2133333333333</v>
      </c>
      <c r="E1916" s="21" t="n">
        <v>80.48</v>
      </c>
      <c r="F1916" s="27">
        <f>IFERROR(IF(OR(C1916="",D1916="",C1916=0),"",D1916/C1916),"")</f>
        <v/>
      </c>
      <c r="G1916" s="21">
        <f>IFERROR(INDEX(Users!$A$2:$A$310,MATCH(A1916,Users!$B$2:$B$310,0)),"")</f>
        <v/>
      </c>
      <c r="H1916" s="21">
        <f>IFERROR(INDEX(Users!$D$2:$D$310,MATCH(A1916,Users!$B$2:$B$310,0)),"")</f>
        <v/>
      </c>
      <c r="I1916" s="19">
        <f>AND(G1916="Service A",H1916="Band 3")</f>
        <v/>
      </c>
      <c r="J1916" s="33">
        <f>IF(AND(YEAR(B1916)=2025,G1916="Service B",OR(H1916="Band 3",H1916="Band 5"),ISNUMBER(F1916)),F1916,"")</f>
        <v/>
      </c>
    </row>
    <row r="1917">
      <c r="A1917" s="19" t="inlineStr">
        <is>
          <t>User1204</t>
        </is>
      </c>
      <c r="B1917" s="60" t="n">
        <v>46023</v>
      </c>
      <c r="C1917" s="21" t="n">
        <v>155.4</v>
      </c>
      <c r="D1917" s="21" t="n">
        <v>148.66</v>
      </c>
      <c r="E1917" s="21" t="n">
        <v>72.76000000000001</v>
      </c>
      <c r="F1917" s="27">
        <f>IFERROR(IF(OR(C1917="",D1917="",C1917=0),"",D1917/C1917),"")</f>
        <v/>
      </c>
      <c r="G1917" s="21">
        <f>IFERROR(INDEX(Users!$A$2:$A$310,MATCH(A1917,Users!$B$2:$B$310,0)),"")</f>
        <v/>
      </c>
      <c r="H1917" s="21">
        <f>IFERROR(INDEX(Users!$D$2:$D$310,MATCH(A1917,Users!$B$2:$B$310,0)),"")</f>
        <v/>
      </c>
      <c r="I1917" s="19">
        <f>AND(G1917="Service A",H1917="Band 3")</f>
        <v/>
      </c>
      <c r="J1917" s="33">
        <f>IF(AND(YEAR(B1917)=2025,G1917="Service B",OR(H1917="Band 3",H1917="Band 5"),ISNUMBER(F1917)),F1917,"")</f>
        <v/>
      </c>
    </row>
    <row r="1918">
      <c r="A1918" s="19" t="inlineStr">
        <is>
          <t>User1205</t>
        </is>
      </c>
      <c r="B1918" s="60" t="n">
        <v>45689</v>
      </c>
      <c r="C1918" s="21" t="n">
        <v>37</v>
      </c>
      <c r="D1918" s="21" t="n">
        <v>1.004444444444444</v>
      </c>
      <c r="E1918" s="21" t="n">
        <v>1</v>
      </c>
      <c r="F1918" s="27">
        <f>IFERROR(IF(OR(C1918="",D1918="",C1918=0),"",D1918/C1918),"")</f>
        <v/>
      </c>
      <c r="G1918" s="21">
        <f>IFERROR(INDEX(Users!$A$2:$A$310,MATCH(A1918,Users!$B$2:$B$310,0)),"")</f>
        <v/>
      </c>
      <c r="H1918" s="21">
        <f>IFERROR(INDEX(Users!$D$2:$D$310,MATCH(A1918,Users!$B$2:$B$310,0)),"")</f>
        <v/>
      </c>
      <c r="I1918" s="19">
        <f>AND(G1918="Service A",H1918="Band 3")</f>
        <v/>
      </c>
      <c r="J1918" s="33">
        <f>IF(AND(YEAR(B1918)=2025,G1918="Service B",OR(H1918="Band 3",H1918="Band 5"),ISNUMBER(F1918)),F1918,"")</f>
        <v/>
      </c>
    </row>
    <row r="1919">
      <c r="A1919" s="19" t="inlineStr">
        <is>
          <t>User1205</t>
        </is>
      </c>
      <c r="B1919" s="60" t="n">
        <v>45717</v>
      </c>
      <c r="C1919" s="21" t="n">
        <v>155.4</v>
      </c>
      <c r="D1919" s="21" t="n">
        <v>0.25</v>
      </c>
      <c r="E1919" s="21" t="n">
        <v>0.25</v>
      </c>
      <c r="F1919" s="27">
        <f>IFERROR(IF(OR(C1919="",D1919="",C1919=0),"",D1919/C1919),"")</f>
        <v/>
      </c>
      <c r="G1919" s="21">
        <f>IFERROR(INDEX(Users!$A$2:$A$310,MATCH(A1919,Users!$B$2:$B$310,0)),"")</f>
        <v/>
      </c>
      <c r="H1919" s="21">
        <f>IFERROR(INDEX(Users!$D$2:$D$310,MATCH(A1919,Users!$B$2:$B$310,0)),"")</f>
        <v/>
      </c>
      <c r="I1919" s="19">
        <f>AND(G1919="Service A",H1919="Band 3")</f>
        <v/>
      </c>
      <c r="J1919" s="33">
        <f>IF(AND(YEAR(B1919)=2025,G1919="Service B",OR(H1919="Band 3",H1919="Band 5"),ISNUMBER(F1919)),F1919,"")</f>
        <v/>
      </c>
    </row>
    <row r="1920">
      <c r="A1920" s="19" t="inlineStr">
        <is>
          <t>User1205</t>
        </is>
      </c>
      <c r="B1920" s="60" t="n">
        <v>45748</v>
      </c>
      <c r="C1920" s="21" t="n">
        <v>148</v>
      </c>
      <c r="D1920" s="21" t="n">
        <v>19.26</v>
      </c>
      <c r="E1920" s="21" t="n">
        <v>19.26</v>
      </c>
      <c r="F1920" s="27">
        <f>IFERROR(IF(OR(C1920="",D1920="",C1920=0),"",D1920/C1920),"")</f>
        <v/>
      </c>
      <c r="G1920" s="21">
        <f>IFERROR(INDEX(Users!$A$2:$A$310,MATCH(A1920,Users!$B$2:$B$310,0)),"")</f>
        <v/>
      </c>
      <c r="H1920" s="21">
        <f>IFERROR(INDEX(Users!$D$2:$D$310,MATCH(A1920,Users!$B$2:$B$310,0)),"")</f>
        <v/>
      </c>
      <c r="I1920" s="19">
        <f>AND(G1920="Service A",H1920="Band 3")</f>
        <v/>
      </c>
      <c r="J1920" s="33">
        <f>IF(AND(YEAR(B1920)=2025,G1920="Service B",OR(H1920="Band 3",H1920="Band 5"),ISNUMBER(F1920)),F1920,"")</f>
        <v/>
      </c>
    </row>
    <row r="1921">
      <c r="A1921" s="19" t="inlineStr">
        <is>
          <t>User1205</t>
        </is>
      </c>
      <c r="B1921" s="60" t="n">
        <v>45778</v>
      </c>
      <c r="C1921" s="21" t="n">
        <v>148</v>
      </c>
      <c r="D1921" s="21" t="n">
        <v>40.52</v>
      </c>
      <c r="E1921" s="21" t="n">
        <v>40.52</v>
      </c>
      <c r="F1921" s="27">
        <f>IFERROR(IF(OR(C1921="",D1921="",C1921=0),"",D1921/C1921),"")</f>
        <v/>
      </c>
      <c r="G1921" s="21">
        <f>IFERROR(INDEX(Users!$A$2:$A$310,MATCH(A1921,Users!$B$2:$B$310,0)),"")</f>
        <v/>
      </c>
      <c r="H1921" s="21">
        <f>IFERROR(INDEX(Users!$D$2:$D$310,MATCH(A1921,Users!$B$2:$B$310,0)),"")</f>
        <v/>
      </c>
      <c r="I1921" s="19">
        <f>AND(G1921="Service A",H1921="Band 3")</f>
        <v/>
      </c>
      <c r="J1921" s="33">
        <f>IF(AND(YEAR(B1921)=2025,G1921="Service B",OR(H1921="Band 3",H1921="Band 5"),ISNUMBER(F1921)),F1921,"")</f>
        <v/>
      </c>
    </row>
    <row r="1922">
      <c r="A1922" s="19" t="inlineStr">
        <is>
          <t>User1205</t>
        </is>
      </c>
      <c r="B1922" s="60" t="n">
        <v>45809</v>
      </c>
      <c r="C1922" s="21" t="n">
        <v>155.4</v>
      </c>
      <c r="D1922" s="21" t="n">
        <v>21.28</v>
      </c>
      <c r="E1922" s="21" t="n">
        <v>21.28</v>
      </c>
      <c r="F1922" s="27">
        <f>IFERROR(IF(OR(C1922="",D1922="",C1922=0),"",D1922/C1922),"")</f>
        <v/>
      </c>
      <c r="G1922" s="21">
        <f>IFERROR(INDEX(Users!$A$2:$A$310,MATCH(A1922,Users!$B$2:$B$310,0)),"")</f>
        <v/>
      </c>
      <c r="H1922" s="21">
        <f>IFERROR(INDEX(Users!$D$2:$D$310,MATCH(A1922,Users!$B$2:$B$310,0)),"")</f>
        <v/>
      </c>
      <c r="I1922" s="19">
        <f>AND(G1922="Service A",H1922="Band 3")</f>
        <v/>
      </c>
      <c r="J1922" s="33">
        <f>IF(AND(YEAR(B1922)=2025,G1922="Service B",OR(H1922="Band 3",H1922="Band 5"),ISNUMBER(F1922)),F1922,"")</f>
        <v/>
      </c>
    </row>
    <row r="1923">
      <c r="A1923" s="19" t="inlineStr">
        <is>
          <t>User1205</t>
        </is>
      </c>
      <c r="B1923" s="60" t="n">
        <v>45839</v>
      </c>
      <c r="C1923" s="21" t="n">
        <v>170.2</v>
      </c>
      <c r="D1923" s="21" t="n">
        <v>138.7797222222222</v>
      </c>
      <c r="E1923" s="21" t="n">
        <v>65.97000000000003</v>
      </c>
      <c r="F1923" s="27">
        <f>IFERROR(IF(OR(C1923="",D1923="",C1923=0),"",D1923/C1923),"")</f>
        <v/>
      </c>
      <c r="G1923" s="21">
        <f>IFERROR(INDEX(Users!$A$2:$A$310,MATCH(A1923,Users!$B$2:$B$310,0)),"")</f>
        <v/>
      </c>
      <c r="H1923" s="21">
        <f>IFERROR(INDEX(Users!$D$2:$D$310,MATCH(A1923,Users!$B$2:$B$310,0)),"")</f>
        <v/>
      </c>
      <c r="I1923" s="19">
        <f>AND(G1923="Service A",H1923="Band 3")</f>
        <v/>
      </c>
      <c r="J1923" s="33">
        <f>IF(AND(YEAR(B1923)=2025,G1923="Service B",OR(H1923="Band 3",H1923="Band 5"),ISNUMBER(F1923)),F1923,"")</f>
        <v/>
      </c>
    </row>
    <row r="1924">
      <c r="A1924" s="19" t="inlineStr">
        <is>
          <t>User1205</t>
        </is>
      </c>
      <c r="B1924" s="60" t="n">
        <v>45870</v>
      </c>
      <c r="C1924" s="21" t="n">
        <v>148</v>
      </c>
      <c r="D1924" s="21" t="n">
        <v>126.851111111111</v>
      </c>
      <c r="E1924" s="21" t="n">
        <v>72.19999999999993</v>
      </c>
      <c r="F1924" s="27">
        <f>IFERROR(IF(OR(C1924="",D1924="",C1924=0),"",D1924/C1924),"")</f>
        <v/>
      </c>
      <c r="G1924" s="21">
        <f>IFERROR(INDEX(Users!$A$2:$A$310,MATCH(A1924,Users!$B$2:$B$310,0)),"")</f>
        <v/>
      </c>
      <c r="H1924" s="21">
        <f>IFERROR(INDEX(Users!$D$2:$D$310,MATCH(A1924,Users!$B$2:$B$310,0)),"")</f>
        <v/>
      </c>
      <c r="I1924" s="19">
        <f>AND(G1924="Service A",H1924="Band 3")</f>
        <v/>
      </c>
      <c r="J1924" s="33">
        <f>IF(AND(YEAR(B1924)=2025,G1924="Service B",OR(H1924="Band 3",H1924="Band 5"),ISNUMBER(F1924)),F1924,"")</f>
        <v/>
      </c>
    </row>
    <row r="1925">
      <c r="A1925" s="19" t="inlineStr">
        <is>
          <t>User1205</t>
        </is>
      </c>
      <c r="B1925" s="60" t="n">
        <v>45901</v>
      </c>
      <c r="C1925" s="21" t="n">
        <v>162.8</v>
      </c>
      <c r="D1925" s="21" t="n">
        <v>153.6733333333333</v>
      </c>
      <c r="E1925" s="21" t="n">
        <v>76.09</v>
      </c>
      <c r="F1925" s="27">
        <f>IFERROR(IF(OR(C1925="",D1925="",C1925=0),"",D1925/C1925),"")</f>
        <v/>
      </c>
      <c r="G1925" s="21">
        <f>IFERROR(INDEX(Users!$A$2:$A$310,MATCH(A1925,Users!$B$2:$B$310,0)),"")</f>
        <v/>
      </c>
      <c r="H1925" s="21">
        <f>IFERROR(INDEX(Users!$D$2:$D$310,MATCH(A1925,Users!$B$2:$B$310,0)),"")</f>
        <v/>
      </c>
      <c r="I1925" s="19">
        <f>AND(G1925="Service A",H1925="Band 3")</f>
        <v/>
      </c>
      <c r="J1925" s="33">
        <f>IF(AND(YEAR(B1925)=2025,G1925="Service B",OR(H1925="Band 3",H1925="Band 5"),ISNUMBER(F1925)),F1925,"")</f>
        <v/>
      </c>
    </row>
    <row r="1926">
      <c r="A1926" s="19" t="inlineStr">
        <is>
          <t>User1205</t>
        </is>
      </c>
      <c r="B1926" s="60" t="n">
        <v>45931</v>
      </c>
      <c r="C1926" s="21" t="n">
        <v>170.2</v>
      </c>
      <c r="D1926" s="21" t="n">
        <v>169.4133333333333</v>
      </c>
      <c r="E1926" s="21" t="n">
        <v>97.47999999999993</v>
      </c>
      <c r="F1926" s="27">
        <f>IFERROR(IF(OR(C1926="",D1926="",C1926=0),"",D1926/C1926),"")</f>
        <v/>
      </c>
      <c r="G1926" s="21">
        <f>IFERROR(INDEX(Users!$A$2:$A$310,MATCH(A1926,Users!$B$2:$B$310,0)),"")</f>
        <v/>
      </c>
      <c r="H1926" s="21">
        <f>IFERROR(INDEX(Users!$D$2:$D$310,MATCH(A1926,Users!$B$2:$B$310,0)),"")</f>
        <v/>
      </c>
      <c r="I1926" s="19">
        <f>AND(G1926="Service A",H1926="Band 3")</f>
        <v/>
      </c>
      <c r="J1926" s="33">
        <f>IF(AND(YEAR(B1926)=2025,G1926="Service B",OR(H1926="Band 3",H1926="Band 5"),ISNUMBER(F1926)),F1926,"")</f>
        <v/>
      </c>
    </row>
    <row r="1927">
      <c r="A1927" s="19" t="inlineStr">
        <is>
          <t>User1205</t>
        </is>
      </c>
      <c r="B1927" s="60" t="n">
        <v>45962</v>
      </c>
      <c r="C1927" s="21" t="n">
        <v>148</v>
      </c>
      <c r="D1927" s="21" t="n">
        <v>146.57</v>
      </c>
      <c r="E1927" s="21" t="n">
        <v>86.46999999999996</v>
      </c>
      <c r="F1927" s="27">
        <f>IFERROR(IF(OR(C1927="",D1927="",C1927=0),"",D1927/C1927),"")</f>
        <v/>
      </c>
      <c r="G1927" s="21">
        <f>IFERROR(INDEX(Users!$A$2:$A$310,MATCH(A1927,Users!$B$2:$B$310,0)),"")</f>
        <v/>
      </c>
      <c r="H1927" s="21">
        <f>IFERROR(INDEX(Users!$D$2:$D$310,MATCH(A1927,Users!$B$2:$B$310,0)),"")</f>
        <v/>
      </c>
      <c r="I1927" s="19">
        <f>AND(G1927="Service A",H1927="Band 3")</f>
        <v/>
      </c>
      <c r="J1927" s="33">
        <f>IF(AND(YEAR(B1927)=2025,G1927="Service B",OR(H1927="Band 3",H1927="Band 5"),ISNUMBER(F1927)),F1927,"")</f>
        <v/>
      </c>
    </row>
    <row r="1928">
      <c r="A1928" s="19" t="inlineStr">
        <is>
          <t>User1205</t>
        </is>
      </c>
      <c r="B1928" s="60" t="n">
        <v>45992</v>
      </c>
      <c r="C1928" s="21" t="n">
        <v>155.4</v>
      </c>
      <c r="D1928" s="21" t="n">
        <v>100.8333333333333</v>
      </c>
      <c r="E1928" s="21" t="n">
        <v>62.8</v>
      </c>
      <c r="F1928" s="27">
        <f>IFERROR(IF(OR(C1928="",D1928="",C1928=0),"",D1928/C1928),"")</f>
        <v/>
      </c>
      <c r="G1928" s="21">
        <f>IFERROR(INDEX(Users!$A$2:$A$310,MATCH(A1928,Users!$B$2:$B$310,0)),"")</f>
        <v/>
      </c>
      <c r="H1928" s="21">
        <f>IFERROR(INDEX(Users!$D$2:$D$310,MATCH(A1928,Users!$B$2:$B$310,0)),"")</f>
        <v/>
      </c>
      <c r="I1928" s="19">
        <f>AND(G1928="Service A",H1928="Band 3")</f>
        <v/>
      </c>
      <c r="J1928" s="33">
        <f>IF(AND(YEAR(B1928)=2025,G1928="Service B",OR(H1928="Band 3",H1928="Band 5"),ISNUMBER(F1928)),F1928,"")</f>
        <v/>
      </c>
    </row>
    <row r="1929">
      <c r="A1929" s="19" t="inlineStr">
        <is>
          <t>User1205</t>
        </is>
      </c>
      <c r="B1929" s="60" t="n">
        <v>46023</v>
      </c>
      <c r="C1929" s="21" t="n">
        <v>155.4</v>
      </c>
      <c r="D1929" s="21" t="n">
        <v>148.6666666666667</v>
      </c>
      <c r="E1929" s="21" t="n">
        <v>78.05</v>
      </c>
      <c r="F1929" s="27">
        <f>IFERROR(IF(OR(C1929="",D1929="",C1929=0),"",D1929/C1929),"")</f>
        <v/>
      </c>
      <c r="G1929" s="21">
        <f>IFERROR(INDEX(Users!$A$2:$A$310,MATCH(A1929,Users!$B$2:$B$310,0)),"")</f>
        <v/>
      </c>
      <c r="H1929" s="21">
        <f>IFERROR(INDEX(Users!$D$2:$D$310,MATCH(A1929,Users!$B$2:$B$310,0)),"")</f>
        <v/>
      </c>
      <c r="I1929" s="19">
        <f>AND(G1929="Service A",H1929="Band 3")</f>
        <v/>
      </c>
      <c r="J1929" s="33">
        <f>IF(AND(YEAR(B1929)=2025,G1929="Service B",OR(H1929="Band 3",H1929="Band 5"),ISNUMBER(F1929)),F1929,"")</f>
        <v/>
      </c>
    </row>
    <row r="1930">
      <c r="A1930" s="19" t="inlineStr">
        <is>
          <t>User1206</t>
        </is>
      </c>
      <c r="B1930" s="60" t="n">
        <v>45658</v>
      </c>
      <c r="C1930" s="21" t="n">
        <v>162.8</v>
      </c>
      <c r="D1930" s="21" t="n">
        <v>160.2</v>
      </c>
      <c r="E1930" s="21" t="n">
        <v>95.24999999999997</v>
      </c>
      <c r="F1930" s="27">
        <f>IFERROR(IF(OR(C1930="",D1930="",C1930=0),"",D1930/C1930),"")</f>
        <v/>
      </c>
      <c r="G1930" s="21">
        <f>IFERROR(INDEX(Users!$A$2:$A$310,MATCH(A1930,Users!$B$2:$B$310,0)),"")</f>
        <v/>
      </c>
      <c r="H1930" s="21">
        <f>IFERROR(INDEX(Users!$D$2:$D$310,MATCH(A1930,Users!$B$2:$B$310,0)),"")</f>
        <v/>
      </c>
      <c r="I1930" s="19">
        <f>AND(G1930="Service A",H1930="Band 3")</f>
        <v/>
      </c>
      <c r="J1930" s="33">
        <f>IF(AND(YEAR(B1930)=2025,G1930="Service B",OR(H1930="Band 3",H1930="Band 5"),ISNUMBER(F1930)),F1930,"")</f>
        <v/>
      </c>
    </row>
    <row r="1931">
      <c r="A1931" s="19" t="inlineStr">
        <is>
          <t>User1206</t>
        </is>
      </c>
      <c r="B1931" s="60" t="n">
        <v>45689</v>
      </c>
      <c r="C1931" s="21" t="n">
        <v>111</v>
      </c>
      <c r="D1931" s="21" t="n">
        <v>97.73666666666665</v>
      </c>
      <c r="E1931" s="21" t="n">
        <v>58.31999999999998</v>
      </c>
      <c r="F1931" s="27">
        <f>IFERROR(IF(OR(C1931="",D1931="",C1931=0),"",D1931/C1931),"")</f>
        <v/>
      </c>
      <c r="G1931" s="21">
        <f>IFERROR(INDEX(Users!$A$2:$A$310,MATCH(A1931,Users!$B$2:$B$310,0)),"")</f>
        <v/>
      </c>
      <c r="H1931" s="21">
        <f>IFERROR(INDEX(Users!$D$2:$D$310,MATCH(A1931,Users!$B$2:$B$310,0)),"")</f>
        <v/>
      </c>
      <c r="I1931" s="19">
        <f>AND(G1931="Service A",H1931="Band 3")</f>
        <v/>
      </c>
      <c r="J1931" s="33">
        <f>IF(AND(YEAR(B1931)=2025,G1931="Service B",OR(H1931="Band 3",H1931="Band 5"),ISNUMBER(F1931)),F1931,"")</f>
        <v/>
      </c>
    </row>
    <row r="1932">
      <c r="A1932" s="19" t="inlineStr">
        <is>
          <t>User1207</t>
        </is>
      </c>
      <c r="B1932" s="60" t="n">
        <v>45658</v>
      </c>
      <c r="C1932" s="21" t="n">
        <v>162.8</v>
      </c>
      <c r="D1932" s="21" t="n">
        <v>154.1333333333334</v>
      </c>
      <c r="E1932" s="21" t="n">
        <v>80.65000000000002</v>
      </c>
      <c r="F1932" s="27">
        <f>IFERROR(IF(OR(C1932="",D1932="",C1932=0),"",D1932/C1932),"")</f>
        <v/>
      </c>
      <c r="G1932" s="21">
        <f>IFERROR(INDEX(Users!$A$2:$A$310,MATCH(A1932,Users!$B$2:$B$310,0)),"")</f>
        <v/>
      </c>
      <c r="H1932" s="21">
        <f>IFERROR(INDEX(Users!$D$2:$D$310,MATCH(A1932,Users!$B$2:$B$310,0)),"")</f>
        <v/>
      </c>
      <c r="I1932" s="19">
        <f>AND(G1932="Service A",H1932="Band 3")</f>
        <v/>
      </c>
      <c r="J1932" s="33">
        <f>IF(AND(YEAR(B1932)=2025,G1932="Service B",OR(H1932="Band 3",H1932="Band 5"),ISNUMBER(F1932)),F1932,"")</f>
        <v/>
      </c>
    </row>
    <row r="1933">
      <c r="A1933" s="19" t="inlineStr">
        <is>
          <t>User1207</t>
        </is>
      </c>
      <c r="B1933" s="60" t="n">
        <v>45689</v>
      </c>
      <c r="C1933" s="21" t="n">
        <v>148</v>
      </c>
      <c r="D1933" s="21" t="n">
        <v>130.8233333333333</v>
      </c>
      <c r="E1933" s="21" t="n">
        <v>83.83999999999999</v>
      </c>
      <c r="F1933" s="27">
        <f>IFERROR(IF(OR(C1933="",D1933="",C1933=0),"",D1933/C1933),"")</f>
        <v/>
      </c>
      <c r="G1933" s="21">
        <f>IFERROR(INDEX(Users!$A$2:$A$310,MATCH(A1933,Users!$B$2:$B$310,0)),"")</f>
        <v/>
      </c>
      <c r="H1933" s="21">
        <f>IFERROR(INDEX(Users!$D$2:$D$310,MATCH(A1933,Users!$B$2:$B$310,0)),"")</f>
        <v/>
      </c>
      <c r="I1933" s="19">
        <f>AND(G1933="Service A",H1933="Band 3")</f>
        <v/>
      </c>
      <c r="J1933" s="33">
        <f>IF(AND(YEAR(B1933)=2025,G1933="Service B",OR(H1933="Band 3",H1933="Band 5"),ISNUMBER(F1933)),F1933,"")</f>
        <v/>
      </c>
    </row>
    <row r="1934">
      <c r="A1934" s="19" t="inlineStr">
        <is>
          <t>User1207</t>
        </is>
      </c>
      <c r="B1934" s="60" t="n">
        <v>45717</v>
      </c>
      <c r="C1934" s="21" t="n">
        <v>155.4</v>
      </c>
      <c r="D1934" s="21" t="n">
        <v>138.9133333333334</v>
      </c>
      <c r="E1934" s="21" t="n">
        <v>75.68000000000002</v>
      </c>
      <c r="F1934" s="27">
        <f>IFERROR(IF(OR(C1934="",D1934="",C1934=0),"",D1934/C1934),"")</f>
        <v/>
      </c>
      <c r="G1934" s="21">
        <f>IFERROR(INDEX(Users!$A$2:$A$310,MATCH(A1934,Users!$B$2:$B$310,0)),"")</f>
        <v/>
      </c>
      <c r="H1934" s="21">
        <f>IFERROR(INDEX(Users!$D$2:$D$310,MATCH(A1934,Users!$B$2:$B$310,0)),"")</f>
        <v/>
      </c>
      <c r="I1934" s="19">
        <f>AND(G1934="Service A",H1934="Band 3")</f>
        <v/>
      </c>
      <c r="J1934" s="33">
        <f>IF(AND(YEAR(B1934)=2025,G1934="Service B",OR(H1934="Band 3",H1934="Band 5"),ISNUMBER(F1934)),F1934,"")</f>
        <v/>
      </c>
    </row>
    <row r="1935">
      <c r="A1935" s="19" t="inlineStr">
        <is>
          <t>User1207</t>
        </is>
      </c>
      <c r="B1935" s="60" t="n">
        <v>45748</v>
      </c>
      <c r="C1935" s="21" t="n">
        <v>148</v>
      </c>
      <c r="D1935" s="21" t="n">
        <v>124.0966666666667</v>
      </c>
      <c r="E1935" s="21" t="n">
        <v>77.38</v>
      </c>
      <c r="F1935" s="27">
        <f>IFERROR(IF(OR(C1935="",D1935="",C1935=0),"",D1935/C1935),"")</f>
        <v/>
      </c>
      <c r="G1935" s="21">
        <f>IFERROR(INDEX(Users!$A$2:$A$310,MATCH(A1935,Users!$B$2:$B$310,0)),"")</f>
        <v/>
      </c>
      <c r="H1935" s="21">
        <f>IFERROR(INDEX(Users!$D$2:$D$310,MATCH(A1935,Users!$B$2:$B$310,0)),"")</f>
        <v/>
      </c>
      <c r="I1935" s="19">
        <f>AND(G1935="Service A",H1935="Band 3")</f>
        <v/>
      </c>
      <c r="J1935" s="33">
        <f>IF(AND(YEAR(B1935)=2025,G1935="Service B",OR(H1935="Band 3",H1935="Band 5"),ISNUMBER(F1935)),F1935,"")</f>
        <v/>
      </c>
    </row>
    <row r="1936">
      <c r="A1936" s="19" t="inlineStr">
        <is>
          <t>User1207</t>
        </is>
      </c>
      <c r="B1936" s="60" t="n">
        <v>45778</v>
      </c>
      <c r="C1936" s="21" t="n">
        <v>148</v>
      </c>
      <c r="D1936" s="21" t="n">
        <v>125.5</v>
      </c>
      <c r="E1936" s="21" t="n">
        <v>74.70000000000002</v>
      </c>
      <c r="F1936" s="27">
        <f>IFERROR(IF(OR(C1936="",D1936="",C1936=0),"",D1936/C1936),"")</f>
        <v/>
      </c>
      <c r="G1936" s="21">
        <f>IFERROR(INDEX(Users!$A$2:$A$310,MATCH(A1936,Users!$B$2:$B$310,0)),"")</f>
        <v/>
      </c>
      <c r="H1936" s="21">
        <f>IFERROR(INDEX(Users!$D$2:$D$310,MATCH(A1936,Users!$B$2:$B$310,0)),"")</f>
        <v/>
      </c>
      <c r="I1936" s="19">
        <f>AND(G1936="Service A",H1936="Band 3")</f>
        <v/>
      </c>
      <c r="J1936" s="33">
        <f>IF(AND(YEAR(B1936)=2025,G1936="Service B",OR(H1936="Band 3",H1936="Band 5"),ISNUMBER(F1936)),F1936,"")</f>
        <v/>
      </c>
    </row>
    <row r="1937">
      <c r="A1937" s="19" t="inlineStr">
        <is>
          <t>User1207</t>
        </is>
      </c>
      <c r="B1937" s="60" t="n">
        <v>45809</v>
      </c>
      <c r="C1937" s="21" t="n">
        <v>155.4</v>
      </c>
      <c r="D1937" s="21" t="n">
        <v>146.4766666666667</v>
      </c>
      <c r="E1937" s="21" t="n">
        <v>91.16000000000001</v>
      </c>
      <c r="F1937" s="27">
        <f>IFERROR(IF(OR(C1937="",D1937="",C1937=0),"",D1937/C1937),"")</f>
        <v/>
      </c>
      <c r="G1937" s="21">
        <f>IFERROR(INDEX(Users!$A$2:$A$310,MATCH(A1937,Users!$B$2:$B$310,0)),"")</f>
        <v/>
      </c>
      <c r="H1937" s="21">
        <f>IFERROR(INDEX(Users!$D$2:$D$310,MATCH(A1937,Users!$B$2:$B$310,0)),"")</f>
        <v/>
      </c>
      <c r="I1937" s="19">
        <f>AND(G1937="Service A",H1937="Band 3")</f>
        <v/>
      </c>
      <c r="J1937" s="33">
        <f>IF(AND(YEAR(B1937)=2025,G1937="Service B",OR(H1937="Band 3",H1937="Band 5"),ISNUMBER(F1937)),F1937,"")</f>
        <v/>
      </c>
    </row>
    <row r="1938">
      <c r="A1938" s="19" t="inlineStr">
        <is>
          <t>User1207</t>
        </is>
      </c>
      <c r="B1938" s="60" t="n">
        <v>45839</v>
      </c>
      <c r="C1938" s="21" t="n">
        <v>170.2</v>
      </c>
      <c r="D1938" s="21" t="n">
        <v>141.3233333333333</v>
      </c>
      <c r="E1938" s="21" t="n">
        <v>88.33999999999999</v>
      </c>
      <c r="F1938" s="27">
        <f>IFERROR(IF(OR(C1938="",D1938="",C1938=0),"",D1938/C1938),"")</f>
        <v/>
      </c>
      <c r="G1938" s="21">
        <f>IFERROR(INDEX(Users!$A$2:$A$310,MATCH(A1938,Users!$B$2:$B$310,0)),"")</f>
        <v/>
      </c>
      <c r="H1938" s="21">
        <f>IFERROR(INDEX(Users!$D$2:$D$310,MATCH(A1938,Users!$B$2:$B$310,0)),"")</f>
        <v/>
      </c>
      <c r="I1938" s="19">
        <f>AND(G1938="Service A",H1938="Band 3")</f>
        <v/>
      </c>
      <c r="J1938" s="33">
        <f>IF(AND(YEAR(B1938)=2025,G1938="Service B",OR(H1938="Band 3",H1938="Band 5"),ISNUMBER(F1938)),F1938,"")</f>
        <v/>
      </c>
    </row>
    <row r="1939">
      <c r="A1939" s="19" t="inlineStr">
        <is>
          <t>User1207</t>
        </is>
      </c>
      <c r="B1939" s="60" t="n">
        <v>45870</v>
      </c>
      <c r="C1939" s="21" t="n">
        <v>148</v>
      </c>
      <c r="D1939" s="21" t="n">
        <v>83.16</v>
      </c>
      <c r="E1939" s="21" t="n">
        <v>54.26</v>
      </c>
      <c r="F1939" s="27">
        <f>IFERROR(IF(OR(C1939="",D1939="",C1939=0),"",D1939/C1939),"")</f>
        <v/>
      </c>
      <c r="G1939" s="21">
        <f>IFERROR(INDEX(Users!$A$2:$A$310,MATCH(A1939,Users!$B$2:$B$310,0)),"")</f>
        <v/>
      </c>
      <c r="H1939" s="21">
        <f>IFERROR(INDEX(Users!$D$2:$D$310,MATCH(A1939,Users!$B$2:$B$310,0)),"")</f>
        <v/>
      </c>
      <c r="I1939" s="19">
        <f>AND(G1939="Service A",H1939="Band 3")</f>
        <v/>
      </c>
      <c r="J1939" s="33">
        <f>IF(AND(YEAR(B1939)=2025,G1939="Service B",OR(H1939="Band 3",H1939="Band 5"),ISNUMBER(F1939)),F1939,"")</f>
        <v/>
      </c>
    </row>
    <row r="1940">
      <c r="A1940" s="19" t="inlineStr">
        <is>
          <t>User1207</t>
        </is>
      </c>
      <c r="B1940" s="60" t="n">
        <v>45901</v>
      </c>
      <c r="C1940" s="21" t="n">
        <v>162.8</v>
      </c>
      <c r="D1940" s="21" t="n">
        <v>155.78</v>
      </c>
      <c r="E1940" s="21" t="n">
        <v>94.48</v>
      </c>
      <c r="F1940" s="27">
        <f>IFERROR(IF(OR(C1940="",D1940="",C1940=0),"",D1940/C1940),"")</f>
        <v/>
      </c>
      <c r="G1940" s="21">
        <f>IFERROR(INDEX(Users!$A$2:$A$310,MATCH(A1940,Users!$B$2:$B$310,0)),"")</f>
        <v/>
      </c>
      <c r="H1940" s="21">
        <f>IFERROR(INDEX(Users!$D$2:$D$310,MATCH(A1940,Users!$B$2:$B$310,0)),"")</f>
        <v/>
      </c>
      <c r="I1940" s="19">
        <f>AND(G1940="Service A",H1940="Band 3")</f>
        <v/>
      </c>
      <c r="J1940" s="33">
        <f>IF(AND(YEAR(B1940)=2025,G1940="Service B",OR(H1940="Band 3",H1940="Band 5"),ISNUMBER(F1940)),F1940,"")</f>
        <v/>
      </c>
    </row>
    <row r="1941">
      <c r="A1941" s="19" t="inlineStr">
        <is>
          <t>User1207</t>
        </is>
      </c>
      <c r="B1941" s="60" t="n">
        <v>45931</v>
      </c>
      <c r="C1941" s="21" t="n">
        <v>170.2</v>
      </c>
      <c r="D1941" s="21" t="n">
        <v>149.0533333333333</v>
      </c>
      <c r="E1941" s="21" t="n">
        <v>104.52</v>
      </c>
      <c r="F1941" s="27">
        <f>IFERROR(IF(OR(C1941="",D1941="",C1941=0),"",D1941/C1941),"")</f>
        <v/>
      </c>
      <c r="G1941" s="21">
        <f>IFERROR(INDEX(Users!$A$2:$A$310,MATCH(A1941,Users!$B$2:$B$310,0)),"")</f>
        <v/>
      </c>
      <c r="H1941" s="21">
        <f>IFERROR(INDEX(Users!$D$2:$D$310,MATCH(A1941,Users!$B$2:$B$310,0)),"")</f>
        <v/>
      </c>
      <c r="I1941" s="19">
        <f>AND(G1941="Service A",H1941="Band 3")</f>
        <v/>
      </c>
      <c r="J1941" s="33">
        <f>IF(AND(YEAR(B1941)=2025,G1941="Service B",OR(H1941="Band 3",H1941="Band 5"),ISNUMBER(F1941)),F1941,"")</f>
        <v/>
      </c>
    </row>
    <row r="1942">
      <c r="A1942" s="19" t="inlineStr">
        <is>
          <t>User1207</t>
        </is>
      </c>
      <c r="B1942" s="60" t="n">
        <v>45962</v>
      </c>
      <c r="C1942" s="21" t="n">
        <v>148</v>
      </c>
      <c r="D1942" s="21" t="n">
        <v>144.6866666666667</v>
      </c>
      <c r="E1942" s="21" t="n">
        <v>106.62</v>
      </c>
      <c r="F1942" s="27">
        <f>IFERROR(IF(OR(C1942="",D1942="",C1942=0),"",D1942/C1942),"")</f>
        <v/>
      </c>
      <c r="G1942" s="21">
        <f>IFERROR(INDEX(Users!$A$2:$A$310,MATCH(A1942,Users!$B$2:$B$310,0)),"")</f>
        <v/>
      </c>
      <c r="H1942" s="21">
        <f>IFERROR(INDEX(Users!$D$2:$D$310,MATCH(A1942,Users!$B$2:$B$310,0)),"")</f>
        <v/>
      </c>
      <c r="I1942" s="19">
        <f>AND(G1942="Service A",H1942="Band 3")</f>
        <v/>
      </c>
      <c r="J1942" s="33">
        <f>IF(AND(YEAR(B1942)=2025,G1942="Service B",OR(H1942="Band 3",H1942="Band 5"),ISNUMBER(F1942)),F1942,"")</f>
        <v/>
      </c>
    </row>
    <row r="1943">
      <c r="A1943" s="19" t="inlineStr">
        <is>
          <t>User1207</t>
        </is>
      </c>
      <c r="B1943" s="60" t="n">
        <v>45992</v>
      </c>
      <c r="C1943" s="21" t="n">
        <v>155.4</v>
      </c>
      <c r="D1943" s="21" t="n"/>
      <c r="E1943" s="21" t="n"/>
      <c r="F1943" s="27">
        <f>IFERROR(IF(OR(C1943="",D1943="",C1943=0),"",D1943/C1943),"")</f>
        <v/>
      </c>
      <c r="G1943" s="21">
        <f>IFERROR(INDEX(Users!$A$2:$A$310,MATCH(A1943,Users!$B$2:$B$310,0)),"")</f>
        <v/>
      </c>
      <c r="H1943" s="21">
        <f>IFERROR(INDEX(Users!$D$2:$D$310,MATCH(A1943,Users!$B$2:$B$310,0)),"")</f>
        <v/>
      </c>
      <c r="I1943" s="19">
        <f>AND(G1943="Service A",H1943="Band 3")</f>
        <v/>
      </c>
      <c r="J1943" s="33">
        <f>IF(AND(YEAR(B1943)=2025,G1943="Service B",OR(H1943="Band 3",H1943="Band 5"),ISNUMBER(F1943)),F1943,"")</f>
        <v/>
      </c>
    </row>
    <row r="1944">
      <c r="A1944" s="19" t="inlineStr">
        <is>
          <t>User1207</t>
        </is>
      </c>
      <c r="B1944" s="60" t="n">
        <v>46023</v>
      </c>
      <c r="C1944" s="21" t="n">
        <v>155.4</v>
      </c>
      <c r="D1944" s="21" t="n">
        <v>21.56666666666667</v>
      </c>
      <c r="E1944" s="21" t="n">
        <v>14.15</v>
      </c>
      <c r="F1944" s="27">
        <f>IFERROR(IF(OR(C1944="",D1944="",C1944=0),"",D1944/C1944),"")</f>
        <v/>
      </c>
      <c r="G1944" s="21">
        <f>IFERROR(INDEX(Users!$A$2:$A$310,MATCH(A1944,Users!$B$2:$B$310,0)),"")</f>
        <v/>
      </c>
      <c r="H1944" s="21">
        <f>IFERROR(INDEX(Users!$D$2:$D$310,MATCH(A1944,Users!$B$2:$B$310,0)),"")</f>
        <v/>
      </c>
      <c r="I1944" s="19">
        <f>AND(G1944="Service A",H1944="Band 3")</f>
        <v/>
      </c>
      <c r="J1944" s="33">
        <f>IF(AND(YEAR(B1944)=2025,G1944="Service B",OR(H1944="Band 3",H1944="Band 5"),ISNUMBER(F1944)),F1944,"")</f>
        <v/>
      </c>
    </row>
    <row r="1945">
      <c r="A1945" s="19" t="inlineStr">
        <is>
          <t>User1209</t>
        </is>
      </c>
      <c r="B1945" s="60" t="n">
        <v>45658</v>
      </c>
      <c r="C1945" s="21" t="n">
        <v>96.20000000000002</v>
      </c>
      <c r="D1945" s="21" t="n">
        <v>33.91166666666667</v>
      </c>
      <c r="E1945" s="21" t="n">
        <v>15.86</v>
      </c>
      <c r="F1945" s="27">
        <f>IFERROR(IF(OR(C1945="",D1945="",C1945=0),"",D1945/C1945),"")</f>
        <v/>
      </c>
      <c r="G1945" s="21">
        <f>IFERROR(INDEX(Users!$A$2:$A$310,MATCH(A1945,Users!$B$2:$B$310,0)),"")</f>
        <v/>
      </c>
      <c r="H1945" s="21">
        <f>IFERROR(INDEX(Users!$D$2:$D$310,MATCH(A1945,Users!$B$2:$B$310,0)),"")</f>
        <v/>
      </c>
      <c r="I1945" s="19">
        <f>AND(G1945="Service A",H1945="Band 3")</f>
        <v/>
      </c>
      <c r="J1945" s="33">
        <f>IF(AND(YEAR(B1945)=2025,G1945="Service B",OR(H1945="Band 3",H1945="Band 5"),ISNUMBER(F1945)),F1945,"")</f>
        <v/>
      </c>
    </row>
    <row r="1946">
      <c r="A1946" s="19" t="inlineStr">
        <is>
          <t>User1209</t>
        </is>
      </c>
      <c r="B1946" s="60" t="n">
        <v>45689</v>
      </c>
      <c r="C1946" s="21" t="n">
        <v>88.80000000000001</v>
      </c>
      <c r="D1946" s="21" t="n">
        <v>94.66388888888895</v>
      </c>
      <c r="E1946" s="21" t="n">
        <v>49.57000000000006</v>
      </c>
      <c r="F1946" s="27">
        <f>IFERROR(IF(OR(C1946="",D1946="",C1946=0),"",D1946/C1946),"")</f>
        <v/>
      </c>
      <c r="G1946" s="21">
        <f>IFERROR(INDEX(Users!$A$2:$A$310,MATCH(A1946,Users!$B$2:$B$310,0)),"")</f>
        <v/>
      </c>
      <c r="H1946" s="21">
        <f>IFERROR(INDEX(Users!$D$2:$D$310,MATCH(A1946,Users!$B$2:$B$310,0)),"")</f>
        <v/>
      </c>
      <c r="I1946" s="19">
        <f>AND(G1946="Service A",H1946="Band 3")</f>
        <v/>
      </c>
      <c r="J1946" s="33">
        <f>IF(AND(YEAR(B1946)=2025,G1946="Service B",OR(H1946="Band 3",H1946="Band 5"),ISNUMBER(F1946)),F1946,"")</f>
        <v/>
      </c>
    </row>
    <row r="1947">
      <c r="A1947" s="19" t="inlineStr">
        <is>
          <t>User1209</t>
        </is>
      </c>
      <c r="B1947" s="60" t="n">
        <v>45717</v>
      </c>
      <c r="C1947" s="21" t="n">
        <v>88.80000000000001</v>
      </c>
      <c r="D1947" s="21" t="n">
        <v>84.4522222222222</v>
      </c>
      <c r="E1947" s="21" t="n">
        <v>49.82999999999999</v>
      </c>
      <c r="F1947" s="27">
        <f>IFERROR(IF(OR(C1947="",D1947="",C1947=0),"",D1947/C1947),"")</f>
        <v/>
      </c>
      <c r="G1947" s="21">
        <f>IFERROR(INDEX(Users!$A$2:$A$310,MATCH(A1947,Users!$B$2:$B$310,0)),"")</f>
        <v/>
      </c>
      <c r="H1947" s="21">
        <f>IFERROR(INDEX(Users!$D$2:$D$310,MATCH(A1947,Users!$B$2:$B$310,0)),"")</f>
        <v/>
      </c>
      <c r="I1947" s="19">
        <f>AND(G1947="Service A",H1947="Band 3")</f>
        <v/>
      </c>
      <c r="J1947" s="33">
        <f>IF(AND(YEAR(B1947)=2025,G1947="Service B",OR(H1947="Band 3",H1947="Band 5"),ISNUMBER(F1947)),F1947,"")</f>
        <v/>
      </c>
    </row>
    <row r="1948">
      <c r="A1948" s="19" t="inlineStr">
        <is>
          <t>User1209</t>
        </is>
      </c>
      <c r="B1948" s="60" t="n">
        <v>45748</v>
      </c>
      <c r="C1948" s="21" t="n">
        <v>103.6</v>
      </c>
      <c r="D1948" s="21" t="n">
        <v>99.25388888888889</v>
      </c>
      <c r="E1948" s="21" t="n">
        <v>62.64000000000001</v>
      </c>
      <c r="F1948" s="27">
        <f>IFERROR(IF(OR(C1948="",D1948="",C1948=0),"",D1948/C1948),"")</f>
        <v/>
      </c>
      <c r="G1948" s="21">
        <f>IFERROR(INDEX(Users!$A$2:$A$310,MATCH(A1948,Users!$B$2:$B$310,0)),"")</f>
        <v/>
      </c>
      <c r="H1948" s="21">
        <f>IFERROR(INDEX(Users!$D$2:$D$310,MATCH(A1948,Users!$B$2:$B$310,0)),"")</f>
        <v/>
      </c>
      <c r="I1948" s="19">
        <f>AND(G1948="Service A",H1948="Band 3")</f>
        <v/>
      </c>
      <c r="J1948" s="33">
        <f>IF(AND(YEAR(B1948)=2025,G1948="Service B",OR(H1948="Band 3",H1948="Band 5"),ISNUMBER(F1948)),F1948,"")</f>
        <v/>
      </c>
    </row>
    <row r="1949">
      <c r="A1949" s="19" t="inlineStr">
        <is>
          <t>User1209</t>
        </is>
      </c>
      <c r="B1949" s="60" t="n">
        <v>45778</v>
      </c>
      <c r="C1949" s="21" t="n">
        <v>96.20000000000002</v>
      </c>
      <c r="D1949" s="21" t="n">
        <v>86.17194444444445</v>
      </c>
      <c r="E1949" s="21" t="n">
        <v>45.39</v>
      </c>
      <c r="F1949" s="27">
        <f>IFERROR(IF(OR(C1949="",D1949="",C1949=0),"",D1949/C1949),"")</f>
        <v/>
      </c>
      <c r="G1949" s="21">
        <f>IFERROR(INDEX(Users!$A$2:$A$310,MATCH(A1949,Users!$B$2:$B$310,0)),"")</f>
        <v/>
      </c>
      <c r="H1949" s="21">
        <f>IFERROR(INDEX(Users!$D$2:$D$310,MATCH(A1949,Users!$B$2:$B$310,0)),"")</f>
        <v/>
      </c>
      <c r="I1949" s="19">
        <f>AND(G1949="Service A",H1949="Band 3")</f>
        <v/>
      </c>
      <c r="J1949" s="33">
        <f>IF(AND(YEAR(B1949)=2025,G1949="Service B",OR(H1949="Band 3",H1949="Band 5"),ISNUMBER(F1949)),F1949,"")</f>
        <v/>
      </c>
    </row>
    <row r="1950">
      <c r="A1950" s="19" t="inlineStr">
        <is>
          <t>User1209</t>
        </is>
      </c>
      <c r="B1950" s="60" t="n">
        <v>45809</v>
      </c>
      <c r="C1950" s="21" t="n">
        <v>88.80000000000001</v>
      </c>
      <c r="D1950" s="21" t="n">
        <v>70.45305555555557</v>
      </c>
      <c r="E1950" s="21" t="n">
        <v>51.23000000000001</v>
      </c>
      <c r="F1950" s="27">
        <f>IFERROR(IF(OR(C1950="",D1950="",C1950=0),"",D1950/C1950),"")</f>
        <v/>
      </c>
      <c r="G1950" s="21">
        <f>IFERROR(INDEX(Users!$A$2:$A$310,MATCH(A1950,Users!$B$2:$B$310,0)),"")</f>
        <v/>
      </c>
      <c r="H1950" s="21">
        <f>IFERROR(INDEX(Users!$D$2:$D$310,MATCH(A1950,Users!$B$2:$B$310,0)),"")</f>
        <v/>
      </c>
      <c r="I1950" s="19">
        <f>AND(G1950="Service A",H1950="Band 3")</f>
        <v/>
      </c>
      <c r="J1950" s="33">
        <f>IF(AND(YEAR(B1950)=2025,G1950="Service B",OR(H1950="Band 3",H1950="Band 5"),ISNUMBER(F1950)),F1950,"")</f>
        <v/>
      </c>
    </row>
    <row r="1951">
      <c r="A1951" s="19" t="inlineStr">
        <is>
          <t>User1209</t>
        </is>
      </c>
      <c r="B1951" s="60" t="n">
        <v>45839</v>
      </c>
      <c r="C1951" s="21" t="n">
        <v>88.80000000000001</v>
      </c>
      <c r="D1951" s="21" t="n"/>
      <c r="E1951" s="21" t="n"/>
      <c r="F1951" s="27">
        <f>IFERROR(IF(OR(C1951="",D1951="",C1951=0),"",D1951/C1951),"")</f>
        <v/>
      </c>
      <c r="G1951" s="21">
        <f>IFERROR(INDEX(Users!$A$2:$A$310,MATCH(A1951,Users!$B$2:$B$310,0)),"")</f>
        <v/>
      </c>
      <c r="H1951" s="21">
        <f>IFERROR(INDEX(Users!$D$2:$D$310,MATCH(A1951,Users!$B$2:$B$310,0)),"")</f>
        <v/>
      </c>
      <c r="I1951" s="19">
        <f>AND(G1951="Service A",H1951="Band 3")</f>
        <v/>
      </c>
      <c r="J1951" s="33">
        <f>IF(AND(YEAR(B1951)=2025,G1951="Service B",OR(H1951="Band 3",H1951="Band 5"),ISNUMBER(F1951)),F1951,"")</f>
        <v/>
      </c>
    </row>
    <row r="1952">
      <c r="A1952" s="19" t="inlineStr">
        <is>
          <t>User1210</t>
        </is>
      </c>
      <c r="B1952" s="60" t="n">
        <v>45658</v>
      </c>
      <c r="C1952" s="21" t="n">
        <v>162.8</v>
      </c>
      <c r="D1952" s="21" t="n">
        <v>137.6366666666667</v>
      </c>
      <c r="E1952" s="21" t="n">
        <v>105.62</v>
      </c>
      <c r="F1952" s="27">
        <f>IFERROR(IF(OR(C1952="",D1952="",C1952=0),"",D1952/C1952),"")</f>
        <v/>
      </c>
      <c r="G1952" s="21">
        <f>IFERROR(INDEX(Users!$A$2:$A$310,MATCH(A1952,Users!$B$2:$B$310,0)),"")</f>
        <v/>
      </c>
      <c r="H1952" s="21">
        <f>IFERROR(INDEX(Users!$D$2:$D$310,MATCH(A1952,Users!$B$2:$B$310,0)),"")</f>
        <v/>
      </c>
      <c r="I1952" s="19">
        <f>AND(G1952="Service A",H1952="Band 3")</f>
        <v/>
      </c>
      <c r="J1952" s="33">
        <f>IF(AND(YEAR(B1952)=2025,G1952="Service B",OR(H1952="Band 3",H1952="Band 5"),ISNUMBER(F1952)),F1952,"")</f>
        <v/>
      </c>
    </row>
    <row r="1953">
      <c r="A1953" s="19" t="inlineStr">
        <is>
          <t>User1210</t>
        </is>
      </c>
      <c r="B1953" s="60" t="n">
        <v>45689</v>
      </c>
      <c r="C1953" s="21" t="n">
        <v>148</v>
      </c>
      <c r="D1953" s="21" t="n">
        <v>117.4233333333333</v>
      </c>
      <c r="E1953" s="21" t="n">
        <v>109.49</v>
      </c>
      <c r="F1953" s="27">
        <f>IFERROR(IF(OR(C1953="",D1953="",C1953=0),"",D1953/C1953),"")</f>
        <v/>
      </c>
      <c r="G1953" s="21">
        <f>IFERROR(INDEX(Users!$A$2:$A$310,MATCH(A1953,Users!$B$2:$B$310,0)),"")</f>
        <v/>
      </c>
      <c r="H1953" s="21">
        <f>IFERROR(INDEX(Users!$D$2:$D$310,MATCH(A1953,Users!$B$2:$B$310,0)),"")</f>
        <v/>
      </c>
      <c r="I1953" s="19">
        <f>AND(G1953="Service A",H1953="Band 3")</f>
        <v/>
      </c>
      <c r="J1953" s="33">
        <f>IF(AND(YEAR(B1953)=2025,G1953="Service B",OR(H1953="Band 3",H1953="Band 5"),ISNUMBER(F1953)),F1953,"")</f>
        <v/>
      </c>
    </row>
    <row r="1954">
      <c r="A1954" s="19" t="inlineStr">
        <is>
          <t>User1210</t>
        </is>
      </c>
      <c r="B1954" s="60" t="n">
        <v>45717</v>
      </c>
      <c r="C1954" s="21" t="n">
        <v>155.4</v>
      </c>
      <c r="D1954" s="21" t="n">
        <v>174.8766666666667</v>
      </c>
      <c r="E1954" s="21" t="n">
        <v>157.91</v>
      </c>
      <c r="F1954" s="27">
        <f>IFERROR(IF(OR(C1954="",D1954="",C1954=0),"",D1954/C1954),"")</f>
        <v/>
      </c>
      <c r="G1954" s="21">
        <f>IFERROR(INDEX(Users!$A$2:$A$310,MATCH(A1954,Users!$B$2:$B$310,0)),"")</f>
        <v/>
      </c>
      <c r="H1954" s="21">
        <f>IFERROR(INDEX(Users!$D$2:$D$310,MATCH(A1954,Users!$B$2:$B$310,0)),"")</f>
        <v/>
      </c>
      <c r="I1954" s="19">
        <f>AND(G1954="Service A",H1954="Band 3")</f>
        <v/>
      </c>
      <c r="J1954" s="33">
        <f>IF(AND(YEAR(B1954)=2025,G1954="Service B",OR(H1954="Band 3",H1954="Band 5"),ISNUMBER(F1954)),F1954,"")</f>
        <v/>
      </c>
    </row>
    <row r="1955">
      <c r="A1955" s="19" t="inlineStr">
        <is>
          <t>User1210</t>
        </is>
      </c>
      <c r="B1955" s="60" t="n">
        <v>45748</v>
      </c>
      <c r="C1955" s="21" t="n">
        <v>148</v>
      </c>
      <c r="D1955" s="21" t="n">
        <v>153.9066666666667</v>
      </c>
      <c r="E1955" s="21" t="n">
        <v>144.64</v>
      </c>
      <c r="F1955" s="27">
        <f>IFERROR(IF(OR(C1955="",D1955="",C1955=0),"",D1955/C1955),"")</f>
        <v/>
      </c>
      <c r="G1955" s="21">
        <f>IFERROR(INDEX(Users!$A$2:$A$310,MATCH(A1955,Users!$B$2:$B$310,0)),"")</f>
        <v/>
      </c>
      <c r="H1955" s="21">
        <f>IFERROR(INDEX(Users!$D$2:$D$310,MATCH(A1955,Users!$B$2:$B$310,0)),"")</f>
        <v/>
      </c>
      <c r="I1955" s="19">
        <f>AND(G1955="Service A",H1955="Band 3")</f>
        <v/>
      </c>
      <c r="J1955" s="33">
        <f>IF(AND(YEAR(B1955)=2025,G1955="Service B",OR(H1955="Band 3",H1955="Band 5"),ISNUMBER(F1955)),F1955,"")</f>
        <v/>
      </c>
    </row>
    <row r="1956">
      <c r="A1956" s="19" t="inlineStr">
        <is>
          <t>User1210</t>
        </is>
      </c>
      <c r="B1956" s="60" t="n">
        <v>45778</v>
      </c>
      <c r="C1956" s="21" t="n">
        <v>148</v>
      </c>
      <c r="D1956" s="21" t="n">
        <v>158.7666666666667</v>
      </c>
      <c r="E1956" s="21" t="n">
        <v>142.2</v>
      </c>
      <c r="F1956" s="27">
        <f>IFERROR(IF(OR(C1956="",D1956="",C1956=0),"",D1956/C1956),"")</f>
        <v/>
      </c>
      <c r="G1956" s="21">
        <f>IFERROR(INDEX(Users!$A$2:$A$310,MATCH(A1956,Users!$B$2:$B$310,0)),"")</f>
        <v/>
      </c>
      <c r="H1956" s="21">
        <f>IFERROR(INDEX(Users!$D$2:$D$310,MATCH(A1956,Users!$B$2:$B$310,0)),"")</f>
        <v/>
      </c>
      <c r="I1956" s="19">
        <f>AND(G1956="Service A",H1956="Band 3")</f>
        <v/>
      </c>
      <c r="J1956" s="33">
        <f>IF(AND(YEAR(B1956)=2025,G1956="Service B",OR(H1956="Band 3",H1956="Band 5"),ISNUMBER(F1956)),F1956,"")</f>
        <v/>
      </c>
    </row>
    <row r="1957">
      <c r="A1957" s="19" t="inlineStr">
        <is>
          <t>User1210</t>
        </is>
      </c>
      <c r="B1957" s="60" t="n">
        <v>45809</v>
      </c>
      <c r="C1957" s="21" t="n">
        <v>155.4</v>
      </c>
      <c r="D1957" s="21" t="n">
        <v>147.66</v>
      </c>
      <c r="E1957" s="21" t="n">
        <v>141.31</v>
      </c>
      <c r="F1957" s="27">
        <f>IFERROR(IF(OR(C1957="",D1957="",C1957=0),"",D1957/C1957),"")</f>
        <v/>
      </c>
      <c r="G1957" s="21">
        <f>IFERROR(INDEX(Users!$A$2:$A$310,MATCH(A1957,Users!$B$2:$B$310,0)),"")</f>
        <v/>
      </c>
      <c r="H1957" s="21">
        <f>IFERROR(INDEX(Users!$D$2:$D$310,MATCH(A1957,Users!$B$2:$B$310,0)),"")</f>
        <v/>
      </c>
      <c r="I1957" s="19">
        <f>AND(G1957="Service A",H1957="Band 3")</f>
        <v/>
      </c>
      <c r="J1957" s="33">
        <f>IF(AND(YEAR(B1957)=2025,G1957="Service B",OR(H1957="Band 3",H1957="Band 5"),ISNUMBER(F1957)),F1957,"")</f>
        <v/>
      </c>
    </row>
    <row r="1958">
      <c r="A1958" s="19" t="inlineStr">
        <is>
          <t>User1210</t>
        </is>
      </c>
      <c r="B1958" s="60" t="n">
        <v>45839</v>
      </c>
      <c r="C1958" s="21" t="n">
        <v>170.2</v>
      </c>
      <c r="D1958" s="21" t="n">
        <v>143.6</v>
      </c>
      <c r="E1958" s="21" t="n">
        <v>131.15</v>
      </c>
      <c r="F1958" s="27">
        <f>IFERROR(IF(OR(C1958="",D1958="",C1958=0),"",D1958/C1958),"")</f>
        <v/>
      </c>
      <c r="G1958" s="21">
        <f>IFERROR(INDEX(Users!$A$2:$A$310,MATCH(A1958,Users!$B$2:$B$310,0)),"")</f>
        <v/>
      </c>
      <c r="H1958" s="21">
        <f>IFERROR(INDEX(Users!$D$2:$D$310,MATCH(A1958,Users!$B$2:$B$310,0)),"")</f>
        <v/>
      </c>
      <c r="I1958" s="19">
        <f>AND(G1958="Service A",H1958="Band 3")</f>
        <v/>
      </c>
      <c r="J1958" s="33">
        <f>IF(AND(YEAR(B1958)=2025,G1958="Service B",OR(H1958="Band 3",H1958="Band 5"),ISNUMBER(F1958)),F1958,"")</f>
        <v/>
      </c>
    </row>
    <row r="1959">
      <c r="A1959" s="19" t="inlineStr">
        <is>
          <t>User1210</t>
        </is>
      </c>
      <c r="B1959" s="60" t="n">
        <v>45870</v>
      </c>
      <c r="C1959" s="21" t="n">
        <v>148</v>
      </c>
      <c r="D1959" s="21" t="n">
        <v>147.0133333333334</v>
      </c>
      <c r="E1959" s="21" t="n">
        <v>136.93</v>
      </c>
      <c r="F1959" s="27">
        <f>IFERROR(IF(OR(C1959="",D1959="",C1959=0),"",D1959/C1959),"")</f>
        <v/>
      </c>
      <c r="G1959" s="21">
        <f>IFERROR(INDEX(Users!$A$2:$A$310,MATCH(A1959,Users!$B$2:$B$310,0)),"")</f>
        <v/>
      </c>
      <c r="H1959" s="21">
        <f>IFERROR(INDEX(Users!$D$2:$D$310,MATCH(A1959,Users!$B$2:$B$310,0)),"")</f>
        <v/>
      </c>
      <c r="I1959" s="19">
        <f>AND(G1959="Service A",H1959="Band 3")</f>
        <v/>
      </c>
      <c r="J1959" s="33">
        <f>IF(AND(YEAR(B1959)=2025,G1959="Service B",OR(H1959="Band 3",H1959="Band 5"),ISNUMBER(F1959)),F1959,"")</f>
        <v/>
      </c>
    </row>
    <row r="1960">
      <c r="A1960" s="19" t="inlineStr">
        <is>
          <t>User1210</t>
        </is>
      </c>
      <c r="B1960" s="60" t="n">
        <v>45901</v>
      </c>
      <c r="C1960" s="21" t="n">
        <v>162.8</v>
      </c>
      <c r="D1960" s="21" t="n">
        <v>166.0033333333333</v>
      </c>
      <c r="E1960" s="21" t="n">
        <v>152.62</v>
      </c>
      <c r="F1960" s="27">
        <f>IFERROR(IF(OR(C1960="",D1960="",C1960=0),"",D1960/C1960),"")</f>
        <v/>
      </c>
      <c r="G1960" s="21">
        <f>IFERROR(INDEX(Users!$A$2:$A$310,MATCH(A1960,Users!$B$2:$B$310,0)),"")</f>
        <v/>
      </c>
      <c r="H1960" s="21">
        <f>IFERROR(INDEX(Users!$D$2:$D$310,MATCH(A1960,Users!$B$2:$B$310,0)),"")</f>
        <v/>
      </c>
      <c r="I1960" s="19">
        <f>AND(G1960="Service A",H1960="Band 3")</f>
        <v/>
      </c>
      <c r="J1960" s="33">
        <f>IF(AND(YEAR(B1960)=2025,G1960="Service B",OR(H1960="Band 3",H1960="Band 5"),ISNUMBER(F1960)),F1960,"")</f>
        <v/>
      </c>
    </row>
    <row r="1961">
      <c r="A1961" s="19" t="inlineStr">
        <is>
          <t>User1210</t>
        </is>
      </c>
      <c r="B1961" s="60" t="n">
        <v>45931</v>
      </c>
      <c r="C1961" s="21" t="n">
        <v>170.2</v>
      </c>
      <c r="D1961" s="21" t="n">
        <v>155.9566666666667</v>
      </c>
      <c r="E1961" s="21" t="n">
        <v>131.64</v>
      </c>
      <c r="F1961" s="27">
        <f>IFERROR(IF(OR(C1961="",D1961="",C1961=0),"",D1961/C1961),"")</f>
        <v/>
      </c>
      <c r="G1961" s="21">
        <f>IFERROR(INDEX(Users!$A$2:$A$310,MATCH(A1961,Users!$B$2:$B$310,0)),"")</f>
        <v/>
      </c>
      <c r="H1961" s="21">
        <f>IFERROR(INDEX(Users!$D$2:$D$310,MATCH(A1961,Users!$B$2:$B$310,0)),"")</f>
        <v/>
      </c>
      <c r="I1961" s="19">
        <f>AND(G1961="Service A",H1961="Band 3")</f>
        <v/>
      </c>
      <c r="J1961" s="33">
        <f>IF(AND(YEAR(B1961)=2025,G1961="Service B",OR(H1961="Band 3",H1961="Band 5"),ISNUMBER(F1961)),F1961,"")</f>
        <v/>
      </c>
    </row>
    <row r="1962">
      <c r="A1962" s="19" t="inlineStr">
        <is>
          <t>User1210</t>
        </is>
      </c>
      <c r="B1962" s="60" t="n">
        <v>45962</v>
      </c>
      <c r="C1962" s="21" t="n">
        <v>148</v>
      </c>
      <c r="D1962" s="21" t="n">
        <v>148.06</v>
      </c>
      <c r="E1962" s="21" t="n">
        <v>125.06</v>
      </c>
      <c r="F1962" s="27">
        <f>IFERROR(IF(OR(C1962="",D1962="",C1962=0),"",D1962/C1962),"")</f>
        <v/>
      </c>
      <c r="G1962" s="21">
        <f>IFERROR(INDEX(Users!$A$2:$A$310,MATCH(A1962,Users!$B$2:$B$310,0)),"")</f>
        <v/>
      </c>
      <c r="H1962" s="21">
        <f>IFERROR(INDEX(Users!$D$2:$D$310,MATCH(A1962,Users!$B$2:$B$310,0)),"")</f>
        <v/>
      </c>
      <c r="I1962" s="19">
        <f>AND(G1962="Service A",H1962="Band 3")</f>
        <v/>
      </c>
      <c r="J1962" s="33">
        <f>IF(AND(YEAR(B1962)=2025,G1962="Service B",OR(H1962="Band 3",H1962="Band 5"),ISNUMBER(F1962)),F1962,"")</f>
        <v/>
      </c>
    </row>
    <row r="1963">
      <c r="A1963" s="19" t="inlineStr">
        <is>
          <t>User1210</t>
        </is>
      </c>
      <c r="B1963" s="60" t="n">
        <v>45992</v>
      </c>
      <c r="C1963" s="21" t="n">
        <v>155.4</v>
      </c>
      <c r="D1963" s="21" t="n">
        <v>96.22000000000001</v>
      </c>
      <c r="E1963" s="21" t="n">
        <v>82.72000000000001</v>
      </c>
      <c r="F1963" s="27">
        <f>IFERROR(IF(OR(C1963="",D1963="",C1963=0),"",D1963/C1963),"")</f>
        <v/>
      </c>
      <c r="G1963" s="21">
        <f>IFERROR(INDEX(Users!$A$2:$A$310,MATCH(A1963,Users!$B$2:$B$310,0)),"")</f>
        <v/>
      </c>
      <c r="H1963" s="21">
        <f>IFERROR(INDEX(Users!$D$2:$D$310,MATCH(A1963,Users!$B$2:$B$310,0)),"")</f>
        <v/>
      </c>
      <c r="I1963" s="19">
        <f>AND(G1963="Service A",H1963="Band 3")</f>
        <v/>
      </c>
      <c r="J1963" s="33">
        <f>IF(AND(YEAR(B1963)=2025,G1963="Service B",OR(H1963="Band 3",H1963="Band 5"),ISNUMBER(F1963)),F1963,"")</f>
        <v/>
      </c>
    </row>
    <row r="1964">
      <c r="A1964" s="19" t="inlineStr">
        <is>
          <t>User1210</t>
        </is>
      </c>
      <c r="B1964" s="60" t="n">
        <v>46023</v>
      </c>
      <c r="C1964" s="21" t="n">
        <v>155.4</v>
      </c>
      <c r="D1964" s="21" t="n">
        <v>96.11000000000001</v>
      </c>
      <c r="E1964" s="21" t="n">
        <v>79.86000000000001</v>
      </c>
      <c r="F1964" s="27">
        <f>IFERROR(IF(OR(C1964="",D1964="",C1964=0),"",D1964/C1964),"")</f>
        <v/>
      </c>
      <c r="G1964" s="21">
        <f>IFERROR(INDEX(Users!$A$2:$A$310,MATCH(A1964,Users!$B$2:$B$310,0)),"")</f>
        <v/>
      </c>
      <c r="H1964" s="21">
        <f>IFERROR(INDEX(Users!$D$2:$D$310,MATCH(A1964,Users!$B$2:$B$310,0)),"")</f>
        <v/>
      </c>
      <c r="I1964" s="19">
        <f>AND(G1964="Service A",H1964="Band 3")</f>
        <v/>
      </c>
      <c r="J1964" s="33">
        <f>IF(AND(YEAR(B1964)=2025,G1964="Service B",OR(H1964="Band 3",H1964="Band 5"),ISNUMBER(F1964)),F1964,"")</f>
        <v/>
      </c>
    </row>
    <row r="1965">
      <c r="A1965" s="19" t="inlineStr">
        <is>
          <t>User1211</t>
        </is>
      </c>
      <c r="B1965" s="60" t="n">
        <v>45658</v>
      </c>
      <c r="C1965" s="21" t="n">
        <v>162.8</v>
      </c>
      <c r="D1965" s="21" t="n"/>
      <c r="E1965" s="21" t="n"/>
      <c r="F1965" s="27">
        <f>IFERROR(IF(OR(C1965="",D1965="",C1965=0),"",D1965/C1965),"")</f>
        <v/>
      </c>
      <c r="G1965" s="21">
        <f>IFERROR(INDEX(Users!$A$2:$A$310,MATCH(A1965,Users!$B$2:$B$310,0)),"")</f>
        <v/>
      </c>
      <c r="H1965" s="21">
        <f>IFERROR(INDEX(Users!$D$2:$D$310,MATCH(A1965,Users!$B$2:$B$310,0)),"")</f>
        <v/>
      </c>
      <c r="I1965" s="19">
        <f>AND(G1965="Service A",H1965="Band 3")</f>
        <v/>
      </c>
      <c r="J1965" s="33">
        <f>IF(AND(YEAR(B1965)=2025,G1965="Service B",OR(H1965="Band 3",H1965="Band 5"),ISNUMBER(F1965)),F1965,"")</f>
        <v/>
      </c>
    </row>
    <row r="1966">
      <c r="A1966" s="19" t="inlineStr">
        <is>
          <t>User1211</t>
        </is>
      </c>
      <c r="B1966" s="60" t="n">
        <v>45689</v>
      </c>
      <c r="C1966" s="21" t="n">
        <v>148</v>
      </c>
      <c r="D1966" s="21" t="n"/>
      <c r="E1966" s="21" t="n"/>
      <c r="F1966" s="27">
        <f>IFERROR(IF(OR(C1966="",D1966="",C1966=0),"",D1966/C1966),"")</f>
        <v/>
      </c>
      <c r="G1966" s="21">
        <f>IFERROR(INDEX(Users!$A$2:$A$310,MATCH(A1966,Users!$B$2:$B$310,0)),"")</f>
        <v/>
      </c>
      <c r="H1966" s="21">
        <f>IFERROR(INDEX(Users!$D$2:$D$310,MATCH(A1966,Users!$B$2:$B$310,0)),"")</f>
        <v/>
      </c>
      <c r="I1966" s="19">
        <f>AND(G1966="Service A",H1966="Band 3")</f>
        <v/>
      </c>
      <c r="J1966" s="33">
        <f>IF(AND(YEAR(B1966)=2025,G1966="Service B",OR(H1966="Band 3",H1966="Band 5"),ISNUMBER(F1966)),F1966,"")</f>
        <v/>
      </c>
    </row>
    <row r="1967">
      <c r="A1967" s="19" t="inlineStr">
        <is>
          <t>User1211</t>
        </is>
      </c>
      <c r="B1967" s="60" t="n">
        <v>45717</v>
      </c>
      <c r="C1967" s="21" t="n">
        <v>155.4</v>
      </c>
      <c r="D1967" s="21" t="n">
        <v>65.08333333333333</v>
      </c>
      <c r="E1967" s="21" t="n">
        <v>27.75</v>
      </c>
      <c r="F1967" s="27">
        <f>IFERROR(IF(OR(C1967="",D1967="",C1967=0),"",D1967/C1967),"")</f>
        <v/>
      </c>
      <c r="G1967" s="21">
        <f>IFERROR(INDEX(Users!$A$2:$A$310,MATCH(A1967,Users!$B$2:$B$310,0)),"")</f>
        <v/>
      </c>
      <c r="H1967" s="21">
        <f>IFERROR(INDEX(Users!$D$2:$D$310,MATCH(A1967,Users!$B$2:$B$310,0)),"")</f>
        <v/>
      </c>
      <c r="I1967" s="19">
        <f>AND(G1967="Service A",H1967="Band 3")</f>
        <v/>
      </c>
      <c r="J1967" s="33">
        <f>IF(AND(YEAR(B1967)=2025,G1967="Service B",OR(H1967="Band 3",H1967="Band 5"),ISNUMBER(F1967)),F1967,"")</f>
        <v/>
      </c>
    </row>
    <row r="1968">
      <c r="A1968" s="19" t="inlineStr">
        <is>
          <t>User1211</t>
        </is>
      </c>
      <c r="B1968" s="60" t="n">
        <v>45748</v>
      </c>
      <c r="C1968" s="21" t="n">
        <v>148</v>
      </c>
      <c r="D1968" s="21" t="n">
        <v>113.1666666666667</v>
      </c>
      <c r="E1968" s="21" t="n">
        <v>56</v>
      </c>
      <c r="F1968" s="27">
        <f>IFERROR(IF(OR(C1968="",D1968="",C1968=0),"",D1968/C1968),"")</f>
        <v/>
      </c>
      <c r="G1968" s="21">
        <f>IFERROR(INDEX(Users!$A$2:$A$310,MATCH(A1968,Users!$B$2:$B$310,0)),"")</f>
        <v/>
      </c>
      <c r="H1968" s="21">
        <f>IFERROR(INDEX(Users!$D$2:$D$310,MATCH(A1968,Users!$B$2:$B$310,0)),"")</f>
        <v/>
      </c>
      <c r="I1968" s="19">
        <f>AND(G1968="Service A",H1968="Band 3")</f>
        <v/>
      </c>
      <c r="J1968" s="33">
        <f>IF(AND(YEAR(B1968)=2025,G1968="Service B",OR(H1968="Band 3",H1968="Band 5"),ISNUMBER(F1968)),F1968,"")</f>
        <v/>
      </c>
    </row>
    <row r="1969">
      <c r="A1969" s="19" t="inlineStr">
        <is>
          <t>User1211</t>
        </is>
      </c>
      <c r="B1969" s="60" t="n">
        <v>45778</v>
      </c>
      <c r="C1969" s="21" t="n">
        <v>148</v>
      </c>
      <c r="D1969" s="21" t="n">
        <v>130.08</v>
      </c>
      <c r="E1969" s="21" t="n">
        <v>72.83</v>
      </c>
      <c r="F1969" s="27">
        <f>IFERROR(IF(OR(C1969="",D1969="",C1969=0),"",D1969/C1969),"")</f>
        <v/>
      </c>
      <c r="G1969" s="21">
        <f>IFERROR(INDEX(Users!$A$2:$A$310,MATCH(A1969,Users!$B$2:$B$310,0)),"")</f>
        <v/>
      </c>
      <c r="H1969" s="21">
        <f>IFERROR(INDEX(Users!$D$2:$D$310,MATCH(A1969,Users!$B$2:$B$310,0)),"")</f>
        <v/>
      </c>
      <c r="I1969" s="19">
        <f>AND(G1969="Service A",H1969="Band 3")</f>
        <v/>
      </c>
      <c r="J1969" s="33">
        <f>IF(AND(YEAR(B1969)=2025,G1969="Service B",OR(H1969="Band 3",H1969="Band 5"),ISNUMBER(F1969)),F1969,"")</f>
        <v/>
      </c>
    </row>
    <row r="1970">
      <c r="A1970" s="19" t="inlineStr">
        <is>
          <t>User1211</t>
        </is>
      </c>
      <c r="B1970" s="60" t="n">
        <v>45809</v>
      </c>
      <c r="C1970" s="21" t="n">
        <v>155.4</v>
      </c>
      <c r="D1970" s="21" t="n">
        <v>135.25</v>
      </c>
      <c r="E1970" s="21" t="n">
        <v>81.75</v>
      </c>
      <c r="F1970" s="27">
        <f>IFERROR(IF(OR(C1970="",D1970="",C1970=0),"",D1970/C1970),"")</f>
        <v/>
      </c>
      <c r="G1970" s="21">
        <f>IFERROR(INDEX(Users!$A$2:$A$310,MATCH(A1970,Users!$B$2:$B$310,0)),"")</f>
        <v/>
      </c>
      <c r="H1970" s="21">
        <f>IFERROR(INDEX(Users!$D$2:$D$310,MATCH(A1970,Users!$B$2:$B$310,0)),"")</f>
        <v/>
      </c>
      <c r="I1970" s="19">
        <f>AND(G1970="Service A",H1970="Band 3")</f>
        <v/>
      </c>
      <c r="J1970" s="33">
        <f>IF(AND(YEAR(B1970)=2025,G1970="Service B",OR(H1970="Band 3",H1970="Band 5"),ISNUMBER(F1970)),F1970,"")</f>
        <v/>
      </c>
    </row>
    <row r="1971">
      <c r="A1971" s="19" t="inlineStr">
        <is>
          <t>User1211</t>
        </is>
      </c>
      <c r="B1971" s="60" t="n">
        <v>45839</v>
      </c>
      <c r="C1971" s="21" t="n">
        <v>170.2</v>
      </c>
      <c r="D1971" s="21" t="n">
        <v>142.75</v>
      </c>
      <c r="E1971" s="21" t="n">
        <v>95.25</v>
      </c>
      <c r="F1971" s="27">
        <f>IFERROR(IF(OR(C1971="",D1971="",C1971=0),"",D1971/C1971),"")</f>
        <v/>
      </c>
      <c r="G1971" s="21">
        <f>IFERROR(INDEX(Users!$A$2:$A$310,MATCH(A1971,Users!$B$2:$B$310,0)),"")</f>
        <v/>
      </c>
      <c r="H1971" s="21">
        <f>IFERROR(INDEX(Users!$D$2:$D$310,MATCH(A1971,Users!$B$2:$B$310,0)),"")</f>
        <v/>
      </c>
      <c r="I1971" s="19">
        <f>AND(G1971="Service A",H1971="Band 3")</f>
        <v/>
      </c>
      <c r="J1971" s="33">
        <f>IF(AND(YEAR(B1971)=2025,G1971="Service B",OR(H1971="Band 3",H1971="Band 5"),ISNUMBER(F1971)),F1971,"")</f>
        <v/>
      </c>
    </row>
    <row r="1972">
      <c r="A1972" s="19" t="inlineStr">
        <is>
          <t>User1211</t>
        </is>
      </c>
      <c r="B1972" s="60" t="n">
        <v>45870</v>
      </c>
      <c r="C1972" s="21" t="n">
        <v>148</v>
      </c>
      <c r="D1972" s="21" t="n">
        <v>120</v>
      </c>
      <c r="E1972" s="21" t="n">
        <v>82</v>
      </c>
      <c r="F1972" s="27">
        <f>IFERROR(IF(OR(C1972="",D1972="",C1972=0),"",D1972/C1972),"")</f>
        <v/>
      </c>
      <c r="G1972" s="21">
        <f>IFERROR(INDEX(Users!$A$2:$A$310,MATCH(A1972,Users!$B$2:$B$310,0)),"")</f>
        <v/>
      </c>
      <c r="H1972" s="21">
        <f>IFERROR(INDEX(Users!$D$2:$D$310,MATCH(A1972,Users!$B$2:$B$310,0)),"")</f>
        <v/>
      </c>
      <c r="I1972" s="19">
        <f>AND(G1972="Service A",H1972="Band 3")</f>
        <v/>
      </c>
      <c r="J1972" s="33">
        <f>IF(AND(YEAR(B1972)=2025,G1972="Service B",OR(H1972="Band 3",H1972="Band 5"),ISNUMBER(F1972)),F1972,"")</f>
        <v/>
      </c>
    </row>
    <row r="1973">
      <c r="A1973" s="19" t="inlineStr">
        <is>
          <t>User1211</t>
        </is>
      </c>
      <c r="B1973" s="60" t="n">
        <v>45901</v>
      </c>
      <c r="C1973" s="21" t="n">
        <v>162.8</v>
      </c>
      <c r="D1973" s="21" t="n">
        <v>139.25</v>
      </c>
      <c r="E1973" s="21" t="n">
        <v>90</v>
      </c>
      <c r="F1973" s="27">
        <f>IFERROR(IF(OR(C1973="",D1973="",C1973=0),"",D1973/C1973),"")</f>
        <v/>
      </c>
      <c r="G1973" s="21">
        <f>IFERROR(INDEX(Users!$A$2:$A$310,MATCH(A1973,Users!$B$2:$B$310,0)),"")</f>
        <v/>
      </c>
      <c r="H1973" s="21">
        <f>IFERROR(INDEX(Users!$D$2:$D$310,MATCH(A1973,Users!$B$2:$B$310,0)),"")</f>
        <v/>
      </c>
      <c r="I1973" s="19">
        <f>AND(G1973="Service A",H1973="Band 3")</f>
        <v/>
      </c>
      <c r="J1973" s="33">
        <f>IF(AND(YEAR(B1973)=2025,G1973="Service B",OR(H1973="Band 3",H1973="Band 5"),ISNUMBER(F1973)),F1973,"")</f>
        <v/>
      </c>
    </row>
    <row r="1974">
      <c r="A1974" s="19" t="inlineStr">
        <is>
          <t>User1211</t>
        </is>
      </c>
      <c r="B1974" s="60" t="n">
        <v>45931</v>
      </c>
      <c r="C1974" s="21" t="n">
        <v>170.2</v>
      </c>
      <c r="D1974" s="21" t="n">
        <v>128.33</v>
      </c>
      <c r="E1974" s="21" t="n">
        <v>88.33</v>
      </c>
      <c r="F1974" s="27">
        <f>IFERROR(IF(OR(C1974="",D1974="",C1974=0),"",D1974/C1974),"")</f>
        <v/>
      </c>
      <c r="G1974" s="21">
        <f>IFERROR(INDEX(Users!$A$2:$A$310,MATCH(A1974,Users!$B$2:$B$310,0)),"")</f>
        <v/>
      </c>
      <c r="H1974" s="21">
        <f>IFERROR(INDEX(Users!$D$2:$D$310,MATCH(A1974,Users!$B$2:$B$310,0)),"")</f>
        <v/>
      </c>
      <c r="I1974" s="19">
        <f>AND(G1974="Service A",H1974="Band 3")</f>
        <v/>
      </c>
      <c r="J1974" s="33">
        <f>IF(AND(YEAR(B1974)=2025,G1974="Service B",OR(H1974="Band 3",H1974="Band 5"),ISNUMBER(F1974)),F1974,"")</f>
        <v/>
      </c>
    </row>
    <row r="1975">
      <c r="A1975" s="19" t="inlineStr">
        <is>
          <t>User1211</t>
        </is>
      </c>
      <c r="B1975" s="60" t="n">
        <v>45962</v>
      </c>
      <c r="C1975" s="21" t="n">
        <v>148</v>
      </c>
      <c r="D1975" s="21" t="n">
        <v>117.0833333333333</v>
      </c>
      <c r="E1975" s="21" t="n">
        <v>93.5</v>
      </c>
      <c r="F1975" s="27">
        <f>IFERROR(IF(OR(C1975="",D1975="",C1975=0),"",D1975/C1975),"")</f>
        <v/>
      </c>
      <c r="G1975" s="21">
        <f>IFERROR(INDEX(Users!$A$2:$A$310,MATCH(A1975,Users!$B$2:$B$310,0)),"")</f>
        <v/>
      </c>
      <c r="H1975" s="21">
        <f>IFERROR(INDEX(Users!$D$2:$D$310,MATCH(A1975,Users!$B$2:$B$310,0)),"")</f>
        <v/>
      </c>
      <c r="I1975" s="19">
        <f>AND(G1975="Service A",H1975="Band 3")</f>
        <v/>
      </c>
      <c r="J1975" s="33">
        <f>IF(AND(YEAR(B1975)=2025,G1975="Service B",OR(H1975="Band 3",H1975="Band 5"),ISNUMBER(F1975)),F1975,"")</f>
        <v/>
      </c>
    </row>
    <row r="1976">
      <c r="A1976" s="19" t="inlineStr">
        <is>
          <t>User1211</t>
        </is>
      </c>
      <c r="B1976" s="60" t="n">
        <v>45992</v>
      </c>
      <c r="C1976" s="21" t="n">
        <v>155.4</v>
      </c>
      <c r="D1976" s="21" t="n">
        <v>144.1666666666667</v>
      </c>
      <c r="E1976" s="21" t="n">
        <v>113.75</v>
      </c>
      <c r="F1976" s="27">
        <f>IFERROR(IF(OR(C1976="",D1976="",C1976=0),"",D1976/C1976),"")</f>
        <v/>
      </c>
      <c r="G1976" s="21">
        <f>IFERROR(INDEX(Users!$A$2:$A$310,MATCH(A1976,Users!$B$2:$B$310,0)),"")</f>
        <v/>
      </c>
      <c r="H1976" s="21">
        <f>IFERROR(INDEX(Users!$D$2:$D$310,MATCH(A1976,Users!$B$2:$B$310,0)),"")</f>
        <v/>
      </c>
      <c r="I1976" s="19">
        <f>AND(G1976="Service A",H1976="Band 3")</f>
        <v/>
      </c>
      <c r="J1976" s="33">
        <f>IF(AND(YEAR(B1976)=2025,G1976="Service B",OR(H1976="Band 3",H1976="Band 5"),ISNUMBER(F1976)),F1976,"")</f>
        <v/>
      </c>
    </row>
    <row r="1977">
      <c r="A1977" s="19" t="inlineStr">
        <is>
          <t>User1211</t>
        </is>
      </c>
      <c r="B1977" s="60" t="n">
        <v>46023</v>
      </c>
      <c r="C1977" s="21" t="n">
        <v>155.4</v>
      </c>
      <c r="D1977" s="21" t="n">
        <v>148.5</v>
      </c>
      <c r="E1977" s="21" t="n">
        <v>118.25</v>
      </c>
      <c r="F1977" s="27">
        <f>IFERROR(IF(OR(C1977="",D1977="",C1977=0),"",D1977/C1977),"")</f>
        <v/>
      </c>
      <c r="G1977" s="21">
        <f>IFERROR(INDEX(Users!$A$2:$A$310,MATCH(A1977,Users!$B$2:$B$310,0)),"")</f>
        <v/>
      </c>
      <c r="H1977" s="21">
        <f>IFERROR(INDEX(Users!$D$2:$D$310,MATCH(A1977,Users!$B$2:$B$310,0)),"")</f>
        <v/>
      </c>
      <c r="I1977" s="19">
        <f>AND(G1977="Service A",H1977="Band 3")</f>
        <v/>
      </c>
      <c r="J1977" s="33">
        <f>IF(AND(YEAR(B1977)=2025,G1977="Service B",OR(H1977="Band 3",H1977="Band 5"),ISNUMBER(F1977)),F1977,"")</f>
        <v/>
      </c>
    </row>
    <row r="1978">
      <c r="A1978" s="19" t="inlineStr">
        <is>
          <t>User1212</t>
        </is>
      </c>
      <c r="B1978" s="60" t="n">
        <v>45658</v>
      </c>
      <c r="C1978" s="21" t="n">
        <v>162.8</v>
      </c>
      <c r="D1978" s="21" t="n">
        <v>142.8033333333333</v>
      </c>
      <c r="E1978" s="21" t="n">
        <v>119.17</v>
      </c>
      <c r="F1978" s="27">
        <f>IFERROR(IF(OR(C1978="",D1978="",C1978=0),"",D1978/C1978),"")</f>
        <v/>
      </c>
      <c r="G1978" s="21">
        <f>IFERROR(INDEX(Users!$A$2:$A$310,MATCH(A1978,Users!$B$2:$B$310,0)),"")</f>
        <v/>
      </c>
      <c r="H1978" s="21">
        <f>IFERROR(INDEX(Users!$D$2:$D$310,MATCH(A1978,Users!$B$2:$B$310,0)),"")</f>
        <v/>
      </c>
      <c r="I1978" s="19">
        <f>AND(G1978="Service A",H1978="Band 3")</f>
        <v/>
      </c>
      <c r="J1978" s="33">
        <f>IF(AND(YEAR(B1978)=2025,G1978="Service B",OR(H1978="Band 3",H1978="Band 5"),ISNUMBER(F1978)),F1978,"")</f>
        <v/>
      </c>
    </row>
    <row r="1979">
      <c r="A1979" s="19" t="inlineStr">
        <is>
          <t>User1212</t>
        </is>
      </c>
      <c r="B1979" s="60" t="n">
        <v>45689</v>
      </c>
      <c r="C1979" s="21" t="n">
        <v>148</v>
      </c>
      <c r="D1979" s="21" t="n">
        <v>138.3722222222222</v>
      </c>
      <c r="E1979" s="21" t="n">
        <v>120.7</v>
      </c>
      <c r="F1979" s="27">
        <f>IFERROR(IF(OR(C1979="",D1979="",C1979=0),"",D1979/C1979),"")</f>
        <v/>
      </c>
      <c r="G1979" s="21">
        <f>IFERROR(INDEX(Users!$A$2:$A$310,MATCH(A1979,Users!$B$2:$B$310,0)),"")</f>
        <v/>
      </c>
      <c r="H1979" s="21">
        <f>IFERROR(INDEX(Users!$D$2:$D$310,MATCH(A1979,Users!$B$2:$B$310,0)),"")</f>
        <v/>
      </c>
      <c r="I1979" s="19">
        <f>AND(G1979="Service A",H1979="Band 3")</f>
        <v/>
      </c>
      <c r="J1979" s="33">
        <f>IF(AND(YEAR(B1979)=2025,G1979="Service B",OR(H1979="Band 3",H1979="Band 5"),ISNUMBER(F1979)),F1979,"")</f>
        <v/>
      </c>
    </row>
    <row r="1980">
      <c r="A1980" s="19" t="inlineStr">
        <is>
          <t>User1212</t>
        </is>
      </c>
      <c r="B1980" s="60" t="n">
        <v>45717</v>
      </c>
      <c r="C1980" s="21" t="n">
        <v>155.4</v>
      </c>
      <c r="D1980" s="21" t="n">
        <v>139.2583333333333</v>
      </c>
      <c r="E1980" s="21" t="n">
        <v>97.75</v>
      </c>
      <c r="F1980" s="27">
        <f>IFERROR(IF(OR(C1980="",D1980="",C1980=0),"",D1980/C1980),"")</f>
        <v/>
      </c>
      <c r="G1980" s="21">
        <f>IFERROR(INDEX(Users!$A$2:$A$310,MATCH(A1980,Users!$B$2:$B$310,0)),"")</f>
        <v/>
      </c>
      <c r="H1980" s="21">
        <f>IFERROR(INDEX(Users!$D$2:$D$310,MATCH(A1980,Users!$B$2:$B$310,0)),"")</f>
        <v/>
      </c>
      <c r="I1980" s="19">
        <f>AND(G1980="Service A",H1980="Band 3")</f>
        <v/>
      </c>
      <c r="J1980" s="33">
        <f>IF(AND(YEAR(B1980)=2025,G1980="Service B",OR(H1980="Band 3",H1980="Band 5"),ISNUMBER(F1980)),F1980,"")</f>
        <v/>
      </c>
    </row>
    <row r="1981">
      <c r="A1981" s="19" t="inlineStr">
        <is>
          <t>User1212</t>
        </is>
      </c>
      <c r="B1981" s="60" t="n">
        <v>45748</v>
      </c>
      <c r="C1981" s="21" t="n">
        <v>148</v>
      </c>
      <c r="D1981" s="21" t="n">
        <v>137.3333333333333</v>
      </c>
      <c r="E1981" s="21" t="n">
        <v>85</v>
      </c>
      <c r="F1981" s="27">
        <f>IFERROR(IF(OR(C1981="",D1981="",C1981=0),"",D1981/C1981),"")</f>
        <v/>
      </c>
      <c r="G1981" s="21">
        <f>IFERROR(INDEX(Users!$A$2:$A$310,MATCH(A1981,Users!$B$2:$B$310,0)),"")</f>
        <v/>
      </c>
      <c r="H1981" s="21">
        <f>IFERROR(INDEX(Users!$D$2:$D$310,MATCH(A1981,Users!$B$2:$B$310,0)),"")</f>
        <v/>
      </c>
      <c r="I1981" s="19">
        <f>AND(G1981="Service A",H1981="Band 3")</f>
        <v/>
      </c>
      <c r="J1981" s="33">
        <f>IF(AND(YEAR(B1981)=2025,G1981="Service B",OR(H1981="Band 3",H1981="Band 5"),ISNUMBER(F1981)),F1981,"")</f>
        <v/>
      </c>
    </row>
    <row r="1982">
      <c r="A1982" s="19" t="inlineStr">
        <is>
          <t>User1212</t>
        </is>
      </c>
      <c r="B1982" s="60" t="n">
        <v>45778</v>
      </c>
      <c r="C1982" s="21" t="n">
        <v>148</v>
      </c>
      <c r="D1982" s="21" t="n">
        <v>138.0116666666667</v>
      </c>
      <c r="E1982" s="21" t="n">
        <v>99.42</v>
      </c>
      <c r="F1982" s="27">
        <f>IFERROR(IF(OR(C1982="",D1982="",C1982=0),"",D1982/C1982),"")</f>
        <v/>
      </c>
      <c r="G1982" s="21">
        <f>IFERROR(INDEX(Users!$A$2:$A$310,MATCH(A1982,Users!$B$2:$B$310,0)),"")</f>
        <v/>
      </c>
      <c r="H1982" s="21">
        <f>IFERROR(INDEX(Users!$D$2:$D$310,MATCH(A1982,Users!$B$2:$B$310,0)),"")</f>
        <v/>
      </c>
      <c r="I1982" s="19">
        <f>AND(G1982="Service A",H1982="Band 3")</f>
        <v/>
      </c>
      <c r="J1982" s="33">
        <f>IF(AND(YEAR(B1982)=2025,G1982="Service B",OR(H1982="Band 3",H1982="Band 5"),ISNUMBER(F1982)),F1982,"")</f>
        <v/>
      </c>
    </row>
    <row r="1983">
      <c r="A1983" s="19" t="inlineStr">
        <is>
          <t>User1212</t>
        </is>
      </c>
      <c r="B1983" s="60" t="n">
        <v>45809</v>
      </c>
      <c r="C1983" s="21" t="n">
        <v>155.4</v>
      </c>
      <c r="D1983" s="21" t="n">
        <v>148.9166666666667</v>
      </c>
      <c r="E1983" s="21" t="n">
        <v>96.5</v>
      </c>
      <c r="F1983" s="27">
        <f>IFERROR(IF(OR(C1983="",D1983="",C1983=0),"",D1983/C1983),"")</f>
        <v/>
      </c>
      <c r="G1983" s="21">
        <f>IFERROR(INDEX(Users!$A$2:$A$310,MATCH(A1983,Users!$B$2:$B$310,0)),"")</f>
        <v/>
      </c>
      <c r="H1983" s="21">
        <f>IFERROR(INDEX(Users!$D$2:$D$310,MATCH(A1983,Users!$B$2:$B$310,0)),"")</f>
        <v/>
      </c>
      <c r="I1983" s="19">
        <f>AND(G1983="Service A",H1983="Band 3")</f>
        <v/>
      </c>
      <c r="J1983" s="33">
        <f>IF(AND(YEAR(B1983)=2025,G1983="Service B",OR(H1983="Band 3",H1983="Band 5"),ISNUMBER(F1983)),F1983,"")</f>
        <v/>
      </c>
    </row>
    <row r="1984">
      <c r="A1984" s="19" t="inlineStr">
        <is>
          <t>User1212</t>
        </is>
      </c>
      <c r="B1984" s="60" t="n">
        <v>45839</v>
      </c>
      <c r="C1984" s="21" t="n">
        <v>170.2</v>
      </c>
      <c r="D1984" s="21" t="n">
        <v>166.2083333333333</v>
      </c>
      <c r="E1984" s="21" t="n">
        <v>113.65</v>
      </c>
      <c r="F1984" s="27">
        <f>IFERROR(IF(OR(C1984="",D1984="",C1984=0),"",D1984/C1984),"")</f>
        <v/>
      </c>
      <c r="G1984" s="21">
        <f>IFERROR(INDEX(Users!$A$2:$A$310,MATCH(A1984,Users!$B$2:$B$310,0)),"")</f>
        <v/>
      </c>
      <c r="H1984" s="21">
        <f>IFERROR(INDEX(Users!$D$2:$D$310,MATCH(A1984,Users!$B$2:$B$310,0)),"")</f>
        <v/>
      </c>
      <c r="I1984" s="19">
        <f>AND(G1984="Service A",H1984="Band 3")</f>
        <v/>
      </c>
      <c r="J1984" s="33">
        <f>IF(AND(YEAR(B1984)=2025,G1984="Service B",OR(H1984="Band 3",H1984="Band 5"),ISNUMBER(F1984)),F1984,"")</f>
        <v/>
      </c>
    </row>
    <row r="1985">
      <c r="A1985" s="19" t="inlineStr">
        <is>
          <t>User1212</t>
        </is>
      </c>
      <c r="B1985" s="60" t="n">
        <v>45870</v>
      </c>
      <c r="C1985" s="21" t="n">
        <v>148</v>
      </c>
      <c r="D1985" s="21" t="n">
        <v>59.50833333333333</v>
      </c>
      <c r="E1985" s="21" t="n">
        <v>45.5</v>
      </c>
      <c r="F1985" s="27">
        <f>IFERROR(IF(OR(C1985="",D1985="",C1985=0),"",D1985/C1985),"")</f>
        <v/>
      </c>
      <c r="G1985" s="21">
        <f>IFERROR(INDEX(Users!$A$2:$A$310,MATCH(A1985,Users!$B$2:$B$310,0)),"")</f>
        <v/>
      </c>
      <c r="H1985" s="21">
        <f>IFERROR(INDEX(Users!$D$2:$D$310,MATCH(A1985,Users!$B$2:$B$310,0)),"")</f>
        <v/>
      </c>
      <c r="I1985" s="19">
        <f>AND(G1985="Service A",H1985="Band 3")</f>
        <v/>
      </c>
      <c r="J1985" s="33">
        <f>IF(AND(YEAR(B1985)=2025,G1985="Service B",OR(H1985="Band 3",H1985="Band 5"),ISNUMBER(F1985)),F1985,"")</f>
        <v/>
      </c>
    </row>
    <row r="1986">
      <c r="A1986" s="19" t="inlineStr">
        <is>
          <t>User1212</t>
        </is>
      </c>
      <c r="B1986" s="60" t="n">
        <v>45901</v>
      </c>
      <c r="C1986" s="21" t="n">
        <v>162.8</v>
      </c>
      <c r="D1986" s="21" t="n">
        <v>158.595</v>
      </c>
      <c r="E1986" s="21" t="n">
        <v>128.17</v>
      </c>
      <c r="F1986" s="27">
        <f>IFERROR(IF(OR(C1986="",D1986="",C1986=0),"",D1986/C1986),"")</f>
        <v/>
      </c>
      <c r="G1986" s="21">
        <f>IFERROR(INDEX(Users!$A$2:$A$310,MATCH(A1986,Users!$B$2:$B$310,0)),"")</f>
        <v/>
      </c>
      <c r="H1986" s="21">
        <f>IFERROR(INDEX(Users!$D$2:$D$310,MATCH(A1986,Users!$B$2:$B$310,0)),"")</f>
        <v/>
      </c>
      <c r="I1986" s="19">
        <f>AND(G1986="Service A",H1986="Band 3")</f>
        <v/>
      </c>
      <c r="J1986" s="33">
        <f>IF(AND(YEAR(B1986)=2025,G1986="Service B",OR(H1986="Band 3",H1986="Band 5"),ISNUMBER(F1986)),F1986,"")</f>
        <v/>
      </c>
    </row>
    <row r="1987">
      <c r="A1987" s="19" t="inlineStr">
        <is>
          <t>User1212</t>
        </is>
      </c>
      <c r="B1987" s="60" t="n">
        <v>45931</v>
      </c>
      <c r="C1987" s="21" t="n">
        <v>170.2</v>
      </c>
      <c r="D1987" s="21" t="n">
        <v>159.4166666666667</v>
      </c>
      <c r="E1987" s="21" t="n">
        <v>108.5</v>
      </c>
      <c r="F1987" s="27">
        <f>IFERROR(IF(OR(C1987="",D1987="",C1987=0),"",D1987/C1987),"")</f>
        <v/>
      </c>
      <c r="G1987" s="21">
        <f>IFERROR(INDEX(Users!$A$2:$A$310,MATCH(A1987,Users!$B$2:$B$310,0)),"")</f>
        <v/>
      </c>
      <c r="H1987" s="21">
        <f>IFERROR(INDEX(Users!$D$2:$D$310,MATCH(A1987,Users!$B$2:$B$310,0)),"")</f>
        <v/>
      </c>
      <c r="I1987" s="19">
        <f>AND(G1987="Service A",H1987="Band 3")</f>
        <v/>
      </c>
      <c r="J1987" s="33">
        <f>IF(AND(YEAR(B1987)=2025,G1987="Service B",OR(H1987="Band 3",H1987="Band 5"),ISNUMBER(F1987)),F1987,"")</f>
        <v/>
      </c>
    </row>
    <row r="1988">
      <c r="A1988" s="19" t="inlineStr">
        <is>
          <t>User1212</t>
        </is>
      </c>
      <c r="B1988" s="60" t="n">
        <v>45962</v>
      </c>
      <c r="C1988" s="21" t="n">
        <v>148</v>
      </c>
      <c r="D1988" s="21" t="n">
        <v>147.18</v>
      </c>
      <c r="E1988" s="21" t="n">
        <v>102.68</v>
      </c>
      <c r="F1988" s="27">
        <f>IFERROR(IF(OR(C1988="",D1988="",C1988=0),"",D1988/C1988),"")</f>
        <v/>
      </c>
      <c r="G1988" s="21">
        <f>IFERROR(INDEX(Users!$A$2:$A$310,MATCH(A1988,Users!$B$2:$B$310,0)),"")</f>
        <v/>
      </c>
      <c r="H1988" s="21">
        <f>IFERROR(INDEX(Users!$D$2:$D$310,MATCH(A1988,Users!$B$2:$B$310,0)),"")</f>
        <v/>
      </c>
      <c r="I1988" s="19">
        <f>AND(G1988="Service A",H1988="Band 3")</f>
        <v/>
      </c>
      <c r="J1988" s="33">
        <f>IF(AND(YEAR(B1988)=2025,G1988="Service B",OR(H1988="Band 3",H1988="Band 5"),ISNUMBER(F1988)),F1988,"")</f>
        <v/>
      </c>
    </row>
    <row r="1989">
      <c r="A1989" s="19" t="inlineStr">
        <is>
          <t>User1212</t>
        </is>
      </c>
      <c r="B1989" s="60" t="n">
        <v>45992</v>
      </c>
      <c r="C1989" s="21" t="n">
        <v>155.4</v>
      </c>
      <c r="D1989" s="21" t="n">
        <v>150.4</v>
      </c>
      <c r="E1989" s="21" t="n">
        <v>94</v>
      </c>
      <c r="F1989" s="27">
        <f>IFERROR(IF(OR(C1989="",D1989="",C1989=0),"",D1989/C1989),"")</f>
        <v/>
      </c>
      <c r="G1989" s="21">
        <f>IFERROR(INDEX(Users!$A$2:$A$310,MATCH(A1989,Users!$B$2:$B$310,0)),"")</f>
        <v/>
      </c>
      <c r="H1989" s="21">
        <f>IFERROR(INDEX(Users!$D$2:$D$310,MATCH(A1989,Users!$B$2:$B$310,0)),"")</f>
        <v/>
      </c>
      <c r="I1989" s="19">
        <f>AND(G1989="Service A",H1989="Band 3")</f>
        <v/>
      </c>
      <c r="J1989" s="33">
        <f>IF(AND(YEAR(B1989)=2025,G1989="Service B",OR(H1989="Band 3",H1989="Band 5"),ISNUMBER(F1989)),F1989,"")</f>
        <v/>
      </c>
    </row>
    <row r="1990">
      <c r="A1990" s="19" t="inlineStr">
        <is>
          <t>User1212</t>
        </is>
      </c>
      <c r="B1990" s="60" t="n">
        <v>46023</v>
      </c>
      <c r="C1990" s="21" t="n">
        <v>155.4</v>
      </c>
      <c r="D1990" s="21" t="n">
        <v>52.9</v>
      </c>
      <c r="E1990" s="21" t="n">
        <v>30</v>
      </c>
      <c r="F1990" s="27">
        <f>IFERROR(IF(OR(C1990="",D1990="",C1990=0),"",D1990/C1990),"")</f>
        <v/>
      </c>
      <c r="G1990" s="21">
        <f>IFERROR(INDEX(Users!$A$2:$A$310,MATCH(A1990,Users!$B$2:$B$310,0)),"")</f>
        <v/>
      </c>
      <c r="H1990" s="21">
        <f>IFERROR(INDEX(Users!$D$2:$D$310,MATCH(A1990,Users!$B$2:$B$310,0)),"")</f>
        <v/>
      </c>
      <c r="I1990" s="19">
        <f>AND(G1990="Service A",H1990="Band 3")</f>
        <v/>
      </c>
      <c r="J1990" s="33">
        <f>IF(AND(YEAR(B1990)=2025,G1990="Service B",OR(H1990="Band 3",H1990="Band 5"),ISNUMBER(F1990)),F1990,"")</f>
        <v/>
      </c>
    </row>
    <row r="1991">
      <c r="A1991" s="19" t="inlineStr">
        <is>
          <t>User1213</t>
        </is>
      </c>
      <c r="B1991" s="60" t="n">
        <v>45658</v>
      </c>
      <c r="C1991" s="21" t="n">
        <v>162.8</v>
      </c>
      <c r="D1991" s="21" t="n">
        <v>155.8566666666667</v>
      </c>
      <c r="E1991" s="21" t="n">
        <v>133.99</v>
      </c>
      <c r="F1991" s="27">
        <f>IFERROR(IF(OR(C1991="",D1991="",C1991=0),"",D1991/C1991),"")</f>
        <v/>
      </c>
      <c r="G1991" s="21">
        <f>IFERROR(INDEX(Users!$A$2:$A$310,MATCH(A1991,Users!$B$2:$B$310,0)),"")</f>
        <v/>
      </c>
      <c r="H1991" s="21">
        <f>IFERROR(INDEX(Users!$D$2:$D$310,MATCH(A1991,Users!$B$2:$B$310,0)),"")</f>
        <v/>
      </c>
      <c r="I1991" s="19">
        <f>AND(G1991="Service A",H1991="Band 3")</f>
        <v/>
      </c>
      <c r="J1991" s="33">
        <f>IF(AND(YEAR(B1991)=2025,G1991="Service B",OR(H1991="Band 3",H1991="Band 5"),ISNUMBER(F1991)),F1991,"")</f>
        <v/>
      </c>
    </row>
    <row r="1992">
      <c r="A1992" s="19" t="inlineStr">
        <is>
          <t>User1213</t>
        </is>
      </c>
      <c r="B1992" s="60" t="n">
        <v>45689</v>
      </c>
      <c r="C1992" s="21" t="n">
        <v>148</v>
      </c>
      <c r="D1992" s="21" t="n">
        <v>153.0833333333333</v>
      </c>
      <c r="E1992" s="21" t="n">
        <v>129.45</v>
      </c>
      <c r="F1992" s="27">
        <f>IFERROR(IF(OR(C1992="",D1992="",C1992=0),"",D1992/C1992),"")</f>
        <v/>
      </c>
      <c r="G1992" s="21">
        <f>IFERROR(INDEX(Users!$A$2:$A$310,MATCH(A1992,Users!$B$2:$B$310,0)),"")</f>
        <v/>
      </c>
      <c r="H1992" s="21">
        <f>IFERROR(INDEX(Users!$D$2:$D$310,MATCH(A1992,Users!$B$2:$B$310,0)),"")</f>
        <v/>
      </c>
      <c r="I1992" s="19">
        <f>AND(G1992="Service A",H1992="Band 3")</f>
        <v/>
      </c>
      <c r="J1992" s="33">
        <f>IF(AND(YEAR(B1992)=2025,G1992="Service B",OR(H1992="Band 3",H1992="Band 5"),ISNUMBER(F1992)),F1992,"")</f>
        <v/>
      </c>
    </row>
    <row r="1993">
      <c r="A1993" s="19" t="inlineStr">
        <is>
          <t>User1213</t>
        </is>
      </c>
      <c r="B1993" s="60" t="n">
        <v>45717</v>
      </c>
      <c r="C1993" s="21" t="n">
        <v>155.4</v>
      </c>
      <c r="D1993" s="21" t="n">
        <v>159.05</v>
      </c>
      <c r="E1993" s="21" t="n">
        <v>136.2</v>
      </c>
      <c r="F1993" s="27">
        <f>IFERROR(IF(OR(C1993="",D1993="",C1993=0),"",D1993/C1993),"")</f>
        <v/>
      </c>
      <c r="G1993" s="21">
        <f>IFERROR(INDEX(Users!$A$2:$A$310,MATCH(A1993,Users!$B$2:$B$310,0)),"")</f>
        <v/>
      </c>
      <c r="H1993" s="21">
        <f>IFERROR(INDEX(Users!$D$2:$D$310,MATCH(A1993,Users!$B$2:$B$310,0)),"")</f>
        <v/>
      </c>
      <c r="I1993" s="19">
        <f>AND(G1993="Service A",H1993="Band 3")</f>
        <v/>
      </c>
      <c r="J1993" s="33">
        <f>IF(AND(YEAR(B1993)=2025,G1993="Service B",OR(H1993="Band 3",H1993="Band 5"),ISNUMBER(F1993)),F1993,"")</f>
        <v/>
      </c>
    </row>
    <row r="1994">
      <c r="A1994" s="19" t="inlineStr">
        <is>
          <t>User1213</t>
        </is>
      </c>
      <c r="B1994" s="60" t="n">
        <v>45748</v>
      </c>
      <c r="C1994" s="21" t="n">
        <v>148</v>
      </c>
      <c r="D1994" s="21" t="n">
        <v>136.2966666666667</v>
      </c>
      <c r="E1994" s="21" t="n">
        <v>104.83</v>
      </c>
      <c r="F1994" s="27">
        <f>IFERROR(IF(OR(C1994="",D1994="",C1994=0),"",D1994/C1994),"")</f>
        <v/>
      </c>
      <c r="G1994" s="21">
        <f>IFERROR(INDEX(Users!$A$2:$A$310,MATCH(A1994,Users!$B$2:$B$310,0)),"")</f>
        <v/>
      </c>
      <c r="H1994" s="21">
        <f>IFERROR(INDEX(Users!$D$2:$D$310,MATCH(A1994,Users!$B$2:$B$310,0)),"")</f>
        <v/>
      </c>
      <c r="I1994" s="19">
        <f>AND(G1994="Service A",H1994="Band 3")</f>
        <v/>
      </c>
      <c r="J1994" s="33">
        <f>IF(AND(YEAR(B1994)=2025,G1994="Service B",OR(H1994="Band 3",H1994="Band 5"),ISNUMBER(F1994)),F1994,"")</f>
        <v/>
      </c>
    </row>
    <row r="1995">
      <c r="A1995" s="19" t="inlineStr">
        <is>
          <t>User1213</t>
        </is>
      </c>
      <c r="B1995" s="60" t="n">
        <v>45778</v>
      </c>
      <c r="C1995" s="21" t="n">
        <v>148</v>
      </c>
      <c r="D1995" s="21" t="n">
        <v>148.4766666666667</v>
      </c>
      <c r="E1995" s="21" t="n">
        <v>139.06</v>
      </c>
      <c r="F1995" s="27">
        <f>IFERROR(IF(OR(C1995="",D1995="",C1995=0),"",D1995/C1995),"")</f>
        <v/>
      </c>
      <c r="G1995" s="21">
        <f>IFERROR(INDEX(Users!$A$2:$A$310,MATCH(A1995,Users!$B$2:$B$310,0)),"")</f>
        <v/>
      </c>
      <c r="H1995" s="21">
        <f>IFERROR(INDEX(Users!$D$2:$D$310,MATCH(A1995,Users!$B$2:$B$310,0)),"")</f>
        <v/>
      </c>
      <c r="I1995" s="19">
        <f>AND(G1995="Service A",H1995="Band 3")</f>
        <v/>
      </c>
      <c r="J1995" s="33">
        <f>IF(AND(YEAR(B1995)=2025,G1995="Service B",OR(H1995="Band 3",H1995="Band 5"),ISNUMBER(F1995)),F1995,"")</f>
        <v/>
      </c>
    </row>
    <row r="1996">
      <c r="A1996" s="19" t="inlineStr">
        <is>
          <t>User1213</t>
        </is>
      </c>
      <c r="B1996" s="60" t="n">
        <v>45809</v>
      </c>
      <c r="C1996" s="21" t="n">
        <v>155.4</v>
      </c>
      <c r="D1996" s="21" t="n">
        <v>151.1766666666667</v>
      </c>
      <c r="E1996" s="21" t="n">
        <v>127.31</v>
      </c>
      <c r="F1996" s="27">
        <f>IFERROR(IF(OR(C1996="",D1996="",C1996=0),"",D1996/C1996),"")</f>
        <v/>
      </c>
      <c r="G1996" s="21">
        <f>IFERROR(INDEX(Users!$A$2:$A$310,MATCH(A1996,Users!$B$2:$B$310,0)),"")</f>
        <v/>
      </c>
      <c r="H1996" s="21">
        <f>IFERROR(INDEX(Users!$D$2:$D$310,MATCH(A1996,Users!$B$2:$B$310,0)),"")</f>
        <v/>
      </c>
      <c r="I1996" s="19">
        <f>AND(G1996="Service A",H1996="Band 3")</f>
        <v/>
      </c>
      <c r="J1996" s="33">
        <f>IF(AND(YEAR(B1996)=2025,G1996="Service B",OR(H1996="Band 3",H1996="Band 5"),ISNUMBER(F1996)),F1996,"")</f>
        <v/>
      </c>
    </row>
    <row r="1997">
      <c r="A1997" s="19" t="inlineStr">
        <is>
          <t>User1213</t>
        </is>
      </c>
      <c r="B1997" s="60" t="n">
        <v>45839</v>
      </c>
      <c r="C1997" s="21" t="n">
        <v>170.2</v>
      </c>
      <c r="D1997" s="21" t="n">
        <v>118.61</v>
      </c>
      <c r="E1997" s="21" t="n">
        <v>100.61</v>
      </c>
      <c r="F1997" s="27">
        <f>IFERROR(IF(OR(C1997="",D1997="",C1997=0),"",D1997/C1997),"")</f>
        <v/>
      </c>
      <c r="G1997" s="21">
        <f>IFERROR(INDEX(Users!$A$2:$A$310,MATCH(A1997,Users!$B$2:$B$310,0)),"")</f>
        <v/>
      </c>
      <c r="H1997" s="21">
        <f>IFERROR(INDEX(Users!$D$2:$D$310,MATCH(A1997,Users!$B$2:$B$310,0)),"")</f>
        <v/>
      </c>
      <c r="I1997" s="19">
        <f>AND(G1997="Service A",H1997="Band 3")</f>
        <v/>
      </c>
      <c r="J1997" s="33">
        <f>IF(AND(YEAR(B1997)=2025,G1997="Service B",OR(H1997="Band 3",H1997="Band 5"),ISNUMBER(F1997)),F1997,"")</f>
        <v/>
      </c>
    </row>
    <row r="1998">
      <c r="A1998" s="19" t="inlineStr">
        <is>
          <t>User1213</t>
        </is>
      </c>
      <c r="B1998" s="60" t="n">
        <v>45870</v>
      </c>
      <c r="C1998" s="21" t="n">
        <v>148</v>
      </c>
      <c r="D1998" s="21" t="n">
        <v>141.75</v>
      </c>
      <c r="E1998" s="21" t="n">
        <v>123.85</v>
      </c>
      <c r="F1998" s="27">
        <f>IFERROR(IF(OR(C1998="",D1998="",C1998=0),"",D1998/C1998),"")</f>
        <v/>
      </c>
      <c r="G1998" s="21">
        <f>IFERROR(INDEX(Users!$A$2:$A$310,MATCH(A1998,Users!$B$2:$B$310,0)),"")</f>
        <v/>
      </c>
      <c r="H1998" s="21">
        <f>IFERROR(INDEX(Users!$D$2:$D$310,MATCH(A1998,Users!$B$2:$B$310,0)),"")</f>
        <v/>
      </c>
      <c r="I1998" s="19">
        <f>AND(G1998="Service A",H1998="Band 3")</f>
        <v/>
      </c>
      <c r="J1998" s="33">
        <f>IF(AND(YEAR(B1998)=2025,G1998="Service B",OR(H1998="Band 3",H1998="Band 5"),ISNUMBER(F1998)),F1998,"")</f>
        <v/>
      </c>
    </row>
    <row r="1999">
      <c r="A1999" s="19" t="inlineStr">
        <is>
          <t>User1213</t>
        </is>
      </c>
      <c r="B1999" s="60" t="n">
        <v>45901</v>
      </c>
      <c r="C1999" s="21" t="n">
        <v>162.8</v>
      </c>
      <c r="D1999" s="21" t="n">
        <v>176.62</v>
      </c>
      <c r="E1999" s="21" t="n">
        <v>151.37</v>
      </c>
      <c r="F1999" s="27">
        <f>IFERROR(IF(OR(C1999="",D1999="",C1999=0),"",D1999/C1999),"")</f>
        <v/>
      </c>
      <c r="G1999" s="21">
        <f>IFERROR(INDEX(Users!$A$2:$A$310,MATCH(A1999,Users!$B$2:$B$310,0)),"")</f>
        <v/>
      </c>
      <c r="H1999" s="21">
        <f>IFERROR(INDEX(Users!$D$2:$D$310,MATCH(A1999,Users!$B$2:$B$310,0)),"")</f>
        <v/>
      </c>
      <c r="I1999" s="19">
        <f>AND(G1999="Service A",H1999="Band 3")</f>
        <v/>
      </c>
      <c r="J1999" s="33">
        <f>IF(AND(YEAR(B1999)=2025,G1999="Service B",OR(H1999="Band 3",H1999="Band 5"),ISNUMBER(F1999)),F1999,"")</f>
        <v/>
      </c>
    </row>
    <row r="2000">
      <c r="A2000" s="19" t="inlineStr">
        <is>
          <t>User1213</t>
        </is>
      </c>
      <c r="B2000" s="60" t="n">
        <v>45931</v>
      </c>
      <c r="C2000" s="21" t="n">
        <v>170.2</v>
      </c>
      <c r="D2000" s="21" t="n">
        <v>162.1133333333333</v>
      </c>
      <c r="E2000" s="21" t="n">
        <v>126.18</v>
      </c>
      <c r="F2000" s="27">
        <f>IFERROR(IF(OR(C2000="",D2000="",C2000=0),"",D2000/C2000),"")</f>
        <v/>
      </c>
      <c r="G2000" s="21">
        <f>IFERROR(INDEX(Users!$A$2:$A$310,MATCH(A2000,Users!$B$2:$B$310,0)),"")</f>
        <v/>
      </c>
      <c r="H2000" s="21">
        <f>IFERROR(INDEX(Users!$D$2:$D$310,MATCH(A2000,Users!$B$2:$B$310,0)),"")</f>
        <v/>
      </c>
      <c r="I2000" s="19">
        <f>AND(G2000="Service A",H2000="Band 3")</f>
        <v/>
      </c>
      <c r="J2000" s="33">
        <f>IF(AND(YEAR(B2000)=2025,G2000="Service B",OR(H2000="Band 3",H2000="Band 5"),ISNUMBER(F2000)),F2000,"")</f>
        <v/>
      </c>
    </row>
    <row r="2001">
      <c r="A2001" s="19" t="inlineStr">
        <is>
          <t>User1213</t>
        </is>
      </c>
      <c r="B2001" s="60" t="n">
        <v>45962</v>
      </c>
      <c r="C2001" s="21" t="n">
        <v>148</v>
      </c>
      <c r="D2001" s="21" t="n">
        <v>140.6733333333333</v>
      </c>
      <c r="E2001" s="21" t="n">
        <v>115.39</v>
      </c>
      <c r="F2001" s="27">
        <f>IFERROR(IF(OR(C2001="",D2001="",C2001=0),"",D2001/C2001),"")</f>
        <v/>
      </c>
      <c r="G2001" s="21">
        <f>IFERROR(INDEX(Users!$A$2:$A$310,MATCH(A2001,Users!$B$2:$B$310,0)),"")</f>
        <v/>
      </c>
      <c r="H2001" s="21">
        <f>IFERROR(INDEX(Users!$D$2:$D$310,MATCH(A2001,Users!$B$2:$B$310,0)),"")</f>
        <v/>
      </c>
      <c r="I2001" s="19">
        <f>AND(G2001="Service A",H2001="Band 3")</f>
        <v/>
      </c>
      <c r="J2001" s="33">
        <f>IF(AND(YEAR(B2001)=2025,G2001="Service B",OR(H2001="Band 3",H2001="Band 5"),ISNUMBER(F2001)),F2001,"")</f>
        <v/>
      </c>
    </row>
    <row r="2002">
      <c r="A2002" s="19" t="inlineStr">
        <is>
          <t>User1213</t>
        </is>
      </c>
      <c r="B2002" s="60" t="n">
        <v>45992</v>
      </c>
      <c r="C2002" s="21" t="n">
        <v>155.4</v>
      </c>
      <c r="D2002" s="21" t="n">
        <v>120.89</v>
      </c>
      <c r="E2002" s="21" t="n">
        <v>92.59</v>
      </c>
      <c r="F2002" s="27">
        <f>IFERROR(IF(OR(C2002="",D2002="",C2002=0),"",D2002/C2002),"")</f>
        <v/>
      </c>
      <c r="G2002" s="21">
        <f>IFERROR(INDEX(Users!$A$2:$A$310,MATCH(A2002,Users!$B$2:$B$310,0)),"")</f>
        <v/>
      </c>
      <c r="H2002" s="21">
        <f>IFERROR(INDEX(Users!$D$2:$D$310,MATCH(A2002,Users!$B$2:$B$310,0)),"")</f>
        <v/>
      </c>
      <c r="I2002" s="19">
        <f>AND(G2002="Service A",H2002="Band 3")</f>
        <v/>
      </c>
      <c r="J2002" s="33">
        <f>IF(AND(YEAR(B2002)=2025,G2002="Service B",OR(H2002="Band 3",H2002="Band 5"),ISNUMBER(F2002)),F2002,"")</f>
        <v/>
      </c>
    </row>
    <row r="2003">
      <c r="A2003" s="19" t="inlineStr">
        <is>
          <t>User1213</t>
        </is>
      </c>
      <c r="B2003" s="60" t="n">
        <v>46023</v>
      </c>
      <c r="C2003" s="21" t="n">
        <v>155.4</v>
      </c>
      <c r="D2003" s="21" t="n">
        <v>156.2533333333333</v>
      </c>
      <c r="E2003" s="21" t="n">
        <v>108.57</v>
      </c>
      <c r="F2003" s="27">
        <f>IFERROR(IF(OR(C2003="",D2003="",C2003=0),"",D2003/C2003),"")</f>
        <v/>
      </c>
      <c r="G2003" s="21">
        <f>IFERROR(INDEX(Users!$A$2:$A$310,MATCH(A2003,Users!$B$2:$B$310,0)),"")</f>
        <v/>
      </c>
      <c r="H2003" s="21">
        <f>IFERROR(INDEX(Users!$D$2:$D$310,MATCH(A2003,Users!$B$2:$B$310,0)),"")</f>
        <v/>
      </c>
      <c r="I2003" s="19">
        <f>AND(G2003="Service A",H2003="Band 3")</f>
        <v/>
      </c>
      <c r="J2003" s="33">
        <f>IF(AND(YEAR(B2003)=2025,G2003="Service B",OR(H2003="Band 3",H2003="Band 5"),ISNUMBER(F2003)),F2003,"")</f>
        <v/>
      </c>
    </row>
    <row r="2004">
      <c r="A2004" s="19" t="inlineStr">
        <is>
          <t>User1214</t>
        </is>
      </c>
      <c r="B2004" s="60" t="n">
        <v>45658</v>
      </c>
      <c r="C2004" s="21" t="n">
        <v>162.8</v>
      </c>
      <c r="D2004" s="21" t="n">
        <v>148.2099999999999</v>
      </c>
      <c r="E2004" s="21" t="n">
        <v>61.20999999999987</v>
      </c>
      <c r="F2004" s="27">
        <f>IFERROR(IF(OR(C2004="",D2004="",C2004=0),"",D2004/C2004),"")</f>
        <v/>
      </c>
      <c r="G2004" s="21">
        <f>IFERROR(INDEX(Users!$A$2:$A$310,MATCH(A2004,Users!$B$2:$B$310,0)),"")</f>
        <v/>
      </c>
      <c r="H2004" s="21">
        <f>IFERROR(INDEX(Users!$D$2:$D$310,MATCH(A2004,Users!$B$2:$B$310,0)),"")</f>
        <v/>
      </c>
      <c r="I2004" s="19">
        <f>AND(G2004="Service A",H2004="Band 3")</f>
        <v/>
      </c>
      <c r="J2004" s="33">
        <f>IF(AND(YEAR(B2004)=2025,G2004="Service B",OR(H2004="Band 3",H2004="Band 5"),ISNUMBER(F2004)),F2004,"")</f>
        <v/>
      </c>
    </row>
    <row r="2005">
      <c r="A2005" s="19" t="inlineStr">
        <is>
          <t>User1214</t>
        </is>
      </c>
      <c r="B2005" s="60" t="n">
        <v>45689</v>
      </c>
      <c r="C2005" s="21" t="n">
        <v>148</v>
      </c>
      <c r="D2005" s="21" t="n">
        <v>139.06</v>
      </c>
      <c r="E2005" s="21" t="n">
        <v>55.56</v>
      </c>
      <c r="F2005" s="27">
        <f>IFERROR(IF(OR(C2005="",D2005="",C2005=0),"",D2005/C2005),"")</f>
        <v/>
      </c>
      <c r="G2005" s="21">
        <f>IFERROR(INDEX(Users!$A$2:$A$310,MATCH(A2005,Users!$B$2:$B$310,0)),"")</f>
        <v/>
      </c>
      <c r="H2005" s="21">
        <f>IFERROR(INDEX(Users!$D$2:$D$310,MATCH(A2005,Users!$B$2:$B$310,0)),"")</f>
        <v/>
      </c>
      <c r="I2005" s="19">
        <f>AND(G2005="Service A",H2005="Band 3")</f>
        <v/>
      </c>
      <c r="J2005" s="33">
        <f>IF(AND(YEAR(B2005)=2025,G2005="Service B",OR(H2005="Band 3",H2005="Band 5"),ISNUMBER(F2005)),F2005,"")</f>
        <v/>
      </c>
    </row>
    <row r="2006">
      <c r="A2006" s="19" t="inlineStr">
        <is>
          <t>User1214</t>
        </is>
      </c>
      <c r="B2006" s="60" t="n">
        <v>45717</v>
      </c>
      <c r="C2006" s="21" t="n">
        <v>155.4</v>
      </c>
      <c r="D2006" s="21" t="n">
        <v>152.8166666666667</v>
      </c>
      <c r="E2006" s="21" t="n">
        <v>61.40000000000001</v>
      </c>
      <c r="F2006" s="27">
        <f>IFERROR(IF(OR(C2006="",D2006="",C2006=0),"",D2006/C2006),"")</f>
        <v/>
      </c>
      <c r="G2006" s="21">
        <f>IFERROR(INDEX(Users!$A$2:$A$310,MATCH(A2006,Users!$B$2:$B$310,0)),"")</f>
        <v/>
      </c>
      <c r="H2006" s="21">
        <f>IFERROR(INDEX(Users!$D$2:$D$310,MATCH(A2006,Users!$B$2:$B$310,0)),"")</f>
        <v/>
      </c>
      <c r="I2006" s="19">
        <f>AND(G2006="Service A",H2006="Band 3")</f>
        <v/>
      </c>
      <c r="J2006" s="33">
        <f>IF(AND(YEAR(B2006)=2025,G2006="Service B",OR(H2006="Band 3",H2006="Band 5"),ISNUMBER(F2006)),F2006,"")</f>
        <v/>
      </c>
    </row>
    <row r="2007">
      <c r="A2007" s="19" t="inlineStr">
        <is>
          <t>User1214</t>
        </is>
      </c>
      <c r="B2007" s="60" t="n">
        <v>45748</v>
      </c>
      <c r="C2007" s="21" t="n">
        <v>148</v>
      </c>
      <c r="D2007" s="21" t="n">
        <v>140.47</v>
      </c>
      <c r="E2007" s="21" t="n">
        <v>48.97</v>
      </c>
      <c r="F2007" s="27">
        <f>IFERROR(IF(OR(C2007="",D2007="",C2007=0),"",D2007/C2007),"")</f>
        <v/>
      </c>
      <c r="G2007" s="21">
        <f>IFERROR(INDEX(Users!$A$2:$A$310,MATCH(A2007,Users!$B$2:$B$310,0)),"")</f>
        <v/>
      </c>
      <c r="H2007" s="21">
        <f>IFERROR(INDEX(Users!$D$2:$D$310,MATCH(A2007,Users!$B$2:$B$310,0)),"")</f>
        <v/>
      </c>
      <c r="I2007" s="19">
        <f>AND(G2007="Service A",H2007="Band 3")</f>
        <v/>
      </c>
      <c r="J2007" s="33">
        <f>IF(AND(YEAR(B2007)=2025,G2007="Service B",OR(H2007="Band 3",H2007="Band 5"),ISNUMBER(F2007)),F2007,"")</f>
        <v/>
      </c>
    </row>
    <row r="2008">
      <c r="A2008" s="19" t="inlineStr">
        <is>
          <t>User1214</t>
        </is>
      </c>
      <c r="B2008" s="60" t="n">
        <v>45778</v>
      </c>
      <c r="C2008" s="21" t="n">
        <v>148</v>
      </c>
      <c r="D2008" s="21" t="n">
        <v>137.6566666666666</v>
      </c>
      <c r="E2008" s="21" t="n">
        <v>63.88999999999999</v>
      </c>
      <c r="F2008" s="27">
        <f>IFERROR(IF(OR(C2008="",D2008="",C2008=0),"",D2008/C2008),"")</f>
        <v/>
      </c>
      <c r="G2008" s="21">
        <f>IFERROR(INDEX(Users!$A$2:$A$310,MATCH(A2008,Users!$B$2:$B$310,0)),"")</f>
        <v/>
      </c>
      <c r="H2008" s="21">
        <f>IFERROR(INDEX(Users!$D$2:$D$310,MATCH(A2008,Users!$B$2:$B$310,0)),"")</f>
        <v/>
      </c>
      <c r="I2008" s="19">
        <f>AND(G2008="Service A",H2008="Band 3")</f>
        <v/>
      </c>
      <c r="J2008" s="33">
        <f>IF(AND(YEAR(B2008)=2025,G2008="Service B",OR(H2008="Band 3",H2008="Band 5"),ISNUMBER(F2008)),F2008,"")</f>
        <v/>
      </c>
    </row>
    <row r="2009">
      <c r="A2009" s="19" t="inlineStr">
        <is>
          <t>User1214</t>
        </is>
      </c>
      <c r="B2009" s="60" t="n">
        <v>45809</v>
      </c>
      <c r="C2009" s="21" t="n">
        <v>155.4</v>
      </c>
      <c r="D2009" s="21" t="n">
        <v>149.13</v>
      </c>
      <c r="E2009" s="21" t="n">
        <v>80.38000000000002</v>
      </c>
      <c r="F2009" s="27">
        <f>IFERROR(IF(OR(C2009="",D2009="",C2009=0),"",D2009/C2009),"")</f>
        <v/>
      </c>
      <c r="G2009" s="21">
        <f>IFERROR(INDEX(Users!$A$2:$A$310,MATCH(A2009,Users!$B$2:$B$310,0)),"")</f>
        <v/>
      </c>
      <c r="H2009" s="21">
        <f>IFERROR(INDEX(Users!$D$2:$D$310,MATCH(A2009,Users!$B$2:$B$310,0)),"")</f>
        <v/>
      </c>
      <c r="I2009" s="19">
        <f>AND(G2009="Service A",H2009="Band 3")</f>
        <v/>
      </c>
      <c r="J2009" s="33">
        <f>IF(AND(YEAR(B2009)=2025,G2009="Service B",OR(H2009="Band 3",H2009="Band 5"),ISNUMBER(F2009)),F2009,"")</f>
        <v/>
      </c>
    </row>
    <row r="2010">
      <c r="A2010" s="19" t="inlineStr">
        <is>
          <t>User1214</t>
        </is>
      </c>
      <c r="B2010" s="60" t="n">
        <v>45839</v>
      </c>
      <c r="C2010" s="21" t="n">
        <v>170.2</v>
      </c>
      <c r="D2010" s="21" t="n">
        <v>163.8466666666667</v>
      </c>
      <c r="E2010" s="21" t="n">
        <v>97.93000000000001</v>
      </c>
      <c r="F2010" s="27">
        <f>IFERROR(IF(OR(C2010="",D2010="",C2010=0),"",D2010/C2010),"")</f>
        <v/>
      </c>
      <c r="G2010" s="21">
        <f>IFERROR(INDEX(Users!$A$2:$A$310,MATCH(A2010,Users!$B$2:$B$310,0)),"")</f>
        <v/>
      </c>
      <c r="H2010" s="21">
        <f>IFERROR(INDEX(Users!$D$2:$D$310,MATCH(A2010,Users!$B$2:$B$310,0)),"")</f>
        <v/>
      </c>
      <c r="I2010" s="19">
        <f>AND(G2010="Service A",H2010="Band 3")</f>
        <v/>
      </c>
      <c r="J2010" s="33">
        <f>IF(AND(YEAR(B2010)=2025,G2010="Service B",OR(H2010="Band 3",H2010="Band 5"),ISNUMBER(F2010)),F2010,"")</f>
        <v/>
      </c>
    </row>
    <row r="2011">
      <c r="A2011" s="19" t="inlineStr">
        <is>
          <t>User1214</t>
        </is>
      </c>
      <c r="B2011" s="60" t="n">
        <v>45870</v>
      </c>
      <c r="C2011" s="21" t="n">
        <v>148</v>
      </c>
      <c r="D2011" s="21" t="n">
        <v>129.9466666666667</v>
      </c>
      <c r="E2011" s="21" t="n">
        <v>60.03000000000002</v>
      </c>
      <c r="F2011" s="27">
        <f>IFERROR(IF(OR(C2011="",D2011="",C2011=0),"",D2011/C2011),"")</f>
        <v/>
      </c>
      <c r="G2011" s="21">
        <f>IFERROR(INDEX(Users!$A$2:$A$310,MATCH(A2011,Users!$B$2:$B$310,0)),"")</f>
        <v/>
      </c>
      <c r="H2011" s="21">
        <f>IFERROR(INDEX(Users!$D$2:$D$310,MATCH(A2011,Users!$B$2:$B$310,0)),"")</f>
        <v/>
      </c>
      <c r="I2011" s="19">
        <f>AND(G2011="Service A",H2011="Band 3")</f>
        <v/>
      </c>
      <c r="J2011" s="33">
        <f>IF(AND(YEAR(B2011)=2025,G2011="Service B",OR(H2011="Band 3",H2011="Band 5"),ISNUMBER(F2011)),F2011,"")</f>
        <v/>
      </c>
    </row>
    <row r="2012">
      <c r="A2012" s="19" t="inlineStr">
        <is>
          <t>User1214</t>
        </is>
      </c>
      <c r="B2012" s="60" t="n">
        <v>45901</v>
      </c>
      <c r="C2012" s="21" t="n">
        <v>162.8</v>
      </c>
      <c r="D2012" s="21" t="n">
        <v>149.9</v>
      </c>
      <c r="E2012" s="21" t="n">
        <v>81.5</v>
      </c>
      <c r="F2012" s="27">
        <f>IFERROR(IF(OR(C2012="",D2012="",C2012=0),"",D2012/C2012),"")</f>
        <v/>
      </c>
      <c r="G2012" s="21">
        <f>IFERROR(INDEX(Users!$A$2:$A$310,MATCH(A2012,Users!$B$2:$B$310,0)),"")</f>
        <v/>
      </c>
      <c r="H2012" s="21">
        <f>IFERROR(INDEX(Users!$D$2:$D$310,MATCH(A2012,Users!$B$2:$B$310,0)),"")</f>
        <v/>
      </c>
      <c r="I2012" s="19">
        <f>AND(G2012="Service A",H2012="Band 3")</f>
        <v/>
      </c>
      <c r="J2012" s="33">
        <f>IF(AND(YEAR(B2012)=2025,G2012="Service B",OR(H2012="Band 3",H2012="Band 5"),ISNUMBER(F2012)),F2012,"")</f>
        <v/>
      </c>
    </row>
    <row r="2013">
      <c r="A2013" s="19" t="inlineStr">
        <is>
          <t>User1214</t>
        </is>
      </c>
      <c r="B2013" s="60" t="n">
        <v>45931</v>
      </c>
      <c r="C2013" s="21" t="n">
        <v>170.2</v>
      </c>
      <c r="D2013" s="21" t="n">
        <v>173.2566666666667</v>
      </c>
      <c r="E2013" s="21" t="n">
        <v>93.44</v>
      </c>
      <c r="F2013" s="27">
        <f>IFERROR(IF(OR(C2013="",D2013="",C2013=0),"",D2013/C2013),"")</f>
        <v/>
      </c>
      <c r="G2013" s="21">
        <f>IFERROR(INDEX(Users!$A$2:$A$310,MATCH(A2013,Users!$B$2:$B$310,0)),"")</f>
        <v/>
      </c>
      <c r="H2013" s="21">
        <f>IFERROR(INDEX(Users!$D$2:$D$310,MATCH(A2013,Users!$B$2:$B$310,0)),"")</f>
        <v/>
      </c>
      <c r="I2013" s="19">
        <f>AND(G2013="Service A",H2013="Band 3")</f>
        <v/>
      </c>
      <c r="J2013" s="33">
        <f>IF(AND(YEAR(B2013)=2025,G2013="Service B",OR(H2013="Band 3",H2013="Band 5"),ISNUMBER(F2013)),F2013,"")</f>
        <v/>
      </c>
    </row>
    <row r="2014">
      <c r="A2014" s="19" t="inlineStr">
        <is>
          <t>User1214</t>
        </is>
      </c>
      <c r="B2014" s="60" t="n">
        <v>45962</v>
      </c>
      <c r="C2014" s="21" t="n">
        <v>148</v>
      </c>
      <c r="D2014" s="21" t="n">
        <v>151.2</v>
      </c>
      <c r="E2014" s="21" t="n">
        <v>67.2</v>
      </c>
      <c r="F2014" s="27">
        <f>IFERROR(IF(OR(C2014="",D2014="",C2014=0),"",D2014/C2014),"")</f>
        <v/>
      </c>
      <c r="G2014" s="21">
        <f>IFERROR(INDEX(Users!$A$2:$A$310,MATCH(A2014,Users!$B$2:$B$310,0)),"")</f>
        <v/>
      </c>
      <c r="H2014" s="21">
        <f>IFERROR(INDEX(Users!$D$2:$D$310,MATCH(A2014,Users!$B$2:$B$310,0)),"")</f>
        <v/>
      </c>
      <c r="I2014" s="19">
        <f>AND(G2014="Service A",H2014="Band 3")</f>
        <v/>
      </c>
      <c r="J2014" s="33">
        <f>IF(AND(YEAR(B2014)=2025,G2014="Service B",OR(H2014="Band 3",H2014="Band 5"),ISNUMBER(F2014)),F2014,"")</f>
        <v/>
      </c>
    </row>
    <row r="2015">
      <c r="A2015" s="19" t="inlineStr">
        <is>
          <t>User1214</t>
        </is>
      </c>
      <c r="B2015" s="60" t="n">
        <v>45992</v>
      </c>
      <c r="C2015" s="21" t="n">
        <v>155.4</v>
      </c>
      <c r="D2015" s="21" t="n">
        <v>83.5</v>
      </c>
      <c r="E2015" s="21" t="n">
        <v>43.25</v>
      </c>
      <c r="F2015" s="27">
        <f>IFERROR(IF(OR(C2015="",D2015="",C2015=0),"",D2015/C2015),"")</f>
        <v/>
      </c>
      <c r="G2015" s="21">
        <f>IFERROR(INDEX(Users!$A$2:$A$310,MATCH(A2015,Users!$B$2:$B$310,0)),"")</f>
        <v/>
      </c>
      <c r="H2015" s="21">
        <f>IFERROR(INDEX(Users!$D$2:$D$310,MATCH(A2015,Users!$B$2:$B$310,0)),"")</f>
        <v/>
      </c>
      <c r="I2015" s="19">
        <f>AND(G2015="Service A",H2015="Band 3")</f>
        <v/>
      </c>
      <c r="J2015" s="33">
        <f>IF(AND(YEAR(B2015)=2025,G2015="Service B",OR(H2015="Band 3",H2015="Band 5"),ISNUMBER(F2015)),F2015,"")</f>
        <v/>
      </c>
    </row>
    <row r="2016">
      <c r="A2016" s="19" t="inlineStr">
        <is>
          <t>User1214</t>
        </is>
      </c>
      <c r="B2016" s="60" t="n">
        <v>46023</v>
      </c>
      <c r="C2016" s="21" t="n">
        <v>155.4</v>
      </c>
      <c r="D2016" s="21" t="n">
        <v>105.2433333333333</v>
      </c>
      <c r="E2016" s="21" t="n">
        <v>34.11</v>
      </c>
      <c r="F2016" s="27">
        <f>IFERROR(IF(OR(C2016="",D2016="",C2016=0),"",D2016/C2016),"")</f>
        <v/>
      </c>
      <c r="G2016" s="21">
        <f>IFERROR(INDEX(Users!$A$2:$A$310,MATCH(A2016,Users!$B$2:$B$310,0)),"")</f>
        <v/>
      </c>
      <c r="H2016" s="21">
        <f>IFERROR(INDEX(Users!$D$2:$D$310,MATCH(A2016,Users!$B$2:$B$310,0)),"")</f>
        <v/>
      </c>
      <c r="I2016" s="19">
        <f>AND(G2016="Service A",H2016="Band 3")</f>
        <v/>
      </c>
      <c r="J2016" s="33">
        <f>IF(AND(YEAR(B2016)=2025,G2016="Service B",OR(H2016="Band 3",H2016="Band 5"),ISNUMBER(F2016)),F2016,"")</f>
        <v/>
      </c>
    </row>
    <row r="2017">
      <c r="A2017" s="19" t="inlineStr">
        <is>
          <t>User1215</t>
        </is>
      </c>
      <c r="B2017" s="60" t="n">
        <v>45658</v>
      </c>
      <c r="C2017" s="21" t="n">
        <v>162.8</v>
      </c>
      <c r="D2017" s="21" t="n">
        <v>147.7266666666666</v>
      </c>
      <c r="E2017" s="21" t="n">
        <v>123.76</v>
      </c>
      <c r="F2017" s="27">
        <f>IFERROR(IF(OR(C2017="",D2017="",C2017=0),"",D2017/C2017),"")</f>
        <v/>
      </c>
      <c r="G2017" s="21">
        <f>IFERROR(INDEX(Users!$A$2:$A$310,MATCH(A2017,Users!$B$2:$B$310,0)),"")</f>
        <v/>
      </c>
      <c r="H2017" s="21">
        <f>IFERROR(INDEX(Users!$D$2:$D$310,MATCH(A2017,Users!$B$2:$B$310,0)),"")</f>
        <v/>
      </c>
      <c r="I2017" s="19">
        <f>AND(G2017="Service A",H2017="Band 3")</f>
        <v/>
      </c>
      <c r="J2017" s="33">
        <f>IF(AND(YEAR(B2017)=2025,G2017="Service B",OR(H2017="Band 3",H2017="Band 5"),ISNUMBER(F2017)),F2017,"")</f>
        <v/>
      </c>
    </row>
    <row r="2018">
      <c r="A2018" s="19" t="inlineStr">
        <is>
          <t>User1215</t>
        </is>
      </c>
      <c r="B2018" s="60" t="n">
        <v>45689</v>
      </c>
      <c r="C2018" s="21" t="n">
        <v>148</v>
      </c>
      <c r="D2018" s="21" t="n">
        <v>148.2</v>
      </c>
      <c r="E2018" s="21" t="n">
        <v>113.2</v>
      </c>
      <c r="F2018" s="27">
        <f>IFERROR(IF(OR(C2018="",D2018="",C2018=0),"",D2018/C2018),"")</f>
        <v/>
      </c>
      <c r="G2018" s="21">
        <f>IFERROR(INDEX(Users!$A$2:$A$310,MATCH(A2018,Users!$B$2:$B$310,0)),"")</f>
        <v/>
      </c>
      <c r="H2018" s="21">
        <f>IFERROR(INDEX(Users!$D$2:$D$310,MATCH(A2018,Users!$B$2:$B$310,0)),"")</f>
        <v/>
      </c>
      <c r="I2018" s="19">
        <f>AND(G2018="Service A",H2018="Band 3")</f>
        <v/>
      </c>
      <c r="J2018" s="33">
        <f>IF(AND(YEAR(B2018)=2025,G2018="Service B",OR(H2018="Band 3",H2018="Band 5"),ISNUMBER(F2018)),F2018,"")</f>
        <v/>
      </c>
    </row>
    <row r="2019">
      <c r="A2019" s="19" t="inlineStr">
        <is>
          <t>User1215</t>
        </is>
      </c>
      <c r="B2019" s="60" t="n">
        <v>45717</v>
      </c>
      <c r="C2019" s="21" t="n">
        <v>155.4</v>
      </c>
      <c r="D2019" s="21" t="n">
        <v>147.1</v>
      </c>
      <c r="E2019" s="21" t="n">
        <v>109.6</v>
      </c>
      <c r="F2019" s="27">
        <f>IFERROR(IF(OR(C2019="",D2019="",C2019=0),"",D2019/C2019),"")</f>
        <v/>
      </c>
      <c r="G2019" s="21">
        <f>IFERROR(INDEX(Users!$A$2:$A$310,MATCH(A2019,Users!$B$2:$B$310,0)),"")</f>
        <v/>
      </c>
      <c r="H2019" s="21">
        <f>IFERROR(INDEX(Users!$D$2:$D$310,MATCH(A2019,Users!$B$2:$B$310,0)),"")</f>
        <v/>
      </c>
      <c r="I2019" s="19">
        <f>AND(G2019="Service A",H2019="Band 3")</f>
        <v/>
      </c>
      <c r="J2019" s="33">
        <f>IF(AND(YEAR(B2019)=2025,G2019="Service B",OR(H2019="Band 3",H2019="Band 5"),ISNUMBER(F2019)),F2019,"")</f>
        <v/>
      </c>
    </row>
    <row r="2020">
      <c r="A2020" s="19" t="inlineStr">
        <is>
          <t>User1215</t>
        </is>
      </c>
      <c r="B2020" s="60" t="n">
        <v>45748</v>
      </c>
      <c r="C2020" s="21" t="n">
        <v>148</v>
      </c>
      <c r="D2020" s="21" t="n">
        <v>140.6</v>
      </c>
      <c r="E2020" s="21" t="n">
        <v>89.19999999999999</v>
      </c>
      <c r="F2020" s="27">
        <f>IFERROR(IF(OR(C2020="",D2020="",C2020=0),"",D2020/C2020),"")</f>
        <v/>
      </c>
      <c r="G2020" s="21">
        <f>IFERROR(INDEX(Users!$A$2:$A$310,MATCH(A2020,Users!$B$2:$B$310,0)),"")</f>
        <v/>
      </c>
      <c r="H2020" s="21">
        <f>IFERROR(INDEX(Users!$D$2:$D$310,MATCH(A2020,Users!$B$2:$B$310,0)),"")</f>
        <v/>
      </c>
      <c r="I2020" s="19">
        <f>AND(G2020="Service A",H2020="Band 3")</f>
        <v/>
      </c>
      <c r="J2020" s="33">
        <f>IF(AND(YEAR(B2020)=2025,G2020="Service B",OR(H2020="Band 3",H2020="Band 5"),ISNUMBER(F2020)),F2020,"")</f>
        <v/>
      </c>
    </row>
    <row r="2021">
      <c r="A2021" s="19" t="inlineStr">
        <is>
          <t>User1215</t>
        </is>
      </c>
      <c r="B2021" s="60" t="n">
        <v>45778</v>
      </c>
      <c r="C2021" s="21" t="n">
        <v>148</v>
      </c>
      <c r="D2021" s="21" t="n">
        <v>133.2</v>
      </c>
      <c r="E2021" s="21" t="n">
        <v>101.8</v>
      </c>
      <c r="F2021" s="27">
        <f>IFERROR(IF(OR(C2021="",D2021="",C2021=0),"",D2021/C2021),"")</f>
        <v/>
      </c>
      <c r="G2021" s="21">
        <f>IFERROR(INDEX(Users!$A$2:$A$310,MATCH(A2021,Users!$B$2:$B$310,0)),"")</f>
        <v/>
      </c>
      <c r="H2021" s="21">
        <f>IFERROR(INDEX(Users!$D$2:$D$310,MATCH(A2021,Users!$B$2:$B$310,0)),"")</f>
        <v/>
      </c>
      <c r="I2021" s="19">
        <f>AND(G2021="Service A",H2021="Band 3")</f>
        <v/>
      </c>
      <c r="J2021" s="33">
        <f>IF(AND(YEAR(B2021)=2025,G2021="Service B",OR(H2021="Band 3",H2021="Band 5"),ISNUMBER(F2021)),F2021,"")</f>
        <v/>
      </c>
    </row>
    <row r="2022">
      <c r="A2022" s="19" t="inlineStr">
        <is>
          <t>User1215</t>
        </is>
      </c>
      <c r="B2022" s="60" t="n">
        <v>45809</v>
      </c>
      <c r="C2022" s="21" t="n">
        <v>155.4</v>
      </c>
      <c r="D2022" s="21" t="n">
        <v>137.6</v>
      </c>
      <c r="E2022" s="21" t="n">
        <v>93.19999999999999</v>
      </c>
      <c r="F2022" s="27">
        <f>IFERROR(IF(OR(C2022="",D2022="",C2022=0),"",D2022/C2022),"")</f>
        <v/>
      </c>
      <c r="G2022" s="21">
        <f>IFERROR(INDEX(Users!$A$2:$A$310,MATCH(A2022,Users!$B$2:$B$310,0)),"")</f>
        <v/>
      </c>
      <c r="H2022" s="21">
        <f>IFERROR(INDEX(Users!$D$2:$D$310,MATCH(A2022,Users!$B$2:$B$310,0)),"")</f>
        <v/>
      </c>
      <c r="I2022" s="19">
        <f>AND(G2022="Service A",H2022="Band 3")</f>
        <v/>
      </c>
      <c r="J2022" s="33">
        <f>IF(AND(YEAR(B2022)=2025,G2022="Service B",OR(H2022="Band 3",H2022="Band 5"),ISNUMBER(F2022)),F2022,"")</f>
        <v/>
      </c>
    </row>
    <row r="2023">
      <c r="A2023" s="19" t="inlineStr">
        <is>
          <t>User1215</t>
        </is>
      </c>
      <c r="B2023" s="60" t="n">
        <v>45839</v>
      </c>
      <c r="C2023" s="21" t="n">
        <v>170.2</v>
      </c>
      <c r="D2023" s="21" t="n">
        <v>154.9</v>
      </c>
      <c r="E2023" s="21" t="n">
        <v>108.3</v>
      </c>
      <c r="F2023" s="27">
        <f>IFERROR(IF(OR(C2023="",D2023="",C2023=0),"",D2023/C2023),"")</f>
        <v/>
      </c>
      <c r="G2023" s="21">
        <f>IFERROR(INDEX(Users!$A$2:$A$310,MATCH(A2023,Users!$B$2:$B$310,0)),"")</f>
        <v/>
      </c>
      <c r="H2023" s="21">
        <f>IFERROR(INDEX(Users!$D$2:$D$310,MATCH(A2023,Users!$B$2:$B$310,0)),"")</f>
        <v/>
      </c>
      <c r="I2023" s="19">
        <f>AND(G2023="Service A",H2023="Band 3")</f>
        <v/>
      </c>
      <c r="J2023" s="33">
        <f>IF(AND(YEAR(B2023)=2025,G2023="Service B",OR(H2023="Band 3",H2023="Band 5"),ISNUMBER(F2023)),F2023,"")</f>
        <v/>
      </c>
    </row>
    <row r="2024">
      <c r="A2024" s="19" t="inlineStr">
        <is>
          <t>User1215</t>
        </is>
      </c>
      <c r="B2024" s="60" t="n">
        <v>45870</v>
      </c>
      <c r="C2024" s="21" t="n">
        <v>148</v>
      </c>
      <c r="D2024" s="21" t="n">
        <v>132.1966666666667</v>
      </c>
      <c r="E2024" s="21" t="n">
        <v>87.97999999999999</v>
      </c>
      <c r="F2024" s="27">
        <f>IFERROR(IF(OR(C2024="",D2024="",C2024=0),"",D2024/C2024),"")</f>
        <v/>
      </c>
      <c r="G2024" s="21">
        <f>IFERROR(INDEX(Users!$A$2:$A$310,MATCH(A2024,Users!$B$2:$B$310,0)),"")</f>
        <v/>
      </c>
      <c r="H2024" s="21">
        <f>IFERROR(INDEX(Users!$D$2:$D$310,MATCH(A2024,Users!$B$2:$B$310,0)),"")</f>
        <v/>
      </c>
      <c r="I2024" s="19">
        <f>AND(G2024="Service A",H2024="Band 3")</f>
        <v/>
      </c>
      <c r="J2024" s="33">
        <f>IF(AND(YEAR(B2024)=2025,G2024="Service B",OR(H2024="Band 3",H2024="Band 5"),ISNUMBER(F2024)),F2024,"")</f>
        <v/>
      </c>
    </row>
    <row r="2025">
      <c r="A2025" s="19" t="inlineStr">
        <is>
          <t>User1215</t>
        </is>
      </c>
      <c r="B2025" s="60" t="n">
        <v>45901</v>
      </c>
      <c r="C2025" s="21" t="n">
        <v>162.8</v>
      </c>
      <c r="D2025" s="21" t="n">
        <v>133.6</v>
      </c>
      <c r="E2025" s="21" t="n">
        <v>85.19999999999999</v>
      </c>
      <c r="F2025" s="27">
        <f>IFERROR(IF(OR(C2025="",D2025="",C2025=0),"",D2025/C2025),"")</f>
        <v/>
      </c>
      <c r="G2025" s="21">
        <f>IFERROR(INDEX(Users!$A$2:$A$310,MATCH(A2025,Users!$B$2:$B$310,0)),"")</f>
        <v/>
      </c>
      <c r="H2025" s="21">
        <f>IFERROR(INDEX(Users!$D$2:$D$310,MATCH(A2025,Users!$B$2:$B$310,0)),"")</f>
        <v/>
      </c>
      <c r="I2025" s="19">
        <f>AND(G2025="Service A",H2025="Band 3")</f>
        <v/>
      </c>
      <c r="J2025" s="33">
        <f>IF(AND(YEAR(B2025)=2025,G2025="Service B",OR(H2025="Band 3",H2025="Band 5"),ISNUMBER(F2025)),F2025,"")</f>
        <v/>
      </c>
    </row>
    <row r="2026">
      <c r="A2026" s="19" t="inlineStr">
        <is>
          <t>User1215</t>
        </is>
      </c>
      <c r="B2026" s="60" t="n">
        <v>45931</v>
      </c>
      <c r="C2026" s="21" t="n">
        <v>170.2</v>
      </c>
      <c r="D2026" s="21" t="n">
        <v>135.2</v>
      </c>
      <c r="E2026" s="21" t="n">
        <v>90.19999999999999</v>
      </c>
      <c r="F2026" s="27">
        <f>IFERROR(IF(OR(C2026="",D2026="",C2026=0),"",D2026/C2026),"")</f>
        <v/>
      </c>
      <c r="G2026" s="21">
        <f>IFERROR(INDEX(Users!$A$2:$A$310,MATCH(A2026,Users!$B$2:$B$310,0)),"")</f>
        <v/>
      </c>
      <c r="H2026" s="21">
        <f>IFERROR(INDEX(Users!$D$2:$D$310,MATCH(A2026,Users!$B$2:$B$310,0)),"")</f>
        <v/>
      </c>
      <c r="I2026" s="19">
        <f>AND(G2026="Service A",H2026="Band 3")</f>
        <v/>
      </c>
      <c r="J2026" s="33">
        <f>IF(AND(YEAR(B2026)=2025,G2026="Service B",OR(H2026="Band 3",H2026="Band 5"),ISNUMBER(F2026)),F2026,"")</f>
        <v/>
      </c>
    </row>
    <row r="2027">
      <c r="A2027" s="19" t="inlineStr">
        <is>
          <t>User1215</t>
        </is>
      </c>
      <c r="B2027" s="60" t="n">
        <v>45962</v>
      </c>
      <c r="C2027" s="21" t="n">
        <v>148</v>
      </c>
      <c r="D2027" s="21" t="n">
        <v>148</v>
      </c>
      <c r="E2027" s="21" t="n">
        <v>97.79999999999998</v>
      </c>
      <c r="F2027" s="27">
        <f>IFERROR(IF(OR(C2027="",D2027="",C2027=0),"",D2027/C2027),"")</f>
        <v/>
      </c>
      <c r="G2027" s="21">
        <f>IFERROR(INDEX(Users!$A$2:$A$310,MATCH(A2027,Users!$B$2:$B$310,0)),"")</f>
        <v/>
      </c>
      <c r="H2027" s="21">
        <f>IFERROR(INDEX(Users!$D$2:$D$310,MATCH(A2027,Users!$B$2:$B$310,0)),"")</f>
        <v/>
      </c>
      <c r="I2027" s="19">
        <f>AND(G2027="Service A",H2027="Band 3")</f>
        <v/>
      </c>
      <c r="J2027" s="33">
        <f>IF(AND(YEAR(B2027)=2025,G2027="Service B",OR(H2027="Band 3",H2027="Band 5"),ISNUMBER(F2027)),F2027,"")</f>
        <v/>
      </c>
    </row>
    <row r="2028">
      <c r="A2028" s="19" t="inlineStr">
        <is>
          <t>User1215</t>
        </is>
      </c>
      <c r="B2028" s="60" t="n">
        <v>45992</v>
      </c>
      <c r="C2028" s="21" t="n">
        <v>155.4</v>
      </c>
      <c r="D2028" s="21" t="n">
        <v>88.79999999999998</v>
      </c>
      <c r="E2028" s="21" t="n">
        <v>43.8</v>
      </c>
      <c r="F2028" s="27">
        <f>IFERROR(IF(OR(C2028="",D2028="",C2028=0),"",D2028/C2028),"")</f>
        <v/>
      </c>
      <c r="G2028" s="21">
        <f>IFERROR(INDEX(Users!$A$2:$A$310,MATCH(A2028,Users!$B$2:$B$310,0)),"")</f>
        <v/>
      </c>
      <c r="H2028" s="21">
        <f>IFERROR(INDEX(Users!$D$2:$D$310,MATCH(A2028,Users!$B$2:$B$310,0)),"")</f>
        <v/>
      </c>
      <c r="I2028" s="19">
        <f>AND(G2028="Service A",H2028="Band 3")</f>
        <v/>
      </c>
      <c r="J2028" s="33">
        <f>IF(AND(YEAR(B2028)=2025,G2028="Service B",OR(H2028="Band 3",H2028="Band 5"),ISNUMBER(F2028)),F2028,"")</f>
        <v/>
      </c>
    </row>
    <row r="2029">
      <c r="A2029" s="19" t="inlineStr">
        <is>
          <t>User1215</t>
        </is>
      </c>
      <c r="B2029" s="60" t="n">
        <v>46023</v>
      </c>
      <c r="C2029" s="21" t="n">
        <v>155.4</v>
      </c>
      <c r="D2029" s="21" t="n">
        <v>140.6</v>
      </c>
      <c r="E2029" s="21" t="n">
        <v>91.39999999999999</v>
      </c>
      <c r="F2029" s="27">
        <f>IFERROR(IF(OR(C2029="",D2029="",C2029=0),"",D2029/C2029),"")</f>
        <v/>
      </c>
      <c r="G2029" s="21">
        <f>IFERROR(INDEX(Users!$A$2:$A$310,MATCH(A2029,Users!$B$2:$B$310,0)),"")</f>
        <v/>
      </c>
      <c r="H2029" s="21">
        <f>IFERROR(INDEX(Users!$D$2:$D$310,MATCH(A2029,Users!$B$2:$B$310,0)),"")</f>
        <v/>
      </c>
      <c r="I2029" s="19">
        <f>AND(G2029="Service A",H2029="Band 3")</f>
        <v/>
      </c>
      <c r="J2029" s="33">
        <f>IF(AND(YEAR(B2029)=2025,G2029="Service B",OR(H2029="Band 3",H2029="Band 5"),ISNUMBER(F2029)),F2029,"")</f>
        <v/>
      </c>
    </row>
    <row r="2030">
      <c r="A2030" s="19" t="inlineStr">
        <is>
          <t>User1216</t>
        </is>
      </c>
      <c r="B2030" s="60" t="n">
        <v>45658</v>
      </c>
      <c r="C2030" s="21" t="n">
        <v>162.8</v>
      </c>
      <c r="D2030" s="21" t="n">
        <v>156.68</v>
      </c>
      <c r="E2030" s="21" t="n">
        <v>102.93</v>
      </c>
      <c r="F2030" s="27">
        <f>IFERROR(IF(OR(C2030="",D2030="",C2030=0),"",D2030/C2030),"")</f>
        <v/>
      </c>
      <c r="G2030" s="21">
        <f>IFERROR(INDEX(Users!$A$2:$A$310,MATCH(A2030,Users!$B$2:$B$310,0)),"")</f>
        <v/>
      </c>
      <c r="H2030" s="21">
        <f>IFERROR(INDEX(Users!$D$2:$D$310,MATCH(A2030,Users!$B$2:$B$310,0)),"")</f>
        <v/>
      </c>
      <c r="I2030" s="19">
        <f>AND(G2030="Service A",H2030="Band 3")</f>
        <v/>
      </c>
      <c r="J2030" s="33">
        <f>IF(AND(YEAR(B2030)=2025,G2030="Service B",OR(H2030="Band 3",H2030="Band 5"),ISNUMBER(F2030)),F2030,"")</f>
        <v/>
      </c>
    </row>
    <row r="2031">
      <c r="A2031" s="19" t="inlineStr">
        <is>
          <t>User1216</t>
        </is>
      </c>
      <c r="B2031" s="60" t="n">
        <v>45689</v>
      </c>
      <c r="C2031" s="21" t="n">
        <v>148</v>
      </c>
      <c r="D2031" s="21" t="n">
        <v>144.9733333333333</v>
      </c>
      <c r="E2031" s="21" t="n">
        <v>80.59</v>
      </c>
      <c r="F2031" s="27">
        <f>IFERROR(IF(OR(C2031="",D2031="",C2031=0),"",D2031/C2031),"")</f>
        <v/>
      </c>
      <c r="G2031" s="21">
        <f>IFERROR(INDEX(Users!$A$2:$A$310,MATCH(A2031,Users!$B$2:$B$310,0)),"")</f>
        <v/>
      </c>
      <c r="H2031" s="21">
        <f>IFERROR(INDEX(Users!$D$2:$D$310,MATCH(A2031,Users!$B$2:$B$310,0)),"")</f>
        <v/>
      </c>
      <c r="I2031" s="19">
        <f>AND(G2031="Service A",H2031="Band 3")</f>
        <v/>
      </c>
      <c r="J2031" s="33">
        <f>IF(AND(YEAR(B2031)=2025,G2031="Service B",OR(H2031="Band 3",H2031="Band 5"),ISNUMBER(F2031)),F2031,"")</f>
        <v/>
      </c>
    </row>
    <row r="2032">
      <c r="A2032" s="19" t="inlineStr">
        <is>
          <t>User1216</t>
        </is>
      </c>
      <c r="B2032" s="60" t="n">
        <v>45717</v>
      </c>
      <c r="C2032" s="21" t="n">
        <v>155.4</v>
      </c>
      <c r="D2032" s="21" t="n">
        <v>155.0566666666667</v>
      </c>
      <c r="E2032" s="21" t="n">
        <v>73.63999999999999</v>
      </c>
      <c r="F2032" s="27">
        <f>IFERROR(IF(OR(C2032="",D2032="",C2032=0),"",D2032/C2032),"")</f>
        <v/>
      </c>
      <c r="G2032" s="21">
        <f>IFERROR(INDEX(Users!$A$2:$A$310,MATCH(A2032,Users!$B$2:$B$310,0)),"")</f>
        <v/>
      </c>
      <c r="H2032" s="21">
        <f>IFERROR(INDEX(Users!$D$2:$D$310,MATCH(A2032,Users!$B$2:$B$310,0)),"")</f>
        <v/>
      </c>
      <c r="I2032" s="19">
        <f>AND(G2032="Service A",H2032="Band 3")</f>
        <v/>
      </c>
      <c r="J2032" s="33">
        <f>IF(AND(YEAR(B2032)=2025,G2032="Service B",OR(H2032="Band 3",H2032="Band 5"),ISNUMBER(F2032)),F2032,"")</f>
        <v/>
      </c>
    </row>
    <row r="2033">
      <c r="A2033" s="19" t="inlineStr">
        <is>
          <t>User1216</t>
        </is>
      </c>
      <c r="B2033" s="60" t="n">
        <v>45748</v>
      </c>
      <c r="C2033" s="21" t="n">
        <v>148</v>
      </c>
      <c r="D2033" s="21" t="n">
        <v>124.6133333333333</v>
      </c>
      <c r="E2033" s="21" t="n">
        <v>73.38</v>
      </c>
      <c r="F2033" s="27">
        <f>IFERROR(IF(OR(C2033="",D2033="",C2033=0),"",D2033/C2033),"")</f>
        <v/>
      </c>
      <c r="G2033" s="21">
        <f>IFERROR(INDEX(Users!$A$2:$A$310,MATCH(A2033,Users!$B$2:$B$310,0)),"")</f>
        <v/>
      </c>
      <c r="H2033" s="21">
        <f>IFERROR(INDEX(Users!$D$2:$D$310,MATCH(A2033,Users!$B$2:$B$310,0)),"")</f>
        <v/>
      </c>
      <c r="I2033" s="19">
        <f>AND(G2033="Service A",H2033="Band 3")</f>
        <v/>
      </c>
      <c r="J2033" s="33">
        <f>IF(AND(YEAR(B2033)=2025,G2033="Service B",OR(H2033="Band 3",H2033="Band 5"),ISNUMBER(F2033)),F2033,"")</f>
        <v/>
      </c>
    </row>
    <row r="2034">
      <c r="A2034" s="19" t="inlineStr">
        <is>
          <t>User1216</t>
        </is>
      </c>
      <c r="B2034" s="60" t="n">
        <v>45778</v>
      </c>
      <c r="C2034" s="21" t="n">
        <v>148</v>
      </c>
      <c r="D2034" s="21" t="n">
        <v>127.8066666666666</v>
      </c>
      <c r="E2034" s="21" t="n">
        <v>76.64</v>
      </c>
      <c r="F2034" s="27">
        <f>IFERROR(IF(OR(C2034="",D2034="",C2034=0),"",D2034/C2034),"")</f>
        <v/>
      </c>
      <c r="G2034" s="21">
        <f>IFERROR(INDEX(Users!$A$2:$A$310,MATCH(A2034,Users!$B$2:$B$310,0)),"")</f>
        <v/>
      </c>
      <c r="H2034" s="21">
        <f>IFERROR(INDEX(Users!$D$2:$D$310,MATCH(A2034,Users!$B$2:$B$310,0)),"")</f>
        <v/>
      </c>
      <c r="I2034" s="19">
        <f>AND(G2034="Service A",H2034="Band 3")</f>
        <v/>
      </c>
      <c r="J2034" s="33">
        <f>IF(AND(YEAR(B2034)=2025,G2034="Service B",OR(H2034="Band 3",H2034="Band 5"),ISNUMBER(F2034)),F2034,"")</f>
        <v/>
      </c>
    </row>
    <row r="2035">
      <c r="A2035" s="19" t="inlineStr">
        <is>
          <t>User1216</t>
        </is>
      </c>
      <c r="B2035" s="60" t="n">
        <v>45809</v>
      </c>
      <c r="C2035" s="21" t="n">
        <v>155.4</v>
      </c>
      <c r="D2035" s="21" t="n">
        <v>145.7733333333334</v>
      </c>
      <c r="E2035" s="21" t="n">
        <v>98.69000000000001</v>
      </c>
      <c r="F2035" s="27">
        <f>IFERROR(IF(OR(C2035="",D2035="",C2035=0),"",D2035/C2035),"")</f>
        <v/>
      </c>
      <c r="G2035" s="21">
        <f>IFERROR(INDEX(Users!$A$2:$A$310,MATCH(A2035,Users!$B$2:$B$310,0)),"")</f>
        <v/>
      </c>
      <c r="H2035" s="21">
        <f>IFERROR(INDEX(Users!$D$2:$D$310,MATCH(A2035,Users!$B$2:$B$310,0)),"")</f>
        <v/>
      </c>
      <c r="I2035" s="19">
        <f>AND(G2035="Service A",H2035="Band 3")</f>
        <v/>
      </c>
      <c r="J2035" s="33">
        <f>IF(AND(YEAR(B2035)=2025,G2035="Service B",OR(H2035="Band 3",H2035="Band 5"),ISNUMBER(F2035)),F2035,"")</f>
        <v/>
      </c>
    </row>
    <row r="2036">
      <c r="A2036" s="19" t="inlineStr">
        <is>
          <t>User1216</t>
        </is>
      </c>
      <c r="B2036" s="60" t="n">
        <v>45839</v>
      </c>
      <c r="C2036" s="21" t="n">
        <v>170.2</v>
      </c>
      <c r="D2036" s="21" t="n">
        <v>150.65</v>
      </c>
      <c r="E2036" s="21" t="n">
        <v>100.4</v>
      </c>
      <c r="F2036" s="27">
        <f>IFERROR(IF(OR(C2036="",D2036="",C2036=0),"",D2036/C2036),"")</f>
        <v/>
      </c>
      <c r="G2036" s="21">
        <f>IFERROR(INDEX(Users!$A$2:$A$310,MATCH(A2036,Users!$B$2:$B$310,0)),"")</f>
        <v/>
      </c>
      <c r="H2036" s="21">
        <f>IFERROR(INDEX(Users!$D$2:$D$310,MATCH(A2036,Users!$B$2:$B$310,0)),"")</f>
        <v/>
      </c>
      <c r="I2036" s="19">
        <f>AND(G2036="Service A",H2036="Band 3")</f>
        <v/>
      </c>
      <c r="J2036" s="33">
        <f>IF(AND(YEAR(B2036)=2025,G2036="Service B",OR(H2036="Band 3",H2036="Band 5"),ISNUMBER(F2036)),F2036,"")</f>
        <v/>
      </c>
    </row>
    <row r="2037">
      <c r="A2037" s="19" t="inlineStr">
        <is>
          <t>User1216</t>
        </is>
      </c>
      <c r="B2037" s="60" t="n">
        <v>45870</v>
      </c>
      <c r="C2037" s="21" t="n">
        <v>148</v>
      </c>
      <c r="D2037" s="21" t="n">
        <v>132.89</v>
      </c>
      <c r="E2037" s="21" t="n">
        <v>93.88999999999999</v>
      </c>
      <c r="F2037" s="27">
        <f>IFERROR(IF(OR(C2037="",D2037="",C2037=0),"",D2037/C2037),"")</f>
        <v/>
      </c>
      <c r="G2037" s="21">
        <f>IFERROR(INDEX(Users!$A$2:$A$310,MATCH(A2037,Users!$B$2:$B$310,0)),"")</f>
        <v/>
      </c>
      <c r="H2037" s="21">
        <f>IFERROR(INDEX(Users!$D$2:$D$310,MATCH(A2037,Users!$B$2:$B$310,0)),"")</f>
        <v/>
      </c>
      <c r="I2037" s="19">
        <f>AND(G2037="Service A",H2037="Band 3")</f>
        <v/>
      </c>
      <c r="J2037" s="33">
        <f>IF(AND(YEAR(B2037)=2025,G2037="Service B",OR(H2037="Band 3",H2037="Band 5"),ISNUMBER(F2037)),F2037,"")</f>
        <v/>
      </c>
    </row>
    <row r="2038">
      <c r="A2038" s="19" t="inlineStr">
        <is>
          <t>User1217</t>
        </is>
      </c>
      <c r="B2038" s="60" t="n"/>
      <c r="C2038" s="21" t="n"/>
      <c r="D2038" s="21" t="n"/>
      <c r="E2038" s="21" t="n"/>
      <c r="F2038" s="27">
        <f>IFERROR(IF(OR(C2038="",D2038="",C2038=0),"",D2038/C2038),"")</f>
        <v/>
      </c>
      <c r="G2038" s="21">
        <f>IFERROR(INDEX(Users!$A$2:$A$310,MATCH(A2038,Users!$B$2:$B$310,0)),"")</f>
        <v/>
      </c>
      <c r="H2038" s="21">
        <f>IFERROR(INDEX(Users!$D$2:$D$310,MATCH(A2038,Users!$B$2:$B$310,0)),"")</f>
        <v/>
      </c>
      <c r="I2038" s="19">
        <f>AND(G2038="Service A",H2038="Band 3")</f>
        <v/>
      </c>
      <c r="J2038" s="33">
        <f>IF(AND(YEAR(B2038)=2025,G2038="Service B",OR(H2038="Band 3",H2038="Band 5"),ISNUMBER(F2038)),F2038,"")</f>
        <v/>
      </c>
    </row>
    <row r="2039">
      <c r="A2039" s="19" t="inlineStr">
        <is>
          <t>User1217</t>
        </is>
      </c>
      <c r="B2039" s="60" t="n">
        <v>45658</v>
      </c>
      <c r="C2039" s="21" t="n">
        <v>162.8</v>
      </c>
      <c r="D2039" s="21" t="n">
        <v>158.86</v>
      </c>
      <c r="E2039" s="21" t="n">
        <v>79.11</v>
      </c>
      <c r="F2039" s="27">
        <f>IFERROR(IF(OR(C2039="",D2039="",C2039=0),"",D2039/C2039),"")</f>
        <v/>
      </c>
      <c r="G2039" s="21">
        <f>IFERROR(INDEX(Users!$A$2:$A$310,MATCH(A2039,Users!$B$2:$B$310,0)),"")</f>
        <v/>
      </c>
      <c r="H2039" s="21">
        <f>IFERROR(INDEX(Users!$D$2:$D$310,MATCH(A2039,Users!$B$2:$B$310,0)),"")</f>
        <v/>
      </c>
      <c r="I2039" s="19">
        <f>AND(G2039="Service A",H2039="Band 3")</f>
        <v/>
      </c>
      <c r="J2039" s="33">
        <f>IF(AND(YEAR(B2039)=2025,G2039="Service B",OR(H2039="Band 3",H2039="Band 5"),ISNUMBER(F2039)),F2039,"")</f>
        <v/>
      </c>
    </row>
    <row r="2040">
      <c r="A2040" s="19" t="inlineStr">
        <is>
          <t>User1217</t>
        </is>
      </c>
      <c r="B2040" s="60" t="n">
        <v>45689</v>
      </c>
      <c r="C2040" s="21" t="n">
        <v>148</v>
      </c>
      <c r="D2040" s="21" t="n">
        <v>117.0133333333333</v>
      </c>
      <c r="E2040" s="21" t="n">
        <v>64.68000000000001</v>
      </c>
      <c r="F2040" s="27">
        <f>IFERROR(IF(OR(C2040="",D2040="",C2040=0),"",D2040/C2040),"")</f>
        <v/>
      </c>
      <c r="G2040" s="21">
        <f>IFERROR(INDEX(Users!$A$2:$A$310,MATCH(A2040,Users!$B$2:$B$310,0)),"")</f>
        <v/>
      </c>
      <c r="H2040" s="21">
        <f>IFERROR(INDEX(Users!$D$2:$D$310,MATCH(A2040,Users!$B$2:$B$310,0)),"")</f>
        <v/>
      </c>
      <c r="I2040" s="19">
        <f>AND(G2040="Service A",H2040="Band 3")</f>
        <v/>
      </c>
      <c r="J2040" s="33">
        <f>IF(AND(YEAR(B2040)=2025,G2040="Service B",OR(H2040="Band 3",H2040="Band 5"),ISNUMBER(F2040)),F2040,"")</f>
        <v/>
      </c>
    </row>
    <row r="2041">
      <c r="A2041" s="19" t="inlineStr">
        <is>
          <t>User1217</t>
        </is>
      </c>
      <c r="B2041" s="60" t="n">
        <v>45717</v>
      </c>
      <c r="C2041" s="21" t="n">
        <v>155.4</v>
      </c>
      <c r="D2041" s="21" t="n">
        <v>135.4533333333333</v>
      </c>
      <c r="E2041" s="21" t="n">
        <v>82.12</v>
      </c>
      <c r="F2041" s="27">
        <f>IFERROR(IF(OR(C2041="",D2041="",C2041=0),"",D2041/C2041),"")</f>
        <v/>
      </c>
      <c r="G2041" s="21">
        <f>IFERROR(INDEX(Users!$A$2:$A$310,MATCH(A2041,Users!$B$2:$B$310,0)),"")</f>
        <v/>
      </c>
      <c r="H2041" s="21">
        <f>IFERROR(INDEX(Users!$D$2:$D$310,MATCH(A2041,Users!$B$2:$B$310,0)),"")</f>
        <v/>
      </c>
      <c r="I2041" s="19">
        <f>AND(G2041="Service A",H2041="Band 3")</f>
        <v/>
      </c>
      <c r="J2041" s="33">
        <f>IF(AND(YEAR(B2041)=2025,G2041="Service B",OR(H2041="Band 3",H2041="Band 5"),ISNUMBER(F2041)),F2041,"")</f>
        <v/>
      </c>
    </row>
    <row r="2042">
      <c r="A2042" s="19" t="inlineStr">
        <is>
          <t>User1217</t>
        </is>
      </c>
      <c r="B2042" s="60" t="n">
        <v>45748</v>
      </c>
      <c r="C2042" s="21" t="n">
        <v>148</v>
      </c>
      <c r="D2042" s="21" t="n">
        <v>71.31</v>
      </c>
      <c r="E2042" s="21" t="n">
        <v>46.06</v>
      </c>
      <c r="F2042" s="27">
        <f>IFERROR(IF(OR(C2042="",D2042="",C2042=0),"",D2042/C2042),"")</f>
        <v/>
      </c>
      <c r="G2042" s="21">
        <f>IFERROR(INDEX(Users!$A$2:$A$310,MATCH(A2042,Users!$B$2:$B$310,0)),"")</f>
        <v/>
      </c>
      <c r="H2042" s="21">
        <f>IFERROR(INDEX(Users!$D$2:$D$310,MATCH(A2042,Users!$B$2:$B$310,0)),"")</f>
        <v/>
      </c>
      <c r="I2042" s="19">
        <f>AND(G2042="Service A",H2042="Band 3")</f>
        <v/>
      </c>
      <c r="J2042" s="33">
        <f>IF(AND(YEAR(B2042)=2025,G2042="Service B",OR(H2042="Band 3",H2042="Band 5"),ISNUMBER(F2042)),F2042,"")</f>
        <v/>
      </c>
    </row>
    <row r="2043">
      <c r="A2043" s="19" t="inlineStr">
        <is>
          <t>User1217</t>
        </is>
      </c>
      <c r="B2043" s="60" t="n">
        <v>45778</v>
      </c>
      <c r="C2043" s="21" t="n">
        <v>148</v>
      </c>
      <c r="D2043" s="21" t="n">
        <v>140.41</v>
      </c>
      <c r="E2043" s="21" t="n">
        <v>89.66</v>
      </c>
      <c r="F2043" s="27">
        <f>IFERROR(IF(OR(C2043="",D2043="",C2043=0),"",D2043/C2043),"")</f>
        <v/>
      </c>
      <c r="G2043" s="21">
        <f>IFERROR(INDEX(Users!$A$2:$A$310,MATCH(A2043,Users!$B$2:$B$310,0)),"")</f>
        <v/>
      </c>
      <c r="H2043" s="21">
        <f>IFERROR(INDEX(Users!$D$2:$D$310,MATCH(A2043,Users!$B$2:$B$310,0)),"")</f>
        <v/>
      </c>
      <c r="I2043" s="19">
        <f>AND(G2043="Service A",H2043="Band 3")</f>
        <v/>
      </c>
      <c r="J2043" s="33">
        <f>IF(AND(YEAR(B2043)=2025,G2043="Service B",OR(H2043="Band 3",H2043="Band 5"),ISNUMBER(F2043)),F2043,"")</f>
        <v/>
      </c>
    </row>
    <row r="2044">
      <c r="A2044" s="19" t="inlineStr">
        <is>
          <t>User1217</t>
        </is>
      </c>
      <c r="B2044" s="60" t="n">
        <v>45809</v>
      </c>
      <c r="C2044" s="21" t="n">
        <v>155.4</v>
      </c>
      <c r="D2044" s="21" t="n">
        <v>145.5866666666667</v>
      </c>
      <c r="E2044" s="21" t="n">
        <v>72.92000000000002</v>
      </c>
      <c r="F2044" s="27">
        <f>IFERROR(IF(OR(C2044="",D2044="",C2044=0),"",D2044/C2044),"")</f>
        <v/>
      </c>
      <c r="G2044" s="21">
        <f>IFERROR(INDEX(Users!$A$2:$A$310,MATCH(A2044,Users!$B$2:$B$310,0)),"")</f>
        <v/>
      </c>
      <c r="H2044" s="21">
        <f>IFERROR(INDEX(Users!$D$2:$D$310,MATCH(A2044,Users!$B$2:$B$310,0)),"")</f>
        <v/>
      </c>
      <c r="I2044" s="19">
        <f>AND(G2044="Service A",H2044="Band 3")</f>
        <v/>
      </c>
      <c r="J2044" s="33">
        <f>IF(AND(YEAR(B2044)=2025,G2044="Service B",OR(H2044="Band 3",H2044="Band 5"),ISNUMBER(F2044)),F2044,"")</f>
        <v/>
      </c>
    </row>
    <row r="2045">
      <c r="A2045" s="19" t="inlineStr">
        <is>
          <t>User1217</t>
        </is>
      </c>
      <c r="B2045" s="60" t="n">
        <v>45839</v>
      </c>
      <c r="C2045" s="21" t="n">
        <v>170.2</v>
      </c>
      <c r="D2045" s="21" t="n">
        <v>156.92</v>
      </c>
      <c r="E2045" s="21" t="n">
        <v>81.67000000000002</v>
      </c>
      <c r="F2045" s="27">
        <f>IFERROR(IF(OR(C2045="",D2045="",C2045=0),"",D2045/C2045),"")</f>
        <v/>
      </c>
      <c r="G2045" s="21">
        <f>IFERROR(INDEX(Users!$A$2:$A$310,MATCH(A2045,Users!$B$2:$B$310,0)),"")</f>
        <v/>
      </c>
      <c r="H2045" s="21">
        <f>IFERROR(INDEX(Users!$D$2:$D$310,MATCH(A2045,Users!$B$2:$B$310,0)),"")</f>
        <v/>
      </c>
      <c r="I2045" s="19">
        <f>AND(G2045="Service A",H2045="Band 3")</f>
        <v/>
      </c>
      <c r="J2045" s="33">
        <f>IF(AND(YEAR(B2045)=2025,G2045="Service B",OR(H2045="Band 3",H2045="Band 5"),ISNUMBER(F2045)),F2045,"")</f>
        <v/>
      </c>
    </row>
    <row r="2046">
      <c r="A2046" s="19" t="inlineStr">
        <is>
          <t>User1217</t>
        </is>
      </c>
      <c r="B2046" s="60" t="n">
        <v>45870</v>
      </c>
      <c r="C2046" s="21" t="n">
        <v>148</v>
      </c>
      <c r="D2046" s="21" t="n">
        <v>110.7033333333334</v>
      </c>
      <c r="E2046" s="21" t="n">
        <v>67.62000000000003</v>
      </c>
      <c r="F2046" s="27">
        <f>IFERROR(IF(OR(C2046="",D2046="",C2046=0),"",D2046/C2046),"")</f>
        <v/>
      </c>
      <c r="G2046" s="21">
        <f>IFERROR(INDEX(Users!$A$2:$A$310,MATCH(A2046,Users!$B$2:$B$310,0)),"")</f>
        <v/>
      </c>
      <c r="H2046" s="21">
        <f>IFERROR(INDEX(Users!$D$2:$D$310,MATCH(A2046,Users!$B$2:$B$310,0)),"")</f>
        <v/>
      </c>
      <c r="I2046" s="19">
        <f>AND(G2046="Service A",H2046="Band 3")</f>
        <v/>
      </c>
      <c r="J2046" s="33">
        <f>IF(AND(YEAR(B2046)=2025,G2046="Service B",OR(H2046="Band 3",H2046="Band 5"),ISNUMBER(F2046)),F2046,"")</f>
        <v/>
      </c>
    </row>
    <row r="2047">
      <c r="A2047" s="19" t="inlineStr">
        <is>
          <t>User1217</t>
        </is>
      </c>
      <c r="B2047" s="60" t="n">
        <v>45901</v>
      </c>
      <c r="C2047" s="21" t="n">
        <v>162.8</v>
      </c>
      <c r="D2047" s="21" t="n"/>
      <c r="E2047" s="21" t="n"/>
      <c r="F2047" s="27">
        <f>IFERROR(IF(OR(C2047="",D2047="",C2047=0),"",D2047/C2047),"")</f>
        <v/>
      </c>
      <c r="G2047" s="21">
        <f>IFERROR(INDEX(Users!$A$2:$A$310,MATCH(A2047,Users!$B$2:$B$310,0)),"")</f>
        <v/>
      </c>
      <c r="H2047" s="21">
        <f>IFERROR(INDEX(Users!$D$2:$D$310,MATCH(A2047,Users!$B$2:$B$310,0)),"")</f>
        <v/>
      </c>
      <c r="I2047" s="19">
        <f>AND(G2047="Service A",H2047="Band 3")</f>
        <v/>
      </c>
      <c r="J2047" s="33">
        <f>IF(AND(YEAR(B2047)=2025,G2047="Service B",OR(H2047="Band 3",H2047="Band 5"),ISNUMBER(F2047)),F2047,"")</f>
        <v/>
      </c>
    </row>
    <row r="2048">
      <c r="A2048" s="19" t="inlineStr">
        <is>
          <t>User1217</t>
        </is>
      </c>
      <c r="B2048" s="60" t="n">
        <v>45931</v>
      </c>
      <c r="C2048" s="21" t="n">
        <v>170.2</v>
      </c>
      <c r="D2048" s="21" t="n"/>
      <c r="E2048" s="21" t="n"/>
      <c r="F2048" s="27">
        <f>IFERROR(IF(OR(C2048="",D2048="",C2048=0),"",D2048/C2048),"")</f>
        <v/>
      </c>
      <c r="G2048" s="21">
        <f>IFERROR(INDEX(Users!$A$2:$A$310,MATCH(A2048,Users!$B$2:$B$310,0)),"")</f>
        <v/>
      </c>
      <c r="H2048" s="21">
        <f>IFERROR(INDEX(Users!$D$2:$D$310,MATCH(A2048,Users!$B$2:$B$310,0)),"")</f>
        <v/>
      </c>
      <c r="I2048" s="19">
        <f>AND(G2048="Service A",H2048="Band 3")</f>
        <v/>
      </c>
      <c r="J2048" s="33">
        <f>IF(AND(YEAR(B2048)=2025,G2048="Service B",OR(H2048="Band 3",H2048="Band 5"),ISNUMBER(F2048)),F2048,"")</f>
        <v/>
      </c>
    </row>
    <row r="2049">
      <c r="A2049" s="19" t="inlineStr">
        <is>
          <t>User1217</t>
        </is>
      </c>
      <c r="B2049" s="60" t="n">
        <v>45962</v>
      </c>
      <c r="C2049" s="21" t="n">
        <v>148</v>
      </c>
      <c r="D2049" s="21" t="n"/>
      <c r="E2049" s="21" t="n"/>
      <c r="F2049" s="27">
        <f>IFERROR(IF(OR(C2049="",D2049="",C2049=0),"",D2049/C2049),"")</f>
        <v/>
      </c>
      <c r="G2049" s="21">
        <f>IFERROR(INDEX(Users!$A$2:$A$310,MATCH(A2049,Users!$B$2:$B$310,0)),"")</f>
        <v/>
      </c>
      <c r="H2049" s="21">
        <f>IFERROR(INDEX(Users!$D$2:$D$310,MATCH(A2049,Users!$B$2:$B$310,0)),"")</f>
        <v/>
      </c>
      <c r="I2049" s="19">
        <f>AND(G2049="Service A",H2049="Band 3")</f>
        <v/>
      </c>
      <c r="J2049" s="33">
        <f>IF(AND(YEAR(B2049)=2025,G2049="Service B",OR(H2049="Band 3",H2049="Band 5"),ISNUMBER(F2049)),F2049,"")</f>
        <v/>
      </c>
    </row>
    <row r="2050">
      <c r="A2050" s="19" t="inlineStr">
        <is>
          <t>User1217</t>
        </is>
      </c>
      <c r="B2050" s="60" t="n">
        <v>45992</v>
      </c>
      <c r="C2050" s="21" t="n">
        <v>155.4</v>
      </c>
      <c r="D2050" s="21" t="n"/>
      <c r="E2050" s="21" t="n"/>
      <c r="F2050" s="27">
        <f>IFERROR(IF(OR(C2050="",D2050="",C2050=0),"",D2050/C2050),"")</f>
        <v/>
      </c>
      <c r="G2050" s="21">
        <f>IFERROR(INDEX(Users!$A$2:$A$310,MATCH(A2050,Users!$B$2:$B$310,0)),"")</f>
        <v/>
      </c>
      <c r="H2050" s="21">
        <f>IFERROR(INDEX(Users!$D$2:$D$310,MATCH(A2050,Users!$B$2:$B$310,0)),"")</f>
        <v/>
      </c>
      <c r="I2050" s="19">
        <f>AND(G2050="Service A",H2050="Band 3")</f>
        <v/>
      </c>
      <c r="J2050" s="33">
        <f>IF(AND(YEAR(B2050)=2025,G2050="Service B",OR(H2050="Band 3",H2050="Band 5"),ISNUMBER(F2050)),F2050,"")</f>
        <v/>
      </c>
    </row>
    <row r="2051">
      <c r="A2051" s="19" t="inlineStr">
        <is>
          <t>User1217</t>
        </is>
      </c>
      <c r="B2051" s="60" t="n">
        <v>46023</v>
      </c>
      <c r="C2051" s="21" t="n">
        <v>155.4</v>
      </c>
      <c r="D2051" s="21" t="n"/>
      <c r="E2051" s="21" t="n"/>
      <c r="F2051" s="27">
        <f>IFERROR(IF(OR(C2051="",D2051="",C2051=0),"",D2051/C2051),"")</f>
        <v/>
      </c>
      <c r="G2051" s="21">
        <f>IFERROR(INDEX(Users!$A$2:$A$310,MATCH(A2051,Users!$B$2:$B$310,0)),"")</f>
        <v/>
      </c>
      <c r="H2051" s="21">
        <f>IFERROR(INDEX(Users!$D$2:$D$310,MATCH(A2051,Users!$B$2:$B$310,0)),"")</f>
        <v/>
      </c>
      <c r="I2051" s="19">
        <f>AND(G2051="Service A",H2051="Band 3")</f>
        <v/>
      </c>
      <c r="J2051" s="33">
        <f>IF(AND(YEAR(B2051)=2025,G2051="Service B",OR(H2051="Band 3",H2051="Band 5"),ISNUMBER(F2051)),F2051,"")</f>
        <v/>
      </c>
    </row>
    <row r="2052">
      <c r="A2052" s="19" t="inlineStr">
        <is>
          <t>User1218</t>
        </is>
      </c>
      <c r="B2052" s="60" t="n">
        <v>45658</v>
      </c>
      <c r="C2052" s="21" t="n">
        <v>162.8</v>
      </c>
      <c r="D2052" s="21" t="n">
        <v>138.85</v>
      </c>
      <c r="E2052" s="21" t="n">
        <v>35.45</v>
      </c>
      <c r="F2052" s="27">
        <f>IFERROR(IF(OR(C2052="",D2052="",C2052=0),"",D2052/C2052),"")</f>
        <v/>
      </c>
      <c r="G2052" s="21">
        <f>IFERROR(INDEX(Users!$A$2:$A$310,MATCH(A2052,Users!$B$2:$B$310,0)),"")</f>
        <v/>
      </c>
      <c r="H2052" s="21">
        <f>IFERROR(INDEX(Users!$D$2:$D$310,MATCH(A2052,Users!$B$2:$B$310,0)),"")</f>
        <v/>
      </c>
      <c r="I2052" s="19">
        <f>AND(G2052="Service A",H2052="Band 3")</f>
        <v/>
      </c>
      <c r="J2052" s="33">
        <f>IF(AND(YEAR(B2052)=2025,G2052="Service B",OR(H2052="Band 3",H2052="Band 5"),ISNUMBER(F2052)),F2052,"")</f>
        <v/>
      </c>
    </row>
    <row r="2053">
      <c r="A2053" s="19" t="inlineStr">
        <is>
          <t>User1218</t>
        </is>
      </c>
      <c r="B2053" s="60" t="n">
        <v>45689</v>
      </c>
      <c r="C2053" s="21" t="n">
        <v>148</v>
      </c>
      <c r="D2053" s="21" t="n">
        <v>131.0466666666667</v>
      </c>
      <c r="E2053" s="21" t="n">
        <v>27.78</v>
      </c>
      <c r="F2053" s="27">
        <f>IFERROR(IF(OR(C2053="",D2053="",C2053=0),"",D2053/C2053),"")</f>
        <v/>
      </c>
      <c r="G2053" s="21">
        <f>IFERROR(INDEX(Users!$A$2:$A$310,MATCH(A2053,Users!$B$2:$B$310,0)),"")</f>
        <v/>
      </c>
      <c r="H2053" s="21">
        <f>IFERROR(INDEX(Users!$D$2:$D$310,MATCH(A2053,Users!$B$2:$B$310,0)),"")</f>
        <v/>
      </c>
      <c r="I2053" s="19">
        <f>AND(G2053="Service A",H2053="Band 3")</f>
        <v/>
      </c>
      <c r="J2053" s="33">
        <f>IF(AND(YEAR(B2053)=2025,G2053="Service B",OR(H2053="Band 3",H2053="Band 5"),ISNUMBER(F2053)),F2053,"")</f>
        <v/>
      </c>
    </row>
    <row r="2054">
      <c r="A2054" s="19" t="inlineStr">
        <is>
          <t>User1218</t>
        </is>
      </c>
      <c r="B2054" s="60" t="n">
        <v>45717</v>
      </c>
      <c r="C2054" s="21" t="n">
        <v>155.4</v>
      </c>
      <c r="D2054" s="21" t="n">
        <v>162.5066666666667</v>
      </c>
      <c r="E2054" s="21" t="n">
        <v>64.14</v>
      </c>
      <c r="F2054" s="27">
        <f>IFERROR(IF(OR(C2054="",D2054="",C2054=0),"",D2054/C2054),"")</f>
        <v/>
      </c>
      <c r="G2054" s="21">
        <f>IFERROR(INDEX(Users!$A$2:$A$310,MATCH(A2054,Users!$B$2:$B$310,0)),"")</f>
        <v/>
      </c>
      <c r="H2054" s="21">
        <f>IFERROR(INDEX(Users!$D$2:$D$310,MATCH(A2054,Users!$B$2:$B$310,0)),"")</f>
        <v/>
      </c>
      <c r="I2054" s="19">
        <f>AND(G2054="Service A",H2054="Band 3")</f>
        <v/>
      </c>
      <c r="J2054" s="33">
        <f>IF(AND(YEAR(B2054)=2025,G2054="Service B",OR(H2054="Band 3",H2054="Band 5"),ISNUMBER(F2054)),F2054,"")</f>
        <v/>
      </c>
    </row>
    <row r="2055">
      <c r="A2055" s="19" t="inlineStr">
        <is>
          <t>User1218</t>
        </is>
      </c>
      <c r="B2055" s="60" t="n">
        <v>45748</v>
      </c>
      <c r="C2055" s="21" t="n">
        <v>148</v>
      </c>
      <c r="D2055" s="21" t="n">
        <v>162.8533333333333</v>
      </c>
      <c r="E2055" s="21" t="n">
        <v>91.77</v>
      </c>
      <c r="F2055" s="27">
        <f>IFERROR(IF(OR(C2055="",D2055="",C2055=0),"",D2055/C2055),"")</f>
        <v/>
      </c>
      <c r="G2055" s="21">
        <f>IFERROR(INDEX(Users!$A$2:$A$310,MATCH(A2055,Users!$B$2:$B$310,0)),"")</f>
        <v/>
      </c>
      <c r="H2055" s="21">
        <f>IFERROR(INDEX(Users!$D$2:$D$310,MATCH(A2055,Users!$B$2:$B$310,0)),"")</f>
        <v/>
      </c>
      <c r="I2055" s="19">
        <f>AND(G2055="Service A",H2055="Band 3")</f>
        <v/>
      </c>
      <c r="J2055" s="33">
        <f>IF(AND(YEAR(B2055)=2025,G2055="Service B",OR(H2055="Band 3",H2055="Band 5"),ISNUMBER(F2055)),F2055,"")</f>
        <v/>
      </c>
    </row>
    <row r="2056">
      <c r="A2056" s="19" t="inlineStr">
        <is>
          <t>User1218</t>
        </is>
      </c>
      <c r="B2056" s="60" t="n">
        <v>45778</v>
      </c>
      <c r="C2056" s="21" t="n">
        <v>148</v>
      </c>
      <c r="D2056" s="21" t="n">
        <v>135.9233333333333</v>
      </c>
      <c r="E2056" s="21" t="n">
        <v>80.78999999999999</v>
      </c>
      <c r="F2056" s="27">
        <f>IFERROR(IF(OR(C2056="",D2056="",C2056=0),"",D2056/C2056),"")</f>
        <v/>
      </c>
      <c r="G2056" s="21">
        <f>IFERROR(INDEX(Users!$A$2:$A$310,MATCH(A2056,Users!$B$2:$B$310,0)),"")</f>
        <v/>
      </c>
      <c r="H2056" s="21">
        <f>IFERROR(INDEX(Users!$D$2:$D$310,MATCH(A2056,Users!$B$2:$B$310,0)),"")</f>
        <v/>
      </c>
      <c r="I2056" s="19">
        <f>AND(G2056="Service A",H2056="Band 3")</f>
        <v/>
      </c>
      <c r="J2056" s="33">
        <f>IF(AND(YEAR(B2056)=2025,G2056="Service B",OR(H2056="Band 3",H2056="Band 5"),ISNUMBER(F2056)),F2056,"")</f>
        <v/>
      </c>
    </row>
    <row r="2057">
      <c r="A2057" s="19" t="inlineStr">
        <is>
          <t>User1218</t>
        </is>
      </c>
      <c r="B2057" s="60" t="n">
        <v>45809</v>
      </c>
      <c r="C2057" s="21" t="n">
        <v>155.4</v>
      </c>
      <c r="D2057" s="21" t="n">
        <v>128.2566666666666</v>
      </c>
      <c r="E2057" s="21" t="n">
        <v>68.98999999999998</v>
      </c>
      <c r="F2057" s="27">
        <f>IFERROR(IF(OR(C2057="",D2057="",C2057=0),"",D2057/C2057),"")</f>
        <v/>
      </c>
      <c r="G2057" s="21">
        <f>IFERROR(INDEX(Users!$A$2:$A$310,MATCH(A2057,Users!$B$2:$B$310,0)),"")</f>
        <v/>
      </c>
      <c r="H2057" s="21">
        <f>IFERROR(INDEX(Users!$D$2:$D$310,MATCH(A2057,Users!$B$2:$B$310,0)),"")</f>
        <v/>
      </c>
      <c r="I2057" s="19">
        <f>AND(G2057="Service A",H2057="Band 3")</f>
        <v/>
      </c>
      <c r="J2057" s="33">
        <f>IF(AND(YEAR(B2057)=2025,G2057="Service B",OR(H2057="Band 3",H2057="Band 5"),ISNUMBER(F2057)),F2057,"")</f>
        <v/>
      </c>
    </row>
    <row r="2058">
      <c r="A2058" s="19" t="inlineStr">
        <is>
          <t>User1221</t>
        </is>
      </c>
      <c r="B2058" s="60" t="n">
        <v>45901</v>
      </c>
      <c r="C2058" s="21" t="n">
        <v>51.8</v>
      </c>
      <c r="D2058" s="21" t="n">
        <v>14.58333333333333</v>
      </c>
      <c r="E2058" s="21" t="n"/>
      <c r="F2058" s="27">
        <f>IFERROR(IF(OR(C2058="",D2058="",C2058=0),"",D2058/C2058),"")</f>
        <v/>
      </c>
      <c r="G2058" s="21">
        <f>IFERROR(INDEX(Users!$A$2:$A$310,MATCH(A2058,Users!$B$2:$B$310,0)),"")</f>
        <v/>
      </c>
      <c r="H2058" s="21">
        <f>IFERROR(INDEX(Users!$D$2:$D$310,MATCH(A2058,Users!$B$2:$B$310,0)),"")</f>
        <v/>
      </c>
      <c r="I2058" s="19">
        <f>AND(G2058="Service A",H2058="Band 3")</f>
        <v/>
      </c>
      <c r="J2058" s="33">
        <f>IF(AND(YEAR(B2058)=2025,G2058="Service B",OR(H2058="Band 3",H2058="Band 5"),ISNUMBER(F2058)),F2058,"")</f>
        <v/>
      </c>
    </row>
    <row r="2059">
      <c r="A2059" s="19" t="inlineStr">
        <is>
          <t>User1221</t>
        </is>
      </c>
      <c r="B2059" s="60" t="n">
        <v>45931</v>
      </c>
      <c r="C2059" s="21" t="n">
        <v>170.2000000000001</v>
      </c>
      <c r="D2059" s="21" t="n">
        <v>133.7266666666667</v>
      </c>
      <c r="E2059" s="21" t="n">
        <v>5.26</v>
      </c>
      <c r="F2059" s="27">
        <f>IFERROR(IF(OR(C2059="",D2059="",C2059=0),"",D2059/C2059),"")</f>
        <v/>
      </c>
      <c r="G2059" s="21">
        <f>IFERROR(INDEX(Users!$A$2:$A$310,MATCH(A2059,Users!$B$2:$B$310,0)),"")</f>
        <v/>
      </c>
      <c r="H2059" s="21">
        <f>IFERROR(INDEX(Users!$D$2:$D$310,MATCH(A2059,Users!$B$2:$B$310,0)),"")</f>
        <v/>
      </c>
      <c r="I2059" s="19">
        <f>AND(G2059="Service A",H2059="Band 3")</f>
        <v/>
      </c>
      <c r="J2059" s="33">
        <f>IF(AND(YEAR(B2059)=2025,G2059="Service B",OR(H2059="Band 3",H2059="Band 5"),ISNUMBER(F2059)),F2059,"")</f>
        <v/>
      </c>
    </row>
    <row r="2060">
      <c r="A2060" s="19" t="inlineStr">
        <is>
          <t>User1221</t>
        </is>
      </c>
      <c r="B2060" s="60" t="n">
        <v>45962</v>
      </c>
      <c r="C2060" s="21" t="n">
        <v>148.0000000000001</v>
      </c>
      <c r="D2060" s="21" t="n">
        <v>129.11</v>
      </c>
      <c r="E2060" s="21" t="n">
        <v>13.06</v>
      </c>
      <c r="F2060" s="27">
        <f>IFERROR(IF(OR(C2060="",D2060="",C2060=0),"",D2060/C2060),"")</f>
        <v/>
      </c>
      <c r="G2060" s="21">
        <f>IFERROR(INDEX(Users!$A$2:$A$310,MATCH(A2060,Users!$B$2:$B$310,0)),"")</f>
        <v/>
      </c>
      <c r="H2060" s="21">
        <f>IFERROR(INDEX(Users!$D$2:$D$310,MATCH(A2060,Users!$B$2:$B$310,0)),"")</f>
        <v/>
      </c>
      <c r="I2060" s="19">
        <f>AND(G2060="Service A",H2060="Band 3")</f>
        <v/>
      </c>
      <c r="J2060" s="33">
        <f>IF(AND(YEAR(B2060)=2025,G2060="Service B",OR(H2060="Band 3",H2060="Band 5"),ISNUMBER(F2060)),F2060,"")</f>
        <v/>
      </c>
    </row>
    <row r="2061">
      <c r="A2061" s="19" t="inlineStr">
        <is>
          <t>User1221</t>
        </is>
      </c>
      <c r="B2061" s="60" t="n">
        <v>45992</v>
      </c>
      <c r="C2061" s="21" t="n">
        <v>155.4000000000001</v>
      </c>
      <c r="D2061" s="21" t="n">
        <v>103.9800000000001</v>
      </c>
      <c r="E2061" s="21" t="n">
        <v>27.23000000000006</v>
      </c>
      <c r="F2061" s="27">
        <f>IFERROR(IF(OR(C2061="",D2061="",C2061=0),"",D2061/C2061),"")</f>
        <v/>
      </c>
      <c r="G2061" s="21">
        <f>IFERROR(INDEX(Users!$A$2:$A$310,MATCH(A2061,Users!$B$2:$B$310,0)),"")</f>
        <v/>
      </c>
      <c r="H2061" s="21">
        <f>IFERROR(INDEX(Users!$D$2:$D$310,MATCH(A2061,Users!$B$2:$B$310,0)),"")</f>
        <v/>
      </c>
      <c r="I2061" s="19">
        <f>AND(G2061="Service A",H2061="Band 3")</f>
        <v/>
      </c>
      <c r="J2061" s="33">
        <f>IF(AND(YEAR(B2061)=2025,G2061="Service B",OR(H2061="Band 3",H2061="Band 5"),ISNUMBER(F2061)),F2061,"")</f>
        <v/>
      </c>
    </row>
    <row r="2062">
      <c r="A2062" s="19" t="inlineStr">
        <is>
          <t>User1221</t>
        </is>
      </c>
      <c r="B2062" s="60" t="n">
        <v>46023</v>
      </c>
      <c r="C2062" s="21" t="n">
        <v>155.4000000000001</v>
      </c>
      <c r="D2062" s="21" t="n">
        <v>126.4333333333334</v>
      </c>
      <c r="E2062" s="21" t="n">
        <v>26.25000000000004</v>
      </c>
      <c r="F2062" s="27">
        <f>IFERROR(IF(OR(C2062="",D2062="",C2062=0),"",D2062/C2062),"")</f>
        <v/>
      </c>
      <c r="G2062" s="21">
        <f>IFERROR(INDEX(Users!$A$2:$A$310,MATCH(A2062,Users!$B$2:$B$310,0)),"")</f>
        <v/>
      </c>
      <c r="H2062" s="21">
        <f>IFERROR(INDEX(Users!$D$2:$D$310,MATCH(A2062,Users!$B$2:$B$310,0)),"")</f>
        <v/>
      </c>
      <c r="I2062" s="19">
        <f>AND(G2062="Service A",H2062="Band 3")</f>
        <v/>
      </c>
      <c r="J2062" s="33">
        <f>IF(AND(YEAR(B2062)=2025,G2062="Service B",OR(H2062="Band 3",H2062="Band 5"),ISNUMBER(F2062)),F2062,"")</f>
        <v/>
      </c>
    </row>
    <row r="2063">
      <c r="A2063" s="19" t="inlineStr">
        <is>
          <t>User1222</t>
        </is>
      </c>
      <c r="B2063" s="60" t="n">
        <v>45658</v>
      </c>
      <c r="C2063" s="21" t="n">
        <v>162.8</v>
      </c>
      <c r="D2063" s="21" t="n">
        <v>166.97</v>
      </c>
      <c r="E2063" s="21" t="n">
        <v>13.22</v>
      </c>
      <c r="F2063" s="27">
        <f>IFERROR(IF(OR(C2063="",D2063="",C2063=0),"",D2063/C2063),"")</f>
        <v/>
      </c>
      <c r="G2063" s="21">
        <f>IFERROR(INDEX(Users!$A$2:$A$310,MATCH(A2063,Users!$B$2:$B$310,0)),"")</f>
        <v/>
      </c>
      <c r="H2063" s="21">
        <f>IFERROR(INDEX(Users!$D$2:$D$310,MATCH(A2063,Users!$B$2:$B$310,0)),"")</f>
        <v/>
      </c>
      <c r="I2063" s="19">
        <f>AND(G2063="Service A",H2063="Band 3")</f>
        <v/>
      </c>
      <c r="J2063" s="33">
        <f>IF(AND(YEAR(B2063)=2025,G2063="Service B",OR(H2063="Band 3",H2063="Band 5"),ISNUMBER(F2063)),F2063,"")</f>
        <v/>
      </c>
    </row>
    <row r="2064">
      <c r="A2064" s="19" t="inlineStr">
        <is>
          <t>User1222</t>
        </is>
      </c>
      <c r="B2064" s="60" t="n">
        <v>45689</v>
      </c>
      <c r="C2064" s="21" t="n">
        <v>148</v>
      </c>
      <c r="D2064" s="21" t="n">
        <v>139.4733333333333</v>
      </c>
      <c r="E2064" s="21" t="n">
        <v>16.94</v>
      </c>
      <c r="F2064" s="27">
        <f>IFERROR(IF(OR(C2064="",D2064="",C2064=0),"",D2064/C2064),"")</f>
        <v/>
      </c>
      <c r="G2064" s="21">
        <f>IFERROR(INDEX(Users!$A$2:$A$310,MATCH(A2064,Users!$B$2:$B$310,0)),"")</f>
        <v/>
      </c>
      <c r="H2064" s="21">
        <f>IFERROR(INDEX(Users!$D$2:$D$310,MATCH(A2064,Users!$B$2:$B$310,0)),"")</f>
        <v/>
      </c>
      <c r="I2064" s="19">
        <f>AND(G2064="Service A",H2064="Band 3")</f>
        <v/>
      </c>
      <c r="J2064" s="33">
        <f>IF(AND(YEAR(B2064)=2025,G2064="Service B",OR(H2064="Band 3",H2064="Band 5"),ISNUMBER(F2064)),F2064,"")</f>
        <v/>
      </c>
    </row>
    <row r="2065">
      <c r="A2065" s="19" t="inlineStr">
        <is>
          <t>User1222</t>
        </is>
      </c>
      <c r="B2065" s="60" t="n">
        <v>45717</v>
      </c>
      <c r="C2065" s="21" t="n">
        <v>155.4</v>
      </c>
      <c r="D2065" s="21" t="n">
        <v>143.79</v>
      </c>
      <c r="E2065" s="21" t="n">
        <v>26.29</v>
      </c>
      <c r="F2065" s="27">
        <f>IFERROR(IF(OR(C2065="",D2065="",C2065=0),"",D2065/C2065),"")</f>
        <v/>
      </c>
      <c r="G2065" s="21">
        <f>IFERROR(INDEX(Users!$A$2:$A$310,MATCH(A2065,Users!$B$2:$B$310,0)),"")</f>
        <v/>
      </c>
      <c r="H2065" s="21">
        <f>IFERROR(INDEX(Users!$D$2:$D$310,MATCH(A2065,Users!$B$2:$B$310,0)),"")</f>
        <v/>
      </c>
      <c r="I2065" s="19">
        <f>AND(G2065="Service A",H2065="Band 3")</f>
        <v/>
      </c>
      <c r="J2065" s="33">
        <f>IF(AND(YEAR(B2065)=2025,G2065="Service B",OR(H2065="Band 3",H2065="Band 5"),ISNUMBER(F2065)),F2065,"")</f>
        <v/>
      </c>
    </row>
    <row r="2066">
      <c r="A2066" s="19" t="inlineStr">
        <is>
          <t>User1222</t>
        </is>
      </c>
      <c r="B2066" s="60" t="n">
        <v>45748</v>
      </c>
      <c r="C2066" s="21" t="n">
        <v>148</v>
      </c>
      <c r="D2066" s="21" t="n">
        <v>134.8533333333334</v>
      </c>
      <c r="E2066" s="21" t="n">
        <v>28.62</v>
      </c>
      <c r="F2066" s="27">
        <f>IFERROR(IF(OR(C2066="",D2066="",C2066=0),"",D2066/C2066),"")</f>
        <v/>
      </c>
      <c r="G2066" s="21">
        <f>IFERROR(INDEX(Users!$A$2:$A$310,MATCH(A2066,Users!$B$2:$B$310,0)),"")</f>
        <v/>
      </c>
      <c r="H2066" s="21">
        <f>IFERROR(INDEX(Users!$D$2:$D$310,MATCH(A2066,Users!$B$2:$B$310,0)),"")</f>
        <v/>
      </c>
      <c r="I2066" s="19">
        <f>AND(G2066="Service A",H2066="Band 3")</f>
        <v/>
      </c>
      <c r="J2066" s="33">
        <f>IF(AND(YEAR(B2066)=2025,G2066="Service B",OR(H2066="Band 3",H2066="Band 5"),ISNUMBER(F2066)),F2066,"")</f>
        <v/>
      </c>
    </row>
    <row r="2067">
      <c r="A2067" s="19" t="inlineStr">
        <is>
          <t>User1222</t>
        </is>
      </c>
      <c r="B2067" s="60" t="n">
        <v>45778</v>
      </c>
      <c r="C2067" s="21" t="n">
        <v>148</v>
      </c>
      <c r="D2067" s="21" t="n">
        <v>124.47</v>
      </c>
      <c r="E2067" s="21" t="n">
        <v>31.06999999999999</v>
      </c>
      <c r="F2067" s="27">
        <f>IFERROR(IF(OR(C2067="",D2067="",C2067=0),"",D2067/C2067),"")</f>
        <v/>
      </c>
      <c r="G2067" s="21">
        <f>IFERROR(INDEX(Users!$A$2:$A$310,MATCH(A2067,Users!$B$2:$B$310,0)),"")</f>
        <v/>
      </c>
      <c r="H2067" s="21">
        <f>IFERROR(INDEX(Users!$D$2:$D$310,MATCH(A2067,Users!$B$2:$B$310,0)),"")</f>
        <v/>
      </c>
      <c r="I2067" s="19">
        <f>AND(G2067="Service A",H2067="Band 3")</f>
        <v/>
      </c>
      <c r="J2067" s="33">
        <f>IF(AND(YEAR(B2067)=2025,G2067="Service B",OR(H2067="Band 3",H2067="Band 5"),ISNUMBER(F2067)),F2067,"")</f>
        <v/>
      </c>
    </row>
    <row r="2068">
      <c r="A2068" s="19" t="inlineStr">
        <is>
          <t>User1222</t>
        </is>
      </c>
      <c r="B2068" s="60" t="n">
        <v>45809</v>
      </c>
      <c r="C2068" s="21" t="n">
        <v>155.4</v>
      </c>
      <c r="D2068" s="21" t="n">
        <v>146.8933333333333</v>
      </c>
      <c r="E2068" s="21" t="n">
        <v>42.51</v>
      </c>
      <c r="F2068" s="27">
        <f>IFERROR(IF(OR(C2068="",D2068="",C2068=0),"",D2068/C2068),"")</f>
        <v/>
      </c>
      <c r="G2068" s="21">
        <f>IFERROR(INDEX(Users!$A$2:$A$310,MATCH(A2068,Users!$B$2:$B$310,0)),"")</f>
        <v/>
      </c>
      <c r="H2068" s="21">
        <f>IFERROR(INDEX(Users!$D$2:$D$310,MATCH(A2068,Users!$B$2:$B$310,0)),"")</f>
        <v/>
      </c>
      <c r="I2068" s="19">
        <f>AND(G2068="Service A",H2068="Band 3")</f>
        <v/>
      </c>
      <c r="J2068" s="33">
        <f>IF(AND(YEAR(B2068)=2025,G2068="Service B",OR(H2068="Band 3",H2068="Band 5"),ISNUMBER(F2068)),F2068,"")</f>
        <v/>
      </c>
    </row>
    <row r="2069">
      <c r="A2069" s="19" t="inlineStr">
        <is>
          <t>User1222</t>
        </is>
      </c>
      <c r="B2069" s="60" t="n">
        <v>45839</v>
      </c>
      <c r="C2069" s="21" t="n">
        <v>170.2</v>
      </c>
      <c r="D2069" s="21" t="n">
        <v>149.9433333333333</v>
      </c>
      <c r="E2069" s="21" t="n">
        <v>48.56</v>
      </c>
      <c r="F2069" s="27">
        <f>IFERROR(IF(OR(C2069="",D2069="",C2069=0),"",D2069/C2069),"")</f>
        <v/>
      </c>
      <c r="G2069" s="21">
        <f>IFERROR(INDEX(Users!$A$2:$A$310,MATCH(A2069,Users!$B$2:$B$310,0)),"")</f>
        <v/>
      </c>
      <c r="H2069" s="21">
        <f>IFERROR(INDEX(Users!$D$2:$D$310,MATCH(A2069,Users!$B$2:$B$310,0)),"")</f>
        <v/>
      </c>
      <c r="I2069" s="19">
        <f>AND(G2069="Service A",H2069="Band 3")</f>
        <v/>
      </c>
      <c r="J2069" s="33">
        <f>IF(AND(YEAR(B2069)=2025,G2069="Service B",OR(H2069="Band 3",H2069="Band 5"),ISNUMBER(F2069)),F2069,"")</f>
        <v/>
      </c>
    </row>
    <row r="2070">
      <c r="A2070" s="19" t="inlineStr">
        <is>
          <t>User1222</t>
        </is>
      </c>
      <c r="B2070" s="60" t="n">
        <v>45870</v>
      </c>
      <c r="C2070" s="21" t="n">
        <v>148</v>
      </c>
      <c r="D2070" s="21" t="n">
        <v>79.05</v>
      </c>
      <c r="E2070" s="21" t="n">
        <v>31.09999999999999</v>
      </c>
      <c r="F2070" s="27">
        <f>IFERROR(IF(OR(C2070="",D2070="",C2070=0),"",D2070/C2070),"")</f>
        <v/>
      </c>
      <c r="G2070" s="21">
        <f>IFERROR(INDEX(Users!$A$2:$A$310,MATCH(A2070,Users!$B$2:$B$310,0)),"")</f>
        <v/>
      </c>
      <c r="H2070" s="21">
        <f>IFERROR(INDEX(Users!$D$2:$D$310,MATCH(A2070,Users!$B$2:$B$310,0)),"")</f>
        <v/>
      </c>
      <c r="I2070" s="19">
        <f>AND(G2070="Service A",H2070="Band 3")</f>
        <v/>
      </c>
      <c r="J2070" s="33">
        <f>IF(AND(YEAR(B2070)=2025,G2070="Service B",OR(H2070="Band 3",H2070="Band 5"),ISNUMBER(F2070)),F2070,"")</f>
        <v/>
      </c>
    </row>
    <row r="2071">
      <c r="A2071" s="19" t="inlineStr">
        <is>
          <t>User1222</t>
        </is>
      </c>
      <c r="B2071" s="60" t="n">
        <v>45901</v>
      </c>
      <c r="C2071" s="21" t="n">
        <v>162.8</v>
      </c>
      <c r="D2071" s="21" t="n">
        <v>160.4166666666667</v>
      </c>
      <c r="E2071" s="21" t="n">
        <v>55.40000000000001</v>
      </c>
      <c r="F2071" s="27">
        <f>IFERROR(IF(OR(C2071="",D2071="",C2071=0),"",D2071/C2071),"")</f>
        <v/>
      </c>
      <c r="G2071" s="21">
        <f>IFERROR(INDEX(Users!$A$2:$A$310,MATCH(A2071,Users!$B$2:$B$310,0)),"")</f>
        <v/>
      </c>
      <c r="H2071" s="21">
        <f>IFERROR(INDEX(Users!$D$2:$D$310,MATCH(A2071,Users!$B$2:$B$310,0)),"")</f>
        <v/>
      </c>
      <c r="I2071" s="19">
        <f>AND(G2071="Service A",H2071="Band 3")</f>
        <v/>
      </c>
      <c r="J2071" s="33">
        <f>IF(AND(YEAR(B2071)=2025,G2071="Service B",OR(H2071="Band 3",H2071="Band 5"),ISNUMBER(F2071)),F2071,"")</f>
        <v/>
      </c>
    </row>
    <row r="2072">
      <c r="A2072" s="19" t="inlineStr">
        <is>
          <t>User1222</t>
        </is>
      </c>
      <c r="B2072" s="60" t="n">
        <v>45931</v>
      </c>
      <c r="C2072" s="21" t="n">
        <v>170.2</v>
      </c>
      <c r="D2072" s="21" t="n">
        <v>126.9966666666667</v>
      </c>
      <c r="E2072" s="21" t="n">
        <v>49.63</v>
      </c>
      <c r="F2072" s="27">
        <f>IFERROR(IF(OR(C2072="",D2072="",C2072=0),"",D2072/C2072),"")</f>
        <v/>
      </c>
      <c r="G2072" s="21">
        <f>IFERROR(INDEX(Users!$A$2:$A$310,MATCH(A2072,Users!$B$2:$B$310,0)),"")</f>
        <v/>
      </c>
      <c r="H2072" s="21">
        <f>IFERROR(INDEX(Users!$D$2:$D$310,MATCH(A2072,Users!$B$2:$B$310,0)),"")</f>
        <v/>
      </c>
      <c r="I2072" s="19">
        <f>AND(G2072="Service A",H2072="Band 3")</f>
        <v/>
      </c>
      <c r="J2072" s="33">
        <f>IF(AND(YEAR(B2072)=2025,G2072="Service B",OR(H2072="Band 3",H2072="Band 5"),ISNUMBER(F2072)),F2072,"")</f>
        <v/>
      </c>
    </row>
    <row r="2073">
      <c r="A2073" s="19" t="inlineStr">
        <is>
          <t>User1222</t>
        </is>
      </c>
      <c r="B2073" s="60" t="n">
        <v>45962</v>
      </c>
      <c r="C2073" s="21" t="n">
        <v>148</v>
      </c>
      <c r="D2073" s="21" t="n">
        <v>135.1466666666667</v>
      </c>
      <c r="E2073" s="21" t="n">
        <v>50.93000000000001</v>
      </c>
      <c r="F2073" s="27">
        <f>IFERROR(IF(OR(C2073="",D2073="",C2073=0),"",D2073/C2073),"")</f>
        <v/>
      </c>
      <c r="G2073" s="21">
        <f>IFERROR(INDEX(Users!$A$2:$A$310,MATCH(A2073,Users!$B$2:$B$310,0)),"")</f>
        <v/>
      </c>
      <c r="H2073" s="21">
        <f>IFERROR(INDEX(Users!$D$2:$D$310,MATCH(A2073,Users!$B$2:$B$310,0)),"")</f>
        <v/>
      </c>
      <c r="I2073" s="19">
        <f>AND(G2073="Service A",H2073="Band 3")</f>
        <v/>
      </c>
      <c r="J2073" s="33">
        <f>IF(AND(YEAR(B2073)=2025,G2073="Service B",OR(H2073="Band 3",H2073="Band 5"),ISNUMBER(F2073)),F2073,"")</f>
        <v/>
      </c>
    </row>
    <row r="2074">
      <c r="A2074" s="19" t="inlineStr">
        <is>
          <t>User1222</t>
        </is>
      </c>
      <c r="B2074" s="60" t="n">
        <v>45992</v>
      </c>
      <c r="C2074" s="21" t="n">
        <v>155.4</v>
      </c>
      <c r="D2074" s="21" t="n">
        <v>140.2033333333333</v>
      </c>
      <c r="E2074" s="21" t="n">
        <v>54.02</v>
      </c>
      <c r="F2074" s="27">
        <f>IFERROR(IF(OR(C2074="",D2074="",C2074=0),"",D2074/C2074),"")</f>
        <v/>
      </c>
      <c r="G2074" s="21">
        <f>IFERROR(INDEX(Users!$A$2:$A$310,MATCH(A2074,Users!$B$2:$B$310,0)),"")</f>
        <v/>
      </c>
      <c r="H2074" s="21">
        <f>IFERROR(INDEX(Users!$D$2:$D$310,MATCH(A2074,Users!$B$2:$B$310,0)),"")</f>
        <v/>
      </c>
      <c r="I2074" s="19">
        <f>AND(G2074="Service A",H2074="Band 3")</f>
        <v/>
      </c>
      <c r="J2074" s="33">
        <f>IF(AND(YEAR(B2074)=2025,G2074="Service B",OR(H2074="Band 3",H2074="Band 5"),ISNUMBER(F2074)),F2074,"")</f>
        <v/>
      </c>
    </row>
    <row r="2075">
      <c r="A2075" s="19" t="inlineStr">
        <is>
          <t>User1222</t>
        </is>
      </c>
      <c r="B2075" s="60" t="n">
        <v>46023</v>
      </c>
      <c r="C2075" s="21" t="n">
        <v>155.4</v>
      </c>
      <c r="D2075" s="21" t="n">
        <v>151.99</v>
      </c>
      <c r="E2075" s="21" t="n">
        <v>45.23999999999999</v>
      </c>
      <c r="F2075" s="27">
        <f>IFERROR(IF(OR(C2075="",D2075="",C2075=0),"",D2075/C2075),"")</f>
        <v/>
      </c>
      <c r="G2075" s="21">
        <f>IFERROR(INDEX(Users!$A$2:$A$310,MATCH(A2075,Users!$B$2:$B$310,0)),"")</f>
        <v/>
      </c>
      <c r="H2075" s="21">
        <f>IFERROR(INDEX(Users!$D$2:$D$310,MATCH(A2075,Users!$B$2:$B$310,0)),"")</f>
        <v/>
      </c>
      <c r="I2075" s="19">
        <f>AND(G2075="Service A",H2075="Band 3")</f>
        <v/>
      </c>
      <c r="J2075" s="33">
        <f>IF(AND(YEAR(B2075)=2025,G2075="Service B",OR(H2075="Band 3",H2075="Band 5"),ISNUMBER(F2075)),F2075,"")</f>
        <v/>
      </c>
    </row>
    <row r="2076">
      <c r="A2076" s="19" t="inlineStr">
        <is>
          <t>User1223</t>
        </is>
      </c>
      <c r="B2076" s="60" t="n">
        <v>45778</v>
      </c>
      <c r="C2076" s="21" t="n">
        <v>65.77777777777777</v>
      </c>
      <c r="D2076" s="21" t="n">
        <v>52.24666666666667</v>
      </c>
      <c r="E2076" s="21" t="n">
        <v>35.33</v>
      </c>
      <c r="F2076" s="27">
        <f>IFERROR(IF(OR(C2076="",D2076="",C2076=0),"",D2076/C2076),"")</f>
        <v/>
      </c>
      <c r="G2076" s="21">
        <f>IFERROR(INDEX(Users!$A$2:$A$310,MATCH(A2076,Users!$B$2:$B$310,0)),"")</f>
        <v/>
      </c>
      <c r="H2076" s="21">
        <f>IFERROR(INDEX(Users!$D$2:$D$310,MATCH(A2076,Users!$B$2:$B$310,0)),"")</f>
        <v/>
      </c>
      <c r="I2076" s="19">
        <f>AND(G2076="Service A",H2076="Band 3")</f>
        <v/>
      </c>
      <c r="J2076" s="33">
        <f>IF(AND(YEAR(B2076)=2025,G2076="Service B",OR(H2076="Band 3",H2076="Band 5"),ISNUMBER(F2076)),F2076,"")</f>
        <v/>
      </c>
    </row>
    <row r="2077">
      <c r="A2077" s="19" t="inlineStr">
        <is>
          <t>User1223</t>
        </is>
      </c>
      <c r="B2077" s="60" t="n">
        <v>45809</v>
      </c>
      <c r="C2077" s="21" t="n">
        <v>148</v>
      </c>
      <c r="D2077" s="21" t="n">
        <v>108.4933333333333</v>
      </c>
      <c r="E2077" s="21" t="n">
        <v>73.41</v>
      </c>
      <c r="F2077" s="27">
        <f>IFERROR(IF(OR(C2077="",D2077="",C2077=0),"",D2077/C2077),"")</f>
        <v/>
      </c>
      <c r="G2077" s="21">
        <f>IFERROR(INDEX(Users!$A$2:$A$310,MATCH(A2077,Users!$B$2:$B$310,0)),"")</f>
        <v/>
      </c>
      <c r="H2077" s="21">
        <f>IFERROR(INDEX(Users!$D$2:$D$310,MATCH(A2077,Users!$B$2:$B$310,0)),"")</f>
        <v/>
      </c>
      <c r="I2077" s="19">
        <f>AND(G2077="Service A",H2077="Band 3")</f>
        <v/>
      </c>
      <c r="J2077" s="33">
        <f>IF(AND(YEAR(B2077)=2025,G2077="Service B",OR(H2077="Band 3",H2077="Band 5"),ISNUMBER(F2077)),F2077,"")</f>
        <v/>
      </c>
    </row>
    <row r="2078">
      <c r="A2078" s="19" t="inlineStr">
        <is>
          <t>User1223</t>
        </is>
      </c>
      <c r="B2078" s="60" t="n">
        <v>45839</v>
      </c>
      <c r="C2078" s="21" t="n">
        <v>172.6666666666667</v>
      </c>
      <c r="D2078" s="21" t="n">
        <v>123.5033333333333</v>
      </c>
      <c r="E2078" s="21" t="n">
        <v>86.67</v>
      </c>
      <c r="F2078" s="27">
        <f>IFERROR(IF(OR(C2078="",D2078="",C2078=0),"",D2078/C2078),"")</f>
        <v/>
      </c>
      <c r="G2078" s="21">
        <f>IFERROR(INDEX(Users!$A$2:$A$310,MATCH(A2078,Users!$B$2:$B$310,0)),"")</f>
        <v/>
      </c>
      <c r="H2078" s="21">
        <f>IFERROR(INDEX(Users!$D$2:$D$310,MATCH(A2078,Users!$B$2:$B$310,0)),"")</f>
        <v/>
      </c>
      <c r="I2078" s="19">
        <f>AND(G2078="Service A",H2078="Band 3")</f>
        <v/>
      </c>
      <c r="J2078" s="33">
        <f>IF(AND(YEAR(B2078)=2025,G2078="Service B",OR(H2078="Band 3",H2078="Band 5"),ISNUMBER(F2078)),F2078,"")</f>
        <v/>
      </c>
    </row>
    <row r="2079">
      <c r="A2079" s="19" t="inlineStr">
        <is>
          <t>User1223</t>
        </is>
      </c>
      <c r="B2079" s="60" t="n">
        <v>45870</v>
      </c>
      <c r="C2079" s="21" t="n">
        <v>156.2222222222222</v>
      </c>
      <c r="D2079" s="21" t="n">
        <v>160.1566666666667</v>
      </c>
      <c r="E2079" s="21" t="n">
        <v>123.49</v>
      </c>
      <c r="F2079" s="27">
        <f>IFERROR(IF(OR(C2079="",D2079="",C2079=0),"",D2079/C2079),"")</f>
        <v/>
      </c>
      <c r="G2079" s="21">
        <f>IFERROR(INDEX(Users!$A$2:$A$310,MATCH(A2079,Users!$B$2:$B$310,0)),"")</f>
        <v/>
      </c>
      <c r="H2079" s="21">
        <f>IFERROR(INDEX(Users!$D$2:$D$310,MATCH(A2079,Users!$B$2:$B$310,0)),"")</f>
        <v/>
      </c>
      <c r="I2079" s="19">
        <f>AND(G2079="Service A",H2079="Band 3")</f>
        <v/>
      </c>
      <c r="J2079" s="33">
        <f>IF(AND(YEAR(B2079)=2025,G2079="Service B",OR(H2079="Band 3",H2079="Band 5"),ISNUMBER(F2079)),F2079,"")</f>
        <v/>
      </c>
    </row>
    <row r="2080">
      <c r="A2080" s="19" t="inlineStr">
        <is>
          <t>User1223</t>
        </is>
      </c>
      <c r="B2080" s="60" t="n">
        <v>45901</v>
      </c>
      <c r="C2080" s="21" t="n">
        <v>164.4444444444444</v>
      </c>
      <c r="D2080" s="21" t="n">
        <v>162.32</v>
      </c>
      <c r="E2080" s="21" t="n">
        <v>127.32</v>
      </c>
      <c r="F2080" s="27">
        <f>IFERROR(IF(OR(C2080="",D2080="",C2080=0),"",D2080/C2080),"")</f>
        <v/>
      </c>
      <c r="G2080" s="21">
        <f>IFERROR(INDEX(Users!$A$2:$A$310,MATCH(A2080,Users!$B$2:$B$310,0)),"")</f>
        <v/>
      </c>
      <c r="H2080" s="21">
        <f>IFERROR(INDEX(Users!$D$2:$D$310,MATCH(A2080,Users!$B$2:$B$310,0)),"")</f>
        <v/>
      </c>
      <c r="I2080" s="19">
        <f>AND(G2080="Service A",H2080="Band 3")</f>
        <v/>
      </c>
      <c r="J2080" s="33">
        <f>IF(AND(YEAR(B2080)=2025,G2080="Service B",OR(H2080="Band 3",H2080="Band 5"),ISNUMBER(F2080)),F2080,"")</f>
        <v/>
      </c>
    </row>
    <row r="2081">
      <c r="A2081" s="19" t="inlineStr">
        <is>
          <t>User1223</t>
        </is>
      </c>
      <c r="B2081" s="60" t="n">
        <v>45931</v>
      </c>
      <c r="C2081" s="21" t="n">
        <v>172.6666666666667</v>
      </c>
      <c r="D2081" s="21" t="n">
        <v>139.1333333333333</v>
      </c>
      <c r="E2081" s="21" t="n">
        <v>108.8</v>
      </c>
      <c r="F2081" s="27">
        <f>IFERROR(IF(OR(C2081="",D2081="",C2081=0),"",D2081/C2081),"")</f>
        <v/>
      </c>
      <c r="G2081" s="21">
        <f>IFERROR(INDEX(Users!$A$2:$A$310,MATCH(A2081,Users!$B$2:$B$310,0)),"")</f>
        <v/>
      </c>
      <c r="H2081" s="21">
        <f>IFERROR(INDEX(Users!$D$2:$D$310,MATCH(A2081,Users!$B$2:$B$310,0)),"")</f>
        <v/>
      </c>
      <c r="I2081" s="19">
        <f>AND(G2081="Service A",H2081="Band 3")</f>
        <v/>
      </c>
      <c r="J2081" s="33">
        <f>IF(AND(YEAR(B2081)=2025,G2081="Service B",OR(H2081="Band 3",H2081="Band 5"),ISNUMBER(F2081)),F2081,"")</f>
        <v/>
      </c>
    </row>
    <row r="2082">
      <c r="A2082" s="19" t="inlineStr">
        <is>
          <t>User1223</t>
        </is>
      </c>
      <c r="B2082" s="60" t="n">
        <v>45962</v>
      </c>
      <c r="C2082" s="21" t="n">
        <v>148</v>
      </c>
      <c r="D2082" s="21" t="n">
        <v>154.6466666666666</v>
      </c>
      <c r="E2082" s="21" t="n">
        <v>118.23</v>
      </c>
      <c r="F2082" s="27">
        <f>IFERROR(IF(OR(C2082="",D2082="",C2082=0),"",D2082/C2082),"")</f>
        <v/>
      </c>
      <c r="G2082" s="21">
        <f>IFERROR(INDEX(Users!$A$2:$A$310,MATCH(A2082,Users!$B$2:$B$310,0)),"")</f>
        <v/>
      </c>
      <c r="H2082" s="21">
        <f>IFERROR(INDEX(Users!$D$2:$D$310,MATCH(A2082,Users!$B$2:$B$310,0)),"")</f>
        <v/>
      </c>
      <c r="I2082" s="19">
        <f>AND(G2082="Service A",H2082="Band 3")</f>
        <v/>
      </c>
      <c r="J2082" s="33">
        <f>IF(AND(YEAR(B2082)=2025,G2082="Service B",OR(H2082="Band 3",H2082="Band 5"),ISNUMBER(F2082)),F2082,"")</f>
        <v/>
      </c>
    </row>
    <row r="2083">
      <c r="A2083" s="19" t="inlineStr">
        <is>
          <t>User1223</t>
        </is>
      </c>
      <c r="B2083" s="60" t="n">
        <v>45992</v>
      </c>
      <c r="C2083" s="21" t="n">
        <v>148</v>
      </c>
      <c r="D2083" s="21" t="n">
        <v>112.1033333333333</v>
      </c>
      <c r="E2083" s="21" t="n">
        <v>93.27</v>
      </c>
      <c r="F2083" s="27">
        <f>IFERROR(IF(OR(C2083="",D2083="",C2083=0),"",D2083/C2083),"")</f>
        <v/>
      </c>
      <c r="G2083" s="21">
        <f>IFERROR(INDEX(Users!$A$2:$A$310,MATCH(A2083,Users!$B$2:$B$310,0)),"")</f>
        <v/>
      </c>
      <c r="H2083" s="21">
        <f>IFERROR(INDEX(Users!$D$2:$D$310,MATCH(A2083,Users!$B$2:$B$310,0)),"")</f>
        <v/>
      </c>
      <c r="I2083" s="19">
        <f>AND(G2083="Service A",H2083="Band 3")</f>
        <v/>
      </c>
      <c r="J2083" s="33">
        <f>IF(AND(YEAR(B2083)=2025,G2083="Service B",OR(H2083="Band 3",H2083="Band 5"),ISNUMBER(F2083)),F2083,"")</f>
        <v/>
      </c>
    </row>
    <row r="2084">
      <c r="A2084" s="19" t="inlineStr">
        <is>
          <t>User1223</t>
        </is>
      </c>
      <c r="B2084" s="60" t="n">
        <v>46023</v>
      </c>
      <c r="C2084" s="21" t="n">
        <v>156.2222222222222</v>
      </c>
      <c r="D2084" s="21" t="n">
        <v>136.2933333333333</v>
      </c>
      <c r="E2084" s="21" t="n">
        <v>108.96</v>
      </c>
      <c r="F2084" s="27">
        <f>IFERROR(IF(OR(C2084="",D2084="",C2084=0),"",D2084/C2084),"")</f>
        <v/>
      </c>
      <c r="G2084" s="21">
        <f>IFERROR(INDEX(Users!$A$2:$A$310,MATCH(A2084,Users!$B$2:$B$310,0)),"")</f>
        <v/>
      </c>
      <c r="H2084" s="21">
        <f>IFERROR(INDEX(Users!$D$2:$D$310,MATCH(A2084,Users!$B$2:$B$310,0)),"")</f>
        <v/>
      </c>
      <c r="I2084" s="19">
        <f>AND(G2084="Service A",H2084="Band 3")</f>
        <v/>
      </c>
      <c r="J2084" s="33">
        <f>IF(AND(YEAR(B2084)=2025,G2084="Service B",OR(H2084="Band 3",H2084="Band 5"),ISNUMBER(F2084)),F2084,"")</f>
        <v/>
      </c>
    </row>
    <row r="2085">
      <c r="A2085" s="19" t="inlineStr">
        <is>
          <t>User1224</t>
        </is>
      </c>
      <c r="B2085" s="60" t="n">
        <v>45658</v>
      </c>
      <c r="C2085" s="21" t="n">
        <v>162.8</v>
      </c>
      <c r="D2085" s="21" t="n">
        <v>6.9</v>
      </c>
      <c r="E2085" s="21" t="n">
        <v>6.9</v>
      </c>
      <c r="F2085" s="27">
        <f>IFERROR(IF(OR(C2085="",D2085="",C2085=0),"",D2085/C2085),"")</f>
        <v/>
      </c>
      <c r="G2085" s="21">
        <f>IFERROR(INDEX(Users!$A$2:$A$310,MATCH(A2085,Users!$B$2:$B$310,0)),"")</f>
        <v/>
      </c>
      <c r="H2085" s="21">
        <f>IFERROR(INDEX(Users!$D$2:$D$310,MATCH(A2085,Users!$B$2:$B$310,0)),"")</f>
        <v/>
      </c>
      <c r="I2085" s="19">
        <f>AND(G2085="Service A",H2085="Band 3")</f>
        <v/>
      </c>
      <c r="J2085" s="33">
        <f>IF(AND(YEAR(B2085)=2025,G2085="Service B",OR(H2085="Band 3",H2085="Band 5"),ISNUMBER(F2085)),F2085,"")</f>
        <v/>
      </c>
    </row>
    <row r="2086">
      <c r="A2086" s="19" t="inlineStr">
        <is>
          <t>User1224</t>
        </is>
      </c>
      <c r="B2086" s="60" t="n">
        <v>45689</v>
      </c>
      <c r="C2086" s="21" t="n">
        <v>148</v>
      </c>
      <c r="D2086" s="21" t="n">
        <v>68.73666666666668</v>
      </c>
      <c r="E2086" s="21" t="n">
        <v>55.07000000000001</v>
      </c>
      <c r="F2086" s="27">
        <f>IFERROR(IF(OR(C2086="",D2086="",C2086=0),"",D2086/C2086),"")</f>
        <v/>
      </c>
      <c r="G2086" s="21">
        <f>IFERROR(INDEX(Users!$A$2:$A$310,MATCH(A2086,Users!$B$2:$B$310,0)),"")</f>
        <v/>
      </c>
      <c r="H2086" s="21">
        <f>IFERROR(INDEX(Users!$D$2:$D$310,MATCH(A2086,Users!$B$2:$B$310,0)),"")</f>
        <v/>
      </c>
      <c r="I2086" s="19">
        <f>AND(G2086="Service A",H2086="Band 3")</f>
        <v/>
      </c>
      <c r="J2086" s="33">
        <f>IF(AND(YEAR(B2086)=2025,G2086="Service B",OR(H2086="Band 3",H2086="Band 5"),ISNUMBER(F2086)),F2086,"")</f>
        <v/>
      </c>
    </row>
    <row r="2087">
      <c r="A2087" s="19" t="inlineStr">
        <is>
          <t>User1224</t>
        </is>
      </c>
      <c r="B2087" s="60" t="n">
        <v>45717</v>
      </c>
      <c r="C2087" s="21" t="n">
        <v>155.4</v>
      </c>
      <c r="D2087" s="21" t="n">
        <v>124.3766666666667</v>
      </c>
      <c r="E2087" s="21" t="n">
        <v>74.71000000000002</v>
      </c>
      <c r="F2087" s="27">
        <f>IFERROR(IF(OR(C2087="",D2087="",C2087=0),"",D2087/C2087),"")</f>
        <v/>
      </c>
      <c r="G2087" s="21">
        <f>IFERROR(INDEX(Users!$A$2:$A$310,MATCH(A2087,Users!$B$2:$B$310,0)),"")</f>
        <v/>
      </c>
      <c r="H2087" s="21">
        <f>IFERROR(INDEX(Users!$D$2:$D$310,MATCH(A2087,Users!$B$2:$B$310,0)),"")</f>
        <v/>
      </c>
      <c r="I2087" s="19">
        <f>AND(G2087="Service A",H2087="Band 3")</f>
        <v/>
      </c>
      <c r="J2087" s="33">
        <f>IF(AND(YEAR(B2087)=2025,G2087="Service B",OR(H2087="Band 3",H2087="Band 5"),ISNUMBER(F2087)),F2087,"")</f>
        <v/>
      </c>
    </row>
    <row r="2088">
      <c r="A2088" s="19" t="inlineStr">
        <is>
          <t>User1224</t>
        </is>
      </c>
      <c r="B2088" s="60" t="n">
        <v>45748</v>
      </c>
      <c r="C2088" s="21" t="n">
        <v>148</v>
      </c>
      <c r="D2088" s="21" t="n">
        <v>139.87</v>
      </c>
      <c r="E2088" s="21" t="n">
        <v>108.62</v>
      </c>
      <c r="F2088" s="27">
        <f>IFERROR(IF(OR(C2088="",D2088="",C2088=0),"",D2088/C2088),"")</f>
        <v/>
      </c>
      <c r="G2088" s="21">
        <f>IFERROR(INDEX(Users!$A$2:$A$310,MATCH(A2088,Users!$B$2:$B$310,0)),"")</f>
        <v/>
      </c>
      <c r="H2088" s="21">
        <f>IFERROR(INDEX(Users!$D$2:$D$310,MATCH(A2088,Users!$B$2:$B$310,0)),"")</f>
        <v/>
      </c>
      <c r="I2088" s="19">
        <f>AND(G2088="Service A",H2088="Band 3")</f>
        <v/>
      </c>
      <c r="J2088" s="33">
        <f>IF(AND(YEAR(B2088)=2025,G2088="Service B",OR(H2088="Band 3",H2088="Band 5"),ISNUMBER(F2088)),F2088,"")</f>
        <v/>
      </c>
    </row>
    <row r="2089">
      <c r="A2089" s="19" t="inlineStr">
        <is>
          <t>User1224</t>
        </is>
      </c>
      <c r="B2089" s="60" t="n">
        <v>45778</v>
      </c>
      <c r="C2089" s="21" t="n">
        <v>81.40000000000001</v>
      </c>
      <c r="D2089" s="21" t="n">
        <v>69.39999999999999</v>
      </c>
      <c r="E2089" s="21" t="n">
        <v>44.14999999999999</v>
      </c>
      <c r="F2089" s="27">
        <f>IFERROR(IF(OR(C2089="",D2089="",C2089=0),"",D2089/C2089),"")</f>
        <v/>
      </c>
      <c r="G2089" s="21">
        <f>IFERROR(INDEX(Users!$A$2:$A$310,MATCH(A2089,Users!$B$2:$B$310,0)),"")</f>
        <v/>
      </c>
      <c r="H2089" s="21">
        <f>IFERROR(INDEX(Users!$D$2:$D$310,MATCH(A2089,Users!$B$2:$B$310,0)),"")</f>
        <v/>
      </c>
      <c r="I2089" s="19">
        <f>AND(G2089="Service A",H2089="Band 3")</f>
        <v/>
      </c>
      <c r="J2089" s="33">
        <f>IF(AND(YEAR(B2089)=2025,G2089="Service B",OR(H2089="Band 3",H2089="Band 5"),ISNUMBER(F2089)),F2089,"")</f>
        <v/>
      </c>
    </row>
    <row r="2090">
      <c r="A2090" s="19" t="inlineStr">
        <is>
          <t>User1225</t>
        </is>
      </c>
      <c r="B2090" s="60" t="n">
        <v>45689</v>
      </c>
      <c r="C2090" s="21" t="n">
        <v>37</v>
      </c>
      <c r="D2090" s="21" t="n">
        <v>40.82666666666667</v>
      </c>
      <c r="E2090" s="21" t="n">
        <v>18.91</v>
      </c>
      <c r="F2090" s="27">
        <f>IFERROR(IF(OR(C2090="",D2090="",C2090=0),"",D2090/C2090),"")</f>
        <v/>
      </c>
      <c r="G2090" s="21">
        <f>IFERROR(INDEX(Users!$A$2:$A$310,MATCH(A2090,Users!$B$2:$B$310,0)),"")</f>
        <v/>
      </c>
      <c r="H2090" s="21">
        <f>IFERROR(INDEX(Users!$D$2:$D$310,MATCH(A2090,Users!$B$2:$B$310,0)),"")</f>
        <v/>
      </c>
      <c r="I2090" s="19">
        <f>AND(G2090="Service A",H2090="Band 3")</f>
        <v/>
      </c>
      <c r="J2090" s="33">
        <f>IF(AND(YEAR(B2090)=2025,G2090="Service B",OR(H2090="Band 3",H2090="Band 5"),ISNUMBER(F2090)),F2090,"")</f>
        <v/>
      </c>
    </row>
    <row r="2091">
      <c r="A2091" s="19" t="inlineStr">
        <is>
          <t>User1225</t>
        </is>
      </c>
      <c r="B2091" s="60" t="n">
        <v>45717</v>
      </c>
      <c r="C2091" s="21" t="n">
        <v>155.4</v>
      </c>
      <c r="D2091" s="21" t="n">
        <v>115.98</v>
      </c>
      <c r="E2091" s="21" t="n">
        <v>61.98</v>
      </c>
      <c r="F2091" s="27">
        <f>IFERROR(IF(OR(C2091="",D2091="",C2091=0),"",D2091/C2091),"")</f>
        <v/>
      </c>
      <c r="G2091" s="21">
        <f>IFERROR(INDEX(Users!$A$2:$A$310,MATCH(A2091,Users!$B$2:$B$310,0)),"")</f>
        <v/>
      </c>
      <c r="H2091" s="21">
        <f>IFERROR(INDEX(Users!$D$2:$D$310,MATCH(A2091,Users!$B$2:$B$310,0)),"")</f>
        <v/>
      </c>
      <c r="I2091" s="19">
        <f>AND(G2091="Service A",H2091="Band 3")</f>
        <v/>
      </c>
      <c r="J2091" s="33">
        <f>IF(AND(YEAR(B2091)=2025,G2091="Service B",OR(H2091="Band 3",H2091="Band 5"),ISNUMBER(F2091)),F2091,"")</f>
        <v/>
      </c>
    </row>
    <row r="2092">
      <c r="A2092" s="19" t="inlineStr">
        <is>
          <t>User1225</t>
        </is>
      </c>
      <c r="B2092" s="60" t="n">
        <v>45748</v>
      </c>
      <c r="C2092" s="21" t="n">
        <v>148</v>
      </c>
      <c r="D2092" s="21" t="n">
        <v>141.0633333333334</v>
      </c>
      <c r="E2092" s="21" t="n">
        <v>70.33000000000003</v>
      </c>
      <c r="F2092" s="27">
        <f>IFERROR(IF(OR(C2092="",D2092="",C2092=0),"",D2092/C2092),"")</f>
        <v/>
      </c>
      <c r="G2092" s="21">
        <f>IFERROR(INDEX(Users!$A$2:$A$310,MATCH(A2092,Users!$B$2:$B$310,0)),"")</f>
        <v/>
      </c>
      <c r="H2092" s="21">
        <f>IFERROR(INDEX(Users!$D$2:$D$310,MATCH(A2092,Users!$B$2:$B$310,0)),"")</f>
        <v/>
      </c>
      <c r="I2092" s="19">
        <f>AND(G2092="Service A",H2092="Band 3")</f>
        <v/>
      </c>
      <c r="J2092" s="33">
        <f>IF(AND(YEAR(B2092)=2025,G2092="Service B",OR(H2092="Band 3",H2092="Band 5"),ISNUMBER(F2092)),F2092,"")</f>
        <v/>
      </c>
    </row>
    <row r="2093">
      <c r="A2093" s="19" t="inlineStr">
        <is>
          <t>User1225</t>
        </is>
      </c>
      <c r="B2093" s="60" t="n">
        <v>45778</v>
      </c>
      <c r="C2093" s="21" t="n">
        <v>148</v>
      </c>
      <c r="D2093" s="21" t="n">
        <v>145.1633333333333</v>
      </c>
      <c r="E2093" s="21" t="n">
        <v>76.33</v>
      </c>
      <c r="F2093" s="27">
        <f>IFERROR(IF(OR(C2093="",D2093="",C2093=0),"",D2093/C2093),"")</f>
        <v/>
      </c>
      <c r="G2093" s="21">
        <f>IFERROR(INDEX(Users!$A$2:$A$310,MATCH(A2093,Users!$B$2:$B$310,0)),"")</f>
        <v/>
      </c>
      <c r="H2093" s="21">
        <f>IFERROR(INDEX(Users!$D$2:$D$310,MATCH(A2093,Users!$B$2:$B$310,0)),"")</f>
        <v/>
      </c>
      <c r="I2093" s="19">
        <f>AND(G2093="Service A",H2093="Band 3")</f>
        <v/>
      </c>
      <c r="J2093" s="33">
        <f>IF(AND(YEAR(B2093)=2025,G2093="Service B",OR(H2093="Band 3",H2093="Band 5"),ISNUMBER(F2093)),F2093,"")</f>
        <v/>
      </c>
    </row>
    <row r="2094">
      <c r="A2094" s="19" t="inlineStr">
        <is>
          <t>User1225</t>
        </is>
      </c>
      <c r="B2094" s="60" t="n">
        <v>45809</v>
      </c>
      <c r="C2094" s="21" t="n">
        <v>155.4</v>
      </c>
      <c r="D2094" s="21" t="n">
        <v>153.7933333333333</v>
      </c>
      <c r="E2094" s="21" t="n">
        <v>83.45999999999997</v>
      </c>
      <c r="F2094" s="27">
        <f>IFERROR(IF(OR(C2094="",D2094="",C2094=0),"",D2094/C2094),"")</f>
        <v/>
      </c>
      <c r="G2094" s="21">
        <f>IFERROR(INDEX(Users!$A$2:$A$310,MATCH(A2094,Users!$B$2:$B$310,0)),"")</f>
        <v/>
      </c>
      <c r="H2094" s="21">
        <f>IFERROR(INDEX(Users!$D$2:$D$310,MATCH(A2094,Users!$B$2:$B$310,0)),"")</f>
        <v/>
      </c>
      <c r="I2094" s="19">
        <f>AND(G2094="Service A",H2094="Band 3")</f>
        <v/>
      </c>
      <c r="J2094" s="33">
        <f>IF(AND(YEAR(B2094)=2025,G2094="Service B",OR(H2094="Band 3",H2094="Band 5"),ISNUMBER(F2094)),F2094,"")</f>
        <v/>
      </c>
    </row>
    <row r="2095">
      <c r="A2095" s="19" t="inlineStr">
        <is>
          <t>User1225</t>
        </is>
      </c>
      <c r="B2095" s="60" t="n">
        <v>45839</v>
      </c>
      <c r="C2095" s="21" t="n">
        <v>170.2</v>
      </c>
      <c r="D2095" s="21" t="n">
        <v>208.4199999999999</v>
      </c>
      <c r="E2095" s="21" t="n">
        <v>123.4199999999999</v>
      </c>
      <c r="F2095" s="27">
        <f>IFERROR(IF(OR(C2095="",D2095="",C2095=0),"",D2095/C2095),"")</f>
        <v/>
      </c>
      <c r="G2095" s="21">
        <f>IFERROR(INDEX(Users!$A$2:$A$310,MATCH(A2095,Users!$B$2:$B$310,0)),"")</f>
        <v/>
      </c>
      <c r="H2095" s="21">
        <f>IFERROR(INDEX(Users!$D$2:$D$310,MATCH(A2095,Users!$B$2:$B$310,0)),"")</f>
        <v/>
      </c>
      <c r="I2095" s="19">
        <f>AND(G2095="Service A",H2095="Band 3")</f>
        <v/>
      </c>
      <c r="J2095" s="33">
        <f>IF(AND(YEAR(B2095)=2025,G2095="Service B",OR(H2095="Band 3",H2095="Band 5"),ISNUMBER(F2095)),F2095,"")</f>
        <v/>
      </c>
    </row>
    <row r="2096">
      <c r="A2096" s="19" t="inlineStr">
        <is>
          <t>User1225</t>
        </is>
      </c>
      <c r="B2096" s="60" t="n">
        <v>45870</v>
      </c>
      <c r="C2096" s="21" t="n">
        <v>148</v>
      </c>
      <c r="D2096" s="21" t="n">
        <v>102.99</v>
      </c>
      <c r="E2096" s="21" t="n">
        <v>71.99000000000002</v>
      </c>
      <c r="F2096" s="27">
        <f>IFERROR(IF(OR(C2096="",D2096="",C2096=0),"",D2096/C2096),"")</f>
        <v/>
      </c>
      <c r="G2096" s="21">
        <f>IFERROR(INDEX(Users!$A$2:$A$310,MATCH(A2096,Users!$B$2:$B$310,0)),"")</f>
        <v/>
      </c>
      <c r="H2096" s="21">
        <f>IFERROR(INDEX(Users!$D$2:$D$310,MATCH(A2096,Users!$B$2:$B$310,0)),"")</f>
        <v/>
      </c>
      <c r="I2096" s="19">
        <f>AND(G2096="Service A",H2096="Band 3")</f>
        <v/>
      </c>
      <c r="J2096" s="33">
        <f>IF(AND(YEAR(B2096)=2025,G2096="Service B",OR(H2096="Band 3",H2096="Band 5"),ISNUMBER(F2096)),F2096,"")</f>
        <v/>
      </c>
    </row>
    <row r="2097">
      <c r="A2097" s="19" t="inlineStr">
        <is>
          <t>User1225</t>
        </is>
      </c>
      <c r="B2097" s="60" t="n">
        <v>45901</v>
      </c>
      <c r="C2097" s="21" t="n">
        <v>162.8</v>
      </c>
      <c r="D2097" s="21" t="n">
        <v>161.32</v>
      </c>
      <c r="E2097" s="21" t="n">
        <v>91.81999999999998</v>
      </c>
      <c r="F2097" s="27">
        <f>IFERROR(IF(OR(C2097="",D2097="",C2097=0),"",D2097/C2097),"")</f>
        <v/>
      </c>
      <c r="G2097" s="21">
        <f>IFERROR(INDEX(Users!$A$2:$A$310,MATCH(A2097,Users!$B$2:$B$310,0)),"")</f>
        <v/>
      </c>
      <c r="H2097" s="21">
        <f>IFERROR(INDEX(Users!$D$2:$D$310,MATCH(A2097,Users!$B$2:$B$310,0)),"")</f>
        <v/>
      </c>
      <c r="I2097" s="19">
        <f>AND(G2097="Service A",H2097="Band 3")</f>
        <v/>
      </c>
      <c r="J2097" s="33">
        <f>IF(AND(YEAR(B2097)=2025,G2097="Service B",OR(H2097="Band 3",H2097="Band 5"),ISNUMBER(F2097)),F2097,"")</f>
        <v/>
      </c>
    </row>
    <row r="2098">
      <c r="A2098" s="19" t="inlineStr">
        <is>
          <t>User1225</t>
        </is>
      </c>
      <c r="B2098" s="60" t="n">
        <v>45931</v>
      </c>
      <c r="C2098" s="21" t="n">
        <v>170.2</v>
      </c>
      <c r="D2098" s="21" t="n">
        <v>167.1233333333334</v>
      </c>
      <c r="E2098" s="21" t="n">
        <v>73.14000000000003</v>
      </c>
      <c r="F2098" s="27">
        <f>IFERROR(IF(OR(C2098="",D2098="",C2098=0),"",D2098/C2098),"")</f>
        <v/>
      </c>
      <c r="G2098" s="21">
        <f>IFERROR(INDEX(Users!$A$2:$A$310,MATCH(A2098,Users!$B$2:$B$310,0)),"")</f>
        <v/>
      </c>
      <c r="H2098" s="21">
        <f>IFERROR(INDEX(Users!$D$2:$D$310,MATCH(A2098,Users!$B$2:$B$310,0)),"")</f>
        <v/>
      </c>
      <c r="I2098" s="19">
        <f>AND(G2098="Service A",H2098="Band 3")</f>
        <v/>
      </c>
      <c r="J2098" s="33">
        <f>IF(AND(YEAR(B2098)=2025,G2098="Service B",OR(H2098="Band 3",H2098="Band 5"),ISNUMBER(F2098)),F2098,"")</f>
        <v/>
      </c>
    </row>
    <row r="2099">
      <c r="A2099" s="19" t="inlineStr">
        <is>
          <t>User1225</t>
        </is>
      </c>
      <c r="B2099" s="60" t="n">
        <v>45962</v>
      </c>
      <c r="C2099" s="21" t="n">
        <v>148</v>
      </c>
      <c r="D2099" s="21" t="n">
        <v>171.9066666666667</v>
      </c>
      <c r="E2099" s="21" t="n">
        <v>4.74</v>
      </c>
      <c r="F2099" s="27">
        <f>IFERROR(IF(OR(C2099="",D2099="",C2099=0),"",D2099/C2099),"")</f>
        <v/>
      </c>
      <c r="G2099" s="21">
        <f>IFERROR(INDEX(Users!$A$2:$A$310,MATCH(A2099,Users!$B$2:$B$310,0)),"")</f>
        <v/>
      </c>
      <c r="H2099" s="21">
        <f>IFERROR(INDEX(Users!$D$2:$D$310,MATCH(A2099,Users!$B$2:$B$310,0)),"")</f>
        <v/>
      </c>
      <c r="I2099" s="19">
        <f>AND(G2099="Service A",H2099="Band 3")</f>
        <v/>
      </c>
      <c r="J2099" s="33">
        <f>IF(AND(YEAR(B2099)=2025,G2099="Service B",OR(H2099="Band 3",H2099="Band 5"),ISNUMBER(F2099)),F2099,"")</f>
        <v/>
      </c>
    </row>
    <row r="2100">
      <c r="A2100" s="19" t="inlineStr">
        <is>
          <t>User1225</t>
        </is>
      </c>
      <c r="B2100" s="60" t="n">
        <v>45992</v>
      </c>
      <c r="C2100" s="21" t="n">
        <v>155.4</v>
      </c>
      <c r="D2100" s="21" t="n">
        <v>108</v>
      </c>
      <c r="E2100" s="21" t="n">
        <v>1</v>
      </c>
      <c r="F2100" s="27">
        <f>IFERROR(IF(OR(C2100="",D2100="",C2100=0),"",D2100/C2100),"")</f>
        <v/>
      </c>
      <c r="G2100" s="21">
        <f>IFERROR(INDEX(Users!$A$2:$A$310,MATCH(A2100,Users!$B$2:$B$310,0)),"")</f>
        <v/>
      </c>
      <c r="H2100" s="21">
        <f>IFERROR(INDEX(Users!$D$2:$D$310,MATCH(A2100,Users!$B$2:$B$310,0)),"")</f>
        <v/>
      </c>
      <c r="I2100" s="19">
        <f>AND(G2100="Service A",H2100="Band 3")</f>
        <v/>
      </c>
      <c r="J2100" s="33">
        <f>IF(AND(YEAR(B2100)=2025,G2100="Service B",OR(H2100="Band 3",H2100="Band 5"),ISNUMBER(F2100)),F2100,"")</f>
        <v/>
      </c>
    </row>
    <row r="2101">
      <c r="A2101" s="19" t="inlineStr">
        <is>
          <t>User1225</t>
        </is>
      </c>
      <c r="B2101" s="60" t="n">
        <v>46023</v>
      </c>
      <c r="C2101" s="21" t="n">
        <v>81.40000000000001</v>
      </c>
      <c r="D2101" s="21" t="n">
        <v>85.31666666666666</v>
      </c>
      <c r="E2101" s="21" t="n">
        <v>0.5</v>
      </c>
      <c r="F2101" s="27">
        <f>IFERROR(IF(OR(C2101="",D2101="",C2101=0),"",D2101/C2101),"")</f>
        <v/>
      </c>
      <c r="G2101" s="21">
        <f>IFERROR(INDEX(Users!$A$2:$A$310,MATCH(A2101,Users!$B$2:$B$310,0)),"")</f>
        <v/>
      </c>
      <c r="H2101" s="21">
        <f>IFERROR(INDEX(Users!$D$2:$D$310,MATCH(A2101,Users!$B$2:$B$310,0)),"")</f>
        <v/>
      </c>
      <c r="I2101" s="19">
        <f>AND(G2101="Service A",H2101="Band 3")</f>
        <v/>
      </c>
      <c r="J2101" s="33">
        <f>IF(AND(YEAR(B2101)=2025,G2101="Service B",OR(H2101="Band 3",H2101="Band 5"),ISNUMBER(F2101)),F2101,"")</f>
        <v/>
      </c>
    </row>
    <row r="2102">
      <c r="A2102" s="19" t="inlineStr">
        <is>
          <t>User1226</t>
        </is>
      </c>
      <c r="B2102" s="60" t="n">
        <v>45658</v>
      </c>
      <c r="C2102" s="21" t="n">
        <v>162.8</v>
      </c>
      <c r="D2102" s="21" t="n">
        <v>131.9133333333334</v>
      </c>
      <c r="E2102" s="21" t="n">
        <v>54.08000000000003</v>
      </c>
      <c r="F2102" s="27">
        <f>IFERROR(IF(OR(C2102="",D2102="",C2102=0),"",D2102/C2102),"")</f>
        <v/>
      </c>
      <c r="G2102" s="21">
        <f>IFERROR(INDEX(Users!$A$2:$A$310,MATCH(A2102,Users!$B$2:$B$310,0)),"")</f>
        <v/>
      </c>
      <c r="H2102" s="21">
        <f>IFERROR(INDEX(Users!$D$2:$D$310,MATCH(A2102,Users!$B$2:$B$310,0)),"")</f>
        <v/>
      </c>
      <c r="I2102" s="19">
        <f>AND(G2102="Service A",H2102="Band 3")</f>
        <v/>
      </c>
      <c r="J2102" s="33">
        <f>IF(AND(YEAR(B2102)=2025,G2102="Service B",OR(H2102="Band 3",H2102="Band 5"),ISNUMBER(F2102)),F2102,"")</f>
        <v/>
      </c>
    </row>
    <row r="2103">
      <c r="A2103" s="19" t="inlineStr">
        <is>
          <t>User1226</t>
        </is>
      </c>
      <c r="B2103" s="60" t="n">
        <v>45689</v>
      </c>
      <c r="C2103" s="21" t="n">
        <v>111</v>
      </c>
      <c r="D2103" s="21" t="n">
        <v>115.03</v>
      </c>
      <c r="E2103" s="21" t="n">
        <v>29.53</v>
      </c>
      <c r="F2103" s="27">
        <f>IFERROR(IF(OR(C2103="",D2103="",C2103=0),"",D2103/C2103),"")</f>
        <v/>
      </c>
      <c r="G2103" s="21">
        <f>IFERROR(INDEX(Users!$A$2:$A$310,MATCH(A2103,Users!$B$2:$B$310,0)),"")</f>
        <v/>
      </c>
      <c r="H2103" s="21">
        <f>IFERROR(INDEX(Users!$D$2:$D$310,MATCH(A2103,Users!$B$2:$B$310,0)),"")</f>
        <v/>
      </c>
      <c r="I2103" s="19">
        <f>AND(G2103="Service A",H2103="Band 3")</f>
        <v/>
      </c>
      <c r="J2103" s="33">
        <f>IF(AND(YEAR(B2103)=2025,G2103="Service B",OR(H2103="Band 3",H2103="Band 5"),ISNUMBER(F2103)),F2103,"")</f>
        <v/>
      </c>
    </row>
    <row r="2104">
      <c r="A2104" s="19" t="inlineStr">
        <is>
          <t>User1227</t>
        </is>
      </c>
      <c r="B2104" s="60" t="n">
        <v>45658</v>
      </c>
      <c r="C2104" s="21" t="n">
        <v>162.8</v>
      </c>
      <c r="D2104" s="21" t="n">
        <v>156.4366666666667</v>
      </c>
      <c r="E2104" s="21" t="n">
        <v>116.77</v>
      </c>
      <c r="F2104" s="27">
        <f>IFERROR(IF(OR(C2104="",D2104="",C2104=0),"",D2104/C2104),"")</f>
        <v/>
      </c>
      <c r="G2104" s="21">
        <f>IFERROR(INDEX(Users!$A$2:$A$310,MATCH(A2104,Users!$B$2:$B$310,0)),"")</f>
        <v/>
      </c>
      <c r="H2104" s="21">
        <f>IFERROR(INDEX(Users!$D$2:$D$310,MATCH(A2104,Users!$B$2:$B$310,0)),"")</f>
        <v/>
      </c>
      <c r="I2104" s="19">
        <f>AND(G2104="Service A",H2104="Band 3")</f>
        <v/>
      </c>
      <c r="J2104" s="33">
        <f>IF(AND(YEAR(B2104)=2025,G2104="Service B",OR(H2104="Band 3",H2104="Band 5"),ISNUMBER(F2104)),F2104,"")</f>
        <v/>
      </c>
    </row>
    <row r="2105">
      <c r="A2105" s="19" t="inlineStr">
        <is>
          <t>User1227</t>
        </is>
      </c>
      <c r="B2105" s="60" t="n">
        <v>45689</v>
      </c>
      <c r="C2105" s="21" t="n">
        <v>148</v>
      </c>
      <c r="D2105" s="21" t="n">
        <v>110.34</v>
      </c>
      <c r="E2105" s="21" t="n">
        <v>83.59</v>
      </c>
      <c r="F2105" s="27">
        <f>IFERROR(IF(OR(C2105="",D2105="",C2105=0),"",D2105/C2105),"")</f>
        <v/>
      </c>
      <c r="G2105" s="21">
        <f>IFERROR(INDEX(Users!$A$2:$A$310,MATCH(A2105,Users!$B$2:$B$310,0)),"")</f>
        <v/>
      </c>
      <c r="H2105" s="21">
        <f>IFERROR(INDEX(Users!$D$2:$D$310,MATCH(A2105,Users!$B$2:$B$310,0)),"")</f>
        <v/>
      </c>
      <c r="I2105" s="19">
        <f>AND(G2105="Service A",H2105="Band 3")</f>
        <v/>
      </c>
      <c r="J2105" s="33">
        <f>IF(AND(YEAR(B2105)=2025,G2105="Service B",OR(H2105="Band 3",H2105="Band 5"),ISNUMBER(F2105)),F2105,"")</f>
        <v/>
      </c>
    </row>
    <row r="2106">
      <c r="A2106" s="19" t="inlineStr">
        <is>
          <t>User1227</t>
        </is>
      </c>
      <c r="B2106" s="60" t="n">
        <v>45717</v>
      </c>
      <c r="C2106" s="21" t="n">
        <v>155.4</v>
      </c>
      <c r="D2106" s="21" t="n">
        <v>141.7766666666667</v>
      </c>
      <c r="E2106" s="21" t="n">
        <v>104.36</v>
      </c>
      <c r="F2106" s="27">
        <f>IFERROR(IF(OR(C2106="",D2106="",C2106=0),"",D2106/C2106),"")</f>
        <v/>
      </c>
      <c r="G2106" s="21">
        <f>IFERROR(INDEX(Users!$A$2:$A$310,MATCH(A2106,Users!$B$2:$B$310,0)),"")</f>
        <v/>
      </c>
      <c r="H2106" s="21">
        <f>IFERROR(INDEX(Users!$D$2:$D$310,MATCH(A2106,Users!$B$2:$B$310,0)),"")</f>
        <v/>
      </c>
      <c r="I2106" s="19">
        <f>AND(G2106="Service A",H2106="Band 3")</f>
        <v/>
      </c>
      <c r="J2106" s="33">
        <f>IF(AND(YEAR(B2106)=2025,G2106="Service B",OR(H2106="Band 3",H2106="Band 5"),ISNUMBER(F2106)),F2106,"")</f>
        <v/>
      </c>
    </row>
    <row r="2107">
      <c r="A2107" s="19" t="inlineStr">
        <is>
          <t>User1227</t>
        </is>
      </c>
      <c r="B2107" s="60" t="n">
        <v>45748</v>
      </c>
      <c r="C2107" s="21" t="n">
        <v>148</v>
      </c>
      <c r="D2107" s="21" t="n">
        <v>117.43</v>
      </c>
      <c r="E2107" s="21" t="n">
        <v>58.68</v>
      </c>
      <c r="F2107" s="27">
        <f>IFERROR(IF(OR(C2107="",D2107="",C2107=0),"",D2107/C2107),"")</f>
        <v/>
      </c>
      <c r="G2107" s="21">
        <f>IFERROR(INDEX(Users!$A$2:$A$310,MATCH(A2107,Users!$B$2:$B$310,0)),"")</f>
        <v/>
      </c>
      <c r="H2107" s="21">
        <f>IFERROR(INDEX(Users!$D$2:$D$310,MATCH(A2107,Users!$B$2:$B$310,0)),"")</f>
        <v/>
      </c>
      <c r="I2107" s="19">
        <f>AND(G2107="Service A",H2107="Band 3")</f>
        <v/>
      </c>
      <c r="J2107" s="33">
        <f>IF(AND(YEAR(B2107)=2025,G2107="Service B",OR(H2107="Band 3",H2107="Band 5"),ISNUMBER(F2107)),F2107,"")</f>
        <v/>
      </c>
    </row>
    <row r="2108">
      <c r="A2108" s="19" t="inlineStr">
        <is>
          <t>User1227</t>
        </is>
      </c>
      <c r="B2108" s="60" t="n">
        <v>45778</v>
      </c>
      <c r="C2108" s="21" t="n">
        <v>148</v>
      </c>
      <c r="D2108" s="21" t="n">
        <v>146.6133333333333</v>
      </c>
      <c r="E2108" s="21" t="n">
        <v>96.03</v>
      </c>
      <c r="F2108" s="27">
        <f>IFERROR(IF(OR(C2108="",D2108="",C2108=0),"",D2108/C2108),"")</f>
        <v/>
      </c>
      <c r="G2108" s="21">
        <f>IFERROR(INDEX(Users!$A$2:$A$310,MATCH(A2108,Users!$B$2:$B$310,0)),"")</f>
        <v/>
      </c>
      <c r="H2108" s="21">
        <f>IFERROR(INDEX(Users!$D$2:$D$310,MATCH(A2108,Users!$B$2:$B$310,0)),"")</f>
        <v/>
      </c>
      <c r="I2108" s="19">
        <f>AND(G2108="Service A",H2108="Band 3")</f>
        <v/>
      </c>
      <c r="J2108" s="33">
        <f>IF(AND(YEAR(B2108)=2025,G2108="Service B",OR(H2108="Band 3",H2108="Band 5"),ISNUMBER(F2108)),F2108,"")</f>
        <v/>
      </c>
    </row>
    <row r="2109">
      <c r="A2109" s="19" t="inlineStr">
        <is>
          <t>User1227</t>
        </is>
      </c>
      <c r="B2109" s="60" t="n">
        <v>45809</v>
      </c>
      <c r="C2109" s="21" t="n">
        <v>155.4</v>
      </c>
      <c r="D2109" s="21" t="n">
        <v>150.1066666666667</v>
      </c>
      <c r="E2109" s="21" t="n">
        <v>100.69</v>
      </c>
      <c r="F2109" s="27">
        <f>IFERROR(IF(OR(C2109="",D2109="",C2109=0),"",D2109/C2109),"")</f>
        <v/>
      </c>
      <c r="G2109" s="21">
        <f>IFERROR(INDEX(Users!$A$2:$A$310,MATCH(A2109,Users!$B$2:$B$310,0)),"")</f>
        <v/>
      </c>
      <c r="H2109" s="21">
        <f>IFERROR(INDEX(Users!$D$2:$D$310,MATCH(A2109,Users!$B$2:$B$310,0)),"")</f>
        <v/>
      </c>
      <c r="I2109" s="19">
        <f>AND(G2109="Service A",H2109="Band 3")</f>
        <v/>
      </c>
      <c r="J2109" s="33">
        <f>IF(AND(YEAR(B2109)=2025,G2109="Service B",OR(H2109="Band 3",H2109="Band 5"),ISNUMBER(F2109)),F2109,"")</f>
        <v/>
      </c>
    </row>
    <row r="2110">
      <c r="A2110" s="19" t="inlineStr">
        <is>
          <t>User1227</t>
        </is>
      </c>
      <c r="B2110" s="60" t="n">
        <v>45839</v>
      </c>
      <c r="C2110" s="21" t="n">
        <v>170.2</v>
      </c>
      <c r="D2110" s="21" t="n">
        <v>119.6766666666666</v>
      </c>
      <c r="E2110" s="21" t="n">
        <v>67.00999999999999</v>
      </c>
      <c r="F2110" s="27">
        <f>IFERROR(IF(OR(C2110="",D2110="",C2110=0),"",D2110/C2110),"")</f>
        <v/>
      </c>
      <c r="G2110" s="21">
        <f>IFERROR(INDEX(Users!$A$2:$A$310,MATCH(A2110,Users!$B$2:$B$310,0)),"")</f>
        <v/>
      </c>
      <c r="H2110" s="21">
        <f>IFERROR(INDEX(Users!$D$2:$D$310,MATCH(A2110,Users!$B$2:$B$310,0)),"")</f>
        <v/>
      </c>
      <c r="I2110" s="19">
        <f>AND(G2110="Service A",H2110="Band 3")</f>
        <v/>
      </c>
      <c r="J2110" s="33">
        <f>IF(AND(YEAR(B2110)=2025,G2110="Service B",OR(H2110="Band 3",H2110="Band 5"),ISNUMBER(F2110)),F2110,"")</f>
        <v/>
      </c>
    </row>
    <row r="2111">
      <c r="A2111" s="19" t="inlineStr">
        <is>
          <t>User1227</t>
        </is>
      </c>
      <c r="B2111" s="60" t="n">
        <v>45870</v>
      </c>
      <c r="C2111" s="21" t="n">
        <v>148</v>
      </c>
      <c r="D2111" s="21" t="n"/>
      <c r="E2111" s="21" t="n"/>
      <c r="F2111" s="27">
        <f>IFERROR(IF(OR(C2111="",D2111="",C2111=0),"",D2111/C2111),"")</f>
        <v/>
      </c>
      <c r="G2111" s="21">
        <f>IFERROR(INDEX(Users!$A$2:$A$310,MATCH(A2111,Users!$B$2:$B$310,0)),"")</f>
        <v/>
      </c>
      <c r="H2111" s="21">
        <f>IFERROR(INDEX(Users!$D$2:$D$310,MATCH(A2111,Users!$B$2:$B$310,0)),"")</f>
        <v/>
      </c>
      <c r="I2111" s="19">
        <f>AND(G2111="Service A",H2111="Band 3")</f>
        <v/>
      </c>
      <c r="J2111" s="33">
        <f>IF(AND(YEAR(B2111)=2025,G2111="Service B",OR(H2111="Band 3",H2111="Band 5"),ISNUMBER(F2111)),F2111,"")</f>
        <v/>
      </c>
    </row>
    <row r="2112">
      <c r="A2112" s="19" t="inlineStr">
        <is>
          <t>User1227</t>
        </is>
      </c>
      <c r="B2112" s="60" t="n">
        <v>45901</v>
      </c>
      <c r="C2112" s="21" t="n">
        <v>162.8</v>
      </c>
      <c r="D2112" s="21" t="n">
        <v>162.6133333333333</v>
      </c>
      <c r="E2112" s="21" t="n">
        <v>122.53</v>
      </c>
      <c r="F2112" s="27">
        <f>IFERROR(IF(OR(C2112="",D2112="",C2112=0),"",D2112/C2112),"")</f>
        <v/>
      </c>
      <c r="G2112" s="21">
        <f>IFERROR(INDEX(Users!$A$2:$A$310,MATCH(A2112,Users!$B$2:$B$310,0)),"")</f>
        <v/>
      </c>
      <c r="H2112" s="21">
        <f>IFERROR(INDEX(Users!$D$2:$D$310,MATCH(A2112,Users!$B$2:$B$310,0)),"")</f>
        <v/>
      </c>
      <c r="I2112" s="19">
        <f>AND(G2112="Service A",H2112="Band 3")</f>
        <v/>
      </c>
      <c r="J2112" s="33">
        <f>IF(AND(YEAR(B2112)=2025,G2112="Service B",OR(H2112="Band 3",H2112="Band 5"),ISNUMBER(F2112)),F2112,"")</f>
        <v/>
      </c>
    </row>
    <row r="2113">
      <c r="A2113" s="19" t="inlineStr">
        <is>
          <t>User1227</t>
        </is>
      </c>
      <c r="B2113" s="60" t="n">
        <v>45931</v>
      </c>
      <c r="C2113" s="21" t="n">
        <v>170.2</v>
      </c>
      <c r="D2113" s="21" t="n">
        <v>133.2633333333333</v>
      </c>
      <c r="E2113" s="21" t="n">
        <v>98.93000000000001</v>
      </c>
      <c r="F2113" s="27">
        <f>IFERROR(IF(OR(C2113="",D2113="",C2113=0),"",D2113/C2113),"")</f>
        <v/>
      </c>
      <c r="G2113" s="21">
        <f>IFERROR(INDEX(Users!$A$2:$A$310,MATCH(A2113,Users!$B$2:$B$310,0)),"")</f>
        <v/>
      </c>
      <c r="H2113" s="21">
        <f>IFERROR(INDEX(Users!$D$2:$D$310,MATCH(A2113,Users!$B$2:$B$310,0)),"")</f>
        <v/>
      </c>
      <c r="I2113" s="19">
        <f>AND(G2113="Service A",H2113="Band 3")</f>
        <v/>
      </c>
      <c r="J2113" s="33">
        <f>IF(AND(YEAR(B2113)=2025,G2113="Service B",OR(H2113="Band 3",H2113="Band 5"),ISNUMBER(F2113)),F2113,"")</f>
        <v/>
      </c>
    </row>
    <row r="2114">
      <c r="A2114" s="19" t="inlineStr">
        <is>
          <t>User1227</t>
        </is>
      </c>
      <c r="B2114" s="60" t="n">
        <v>45962</v>
      </c>
      <c r="C2114" s="21" t="n">
        <v>148</v>
      </c>
      <c r="D2114" s="21" t="n">
        <v>148.1066666666667</v>
      </c>
      <c r="E2114" s="21" t="n">
        <v>123.69</v>
      </c>
      <c r="F2114" s="27">
        <f>IFERROR(IF(OR(C2114="",D2114="",C2114=0),"",D2114/C2114),"")</f>
        <v/>
      </c>
      <c r="G2114" s="21">
        <f>IFERROR(INDEX(Users!$A$2:$A$310,MATCH(A2114,Users!$B$2:$B$310,0)),"")</f>
        <v/>
      </c>
      <c r="H2114" s="21">
        <f>IFERROR(INDEX(Users!$D$2:$D$310,MATCH(A2114,Users!$B$2:$B$310,0)),"")</f>
        <v/>
      </c>
      <c r="I2114" s="19">
        <f>AND(G2114="Service A",H2114="Band 3")</f>
        <v/>
      </c>
      <c r="J2114" s="33">
        <f>IF(AND(YEAR(B2114)=2025,G2114="Service B",OR(H2114="Band 3",H2114="Band 5"),ISNUMBER(F2114)),F2114,"")</f>
        <v/>
      </c>
    </row>
    <row r="2115">
      <c r="A2115" s="19" t="inlineStr">
        <is>
          <t>User1227</t>
        </is>
      </c>
      <c r="B2115" s="60" t="n">
        <v>45992</v>
      </c>
      <c r="C2115" s="21" t="n">
        <v>155.4</v>
      </c>
      <c r="D2115" s="21" t="n">
        <v>155.61</v>
      </c>
      <c r="E2115" s="21" t="n">
        <v>98.11000000000001</v>
      </c>
      <c r="F2115" s="27">
        <f>IFERROR(IF(OR(C2115="",D2115="",C2115=0),"",D2115/C2115),"")</f>
        <v/>
      </c>
      <c r="G2115" s="21">
        <f>IFERROR(INDEX(Users!$A$2:$A$310,MATCH(A2115,Users!$B$2:$B$310,0)),"")</f>
        <v/>
      </c>
      <c r="H2115" s="21">
        <f>IFERROR(INDEX(Users!$D$2:$D$310,MATCH(A2115,Users!$B$2:$B$310,0)),"")</f>
        <v/>
      </c>
      <c r="I2115" s="19">
        <f>AND(G2115="Service A",H2115="Band 3")</f>
        <v/>
      </c>
      <c r="J2115" s="33">
        <f>IF(AND(YEAR(B2115)=2025,G2115="Service B",OR(H2115="Band 3",H2115="Band 5"),ISNUMBER(F2115)),F2115,"")</f>
        <v/>
      </c>
    </row>
    <row r="2116">
      <c r="A2116" s="19" t="inlineStr">
        <is>
          <t>User1227</t>
        </is>
      </c>
      <c r="B2116" s="60" t="n">
        <v>46023</v>
      </c>
      <c r="C2116" s="21" t="n">
        <v>155.4</v>
      </c>
      <c r="D2116" s="21" t="n">
        <v>155.6033333333333</v>
      </c>
      <c r="E2116" s="21" t="n">
        <v>103.02</v>
      </c>
      <c r="F2116" s="27">
        <f>IFERROR(IF(OR(C2116="",D2116="",C2116=0),"",D2116/C2116),"")</f>
        <v/>
      </c>
      <c r="G2116" s="21">
        <f>IFERROR(INDEX(Users!$A$2:$A$310,MATCH(A2116,Users!$B$2:$B$310,0)),"")</f>
        <v/>
      </c>
      <c r="H2116" s="21">
        <f>IFERROR(INDEX(Users!$D$2:$D$310,MATCH(A2116,Users!$B$2:$B$310,0)),"")</f>
        <v/>
      </c>
      <c r="I2116" s="19">
        <f>AND(G2116="Service A",H2116="Band 3")</f>
        <v/>
      </c>
      <c r="J2116" s="33">
        <f>IF(AND(YEAR(B2116)=2025,G2116="Service B",OR(H2116="Band 3",H2116="Band 5"),ISNUMBER(F2116)),F2116,"")</f>
        <v/>
      </c>
    </row>
    <row r="2117">
      <c r="A2117" s="19" t="inlineStr">
        <is>
          <t>User1228</t>
        </is>
      </c>
      <c r="B2117" s="60" t="n">
        <v>45658</v>
      </c>
      <c r="C2117" s="21" t="n">
        <v>162.8</v>
      </c>
      <c r="D2117" s="21" t="n">
        <v>144.6366666666667</v>
      </c>
      <c r="E2117" s="21" t="n">
        <v>88.21999999999998</v>
      </c>
      <c r="F2117" s="27">
        <f>IFERROR(IF(OR(C2117="",D2117="",C2117=0),"",D2117/C2117),"")</f>
        <v/>
      </c>
      <c r="G2117" s="21">
        <f>IFERROR(INDEX(Users!$A$2:$A$310,MATCH(A2117,Users!$B$2:$B$310,0)),"")</f>
        <v/>
      </c>
      <c r="H2117" s="21">
        <f>IFERROR(INDEX(Users!$D$2:$D$310,MATCH(A2117,Users!$B$2:$B$310,0)),"")</f>
        <v/>
      </c>
      <c r="I2117" s="19">
        <f>AND(G2117="Service A",H2117="Band 3")</f>
        <v/>
      </c>
      <c r="J2117" s="33">
        <f>IF(AND(YEAR(B2117)=2025,G2117="Service B",OR(H2117="Band 3",H2117="Band 5"),ISNUMBER(F2117)),F2117,"")</f>
        <v/>
      </c>
    </row>
    <row r="2118">
      <c r="A2118" s="19" t="inlineStr">
        <is>
          <t>User1228</t>
        </is>
      </c>
      <c r="B2118" s="60" t="n">
        <v>45689</v>
      </c>
      <c r="C2118" s="21" t="n">
        <v>148</v>
      </c>
      <c r="D2118" s="21" t="n">
        <v>144.06</v>
      </c>
      <c r="E2118" s="21" t="n">
        <v>106.71</v>
      </c>
      <c r="F2118" s="27">
        <f>IFERROR(IF(OR(C2118="",D2118="",C2118=0),"",D2118/C2118),"")</f>
        <v/>
      </c>
      <c r="G2118" s="21">
        <f>IFERROR(INDEX(Users!$A$2:$A$310,MATCH(A2118,Users!$B$2:$B$310,0)),"")</f>
        <v/>
      </c>
      <c r="H2118" s="21">
        <f>IFERROR(INDEX(Users!$D$2:$D$310,MATCH(A2118,Users!$B$2:$B$310,0)),"")</f>
        <v/>
      </c>
      <c r="I2118" s="19">
        <f>AND(G2118="Service A",H2118="Band 3")</f>
        <v/>
      </c>
      <c r="J2118" s="33">
        <f>IF(AND(YEAR(B2118)=2025,G2118="Service B",OR(H2118="Band 3",H2118="Band 5"),ISNUMBER(F2118)),F2118,"")</f>
        <v/>
      </c>
    </row>
    <row r="2119">
      <c r="A2119" s="19" t="inlineStr">
        <is>
          <t>User1228</t>
        </is>
      </c>
      <c r="B2119" s="60" t="n">
        <v>45717</v>
      </c>
      <c r="C2119" s="21" t="n">
        <v>155.4</v>
      </c>
      <c r="D2119" s="21" t="n">
        <v>118.6333333333333</v>
      </c>
      <c r="E2119" s="21" t="n">
        <v>92.30000000000001</v>
      </c>
      <c r="F2119" s="27">
        <f>IFERROR(IF(OR(C2119="",D2119="",C2119=0),"",D2119/C2119),"")</f>
        <v/>
      </c>
      <c r="G2119" s="21">
        <f>IFERROR(INDEX(Users!$A$2:$A$310,MATCH(A2119,Users!$B$2:$B$310,0)),"")</f>
        <v/>
      </c>
      <c r="H2119" s="21">
        <f>IFERROR(INDEX(Users!$D$2:$D$310,MATCH(A2119,Users!$B$2:$B$310,0)),"")</f>
        <v/>
      </c>
      <c r="I2119" s="19">
        <f>AND(G2119="Service A",H2119="Band 3")</f>
        <v/>
      </c>
      <c r="J2119" s="33">
        <f>IF(AND(YEAR(B2119)=2025,G2119="Service B",OR(H2119="Band 3",H2119="Band 5"),ISNUMBER(F2119)),F2119,"")</f>
        <v/>
      </c>
    </row>
    <row r="2120">
      <c r="A2120" s="19" t="inlineStr">
        <is>
          <t>User1228</t>
        </is>
      </c>
      <c r="B2120" s="60" t="n">
        <v>45748</v>
      </c>
      <c r="C2120" s="21" t="n">
        <v>148</v>
      </c>
      <c r="D2120" s="21" t="n">
        <v>144.89</v>
      </c>
      <c r="E2120" s="21" t="n">
        <v>105.34</v>
      </c>
      <c r="F2120" s="27">
        <f>IFERROR(IF(OR(C2120="",D2120="",C2120=0),"",D2120/C2120),"")</f>
        <v/>
      </c>
      <c r="G2120" s="21">
        <f>IFERROR(INDEX(Users!$A$2:$A$310,MATCH(A2120,Users!$B$2:$B$310,0)),"")</f>
        <v/>
      </c>
      <c r="H2120" s="21">
        <f>IFERROR(INDEX(Users!$D$2:$D$310,MATCH(A2120,Users!$B$2:$B$310,0)),"")</f>
        <v/>
      </c>
      <c r="I2120" s="19">
        <f>AND(G2120="Service A",H2120="Band 3")</f>
        <v/>
      </c>
      <c r="J2120" s="33">
        <f>IF(AND(YEAR(B2120)=2025,G2120="Service B",OR(H2120="Band 3",H2120="Band 5"),ISNUMBER(F2120)),F2120,"")</f>
        <v/>
      </c>
    </row>
    <row r="2121">
      <c r="A2121" s="19" t="inlineStr">
        <is>
          <t>User1228</t>
        </is>
      </c>
      <c r="B2121" s="60" t="n">
        <v>45778</v>
      </c>
      <c r="C2121" s="21" t="n">
        <v>148</v>
      </c>
      <c r="D2121" s="21" t="n">
        <v>133.8633333333333</v>
      </c>
      <c r="E2121" s="21" t="n">
        <v>96.93000000000001</v>
      </c>
      <c r="F2121" s="27">
        <f>IFERROR(IF(OR(C2121="",D2121="",C2121=0),"",D2121/C2121),"")</f>
        <v/>
      </c>
      <c r="G2121" s="21">
        <f>IFERROR(INDEX(Users!$A$2:$A$310,MATCH(A2121,Users!$B$2:$B$310,0)),"")</f>
        <v/>
      </c>
      <c r="H2121" s="21">
        <f>IFERROR(INDEX(Users!$D$2:$D$310,MATCH(A2121,Users!$B$2:$B$310,0)),"")</f>
        <v/>
      </c>
      <c r="I2121" s="19">
        <f>AND(G2121="Service A",H2121="Band 3")</f>
        <v/>
      </c>
      <c r="J2121" s="33">
        <f>IF(AND(YEAR(B2121)=2025,G2121="Service B",OR(H2121="Band 3",H2121="Band 5"),ISNUMBER(F2121)),F2121,"")</f>
        <v/>
      </c>
    </row>
    <row r="2122">
      <c r="A2122" s="19" t="inlineStr">
        <is>
          <t>User1228</t>
        </is>
      </c>
      <c r="B2122" s="60" t="n">
        <v>45809</v>
      </c>
      <c r="C2122" s="21" t="n">
        <v>155.4</v>
      </c>
      <c r="D2122" s="21" t="n">
        <v>146.37</v>
      </c>
      <c r="E2122" s="21" t="n">
        <v>109.37</v>
      </c>
      <c r="F2122" s="27">
        <f>IFERROR(IF(OR(C2122="",D2122="",C2122=0),"",D2122/C2122),"")</f>
        <v/>
      </c>
      <c r="G2122" s="21">
        <f>IFERROR(INDEX(Users!$A$2:$A$310,MATCH(A2122,Users!$B$2:$B$310,0)),"")</f>
        <v/>
      </c>
      <c r="H2122" s="21">
        <f>IFERROR(INDEX(Users!$D$2:$D$310,MATCH(A2122,Users!$B$2:$B$310,0)),"")</f>
        <v/>
      </c>
      <c r="I2122" s="19">
        <f>AND(G2122="Service A",H2122="Band 3")</f>
        <v/>
      </c>
      <c r="J2122" s="33">
        <f>IF(AND(YEAR(B2122)=2025,G2122="Service B",OR(H2122="Band 3",H2122="Band 5"),ISNUMBER(F2122)),F2122,"")</f>
        <v/>
      </c>
    </row>
    <row r="2123">
      <c r="A2123" s="19" t="inlineStr">
        <is>
          <t>User1228</t>
        </is>
      </c>
      <c r="B2123" s="60" t="n">
        <v>45839</v>
      </c>
      <c r="C2123" s="21" t="n">
        <v>170.2</v>
      </c>
      <c r="D2123" s="21" t="n">
        <v>129.27</v>
      </c>
      <c r="E2123" s="21" t="n">
        <v>81.02</v>
      </c>
      <c r="F2123" s="27">
        <f>IFERROR(IF(OR(C2123="",D2123="",C2123=0),"",D2123/C2123),"")</f>
        <v/>
      </c>
      <c r="G2123" s="21">
        <f>IFERROR(INDEX(Users!$A$2:$A$310,MATCH(A2123,Users!$B$2:$B$310,0)),"")</f>
        <v/>
      </c>
      <c r="H2123" s="21">
        <f>IFERROR(INDEX(Users!$D$2:$D$310,MATCH(A2123,Users!$B$2:$B$310,0)),"")</f>
        <v/>
      </c>
      <c r="I2123" s="19">
        <f>AND(G2123="Service A",H2123="Band 3")</f>
        <v/>
      </c>
      <c r="J2123" s="33">
        <f>IF(AND(YEAR(B2123)=2025,G2123="Service B",OR(H2123="Band 3",H2123="Band 5"),ISNUMBER(F2123)),F2123,"")</f>
        <v/>
      </c>
    </row>
    <row r="2124">
      <c r="A2124" s="19" t="inlineStr">
        <is>
          <t>User1228</t>
        </is>
      </c>
      <c r="B2124" s="60" t="n">
        <v>45870</v>
      </c>
      <c r="C2124" s="21" t="n">
        <v>148</v>
      </c>
      <c r="D2124" s="21" t="n">
        <v>29.56666666666667</v>
      </c>
      <c r="E2124" s="21" t="n">
        <v>11.75</v>
      </c>
      <c r="F2124" s="27">
        <f>IFERROR(IF(OR(C2124="",D2124="",C2124=0),"",D2124/C2124),"")</f>
        <v/>
      </c>
      <c r="G2124" s="21">
        <f>IFERROR(INDEX(Users!$A$2:$A$310,MATCH(A2124,Users!$B$2:$B$310,0)),"")</f>
        <v/>
      </c>
      <c r="H2124" s="21">
        <f>IFERROR(INDEX(Users!$D$2:$D$310,MATCH(A2124,Users!$B$2:$B$310,0)),"")</f>
        <v/>
      </c>
      <c r="I2124" s="19">
        <f>AND(G2124="Service A",H2124="Band 3")</f>
        <v/>
      </c>
      <c r="J2124" s="33">
        <f>IF(AND(YEAR(B2124)=2025,G2124="Service B",OR(H2124="Band 3",H2124="Band 5"),ISNUMBER(F2124)),F2124,"")</f>
        <v/>
      </c>
    </row>
    <row r="2125">
      <c r="A2125" s="19" t="inlineStr">
        <is>
          <t>User1228</t>
        </is>
      </c>
      <c r="B2125" s="60" t="n">
        <v>45901</v>
      </c>
      <c r="C2125" s="21" t="n">
        <v>162.8</v>
      </c>
      <c r="D2125" s="21" t="n">
        <v>133.6633333333334</v>
      </c>
      <c r="E2125" s="21" t="n">
        <v>73.33000000000001</v>
      </c>
      <c r="F2125" s="27">
        <f>IFERROR(IF(OR(C2125="",D2125="",C2125=0),"",D2125/C2125),"")</f>
        <v/>
      </c>
      <c r="G2125" s="21">
        <f>IFERROR(INDEX(Users!$A$2:$A$310,MATCH(A2125,Users!$B$2:$B$310,0)),"")</f>
        <v/>
      </c>
      <c r="H2125" s="21">
        <f>IFERROR(INDEX(Users!$D$2:$D$310,MATCH(A2125,Users!$B$2:$B$310,0)),"")</f>
        <v/>
      </c>
      <c r="I2125" s="19">
        <f>AND(G2125="Service A",H2125="Band 3")</f>
        <v/>
      </c>
      <c r="J2125" s="33">
        <f>IF(AND(YEAR(B2125)=2025,G2125="Service B",OR(H2125="Band 3",H2125="Band 5"),ISNUMBER(F2125)),F2125,"")</f>
        <v/>
      </c>
    </row>
    <row r="2126">
      <c r="A2126" s="19" t="inlineStr">
        <is>
          <t>User1228</t>
        </is>
      </c>
      <c r="B2126" s="60" t="n">
        <v>45931</v>
      </c>
      <c r="C2126" s="21" t="n">
        <v>170.2</v>
      </c>
      <c r="D2126" s="21" t="n">
        <v>155.8066666666666</v>
      </c>
      <c r="E2126" s="21" t="n">
        <v>99.38999999999999</v>
      </c>
      <c r="F2126" s="27">
        <f>IFERROR(IF(OR(C2126="",D2126="",C2126=0),"",D2126/C2126),"")</f>
        <v/>
      </c>
      <c r="G2126" s="21">
        <f>IFERROR(INDEX(Users!$A$2:$A$310,MATCH(A2126,Users!$B$2:$B$310,0)),"")</f>
        <v/>
      </c>
      <c r="H2126" s="21">
        <f>IFERROR(INDEX(Users!$D$2:$D$310,MATCH(A2126,Users!$B$2:$B$310,0)),"")</f>
        <v/>
      </c>
      <c r="I2126" s="19">
        <f>AND(G2126="Service A",H2126="Band 3")</f>
        <v/>
      </c>
      <c r="J2126" s="33">
        <f>IF(AND(YEAR(B2126)=2025,G2126="Service B",OR(H2126="Band 3",H2126="Band 5"),ISNUMBER(F2126)),F2126,"")</f>
        <v/>
      </c>
    </row>
    <row r="2127">
      <c r="A2127" s="19" t="inlineStr">
        <is>
          <t>User1228</t>
        </is>
      </c>
      <c r="B2127" s="60" t="n">
        <v>45962</v>
      </c>
      <c r="C2127" s="21" t="n">
        <v>37</v>
      </c>
      <c r="D2127" s="21" t="n">
        <v>33.99666666666667</v>
      </c>
      <c r="E2127" s="21" t="n">
        <v>17.58</v>
      </c>
      <c r="F2127" s="27">
        <f>IFERROR(IF(OR(C2127="",D2127="",C2127=0),"",D2127/C2127),"")</f>
        <v/>
      </c>
      <c r="G2127" s="21">
        <f>IFERROR(INDEX(Users!$A$2:$A$310,MATCH(A2127,Users!$B$2:$B$310,0)),"")</f>
        <v/>
      </c>
      <c r="H2127" s="21">
        <f>IFERROR(INDEX(Users!$D$2:$D$310,MATCH(A2127,Users!$B$2:$B$310,0)),"")</f>
        <v/>
      </c>
      <c r="I2127" s="19">
        <f>AND(G2127="Service A",H2127="Band 3")</f>
        <v/>
      </c>
      <c r="J2127" s="33">
        <f>IF(AND(YEAR(B2127)=2025,G2127="Service B",OR(H2127="Band 3",H2127="Band 5"),ISNUMBER(F2127)),F2127,"")</f>
        <v/>
      </c>
    </row>
    <row r="2128">
      <c r="A2128" s="19" t="inlineStr">
        <is>
          <t>User1229</t>
        </is>
      </c>
      <c r="B2128" s="60" t="n">
        <v>45658</v>
      </c>
      <c r="C2128" s="21" t="n">
        <v>162.8</v>
      </c>
      <c r="D2128" s="21" t="n">
        <v>111.1499999999999</v>
      </c>
      <c r="E2128" s="21" t="n"/>
      <c r="F2128" s="27">
        <f>IFERROR(IF(OR(C2128="",D2128="",C2128=0),"",D2128/C2128),"")</f>
        <v/>
      </c>
      <c r="G2128" s="21">
        <f>IFERROR(INDEX(Users!$A$2:$A$310,MATCH(A2128,Users!$B$2:$B$310,0)),"")</f>
        <v/>
      </c>
      <c r="H2128" s="21">
        <f>IFERROR(INDEX(Users!$D$2:$D$310,MATCH(A2128,Users!$B$2:$B$310,0)),"")</f>
        <v/>
      </c>
      <c r="I2128" s="19">
        <f>AND(G2128="Service A",H2128="Band 3")</f>
        <v/>
      </c>
      <c r="J2128" s="33">
        <f>IF(AND(YEAR(B2128)=2025,G2128="Service B",OR(H2128="Band 3",H2128="Band 5"),ISNUMBER(F2128)),F2128,"")</f>
        <v/>
      </c>
    </row>
    <row r="2129">
      <c r="A2129" s="19" t="inlineStr">
        <is>
          <t>User1229</t>
        </is>
      </c>
      <c r="B2129" s="60" t="n">
        <v>45689</v>
      </c>
      <c r="C2129" s="21" t="n">
        <v>148</v>
      </c>
      <c r="D2129" s="21" t="n"/>
      <c r="E2129" s="21" t="n"/>
      <c r="F2129" s="27">
        <f>IFERROR(IF(OR(C2129="",D2129="",C2129=0),"",D2129/C2129),"")</f>
        <v/>
      </c>
      <c r="G2129" s="21">
        <f>IFERROR(INDEX(Users!$A$2:$A$310,MATCH(A2129,Users!$B$2:$B$310,0)),"")</f>
        <v/>
      </c>
      <c r="H2129" s="21">
        <f>IFERROR(INDEX(Users!$D$2:$D$310,MATCH(A2129,Users!$B$2:$B$310,0)),"")</f>
        <v/>
      </c>
      <c r="I2129" s="19">
        <f>AND(G2129="Service A",H2129="Band 3")</f>
        <v/>
      </c>
      <c r="J2129" s="33">
        <f>IF(AND(YEAR(B2129)=2025,G2129="Service B",OR(H2129="Band 3",H2129="Band 5"),ISNUMBER(F2129)),F2129,"")</f>
        <v/>
      </c>
    </row>
    <row r="2130">
      <c r="A2130" s="19" t="inlineStr">
        <is>
          <t>User1229</t>
        </is>
      </c>
      <c r="B2130" s="60" t="n">
        <v>45717</v>
      </c>
      <c r="C2130" s="21" t="n">
        <v>155.4</v>
      </c>
      <c r="D2130" s="21" t="n"/>
      <c r="E2130" s="21" t="n"/>
      <c r="F2130" s="27">
        <f>IFERROR(IF(OR(C2130="",D2130="",C2130=0),"",D2130/C2130),"")</f>
        <v/>
      </c>
      <c r="G2130" s="21">
        <f>IFERROR(INDEX(Users!$A$2:$A$310,MATCH(A2130,Users!$B$2:$B$310,0)),"")</f>
        <v/>
      </c>
      <c r="H2130" s="21">
        <f>IFERROR(INDEX(Users!$D$2:$D$310,MATCH(A2130,Users!$B$2:$B$310,0)),"")</f>
        <v/>
      </c>
      <c r="I2130" s="19">
        <f>AND(G2130="Service A",H2130="Band 3")</f>
        <v/>
      </c>
      <c r="J2130" s="33">
        <f>IF(AND(YEAR(B2130)=2025,G2130="Service B",OR(H2130="Band 3",H2130="Band 5"),ISNUMBER(F2130)),F2130,"")</f>
        <v/>
      </c>
    </row>
    <row r="2131">
      <c r="A2131" s="19" t="inlineStr">
        <is>
          <t>User1229</t>
        </is>
      </c>
      <c r="B2131" s="60" t="n">
        <v>45748</v>
      </c>
      <c r="C2131" s="21" t="n">
        <v>148</v>
      </c>
      <c r="D2131" s="21" t="n"/>
      <c r="E2131" s="21" t="n"/>
      <c r="F2131" s="27">
        <f>IFERROR(IF(OR(C2131="",D2131="",C2131=0),"",D2131/C2131),"")</f>
        <v/>
      </c>
      <c r="G2131" s="21">
        <f>IFERROR(INDEX(Users!$A$2:$A$310,MATCH(A2131,Users!$B$2:$B$310,0)),"")</f>
        <v/>
      </c>
      <c r="H2131" s="21">
        <f>IFERROR(INDEX(Users!$D$2:$D$310,MATCH(A2131,Users!$B$2:$B$310,0)),"")</f>
        <v/>
      </c>
      <c r="I2131" s="19">
        <f>AND(G2131="Service A",H2131="Band 3")</f>
        <v/>
      </c>
      <c r="J2131" s="33">
        <f>IF(AND(YEAR(B2131)=2025,G2131="Service B",OR(H2131="Band 3",H2131="Band 5"),ISNUMBER(F2131)),F2131,"")</f>
        <v/>
      </c>
    </row>
    <row r="2132">
      <c r="A2132" s="19" t="inlineStr">
        <is>
          <t>User1229</t>
        </is>
      </c>
      <c r="B2132" s="60" t="n">
        <v>45778</v>
      </c>
      <c r="C2132" s="21" t="n">
        <v>148</v>
      </c>
      <c r="D2132" s="21" t="n"/>
      <c r="E2132" s="21" t="n"/>
      <c r="F2132" s="27">
        <f>IFERROR(IF(OR(C2132="",D2132="",C2132=0),"",D2132/C2132),"")</f>
        <v/>
      </c>
      <c r="G2132" s="21">
        <f>IFERROR(INDEX(Users!$A$2:$A$310,MATCH(A2132,Users!$B$2:$B$310,0)),"")</f>
        <v/>
      </c>
      <c r="H2132" s="21">
        <f>IFERROR(INDEX(Users!$D$2:$D$310,MATCH(A2132,Users!$B$2:$B$310,0)),"")</f>
        <v/>
      </c>
      <c r="I2132" s="19">
        <f>AND(G2132="Service A",H2132="Band 3")</f>
        <v/>
      </c>
      <c r="J2132" s="33">
        <f>IF(AND(YEAR(B2132)=2025,G2132="Service B",OR(H2132="Band 3",H2132="Band 5"),ISNUMBER(F2132)),F2132,"")</f>
        <v/>
      </c>
    </row>
    <row r="2133">
      <c r="A2133" s="19" t="inlineStr">
        <is>
          <t>User1229</t>
        </is>
      </c>
      <c r="B2133" s="60" t="n">
        <v>45809</v>
      </c>
      <c r="C2133" s="21" t="n">
        <v>155.4</v>
      </c>
      <c r="D2133" s="21" t="n"/>
      <c r="E2133" s="21" t="n"/>
      <c r="F2133" s="27">
        <f>IFERROR(IF(OR(C2133="",D2133="",C2133=0),"",D2133/C2133),"")</f>
        <v/>
      </c>
      <c r="G2133" s="21">
        <f>IFERROR(INDEX(Users!$A$2:$A$310,MATCH(A2133,Users!$B$2:$B$310,0)),"")</f>
        <v/>
      </c>
      <c r="H2133" s="21">
        <f>IFERROR(INDEX(Users!$D$2:$D$310,MATCH(A2133,Users!$B$2:$B$310,0)),"")</f>
        <v/>
      </c>
      <c r="I2133" s="19">
        <f>AND(G2133="Service A",H2133="Band 3")</f>
        <v/>
      </c>
      <c r="J2133" s="33">
        <f>IF(AND(YEAR(B2133)=2025,G2133="Service B",OR(H2133="Band 3",H2133="Band 5"),ISNUMBER(F2133)),F2133,"")</f>
        <v/>
      </c>
    </row>
    <row r="2134">
      <c r="A2134" s="19" t="inlineStr">
        <is>
          <t>User1229</t>
        </is>
      </c>
      <c r="B2134" s="60" t="n">
        <v>45839</v>
      </c>
      <c r="C2134" s="21" t="n">
        <v>170.2</v>
      </c>
      <c r="D2134" s="21" t="n"/>
      <c r="E2134" s="21" t="n"/>
      <c r="F2134" s="27">
        <f>IFERROR(IF(OR(C2134="",D2134="",C2134=0),"",D2134/C2134),"")</f>
        <v/>
      </c>
      <c r="G2134" s="21">
        <f>IFERROR(INDEX(Users!$A$2:$A$310,MATCH(A2134,Users!$B$2:$B$310,0)),"")</f>
        <v/>
      </c>
      <c r="H2134" s="21">
        <f>IFERROR(INDEX(Users!$D$2:$D$310,MATCH(A2134,Users!$B$2:$B$310,0)),"")</f>
        <v/>
      </c>
      <c r="I2134" s="19">
        <f>AND(G2134="Service A",H2134="Band 3")</f>
        <v/>
      </c>
      <c r="J2134" s="33">
        <f>IF(AND(YEAR(B2134)=2025,G2134="Service B",OR(H2134="Band 3",H2134="Band 5"),ISNUMBER(F2134)),F2134,"")</f>
        <v/>
      </c>
    </row>
    <row r="2135">
      <c r="A2135" s="19" t="inlineStr">
        <is>
          <t>User1229</t>
        </is>
      </c>
      <c r="B2135" s="60" t="n">
        <v>45870</v>
      </c>
      <c r="C2135" s="21" t="n">
        <v>148</v>
      </c>
      <c r="D2135" s="21" t="n"/>
      <c r="E2135" s="21" t="n"/>
      <c r="F2135" s="27">
        <f>IFERROR(IF(OR(C2135="",D2135="",C2135=0),"",D2135/C2135),"")</f>
        <v/>
      </c>
      <c r="G2135" s="21">
        <f>IFERROR(INDEX(Users!$A$2:$A$310,MATCH(A2135,Users!$B$2:$B$310,0)),"")</f>
        <v/>
      </c>
      <c r="H2135" s="21">
        <f>IFERROR(INDEX(Users!$D$2:$D$310,MATCH(A2135,Users!$B$2:$B$310,0)),"")</f>
        <v/>
      </c>
      <c r="I2135" s="19">
        <f>AND(G2135="Service A",H2135="Band 3")</f>
        <v/>
      </c>
      <c r="J2135" s="33">
        <f>IF(AND(YEAR(B2135)=2025,G2135="Service B",OR(H2135="Band 3",H2135="Band 5"),ISNUMBER(F2135)),F2135,"")</f>
        <v/>
      </c>
    </row>
    <row r="2136">
      <c r="A2136" s="19" t="inlineStr">
        <is>
          <t>User1229</t>
        </is>
      </c>
      <c r="B2136" s="60" t="n">
        <v>45901</v>
      </c>
      <c r="C2136" s="21" t="n">
        <v>162.8</v>
      </c>
      <c r="D2136" s="21" t="n"/>
      <c r="E2136" s="21" t="n"/>
      <c r="F2136" s="27">
        <f>IFERROR(IF(OR(C2136="",D2136="",C2136=0),"",D2136/C2136),"")</f>
        <v/>
      </c>
      <c r="G2136" s="21">
        <f>IFERROR(INDEX(Users!$A$2:$A$310,MATCH(A2136,Users!$B$2:$B$310,0)),"")</f>
        <v/>
      </c>
      <c r="H2136" s="21">
        <f>IFERROR(INDEX(Users!$D$2:$D$310,MATCH(A2136,Users!$B$2:$B$310,0)),"")</f>
        <v/>
      </c>
      <c r="I2136" s="19">
        <f>AND(G2136="Service A",H2136="Band 3")</f>
        <v/>
      </c>
      <c r="J2136" s="33">
        <f>IF(AND(YEAR(B2136)=2025,G2136="Service B",OR(H2136="Band 3",H2136="Band 5"),ISNUMBER(F2136)),F2136,"")</f>
        <v/>
      </c>
    </row>
    <row r="2137">
      <c r="A2137" s="19" t="inlineStr">
        <is>
          <t>User1229</t>
        </is>
      </c>
      <c r="B2137" s="60" t="n">
        <v>45931</v>
      </c>
      <c r="C2137" s="21" t="n">
        <v>170.2</v>
      </c>
      <c r="D2137" s="21" t="n"/>
      <c r="E2137" s="21" t="n"/>
      <c r="F2137" s="27">
        <f>IFERROR(IF(OR(C2137="",D2137="",C2137=0),"",D2137/C2137),"")</f>
        <v/>
      </c>
      <c r="G2137" s="21">
        <f>IFERROR(INDEX(Users!$A$2:$A$310,MATCH(A2137,Users!$B$2:$B$310,0)),"")</f>
        <v/>
      </c>
      <c r="H2137" s="21">
        <f>IFERROR(INDEX(Users!$D$2:$D$310,MATCH(A2137,Users!$B$2:$B$310,0)),"")</f>
        <v/>
      </c>
      <c r="I2137" s="19">
        <f>AND(G2137="Service A",H2137="Band 3")</f>
        <v/>
      </c>
      <c r="J2137" s="33">
        <f>IF(AND(YEAR(B2137)=2025,G2137="Service B",OR(H2137="Band 3",H2137="Band 5"),ISNUMBER(F2137)),F2137,"")</f>
        <v/>
      </c>
    </row>
    <row r="2138">
      <c r="A2138" s="19" t="inlineStr">
        <is>
          <t>User1229</t>
        </is>
      </c>
      <c r="B2138" s="60" t="n">
        <v>45962</v>
      </c>
      <c r="C2138" s="21" t="n">
        <v>148</v>
      </c>
      <c r="D2138" s="21" t="n"/>
      <c r="E2138" s="21" t="n"/>
      <c r="F2138" s="27">
        <f>IFERROR(IF(OR(C2138="",D2138="",C2138=0),"",D2138/C2138),"")</f>
        <v/>
      </c>
      <c r="G2138" s="21">
        <f>IFERROR(INDEX(Users!$A$2:$A$310,MATCH(A2138,Users!$B$2:$B$310,0)),"")</f>
        <v/>
      </c>
      <c r="H2138" s="21">
        <f>IFERROR(INDEX(Users!$D$2:$D$310,MATCH(A2138,Users!$B$2:$B$310,0)),"")</f>
        <v/>
      </c>
      <c r="I2138" s="19">
        <f>AND(G2138="Service A",H2138="Band 3")</f>
        <v/>
      </c>
      <c r="J2138" s="33">
        <f>IF(AND(YEAR(B2138)=2025,G2138="Service B",OR(H2138="Band 3",H2138="Band 5"),ISNUMBER(F2138)),F2138,"")</f>
        <v/>
      </c>
    </row>
    <row r="2139">
      <c r="A2139" s="19" t="inlineStr">
        <is>
          <t>User1229</t>
        </is>
      </c>
      <c r="B2139" s="60" t="n">
        <v>45992</v>
      </c>
      <c r="C2139" s="21" t="n">
        <v>155.4</v>
      </c>
      <c r="D2139" s="21" t="n"/>
      <c r="E2139" s="21" t="n"/>
      <c r="F2139" s="27">
        <f>IFERROR(IF(OR(C2139="",D2139="",C2139=0),"",D2139/C2139),"")</f>
        <v/>
      </c>
      <c r="G2139" s="21">
        <f>IFERROR(INDEX(Users!$A$2:$A$310,MATCH(A2139,Users!$B$2:$B$310,0)),"")</f>
        <v/>
      </c>
      <c r="H2139" s="21">
        <f>IFERROR(INDEX(Users!$D$2:$D$310,MATCH(A2139,Users!$B$2:$B$310,0)),"")</f>
        <v/>
      </c>
      <c r="I2139" s="19">
        <f>AND(G2139="Service A",H2139="Band 3")</f>
        <v/>
      </c>
      <c r="J2139" s="33">
        <f>IF(AND(YEAR(B2139)=2025,G2139="Service B",OR(H2139="Band 3",H2139="Band 5"),ISNUMBER(F2139)),F2139,"")</f>
        <v/>
      </c>
    </row>
    <row r="2140">
      <c r="A2140" s="19" t="inlineStr">
        <is>
          <t>User1229</t>
        </is>
      </c>
      <c r="B2140" s="60" t="n">
        <v>46023</v>
      </c>
      <c r="C2140" s="21" t="n">
        <v>155.4</v>
      </c>
      <c r="D2140" s="21" t="n"/>
      <c r="E2140" s="21" t="n"/>
      <c r="F2140" s="27">
        <f>IFERROR(IF(OR(C2140="",D2140="",C2140=0),"",D2140/C2140),"")</f>
        <v/>
      </c>
      <c r="G2140" s="21">
        <f>IFERROR(INDEX(Users!$A$2:$A$310,MATCH(A2140,Users!$B$2:$B$310,0)),"")</f>
        <v/>
      </c>
      <c r="H2140" s="21">
        <f>IFERROR(INDEX(Users!$D$2:$D$310,MATCH(A2140,Users!$B$2:$B$310,0)),"")</f>
        <v/>
      </c>
      <c r="I2140" s="19">
        <f>AND(G2140="Service A",H2140="Band 3")</f>
        <v/>
      </c>
      <c r="J2140" s="33">
        <f>IF(AND(YEAR(B2140)=2025,G2140="Service B",OR(H2140="Band 3",H2140="Band 5"),ISNUMBER(F2140)),F2140,"")</f>
        <v/>
      </c>
    </row>
    <row r="2141">
      <c r="A2141" s="19" t="inlineStr">
        <is>
          <t>User1230</t>
        </is>
      </c>
      <c r="B2141" s="60" t="n">
        <v>45658</v>
      </c>
      <c r="C2141" s="21" t="n">
        <v>162.8</v>
      </c>
      <c r="D2141" s="21" t="n">
        <v>150.32</v>
      </c>
      <c r="E2141" s="21" t="n">
        <v>119.32</v>
      </c>
      <c r="F2141" s="27">
        <f>IFERROR(IF(OR(C2141="",D2141="",C2141=0),"",D2141/C2141),"")</f>
        <v/>
      </c>
      <c r="G2141" s="21">
        <f>IFERROR(INDEX(Users!$A$2:$A$310,MATCH(A2141,Users!$B$2:$B$310,0)),"")</f>
        <v/>
      </c>
      <c r="H2141" s="21">
        <f>IFERROR(INDEX(Users!$D$2:$D$310,MATCH(A2141,Users!$B$2:$B$310,0)),"")</f>
        <v/>
      </c>
      <c r="I2141" s="19">
        <f>AND(G2141="Service A",H2141="Band 3")</f>
        <v/>
      </c>
      <c r="J2141" s="33">
        <f>IF(AND(YEAR(B2141)=2025,G2141="Service B",OR(H2141="Band 3",H2141="Band 5"),ISNUMBER(F2141)),F2141,"")</f>
        <v/>
      </c>
    </row>
    <row r="2142">
      <c r="A2142" s="19" t="inlineStr">
        <is>
          <t>User1230</t>
        </is>
      </c>
      <c r="B2142" s="60" t="n">
        <v>45689</v>
      </c>
      <c r="C2142" s="21" t="n">
        <v>148</v>
      </c>
      <c r="D2142" s="21" t="n">
        <v>146.0866666666666</v>
      </c>
      <c r="E2142" s="21" t="n">
        <v>93.16999999999999</v>
      </c>
      <c r="F2142" s="27">
        <f>IFERROR(IF(OR(C2142="",D2142="",C2142=0),"",D2142/C2142),"")</f>
        <v/>
      </c>
      <c r="G2142" s="21">
        <f>IFERROR(INDEX(Users!$A$2:$A$310,MATCH(A2142,Users!$B$2:$B$310,0)),"")</f>
        <v/>
      </c>
      <c r="H2142" s="21">
        <f>IFERROR(INDEX(Users!$D$2:$D$310,MATCH(A2142,Users!$B$2:$B$310,0)),"")</f>
        <v/>
      </c>
      <c r="I2142" s="19">
        <f>AND(G2142="Service A",H2142="Band 3")</f>
        <v/>
      </c>
      <c r="J2142" s="33">
        <f>IF(AND(YEAR(B2142)=2025,G2142="Service B",OR(H2142="Band 3",H2142="Band 5"),ISNUMBER(F2142)),F2142,"")</f>
        <v/>
      </c>
    </row>
    <row r="2143">
      <c r="A2143" s="19" t="inlineStr">
        <is>
          <t>User1230</t>
        </is>
      </c>
      <c r="B2143" s="60" t="n">
        <v>45717</v>
      </c>
      <c r="C2143" s="21" t="n">
        <v>155.4</v>
      </c>
      <c r="D2143" s="21" t="n">
        <v>134.0233333333333</v>
      </c>
      <c r="E2143" s="21" t="n">
        <v>98.19</v>
      </c>
      <c r="F2143" s="27">
        <f>IFERROR(IF(OR(C2143="",D2143="",C2143=0),"",D2143/C2143),"")</f>
        <v/>
      </c>
      <c r="G2143" s="21">
        <f>IFERROR(INDEX(Users!$A$2:$A$310,MATCH(A2143,Users!$B$2:$B$310,0)),"")</f>
        <v/>
      </c>
      <c r="H2143" s="21">
        <f>IFERROR(INDEX(Users!$D$2:$D$310,MATCH(A2143,Users!$B$2:$B$310,0)),"")</f>
        <v/>
      </c>
      <c r="I2143" s="19">
        <f>AND(G2143="Service A",H2143="Band 3")</f>
        <v/>
      </c>
      <c r="J2143" s="33">
        <f>IF(AND(YEAR(B2143)=2025,G2143="Service B",OR(H2143="Band 3",H2143="Band 5"),ISNUMBER(F2143)),F2143,"")</f>
        <v/>
      </c>
    </row>
    <row r="2144">
      <c r="A2144" s="19" t="inlineStr">
        <is>
          <t>User1230</t>
        </is>
      </c>
      <c r="B2144" s="60" t="n">
        <v>45748</v>
      </c>
      <c r="C2144" s="21" t="n">
        <v>148</v>
      </c>
      <c r="D2144" s="21" t="n">
        <v>118.8133333333333</v>
      </c>
      <c r="E2144" s="21" t="n">
        <v>74.72999999999999</v>
      </c>
      <c r="F2144" s="27">
        <f>IFERROR(IF(OR(C2144="",D2144="",C2144=0),"",D2144/C2144),"")</f>
        <v/>
      </c>
      <c r="G2144" s="21">
        <f>IFERROR(INDEX(Users!$A$2:$A$310,MATCH(A2144,Users!$B$2:$B$310,0)),"")</f>
        <v/>
      </c>
      <c r="H2144" s="21">
        <f>IFERROR(INDEX(Users!$D$2:$D$310,MATCH(A2144,Users!$B$2:$B$310,0)),"")</f>
        <v/>
      </c>
      <c r="I2144" s="19">
        <f>AND(G2144="Service A",H2144="Band 3")</f>
        <v/>
      </c>
      <c r="J2144" s="33">
        <f>IF(AND(YEAR(B2144)=2025,G2144="Service B",OR(H2144="Band 3",H2144="Band 5"),ISNUMBER(F2144)),F2144,"")</f>
        <v/>
      </c>
    </row>
    <row r="2145">
      <c r="A2145" s="19" t="inlineStr">
        <is>
          <t>User1230</t>
        </is>
      </c>
      <c r="B2145" s="60" t="n">
        <v>45778</v>
      </c>
      <c r="C2145" s="21" t="n">
        <v>148</v>
      </c>
      <c r="D2145" s="21" t="n">
        <v>91.48333333333332</v>
      </c>
      <c r="E2145" s="21" t="n">
        <v>77.14999999999999</v>
      </c>
      <c r="F2145" s="27">
        <f>IFERROR(IF(OR(C2145="",D2145="",C2145=0),"",D2145/C2145),"")</f>
        <v/>
      </c>
      <c r="G2145" s="21">
        <f>IFERROR(INDEX(Users!$A$2:$A$310,MATCH(A2145,Users!$B$2:$B$310,0)),"")</f>
        <v/>
      </c>
      <c r="H2145" s="21">
        <f>IFERROR(INDEX(Users!$D$2:$D$310,MATCH(A2145,Users!$B$2:$B$310,0)),"")</f>
        <v/>
      </c>
      <c r="I2145" s="19">
        <f>AND(G2145="Service A",H2145="Band 3")</f>
        <v/>
      </c>
      <c r="J2145" s="33">
        <f>IF(AND(YEAR(B2145)=2025,G2145="Service B",OR(H2145="Band 3",H2145="Band 5"),ISNUMBER(F2145)),F2145,"")</f>
        <v/>
      </c>
    </row>
    <row r="2146">
      <c r="A2146" s="19" t="inlineStr">
        <is>
          <t>User1230</t>
        </is>
      </c>
      <c r="B2146" s="60" t="n">
        <v>45809</v>
      </c>
      <c r="C2146" s="21" t="n">
        <v>155.4</v>
      </c>
      <c r="D2146" s="21" t="n">
        <v>157.1633333333334</v>
      </c>
      <c r="E2146" s="21" t="n">
        <v>126.83</v>
      </c>
      <c r="F2146" s="27">
        <f>IFERROR(IF(OR(C2146="",D2146="",C2146=0),"",D2146/C2146),"")</f>
        <v/>
      </c>
      <c r="G2146" s="21">
        <f>IFERROR(INDEX(Users!$A$2:$A$310,MATCH(A2146,Users!$B$2:$B$310,0)),"")</f>
        <v/>
      </c>
      <c r="H2146" s="21">
        <f>IFERROR(INDEX(Users!$D$2:$D$310,MATCH(A2146,Users!$B$2:$B$310,0)),"")</f>
        <v/>
      </c>
      <c r="I2146" s="19">
        <f>AND(G2146="Service A",H2146="Band 3")</f>
        <v/>
      </c>
      <c r="J2146" s="33">
        <f>IF(AND(YEAR(B2146)=2025,G2146="Service B",OR(H2146="Band 3",H2146="Band 5"),ISNUMBER(F2146)),F2146,"")</f>
        <v/>
      </c>
    </row>
    <row r="2147">
      <c r="A2147" s="19" t="inlineStr">
        <is>
          <t>User1230</t>
        </is>
      </c>
      <c r="B2147" s="60" t="n">
        <v>45839</v>
      </c>
      <c r="C2147" s="21" t="n">
        <v>170.2</v>
      </c>
      <c r="D2147" s="21" t="n">
        <v>172.32</v>
      </c>
      <c r="E2147" s="21" t="n">
        <v>115.67</v>
      </c>
      <c r="F2147" s="27">
        <f>IFERROR(IF(OR(C2147="",D2147="",C2147=0),"",D2147/C2147),"")</f>
        <v/>
      </c>
      <c r="G2147" s="21">
        <f>IFERROR(INDEX(Users!$A$2:$A$310,MATCH(A2147,Users!$B$2:$B$310,0)),"")</f>
        <v/>
      </c>
      <c r="H2147" s="21">
        <f>IFERROR(INDEX(Users!$D$2:$D$310,MATCH(A2147,Users!$B$2:$B$310,0)),"")</f>
        <v/>
      </c>
      <c r="I2147" s="19">
        <f>AND(G2147="Service A",H2147="Band 3")</f>
        <v/>
      </c>
      <c r="J2147" s="33">
        <f>IF(AND(YEAR(B2147)=2025,G2147="Service B",OR(H2147="Band 3",H2147="Band 5"),ISNUMBER(F2147)),F2147,"")</f>
        <v/>
      </c>
    </row>
    <row r="2148">
      <c r="A2148" s="19" t="inlineStr">
        <is>
          <t>User1230</t>
        </is>
      </c>
      <c r="B2148" s="60" t="n">
        <v>45870</v>
      </c>
      <c r="C2148" s="21" t="n">
        <v>148</v>
      </c>
      <c r="D2148" s="21" t="n">
        <v>117.4533333333333</v>
      </c>
      <c r="E2148" s="21" t="n">
        <v>77.87</v>
      </c>
      <c r="F2148" s="27">
        <f>IFERROR(IF(OR(C2148="",D2148="",C2148=0),"",D2148/C2148),"")</f>
        <v/>
      </c>
      <c r="G2148" s="21">
        <f>IFERROR(INDEX(Users!$A$2:$A$310,MATCH(A2148,Users!$B$2:$B$310,0)),"")</f>
        <v/>
      </c>
      <c r="H2148" s="21">
        <f>IFERROR(INDEX(Users!$D$2:$D$310,MATCH(A2148,Users!$B$2:$B$310,0)),"")</f>
        <v/>
      </c>
      <c r="I2148" s="19">
        <f>AND(G2148="Service A",H2148="Band 3")</f>
        <v/>
      </c>
      <c r="J2148" s="33">
        <f>IF(AND(YEAR(B2148)=2025,G2148="Service B",OR(H2148="Band 3",H2148="Band 5"),ISNUMBER(F2148)),F2148,"")</f>
        <v/>
      </c>
    </row>
    <row r="2149">
      <c r="A2149" s="19" t="inlineStr">
        <is>
          <t>User1230</t>
        </is>
      </c>
      <c r="B2149" s="60" t="n">
        <v>45901</v>
      </c>
      <c r="C2149" s="21" t="n">
        <v>162.8</v>
      </c>
      <c r="D2149" s="21" t="n">
        <v>147.4233333333333</v>
      </c>
      <c r="E2149" s="21" t="n">
        <v>109.34</v>
      </c>
      <c r="F2149" s="27">
        <f>IFERROR(IF(OR(C2149="",D2149="",C2149=0),"",D2149/C2149),"")</f>
        <v/>
      </c>
      <c r="G2149" s="21">
        <f>IFERROR(INDEX(Users!$A$2:$A$310,MATCH(A2149,Users!$B$2:$B$310,0)),"")</f>
        <v/>
      </c>
      <c r="H2149" s="21">
        <f>IFERROR(INDEX(Users!$D$2:$D$310,MATCH(A2149,Users!$B$2:$B$310,0)),"")</f>
        <v/>
      </c>
      <c r="I2149" s="19">
        <f>AND(G2149="Service A",H2149="Band 3")</f>
        <v/>
      </c>
      <c r="J2149" s="33">
        <f>IF(AND(YEAR(B2149)=2025,G2149="Service B",OR(H2149="Band 3",H2149="Band 5"),ISNUMBER(F2149)),F2149,"")</f>
        <v/>
      </c>
    </row>
    <row r="2150">
      <c r="A2150" s="19" t="inlineStr">
        <is>
          <t>User1230</t>
        </is>
      </c>
      <c r="B2150" s="60" t="n">
        <v>45931</v>
      </c>
      <c r="C2150" s="21" t="n">
        <v>170.2</v>
      </c>
      <c r="D2150" s="21" t="n">
        <v>127.8433333333333</v>
      </c>
      <c r="E2150" s="21" t="n">
        <v>84.51000000000001</v>
      </c>
      <c r="F2150" s="27">
        <f>IFERROR(IF(OR(C2150="",D2150="",C2150=0),"",D2150/C2150),"")</f>
        <v/>
      </c>
      <c r="G2150" s="21">
        <f>IFERROR(INDEX(Users!$A$2:$A$310,MATCH(A2150,Users!$B$2:$B$310,0)),"")</f>
        <v/>
      </c>
      <c r="H2150" s="21">
        <f>IFERROR(INDEX(Users!$D$2:$D$310,MATCH(A2150,Users!$B$2:$B$310,0)),"")</f>
        <v/>
      </c>
      <c r="I2150" s="19">
        <f>AND(G2150="Service A",H2150="Band 3")</f>
        <v/>
      </c>
      <c r="J2150" s="33">
        <f>IF(AND(YEAR(B2150)=2025,G2150="Service B",OR(H2150="Band 3",H2150="Band 5"),ISNUMBER(F2150)),F2150,"")</f>
        <v/>
      </c>
    </row>
    <row r="2151">
      <c r="A2151" s="19" t="inlineStr">
        <is>
          <t>User1230</t>
        </is>
      </c>
      <c r="B2151" s="60" t="n">
        <v>45962</v>
      </c>
      <c r="C2151" s="21" t="n">
        <v>148</v>
      </c>
      <c r="D2151" s="21" t="n">
        <v>104.7166666666667</v>
      </c>
      <c r="E2151" s="21" t="n">
        <v>80.79999999999998</v>
      </c>
      <c r="F2151" s="27">
        <f>IFERROR(IF(OR(C2151="",D2151="",C2151=0),"",D2151/C2151),"")</f>
        <v/>
      </c>
      <c r="G2151" s="21">
        <f>IFERROR(INDEX(Users!$A$2:$A$310,MATCH(A2151,Users!$B$2:$B$310,0)),"")</f>
        <v/>
      </c>
      <c r="H2151" s="21">
        <f>IFERROR(INDEX(Users!$D$2:$D$310,MATCH(A2151,Users!$B$2:$B$310,0)),"")</f>
        <v/>
      </c>
      <c r="I2151" s="19">
        <f>AND(G2151="Service A",H2151="Band 3")</f>
        <v/>
      </c>
      <c r="J2151" s="33">
        <f>IF(AND(YEAR(B2151)=2025,G2151="Service B",OR(H2151="Band 3",H2151="Band 5"),ISNUMBER(F2151)),F2151,"")</f>
        <v/>
      </c>
    </row>
    <row r="2152">
      <c r="A2152" s="19" t="inlineStr">
        <is>
          <t>User1230</t>
        </is>
      </c>
      <c r="B2152" s="60" t="n">
        <v>45992</v>
      </c>
      <c r="C2152" s="21" t="n">
        <v>155.4</v>
      </c>
      <c r="D2152" s="21" t="n">
        <v>122.68</v>
      </c>
      <c r="E2152" s="21" t="n">
        <v>93.67999999999999</v>
      </c>
      <c r="F2152" s="27">
        <f>IFERROR(IF(OR(C2152="",D2152="",C2152=0),"",D2152/C2152),"")</f>
        <v/>
      </c>
      <c r="G2152" s="21">
        <f>IFERROR(INDEX(Users!$A$2:$A$310,MATCH(A2152,Users!$B$2:$B$310,0)),"")</f>
        <v/>
      </c>
      <c r="H2152" s="21">
        <f>IFERROR(INDEX(Users!$D$2:$D$310,MATCH(A2152,Users!$B$2:$B$310,0)),"")</f>
        <v/>
      </c>
      <c r="I2152" s="19">
        <f>AND(G2152="Service A",H2152="Band 3")</f>
        <v/>
      </c>
      <c r="J2152" s="33">
        <f>IF(AND(YEAR(B2152)=2025,G2152="Service B",OR(H2152="Band 3",H2152="Band 5"),ISNUMBER(F2152)),F2152,"")</f>
        <v/>
      </c>
    </row>
    <row r="2153">
      <c r="A2153" s="19" t="inlineStr">
        <is>
          <t>User1230</t>
        </is>
      </c>
      <c r="B2153" s="60" t="n">
        <v>46023</v>
      </c>
      <c r="C2153" s="21" t="n">
        <v>155.4</v>
      </c>
      <c r="D2153" s="21" t="n">
        <v>141.2766666666667</v>
      </c>
      <c r="E2153" s="21" t="n">
        <v>105.36</v>
      </c>
      <c r="F2153" s="27">
        <f>IFERROR(IF(OR(C2153="",D2153="",C2153=0),"",D2153/C2153),"")</f>
        <v/>
      </c>
      <c r="G2153" s="21">
        <f>IFERROR(INDEX(Users!$A$2:$A$310,MATCH(A2153,Users!$B$2:$B$310,0)),"")</f>
        <v/>
      </c>
      <c r="H2153" s="21">
        <f>IFERROR(INDEX(Users!$D$2:$D$310,MATCH(A2153,Users!$B$2:$B$310,0)),"")</f>
        <v/>
      </c>
      <c r="I2153" s="19">
        <f>AND(G2153="Service A",H2153="Band 3")</f>
        <v/>
      </c>
      <c r="J2153" s="33">
        <f>IF(AND(YEAR(B2153)=2025,G2153="Service B",OR(H2153="Band 3",H2153="Band 5"),ISNUMBER(F2153)),F2153,"")</f>
        <v/>
      </c>
    </row>
    <row r="2154">
      <c r="A2154" s="19" t="inlineStr">
        <is>
          <t>User1231</t>
        </is>
      </c>
      <c r="B2154" s="60" t="n">
        <v>45658</v>
      </c>
      <c r="C2154" s="21" t="n">
        <v>90</v>
      </c>
      <c r="D2154" s="21" t="n">
        <v>86.07000000000002</v>
      </c>
      <c r="E2154" s="21" t="n">
        <v>51.42000000000001</v>
      </c>
      <c r="F2154" s="27">
        <f>IFERROR(IF(OR(C2154="",D2154="",C2154=0),"",D2154/C2154),"")</f>
        <v/>
      </c>
      <c r="G2154" s="21">
        <f>IFERROR(INDEX(Users!$A$2:$A$310,MATCH(A2154,Users!$B$2:$B$310,0)),"")</f>
        <v/>
      </c>
      <c r="H2154" s="21">
        <f>IFERROR(INDEX(Users!$D$2:$D$310,MATCH(A2154,Users!$B$2:$B$310,0)),"")</f>
        <v/>
      </c>
      <c r="I2154" s="19">
        <f>AND(G2154="Service A",H2154="Band 3")</f>
        <v/>
      </c>
      <c r="J2154" s="33">
        <f>IF(AND(YEAR(B2154)=2025,G2154="Service B",OR(H2154="Band 3",H2154="Band 5"),ISNUMBER(F2154)),F2154,"")</f>
        <v/>
      </c>
    </row>
    <row r="2155">
      <c r="A2155" s="19" t="inlineStr">
        <is>
          <t>User1231</t>
        </is>
      </c>
      <c r="B2155" s="60" t="n">
        <v>45689</v>
      </c>
      <c r="C2155" s="21" t="n">
        <v>90</v>
      </c>
      <c r="D2155" s="21" t="n">
        <v>89.15000000000002</v>
      </c>
      <c r="E2155" s="21" t="n">
        <v>61.85000000000002</v>
      </c>
      <c r="F2155" s="27">
        <f>IFERROR(IF(OR(C2155="",D2155="",C2155=0),"",D2155/C2155),"")</f>
        <v/>
      </c>
      <c r="G2155" s="21">
        <f>IFERROR(INDEX(Users!$A$2:$A$310,MATCH(A2155,Users!$B$2:$B$310,0)),"")</f>
        <v/>
      </c>
      <c r="H2155" s="21">
        <f>IFERROR(INDEX(Users!$D$2:$D$310,MATCH(A2155,Users!$B$2:$B$310,0)),"")</f>
        <v/>
      </c>
      <c r="I2155" s="19">
        <f>AND(G2155="Service A",H2155="Band 3")</f>
        <v/>
      </c>
      <c r="J2155" s="33">
        <f>IF(AND(YEAR(B2155)=2025,G2155="Service B",OR(H2155="Band 3",H2155="Band 5"),ISNUMBER(F2155)),F2155,"")</f>
        <v/>
      </c>
    </row>
    <row r="2156">
      <c r="A2156" s="19" t="inlineStr">
        <is>
          <t>User1231</t>
        </is>
      </c>
      <c r="B2156" s="60" t="n">
        <v>45717</v>
      </c>
      <c r="C2156" s="21" t="n">
        <v>97.5</v>
      </c>
      <c r="D2156" s="21" t="n">
        <v>98.22000000000001</v>
      </c>
      <c r="E2156" s="21" t="n">
        <v>63.87000000000001</v>
      </c>
      <c r="F2156" s="27">
        <f>IFERROR(IF(OR(C2156="",D2156="",C2156=0),"",D2156/C2156),"")</f>
        <v/>
      </c>
      <c r="G2156" s="21">
        <f>IFERROR(INDEX(Users!$A$2:$A$310,MATCH(A2156,Users!$B$2:$B$310,0)),"")</f>
        <v/>
      </c>
      <c r="H2156" s="21">
        <f>IFERROR(INDEX(Users!$D$2:$D$310,MATCH(A2156,Users!$B$2:$B$310,0)),"")</f>
        <v/>
      </c>
      <c r="I2156" s="19">
        <f>AND(G2156="Service A",H2156="Band 3")</f>
        <v/>
      </c>
      <c r="J2156" s="33">
        <f>IF(AND(YEAR(B2156)=2025,G2156="Service B",OR(H2156="Band 3",H2156="Band 5"),ISNUMBER(F2156)),F2156,"")</f>
        <v/>
      </c>
    </row>
    <row r="2157">
      <c r="A2157" s="19" t="inlineStr">
        <is>
          <t>User1231</t>
        </is>
      </c>
      <c r="B2157" s="60" t="n">
        <v>45748</v>
      </c>
      <c r="C2157" s="21" t="n">
        <v>97.5</v>
      </c>
      <c r="D2157" s="21" t="n">
        <v>80.85000000000002</v>
      </c>
      <c r="E2157" s="21" t="n">
        <v>58.20000000000001</v>
      </c>
      <c r="F2157" s="27">
        <f>IFERROR(IF(OR(C2157="",D2157="",C2157=0),"",D2157/C2157),"")</f>
        <v/>
      </c>
      <c r="G2157" s="21">
        <f>IFERROR(INDEX(Users!$A$2:$A$310,MATCH(A2157,Users!$B$2:$B$310,0)),"")</f>
        <v/>
      </c>
      <c r="H2157" s="21">
        <f>IFERROR(INDEX(Users!$D$2:$D$310,MATCH(A2157,Users!$B$2:$B$310,0)),"")</f>
        <v/>
      </c>
      <c r="I2157" s="19">
        <f>AND(G2157="Service A",H2157="Band 3")</f>
        <v/>
      </c>
      <c r="J2157" s="33">
        <f>IF(AND(YEAR(B2157)=2025,G2157="Service B",OR(H2157="Band 3",H2157="Band 5"),ISNUMBER(F2157)),F2157,"")</f>
        <v/>
      </c>
    </row>
    <row r="2158">
      <c r="A2158" s="19" t="inlineStr">
        <is>
          <t>User1231</t>
        </is>
      </c>
      <c r="B2158" s="60" t="n">
        <v>45778</v>
      </c>
      <c r="C2158" s="21" t="n">
        <v>75</v>
      </c>
      <c r="D2158" s="21" t="n">
        <v>32.85</v>
      </c>
      <c r="E2158" s="21" t="n">
        <v>25.55</v>
      </c>
      <c r="F2158" s="27">
        <f>IFERROR(IF(OR(C2158="",D2158="",C2158=0),"",D2158/C2158),"")</f>
        <v/>
      </c>
      <c r="G2158" s="21">
        <f>IFERROR(INDEX(Users!$A$2:$A$310,MATCH(A2158,Users!$B$2:$B$310,0)),"")</f>
        <v/>
      </c>
      <c r="H2158" s="21">
        <f>IFERROR(INDEX(Users!$D$2:$D$310,MATCH(A2158,Users!$B$2:$B$310,0)),"")</f>
        <v/>
      </c>
      <c r="I2158" s="19">
        <f>AND(G2158="Service A",H2158="Band 3")</f>
        <v/>
      </c>
      <c r="J2158" s="33">
        <f>IF(AND(YEAR(B2158)=2025,G2158="Service B",OR(H2158="Band 3",H2158="Band 5"),ISNUMBER(F2158)),F2158,"")</f>
        <v/>
      </c>
    </row>
    <row r="2159">
      <c r="A2159" s="19" t="inlineStr">
        <is>
          <t>User1231</t>
        </is>
      </c>
      <c r="B2159" s="60" t="n">
        <v>45809</v>
      </c>
      <c r="C2159" s="21" t="n">
        <v>97.5</v>
      </c>
      <c r="D2159" s="21" t="n">
        <v>89.43000000000001</v>
      </c>
      <c r="E2159" s="21" t="n">
        <v>63.78000000000001</v>
      </c>
      <c r="F2159" s="27">
        <f>IFERROR(IF(OR(C2159="",D2159="",C2159=0),"",D2159/C2159),"")</f>
        <v/>
      </c>
      <c r="G2159" s="21">
        <f>IFERROR(INDEX(Users!$A$2:$A$310,MATCH(A2159,Users!$B$2:$B$310,0)),"")</f>
        <v/>
      </c>
      <c r="H2159" s="21">
        <f>IFERROR(INDEX(Users!$D$2:$D$310,MATCH(A2159,Users!$B$2:$B$310,0)),"")</f>
        <v/>
      </c>
      <c r="I2159" s="19">
        <f>AND(G2159="Service A",H2159="Band 3")</f>
        <v/>
      </c>
      <c r="J2159" s="33">
        <f>IF(AND(YEAR(B2159)=2025,G2159="Service B",OR(H2159="Band 3",H2159="Band 5"),ISNUMBER(F2159)),F2159,"")</f>
        <v/>
      </c>
    </row>
    <row r="2160">
      <c r="A2160" s="19" t="inlineStr">
        <is>
          <t>User1231</t>
        </is>
      </c>
      <c r="B2160" s="60" t="n">
        <v>45839</v>
      </c>
      <c r="C2160" s="21" t="n">
        <v>105</v>
      </c>
      <c r="D2160" s="21" t="n">
        <v>101.85</v>
      </c>
      <c r="E2160" s="21" t="n">
        <v>72.14999999999999</v>
      </c>
      <c r="F2160" s="27">
        <f>IFERROR(IF(OR(C2160="",D2160="",C2160=0),"",D2160/C2160),"")</f>
        <v/>
      </c>
      <c r="G2160" s="21">
        <f>IFERROR(INDEX(Users!$A$2:$A$310,MATCH(A2160,Users!$B$2:$B$310,0)),"")</f>
        <v/>
      </c>
      <c r="H2160" s="21">
        <f>IFERROR(INDEX(Users!$D$2:$D$310,MATCH(A2160,Users!$B$2:$B$310,0)),"")</f>
        <v/>
      </c>
      <c r="I2160" s="19">
        <f>AND(G2160="Service A",H2160="Band 3")</f>
        <v/>
      </c>
      <c r="J2160" s="33">
        <f>IF(AND(YEAR(B2160)=2025,G2160="Service B",OR(H2160="Band 3",H2160="Band 5"),ISNUMBER(F2160)),F2160,"")</f>
        <v/>
      </c>
    </row>
    <row r="2161">
      <c r="A2161" s="19" t="inlineStr">
        <is>
          <t>User1231</t>
        </is>
      </c>
      <c r="B2161" s="60" t="n">
        <v>45870</v>
      </c>
      <c r="C2161" s="21" t="n">
        <v>82.5</v>
      </c>
      <c r="D2161" s="21" t="n">
        <v>65.17000000000002</v>
      </c>
      <c r="E2161" s="21" t="n">
        <v>48.42000000000001</v>
      </c>
      <c r="F2161" s="27">
        <f>IFERROR(IF(OR(C2161="",D2161="",C2161=0),"",D2161/C2161),"")</f>
        <v/>
      </c>
      <c r="G2161" s="21">
        <f>IFERROR(INDEX(Users!$A$2:$A$310,MATCH(A2161,Users!$B$2:$B$310,0)),"")</f>
        <v/>
      </c>
      <c r="H2161" s="21">
        <f>IFERROR(INDEX(Users!$D$2:$D$310,MATCH(A2161,Users!$B$2:$B$310,0)),"")</f>
        <v/>
      </c>
      <c r="I2161" s="19">
        <f>AND(G2161="Service A",H2161="Band 3")</f>
        <v/>
      </c>
      <c r="J2161" s="33">
        <f>IF(AND(YEAR(B2161)=2025,G2161="Service B",OR(H2161="Band 3",H2161="Band 5"),ISNUMBER(F2161)),F2161,"")</f>
        <v/>
      </c>
    </row>
    <row r="2162">
      <c r="A2162" s="19" t="inlineStr">
        <is>
          <t>User1231</t>
        </is>
      </c>
      <c r="B2162" s="60" t="n">
        <v>45901</v>
      </c>
      <c r="C2162" s="21" t="n">
        <v>105</v>
      </c>
      <c r="D2162" s="21" t="n">
        <v>55.4</v>
      </c>
      <c r="E2162" s="21" t="n">
        <v>37.89999999999999</v>
      </c>
      <c r="F2162" s="27">
        <f>IFERROR(IF(OR(C2162="",D2162="",C2162=0),"",D2162/C2162),"")</f>
        <v/>
      </c>
      <c r="G2162" s="21">
        <f>IFERROR(INDEX(Users!$A$2:$A$310,MATCH(A2162,Users!$B$2:$B$310,0)),"")</f>
        <v/>
      </c>
      <c r="H2162" s="21">
        <f>IFERROR(INDEX(Users!$D$2:$D$310,MATCH(A2162,Users!$B$2:$B$310,0)),"")</f>
        <v/>
      </c>
      <c r="I2162" s="19">
        <f>AND(G2162="Service A",H2162="Band 3")</f>
        <v/>
      </c>
      <c r="J2162" s="33">
        <f>IF(AND(YEAR(B2162)=2025,G2162="Service B",OR(H2162="Band 3",H2162="Band 5"),ISNUMBER(F2162)),F2162,"")</f>
        <v/>
      </c>
    </row>
    <row r="2163">
      <c r="A2163" s="19" t="inlineStr">
        <is>
          <t>User1231</t>
        </is>
      </c>
      <c r="B2163" s="60" t="n">
        <v>45931</v>
      </c>
      <c r="C2163" s="21" t="n">
        <v>97.5</v>
      </c>
      <c r="D2163" s="21" t="n">
        <v>95.91666666666666</v>
      </c>
      <c r="E2163" s="21" t="n">
        <v>73.09999999999999</v>
      </c>
      <c r="F2163" s="27">
        <f>IFERROR(IF(OR(C2163="",D2163="",C2163=0),"",D2163/C2163),"")</f>
        <v/>
      </c>
      <c r="G2163" s="21">
        <f>IFERROR(INDEX(Users!$A$2:$A$310,MATCH(A2163,Users!$B$2:$B$310,0)),"")</f>
        <v/>
      </c>
      <c r="H2163" s="21">
        <f>IFERROR(INDEX(Users!$D$2:$D$310,MATCH(A2163,Users!$B$2:$B$310,0)),"")</f>
        <v/>
      </c>
      <c r="I2163" s="19">
        <f>AND(G2163="Service A",H2163="Band 3")</f>
        <v/>
      </c>
      <c r="J2163" s="33">
        <f>IF(AND(YEAR(B2163)=2025,G2163="Service B",OR(H2163="Band 3",H2163="Band 5"),ISNUMBER(F2163)),F2163,"")</f>
        <v/>
      </c>
    </row>
    <row r="2164">
      <c r="A2164" s="19" t="inlineStr">
        <is>
          <t>User1231</t>
        </is>
      </c>
      <c r="B2164" s="60" t="n">
        <v>45962</v>
      </c>
      <c r="C2164" s="21" t="n">
        <v>90</v>
      </c>
      <c r="D2164" s="21" t="n">
        <v>90.80000000000003</v>
      </c>
      <c r="E2164" s="21" t="n">
        <v>70.55000000000003</v>
      </c>
      <c r="F2164" s="27">
        <f>IFERROR(IF(OR(C2164="",D2164="",C2164=0),"",D2164/C2164),"")</f>
        <v/>
      </c>
      <c r="G2164" s="21">
        <f>IFERROR(INDEX(Users!$A$2:$A$310,MATCH(A2164,Users!$B$2:$B$310,0)),"")</f>
        <v/>
      </c>
      <c r="H2164" s="21">
        <f>IFERROR(INDEX(Users!$D$2:$D$310,MATCH(A2164,Users!$B$2:$B$310,0)),"")</f>
        <v/>
      </c>
      <c r="I2164" s="19">
        <f>AND(G2164="Service A",H2164="Band 3")</f>
        <v/>
      </c>
      <c r="J2164" s="33">
        <f>IF(AND(YEAR(B2164)=2025,G2164="Service B",OR(H2164="Band 3",H2164="Band 5"),ISNUMBER(F2164)),F2164,"")</f>
        <v/>
      </c>
    </row>
    <row r="2165">
      <c r="A2165" s="19" t="inlineStr">
        <is>
          <t>User1231</t>
        </is>
      </c>
      <c r="B2165" s="60" t="n">
        <v>45992</v>
      </c>
      <c r="C2165" s="21" t="n">
        <v>112.5</v>
      </c>
      <c r="D2165" s="21" t="n">
        <v>62.53333333333333</v>
      </c>
      <c r="E2165" s="21" t="n">
        <v>42.5</v>
      </c>
      <c r="F2165" s="27">
        <f>IFERROR(IF(OR(C2165="",D2165="",C2165=0),"",D2165/C2165),"")</f>
        <v/>
      </c>
      <c r="G2165" s="21">
        <f>IFERROR(INDEX(Users!$A$2:$A$310,MATCH(A2165,Users!$B$2:$B$310,0)),"")</f>
        <v/>
      </c>
      <c r="H2165" s="21">
        <f>IFERROR(INDEX(Users!$D$2:$D$310,MATCH(A2165,Users!$B$2:$B$310,0)),"")</f>
        <v/>
      </c>
      <c r="I2165" s="19">
        <f>AND(G2165="Service A",H2165="Band 3")</f>
        <v/>
      </c>
      <c r="J2165" s="33">
        <f>IF(AND(YEAR(B2165)=2025,G2165="Service B",OR(H2165="Band 3",H2165="Band 5"),ISNUMBER(F2165)),F2165,"")</f>
        <v/>
      </c>
    </row>
    <row r="2166">
      <c r="A2166" s="19" t="inlineStr">
        <is>
          <t>User1231</t>
        </is>
      </c>
      <c r="B2166" s="60" t="n">
        <v>46023</v>
      </c>
      <c r="C2166" s="21" t="n">
        <v>90</v>
      </c>
      <c r="D2166" s="21" t="n">
        <v>107.5</v>
      </c>
      <c r="E2166" s="21" t="n">
        <v>76.79999999999998</v>
      </c>
      <c r="F2166" s="27">
        <f>IFERROR(IF(OR(C2166="",D2166="",C2166=0),"",D2166/C2166),"")</f>
        <v/>
      </c>
      <c r="G2166" s="21">
        <f>IFERROR(INDEX(Users!$A$2:$A$310,MATCH(A2166,Users!$B$2:$B$310,0)),"")</f>
        <v/>
      </c>
      <c r="H2166" s="21">
        <f>IFERROR(INDEX(Users!$D$2:$D$310,MATCH(A2166,Users!$B$2:$B$310,0)),"")</f>
        <v/>
      </c>
      <c r="I2166" s="19">
        <f>AND(G2166="Service A",H2166="Band 3")</f>
        <v/>
      </c>
      <c r="J2166" s="33">
        <f>IF(AND(YEAR(B2166)=2025,G2166="Service B",OR(H2166="Band 3",H2166="Band 5"),ISNUMBER(F2166)),F2166,"")</f>
        <v/>
      </c>
    </row>
    <row r="2167">
      <c r="A2167" s="19" t="inlineStr">
        <is>
          <t>User1233</t>
        </is>
      </c>
      <c r="B2167" s="60" t="n">
        <v>45658</v>
      </c>
      <c r="C2167" s="21" t="n">
        <v>161</v>
      </c>
      <c r="D2167" s="21" t="n">
        <v>137.5</v>
      </c>
      <c r="E2167" s="21" t="n">
        <v>97</v>
      </c>
      <c r="F2167" s="27">
        <f>IFERROR(IF(OR(C2167="",D2167="",C2167=0),"",D2167/C2167),"")</f>
        <v/>
      </c>
      <c r="G2167" s="21">
        <f>IFERROR(INDEX(Users!$A$2:$A$310,MATCH(A2167,Users!$B$2:$B$310,0)),"")</f>
        <v/>
      </c>
      <c r="H2167" s="21">
        <f>IFERROR(INDEX(Users!$D$2:$D$310,MATCH(A2167,Users!$B$2:$B$310,0)),"")</f>
        <v/>
      </c>
      <c r="I2167" s="19">
        <f>AND(G2167="Service A",H2167="Band 3")</f>
        <v/>
      </c>
      <c r="J2167" s="33">
        <f>IF(AND(YEAR(B2167)=2025,G2167="Service B",OR(H2167="Band 3",H2167="Band 5"),ISNUMBER(F2167)),F2167,"")</f>
        <v/>
      </c>
    </row>
    <row r="2168">
      <c r="A2168" s="19" t="inlineStr">
        <is>
          <t>User1233</t>
        </is>
      </c>
      <c r="B2168" s="60" t="n">
        <v>45689</v>
      </c>
      <c r="C2168" s="21" t="n">
        <v>148</v>
      </c>
      <c r="D2168" s="21" t="n">
        <v>138.2433333333333</v>
      </c>
      <c r="E2168" s="21" t="n">
        <v>102.16</v>
      </c>
      <c r="F2168" s="27">
        <f>IFERROR(IF(OR(C2168="",D2168="",C2168=0),"",D2168/C2168),"")</f>
        <v/>
      </c>
      <c r="G2168" s="21">
        <f>IFERROR(INDEX(Users!$A$2:$A$310,MATCH(A2168,Users!$B$2:$B$310,0)),"")</f>
        <v/>
      </c>
      <c r="H2168" s="21">
        <f>IFERROR(INDEX(Users!$D$2:$D$310,MATCH(A2168,Users!$B$2:$B$310,0)),"")</f>
        <v/>
      </c>
      <c r="I2168" s="19">
        <f>AND(G2168="Service A",H2168="Band 3")</f>
        <v/>
      </c>
      <c r="J2168" s="33">
        <f>IF(AND(YEAR(B2168)=2025,G2168="Service B",OR(H2168="Band 3",H2168="Band 5"),ISNUMBER(F2168)),F2168,"")</f>
        <v/>
      </c>
    </row>
    <row r="2169">
      <c r="A2169" s="19" t="inlineStr">
        <is>
          <t>User1233</t>
        </is>
      </c>
      <c r="B2169" s="60" t="n">
        <v>45717</v>
      </c>
      <c r="C2169" s="21" t="n">
        <v>156</v>
      </c>
      <c r="D2169" s="21" t="n">
        <v>148.5</v>
      </c>
      <c r="E2169" s="21" t="n">
        <v>95.5</v>
      </c>
      <c r="F2169" s="27">
        <f>IFERROR(IF(OR(C2169="",D2169="",C2169=0),"",D2169/C2169),"")</f>
        <v/>
      </c>
      <c r="G2169" s="21">
        <f>IFERROR(INDEX(Users!$A$2:$A$310,MATCH(A2169,Users!$B$2:$B$310,0)),"")</f>
        <v/>
      </c>
      <c r="H2169" s="21">
        <f>IFERROR(INDEX(Users!$D$2:$D$310,MATCH(A2169,Users!$B$2:$B$310,0)),"")</f>
        <v/>
      </c>
      <c r="I2169" s="19">
        <f>AND(G2169="Service A",H2169="Band 3")</f>
        <v/>
      </c>
      <c r="J2169" s="33">
        <f>IF(AND(YEAR(B2169)=2025,G2169="Service B",OR(H2169="Band 3",H2169="Band 5"),ISNUMBER(F2169)),F2169,"")</f>
        <v/>
      </c>
    </row>
    <row r="2170">
      <c r="A2170" s="19" t="inlineStr">
        <is>
          <t>User1233</t>
        </is>
      </c>
      <c r="B2170" s="60" t="n">
        <v>45748</v>
      </c>
      <c r="C2170" s="21" t="n">
        <v>151</v>
      </c>
      <c r="D2170" s="21" t="n">
        <v>136</v>
      </c>
      <c r="E2170" s="21" t="n">
        <v>84</v>
      </c>
      <c r="F2170" s="27">
        <f>IFERROR(IF(OR(C2170="",D2170="",C2170=0),"",D2170/C2170),"")</f>
        <v/>
      </c>
      <c r="G2170" s="21">
        <f>IFERROR(INDEX(Users!$A$2:$A$310,MATCH(A2170,Users!$B$2:$B$310,0)),"")</f>
        <v/>
      </c>
      <c r="H2170" s="21">
        <f>IFERROR(INDEX(Users!$D$2:$D$310,MATCH(A2170,Users!$B$2:$B$310,0)),"")</f>
        <v/>
      </c>
      <c r="I2170" s="19">
        <f>AND(G2170="Service A",H2170="Band 3")</f>
        <v/>
      </c>
      <c r="J2170" s="33">
        <f>IF(AND(YEAR(B2170)=2025,G2170="Service B",OR(H2170="Band 3",H2170="Band 5"),ISNUMBER(F2170)),F2170,"")</f>
        <v/>
      </c>
    </row>
    <row r="2171">
      <c r="A2171" s="19" t="inlineStr">
        <is>
          <t>User1233</t>
        </is>
      </c>
      <c r="B2171" s="60" t="n">
        <v>45778</v>
      </c>
      <c r="C2171" s="21" t="n">
        <v>145</v>
      </c>
      <c r="D2171" s="21" t="n">
        <v>123.05</v>
      </c>
      <c r="E2171" s="21" t="n">
        <v>84.05</v>
      </c>
      <c r="F2171" s="27">
        <f>IFERROR(IF(OR(C2171="",D2171="",C2171=0),"",D2171/C2171),"")</f>
        <v/>
      </c>
      <c r="G2171" s="21">
        <f>IFERROR(INDEX(Users!$A$2:$A$310,MATCH(A2171,Users!$B$2:$B$310,0)),"")</f>
        <v/>
      </c>
      <c r="H2171" s="21">
        <f>IFERROR(INDEX(Users!$D$2:$D$310,MATCH(A2171,Users!$B$2:$B$310,0)),"")</f>
        <v/>
      </c>
      <c r="I2171" s="19">
        <f>AND(G2171="Service A",H2171="Band 3")</f>
        <v/>
      </c>
      <c r="J2171" s="33">
        <f>IF(AND(YEAR(B2171)=2025,G2171="Service B",OR(H2171="Band 3",H2171="Band 5"),ISNUMBER(F2171)),F2171,"")</f>
        <v/>
      </c>
    </row>
    <row r="2172">
      <c r="A2172" s="19" t="inlineStr">
        <is>
          <t>User1233</t>
        </is>
      </c>
      <c r="B2172" s="60" t="n">
        <v>45809</v>
      </c>
      <c r="C2172" s="21" t="n">
        <v>156</v>
      </c>
      <c r="D2172" s="21" t="n">
        <v>156</v>
      </c>
      <c r="E2172" s="21" t="n">
        <v>95.25</v>
      </c>
      <c r="F2172" s="27">
        <f>IFERROR(IF(OR(C2172="",D2172="",C2172=0),"",D2172/C2172),"")</f>
        <v/>
      </c>
      <c r="G2172" s="21">
        <f>IFERROR(INDEX(Users!$A$2:$A$310,MATCH(A2172,Users!$B$2:$B$310,0)),"")</f>
        <v/>
      </c>
      <c r="H2172" s="21">
        <f>IFERROR(INDEX(Users!$D$2:$D$310,MATCH(A2172,Users!$B$2:$B$310,0)),"")</f>
        <v/>
      </c>
      <c r="I2172" s="19">
        <f>AND(G2172="Service A",H2172="Band 3")</f>
        <v/>
      </c>
      <c r="J2172" s="33">
        <f>IF(AND(YEAR(B2172)=2025,G2172="Service B",OR(H2172="Band 3",H2172="Band 5"),ISNUMBER(F2172)),F2172,"")</f>
        <v/>
      </c>
    </row>
    <row r="2173">
      <c r="A2173" s="19" t="inlineStr">
        <is>
          <t>User1233</t>
        </is>
      </c>
      <c r="B2173" s="60" t="n">
        <v>45839</v>
      </c>
      <c r="C2173" s="21" t="n">
        <v>172</v>
      </c>
      <c r="D2173" s="21" t="n">
        <v>151.0866666666667</v>
      </c>
      <c r="E2173" s="21" t="n">
        <v>88.67</v>
      </c>
      <c r="F2173" s="27">
        <f>IFERROR(IF(OR(C2173="",D2173="",C2173=0),"",D2173/C2173),"")</f>
        <v/>
      </c>
      <c r="G2173" s="21">
        <f>IFERROR(INDEX(Users!$A$2:$A$310,MATCH(A2173,Users!$B$2:$B$310,0)),"")</f>
        <v/>
      </c>
      <c r="H2173" s="21">
        <f>IFERROR(INDEX(Users!$D$2:$D$310,MATCH(A2173,Users!$B$2:$B$310,0)),"")</f>
        <v/>
      </c>
      <c r="I2173" s="19">
        <f>AND(G2173="Service A",H2173="Band 3")</f>
        <v/>
      </c>
      <c r="J2173" s="33">
        <f>IF(AND(YEAR(B2173)=2025,G2173="Service B",OR(H2173="Band 3",H2173="Band 5"),ISNUMBER(F2173)),F2173,"")</f>
        <v/>
      </c>
    </row>
    <row r="2174">
      <c r="A2174" s="19" t="inlineStr">
        <is>
          <t>User1233</t>
        </is>
      </c>
      <c r="B2174" s="60" t="n">
        <v>45870</v>
      </c>
      <c r="C2174" s="21" t="n">
        <v>145</v>
      </c>
      <c r="D2174" s="21" t="n">
        <v>129</v>
      </c>
      <c r="E2174" s="21" t="n">
        <v>85</v>
      </c>
      <c r="F2174" s="27">
        <f>IFERROR(IF(OR(C2174="",D2174="",C2174=0),"",D2174/C2174),"")</f>
        <v/>
      </c>
      <c r="G2174" s="21">
        <f>IFERROR(INDEX(Users!$A$2:$A$310,MATCH(A2174,Users!$B$2:$B$310,0)),"")</f>
        <v/>
      </c>
      <c r="H2174" s="21">
        <f>IFERROR(INDEX(Users!$D$2:$D$310,MATCH(A2174,Users!$B$2:$B$310,0)),"")</f>
        <v/>
      </c>
      <c r="I2174" s="19">
        <f>AND(G2174="Service A",H2174="Band 3")</f>
        <v/>
      </c>
      <c r="J2174" s="33">
        <f>IF(AND(YEAR(B2174)=2025,G2174="Service B",OR(H2174="Band 3",H2174="Band 5"),ISNUMBER(F2174)),F2174,"")</f>
        <v/>
      </c>
    </row>
    <row r="2175">
      <c r="A2175" s="19" t="inlineStr">
        <is>
          <t>User1233</t>
        </is>
      </c>
      <c r="B2175" s="60" t="n">
        <v>45901</v>
      </c>
      <c r="C2175" s="21" t="n">
        <v>164</v>
      </c>
      <c r="D2175" s="21" t="n">
        <v>161.5</v>
      </c>
      <c r="E2175" s="21" t="n">
        <v>111</v>
      </c>
      <c r="F2175" s="27">
        <f>IFERROR(IF(OR(C2175="",D2175="",C2175=0),"",D2175/C2175),"")</f>
        <v/>
      </c>
      <c r="G2175" s="21">
        <f>IFERROR(INDEX(Users!$A$2:$A$310,MATCH(A2175,Users!$B$2:$B$310,0)),"")</f>
        <v/>
      </c>
      <c r="H2175" s="21">
        <f>IFERROR(INDEX(Users!$D$2:$D$310,MATCH(A2175,Users!$B$2:$B$310,0)),"")</f>
        <v/>
      </c>
      <c r="I2175" s="19">
        <f>AND(G2175="Service A",H2175="Band 3")</f>
        <v/>
      </c>
      <c r="J2175" s="33">
        <f>IF(AND(YEAR(B2175)=2025,G2175="Service B",OR(H2175="Band 3",H2175="Band 5"),ISNUMBER(F2175)),F2175,"")</f>
        <v/>
      </c>
    </row>
    <row r="2176">
      <c r="A2176" s="19" t="inlineStr">
        <is>
          <t>User1233</t>
        </is>
      </c>
      <c r="B2176" s="60" t="n">
        <v>45931</v>
      </c>
      <c r="C2176" s="21" t="n">
        <v>169</v>
      </c>
      <c r="D2176" s="21" t="n">
        <v>160.5</v>
      </c>
      <c r="E2176" s="21" t="n">
        <v>113</v>
      </c>
      <c r="F2176" s="27">
        <f>IFERROR(IF(OR(C2176="",D2176="",C2176=0),"",D2176/C2176),"")</f>
        <v/>
      </c>
      <c r="G2176" s="21">
        <f>IFERROR(INDEX(Users!$A$2:$A$310,MATCH(A2176,Users!$B$2:$B$310,0)),"")</f>
        <v/>
      </c>
      <c r="H2176" s="21">
        <f>IFERROR(INDEX(Users!$D$2:$D$310,MATCH(A2176,Users!$B$2:$B$310,0)),"")</f>
        <v/>
      </c>
      <c r="I2176" s="19">
        <f>AND(G2176="Service A",H2176="Band 3")</f>
        <v/>
      </c>
      <c r="J2176" s="33">
        <f>IF(AND(YEAR(B2176)=2025,G2176="Service B",OR(H2176="Band 3",H2176="Band 5"),ISNUMBER(F2176)),F2176,"")</f>
        <v/>
      </c>
    </row>
    <row r="2177">
      <c r="A2177" s="19" t="inlineStr">
        <is>
          <t>User1233</t>
        </is>
      </c>
      <c r="B2177" s="60" t="n">
        <v>45962</v>
      </c>
      <c r="C2177" s="21" t="n">
        <v>148</v>
      </c>
      <c r="D2177" s="21" t="n">
        <v>142.5</v>
      </c>
      <c r="E2177" s="21" t="n">
        <v>108.5</v>
      </c>
      <c r="F2177" s="27">
        <f>IFERROR(IF(OR(C2177="",D2177="",C2177=0),"",D2177/C2177),"")</f>
        <v/>
      </c>
      <c r="G2177" s="21">
        <f>IFERROR(INDEX(Users!$A$2:$A$310,MATCH(A2177,Users!$B$2:$B$310,0)),"")</f>
        <v/>
      </c>
      <c r="H2177" s="21">
        <f>IFERROR(INDEX(Users!$D$2:$D$310,MATCH(A2177,Users!$B$2:$B$310,0)),"")</f>
        <v/>
      </c>
      <c r="I2177" s="19">
        <f>AND(G2177="Service A",H2177="Band 3")</f>
        <v/>
      </c>
      <c r="J2177" s="33">
        <f>IF(AND(YEAR(B2177)=2025,G2177="Service B",OR(H2177="Band 3",H2177="Band 5"),ISNUMBER(F2177)),F2177,"")</f>
        <v/>
      </c>
    </row>
    <row r="2178">
      <c r="A2178" s="19" t="inlineStr">
        <is>
          <t>User1233</t>
        </is>
      </c>
      <c r="B2178" s="60" t="n">
        <v>45992</v>
      </c>
      <c r="C2178" s="21" t="n">
        <v>159</v>
      </c>
      <c r="D2178" s="21" t="n">
        <v>67.25</v>
      </c>
      <c r="E2178" s="21" t="n">
        <v>47</v>
      </c>
      <c r="F2178" s="27">
        <f>IFERROR(IF(OR(C2178="",D2178="",C2178=0),"",D2178/C2178),"")</f>
        <v/>
      </c>
      <c r="G2178" s="21">
        <f>IFERROR(INDEX(Users!$A$2:$A$310,MATCH(A2178,Users!$B$2:$B$310,0)),"")</f>
        <v/>
      </c>
      <c r="H2178" s="21">
        <f>IFERROR(INDEX(Users!$D$2:$D$310,MATCH(A2178,Users!$B$2:$B$310,0)),"")</f>
        <v/>
      </c>
      <c r="I2178" s="19">
        <f>AND(G2178="Service A",H2178="Band 3")</f>
        <v/>
      </c>
      <c r="J2178" s="33">
        <f>IF(AND(YEAR(B2178)=2025,G2178="Service B",OR(H2178="Band 3",H2178="Band 5"),ISNUMBER(F2178)),F2178,"")</f>
        <v/>
      </c>
    </row>
    <row r="2179">
      <c r="A2179" s="19" t="inlineStr">
        <is>
          <t>User1233</t>
        </is>
      </c>
      <c r="B2179" s="60" t="n">
        <v>46023</v>
      </c>
      <c r="C2179" s="21" t="n">
        <v>153</v>
      </c>
      <c r="D2179" s="21" t="n">
        <v>144.1566666666667</v>
      </c>
      <c r="E2179" s="21" t="n">
        <v>105.99</v>
      </c>
      <c r="F2179" s="27">
        <f>IFERROR(IF(OR(C2179="",D2179="",C2179=0),"",D2179/C2179),"")</f>
        <v/>
      </c>
      <c r="G2179" s="21">
        <f>IFERROR(INDEX(Users!$A$2:$A$310,MATCH(A2179,Users!$B$2:$B$310,0)),"")</f>
        <v/>
      </c>
      <c r="H2179" s="21">
        <f>IFERROR(INDEX(Users!$D$2:$D$310,MATCH(A2179,Users!$B$2:$B$310,0)),"")</f>
        <v/>
      </c>
      <c r="I2179" s="19">
        <f>AND(G2179="Service A",H2179="Band 3")</f>
        <v/>
      </c>
      <c r="J2179" s="33">
        <f>IF(AND(YEAR(B2179)=2025,G2179="Service B",OR(H2179="Band 3",H2179="Band 5"),ISNUMBER(F2179)),F2179,"")</f>
        <v/>
      </c>
    </row>
    <row r="2180">
      <c r="A2180" s="19" t="inlineStr">
        <is>
          <t>User1234</t>
        </is>
      </c>
      <c r="B2180" s="60" t="n">
        <v>45658</v>
      </c>
      <c r="C2180" s="21" t="n">
        <v>164.4444444444444</v>
      </c>
      <c r="D2180" s="21" t="n">
        <v>186.0066666666667</v>
      </c>
      <c r="E2180" s="21" t="n">
        <v>112.59</v>
      </c>
      <c r="F2180" s="27">
        <f>IFERROR(IF(OR(C2180="",D2180="",C2180=0),"",D2180/C2180),"")</f>
        <v/>
      </c>
      <c r="G2180" s="21">
        <f>IFERROR(INDEX(Users!$A$2:$A$310,MATCH(A2180,Users!$B$2:$B$310,0)),"")</f>
        <v/>
      </c>
      <c r="H2180" s="21">
        <f>IFERROR(INDEX(Users!$D$2:$D$310,MATCH(A2180,Users!$B$2:$B$310,0)),"")</f>
        <v/>
      </c>
      <c r="I2180" s="19">
        <f>AND(G2180="Service A",H2180="Band 3")</f>
        <v/>
      </c>
      <c r="J2180" s="33">
        <f>IF(AND(YEAR(B2180)=2025,G2180="Service B",OR(H2180="Band 3",H2180="Band 5"),ISNUMBER(F2180)),F2180,"")</f>
        <v/>
      </c>
    </row>
    <row r="2181">
      <c r="A2181" s="19" t="inlineStr">
        <is>
          <t>User1234</t>
        </is>
      </c>
      <c r="B2181" s="60" t="n">
        <v>45689</v>
      </c>
      <c r="C2181" s="21" t="n">
        <v>148</v>
      </c>
      <c r="D2181" s="21" t="n">
        <v>153.14</v>
      </c>
      <c r="E2181" s="21" t="n">
        <v>109.69</v>
      </c>
      <c r="F2181" s="27">
        <f>IFERROR(IF(OR(C2181="",D2181="",C2181=0),"",D2181/C2181),"")</f>
        <v/>
      </c>
      <c r="G2181" s="21">
        <f>IFERROR(INDEX(Users!$A$2:$A$310,MATCH(A2181,Users!$B$2:$B$310,0)),"")</f>
        <v/>
      </c>
      <c r="H2181" s="21">
        <f>IFERROR(INDEX(Users!$D$2:$D$310,MATCH(A2181,Users!$B$2:$B$310,0)),"")</f>
        <v/>
      </c>
      <c r="I2181" s="19">
        <f>AND(G2181="Service A",H2181="Band 3")</f>
        <v/>
      </c>
      <c r="J2181" s="33">
        <f>IF(AND(YEAR(B2181)=2025,G2181="Service B",OR(H2181="Band 3",H2181="Band 5"),ISNUMBER(F2181)),F2181,"")</f>
        <v/>
      </c>
    </row>
    <row r="2182">
      <c r="A2182" s="19" t="inlineStr">
        <is>
          <t>User1235</t>
        </is>
      </c>
      <c r="B2182" s="60" t="n">
        <v>45658</v>
      </c>
      <c r="C2182" s="21" t="n">
        <v>162.8</v>
      </c>
      <c r="D2182" s="21" t="n">
        <v>118.98</v>
      </c>
      <c r="E2182" s="21" t="n">
        <v>83.08</v>
      </c>
      <c r="F2182" s="27">
        <f>IFERROR(IF(OR(C2182="",D2182="",C2182=0),"",D2182/C2182),"")</f>
        <v/>
      </c>
      <c r="G2182" s="21">
        <f>IFERROR(INDEX(Users!$A$2:$A$310,MATCH(A2182,Users!$B$2:$B$310,0)),"")</f>
        <v/>
      </c>
      <c r="H2182" s="21">
        <f>IFERROR(INDEX(Users!$D$2:$D$310,MATCH(A2182,Users!$B$2:$B$310,0)),"")</f>
        <v/>
      </c>
      <c r="I2182" s="19">
        <f>AND(G2182="Service A",H2182="Band 3")</f>
        <v/>
      </c>
      <c r="J2182" s="33">
        <f>IF(AND(YEAR(B2182)=2025,G2182="Service B",OR(H2182="Band 3",H2182="Band 5"),ISNUMBER(F2182)),F2182,"")</f>
        <v/>
      </c>
    </row>
    <row r="2183">
      <c r="A2183" s="19" t="inlineStr">
        <is>
          <t>User1235</t>
        </is>
      </c>
      <c r="B2183" s="60" t="n">
        <v>45689</v>
      </c>
      <c r="C2183" s="21" t="n">
        <v>148</v>
      </c>
      <c r="D2183" s="21" t="n">
        <v>76.08</v>
      </c>
      <c r="E2183" s="21" t="n">
        <v>40.08</v>
      </c>
      <c r="F2183" s="27">
        <f>IFERROR(IF(OR(C2183="",D2183="",C2183=0),"",D2183/C2183),"")</f>
        <v/>
      </c>
      <c r="G2183" s="21">
        <f>IFERROR(INDEX(Users!$A$2:$A$310,MATCH(A2183,Users!$B$2:$B$310,0)),"")</f>
        <v/>
      </c>
      <c r="H2183" s="21">
        <f>IFERROR(INDEX(Users!$D$2:$D$310,MATCH(A2183,Users!$B$2:$B$310,0)),"")</f>
        <v/>
      </c>
      <c r="I2183" s="19">
        <f>AND(G2183="Service A",H2183="Band 3")</f>
        <v/>
      </c>
      <c r="J2183" s="33">
        <f>IF(AND(YEAR(B2183)=2025,G2183="Service B",OR(H2183="Band 3",H2183="Band 5"),ISNUMBER(F2183)),F2183,"")</f>
        <v/>
      </c>
    </row>
    <row r="2184">
      <c r="A2184" s="19" t="inlineStr">
        <is>
          <t>User1235</t>
        </is>
      </c>
      <c r="B2184" s="60" t="n">
        <v>45717</v>
      </c>
      <c r="C2184" s="21" t="n">
        <v>155.4</v>
      </c>
      <c r="D2184" s="21" t="n">
        <v>38.5</v>
      </c>
      <c r="E2184" s="21" t="n">
        <v>32</v>
      </c>
      <c r="F2184" s="27">
        <f>IFERROR(IF(OR(C2184="",D2184="",C2184=0),"",D2184/C2184),"")</f>
        <v/>
      </c>
      <c r="G2184" s="21">
        <f>IFERROR(INDEX(Users!$A$2:$A$310,MATCH(A2184,Users!$B$2:$B$310,0)),"")</f>
        <v/>
      </c>
      <c r="H2184" s="21">
        <f>IFERROR(INDEX(Users!$D$2:$D$310,MATCH(A2184,Users!$B$2:$B$310,0)),"")</f>
        <v/>
      </c>
      <c r="I2184" s="19">
        <f>AND(G2184="Service A",H2184="Band 3")</f>
        <v/>
      </c>
      <c r="J2184" s="33">
        <f>IF(AND(YEAR(B2184)=2025,G2184="Service B",OR(H2184="Band 3",H2184="Band 5"),ISNUMBER(F2184)),F2184,"")</f>
        <v/>
      </c>
    </row>
    <row r="2185">
      <c r="A2185" s="19" t="inlineStr">
        <is>
          <t>User1235</t>
        </is>
      </c>
      <c r="B2185" s="60" t="n">
        <v>45748</v>
      </c>
      <c r="C2185" s="21" t="n">
        <v>148</v>
      </c>
      <c r="D2185" s="21" t="n">
        <v>82.40000000000001</v>
      </c>
      <c r="E2185" s="21" t="n">
        <v>43</v>
      </c>
      <c r="F2185" s="27">
        <f>IFERROR(IF(OR(C2185="",D2185="",C2185=0),"",D2185/C2185),"")</f>
        <v/>
      </c>
      <c r="G2185" s="21">
        <f>IFERROR(INDEX(Users!$A$2:$A$310,MATCH(A2185,Users!$B$2:$B$310,0)),"")</f>
        <v/>
      </c>
      <c r="H2185" s="21">
        <f>IFERROR(INDEX(Users!$D$2:$D$310,MATCH(A2185,Users!$B$2:$B$310,0)),"")</f>
        <v/>
      </c>
      <c r="I2185" s="19">
        <f>AND(G2185="Service A",H2185="Band 3")</f>
        <v/>
      </c>
      <c r="J2185" s="33">
        <f>IF(AND(YEAR(B2185)=2025,G2185="Service B",OR(H2185="Band 3",H2185="Band 5"),ISNUMBER(F2185)),F2185,"")</f>
        <v/>
      </c>
    </row>
    <row r="2186">
      <c r="A2186" s="19" t="inlineStr">
        <is>
          <t>User1235</t>
        </is>
      </c>
      <c r="B2186" s="60" t="n">
        <v>45778</v>
      </c>
      <c r="C2186" s="21" t="n">
        <v>148</v>
      </c>
      <c r="D2186" s="21" t="n">
        <v>7</v>
      </c>
      <c r="E2186" s="21" t="n"/>
      <c r="F2186" s="27">
        <f>IFERROR(IF(OR(C2186="",D2186="",C2186=0),"",D2186/C2186),"")</f>
        <v/>
      </c>
      <c r="G2186" s="21">
        <f>IFERROR(INDEX(Users!$A$2:$A$310,MATCH(A2186,Users!$B$2:$B$310,0)),"")</f>
        <v/>
      </c>
      <c r="H2186" s="21">
        <f>IFERROR(INDEX(Users!$D$2:$D$310,MATCH(A2186,Users!$B$2:$B$310,0)),"")</f>
        <v/>
      </c>
      <c r="I2186" s="19">
        <f>AND(G2186="Service A",H2186="Band 3")</f>
        <v/>
      </c>
      <c r="J2186" s="33">
        <f>IF(AND(YEAR(B2186)=2025,G2186="Service B",OR(H2186="Band 3",H2186="Band 5"),ISNUMBER(F2186)),F2186,"")</f>
        <v/>
      </c>
    </row>
    <row r="2187">
      <c r="A2187" s="19" t="inlineStr">
        <is>
          <t>User1235</t>
        </is>
      </c>
      <c r="B2187" s="60" t="n">
        <v>45809</v>
      </c>
      <c r="C2187" s="21" t="n">
        <v>155.4</v>
      </c>
      <c r="D2187" s="21" t="n">
        <v>49.5</v>
      </c>
      <c r="E2187" s="21" t="n"/>
      <c r="F2187" s="27">
        <f>IFERROR(IF(OR(C2187="",D2187="",C2187=0),"",D2187/C2187),"")</f>
        <v/>
      </c>
      <c r="G2187" s="21">
        <f>IFERROR(INDEX(Users!$A$2:$A$310,MATCH(A2187,Users!$B$2:$B$310,0)),"")</f>
        <v/>
      </c>
      <c r="H2187" s="21">
        <f>IFERROR(INDEX(Users!$D$2:$D$310,MATCH(A2187,Users!$B$2:$B$310,0)),"")</f>
        <v/>
      </c>
      <c r="I2187" s="19">
        <f>AND(G2187="Service A",H2187="Band 3")</f>
        <v/>
      </c>
      <c r="J2187" s="33">
        <f>IF(AND(YEAR(B2187)=2025,G2187="Service B",OR(H2187="Band 3",H2187="Band 5"),ISNUMBER(F2187)),F2187,"")</f>
        <v/>
      </c>
    </row>
    <row r="2188">
      <c r="A2188" s="19" t="inlineStr">
        <is>
          <t>User1235</t>
        </is>
      </c>
      <c r="B2188" s="60" t="n">
        <v>45839</v>
      </c>
      <c r="C2188" s="21" t="n">
        <v>170.2</v>
      </c>
      <c r="D2188" s="21" t="n">
        <v>30</v>
      </c>
      <c r="E2188" s="21" t="n">
        <v>3.5</v>
      </c>
      <c r="F2188" s="27">
        <f>IFERROR(IF(OR(C2188="",D2188="",C2188=0),"",D2188/C2188),"")</f>
        <v/>
      </c>
      <c r="G2188" s="21">
        <f>IFERROR(INDEX(Users!$A$2:$A$310,MATCH(A2188,Users!$B$2:$B$310,0)),"")</f>
        <v/>
      </c>
      <c r="H2188" s="21">
        <f>IFERROR(INDEX(Users!$D$2:$D$310,MATCH(A2188,Users!$B$2:$B$310,0)),"")</f>
        <v/>
      </c>
      <c r="I2188" s="19">
        <f>AND(G2188="Service A",H2188="Band 3")</f>
        <v/>
      </c>
      <c r="J2188" s="33">
        <f>IF(AND(YEAR(B2188)=2025,G2188="Service B",OR(H2188="Band 3",H2188="Band 5"),ISNUMBER(F2188)),F2188,"")</f>
        <v/>
      </c>
    </row>
    <row r="2189">
      <c r="A2189" s="19" t="inlineStr">
        <is>
          <t>User1235</t>
        </is>
      </c>
      <c r="B2189" s="60" t="n">
        <v>45870</v>
      </c>
      <c r="C2189" s="21" t="n">
        <v>148</v>
      </c>
      <c r="D2189" s="21" t="n">
        <v>104.42</v>
      </c>
      <c r="E2189" s="21" t="n">
        <v>59.92</v>
      </c>
      <c r="F2189" s="27">
        <f>IFERROR(IF(OR(C2189="",D2189="",C2189=0),"",D2189/C2189),"")</f>
        <v/>
      </c>
      <c r="G2189" s="21">
        <f>IFERROR(INDEX(Users!$A$2:$A$310,MATCH(A2189,Users!$B$2:$B$310,0)),"")</f>
        <v/>
      </c>
      <c r="H2189" s="21">
        <f>IFERROR(INDEX(Users!$D$2:$D$310,MATCH(A2189,Users!$B$2:$B$310,0)),"")</f>
        <v/>
      </c>
      <c r="I2189" s="19">
        <f>AND(G2189="Service A",H2189="Band 3")</f>
        <v/>
      </c>
      <c r="J2189" s="33">
        <f>IF(AND(YEAR(B2189)=2025,G2189="Service B",OR(H2189="Band 3",H2189="Band 5"),ISNUMBER(F2189)),F2189,"")</f>
        <v/>
      </c>
    </row>
    <row r="2190">
      <c r="A2190" s="19" t="inlineStr">
        <is>
          <t>User1235</t>
        </is>
      </c>
      <c r="B2190" s="60" t="n">
        <v>45901</v>
      </c>
      <c r="C2190" s="21" t="n">
        <v>162.8</v>
      </c>
      <c r="D2190" s="21" t="n">
        <v>112</v>
      </c>
      <c r="E2190" s="21" t="n">
        <v>84</v>
      </c>
      <c r="F2190" s="27">
        <f>IFERROR(IF(OR(C2190="",D2190="",C2190=0),"",D2190/C2190),"")</f>
        <v/>
      </c>
      <c r="G2190" s="21">
        <f>IFERROR(INDEX(Users!$A$2:$A$310,MATCH(A2190,Users!$B$2:$B$310,0)),"")</f>
        <v/>
      </c>
      <c r="H2190" s="21">
        <f>IFERROR(INDEX(Users!$D$2:$D$310,MATCH(A2190,Users!$B$2:$B$310,0)),"")</f>
        <v/>
      </c>
      <c r="I2190" s="19">
        <f>AND(G2190="Service A",H2190="Band 3")</f>
        <v/>
      </c>
      <c r="J2190" s="33">
        <f>IF(AND(YEAR(B2190)=2025,G2190="Service B",OR(H2190="Band 3",H2190="Band 5"),ISNUMBER(F2190)),F2190,"")</f>
        <v/>
      </c>
    </row>
    <row r="2191">
      <c r="A2191" s="19" t="inlineStr">
        <is>
          <t>User1235</t>
        </is>
      </c>
      <c r="B2191" s="60" t="n">
        <v>45931</v>
      </c>
      <c r="C2191" s="21" t="n">
        <v>170.2</v>
      </c>
      <c r="D2191" s="21" t="n">
        <v>35.5</v>
      </c>
      <c r="E2191" s="21" t="n">
        <v>16</v>
      </c>
      <c r="F2191" s="27">
        <f>IFERROR(IF(OR(C2191="",D2191="",C2191=0),"",D2191/C2191),"")</f>
        <v/>
      </c>
      <c r="G2191" s="21">
        <f>IFERROR(INDEX(Users!$A$2:$A$310,MATCH(A2191,Users!$B$2:$B$310,0)),"")</f>
        <v/>
      </c>
      <c r="H2191" s="21">
        <f>IFERROR(INDEX(Users!$D$2:$D$310,MATCH(A2191,Users!$B$2:$B$310,0)),"")</f>
        <v/>
      </c>
      <c r="I2191" s="19">
        <f>AND(G2191="Service A",H2191="Band 3")</f>
        <v/>
      </c>
      <c r="J2191" s="33">
        <f>IF(AND(YEAR(B2191)=2025,G2191="Service B",OR(H2191="Band 3",H2191="Band 5"),ISNUMBER(F2191)),F2191,"")</f>
        <v/>
      </c>
    </row>
    <row r="2192">
      <c r="A2192" s="19" t="inlineStr">
        <is>
          <t>User1235</t>
        </is>
      </c>
      <c r="B2192" s="60" t="n">
        <v>45962</v>
      </c>
      <c r="C2192" s="21" t="n">
        <v>148</v>
      </c>
      <c r="D2192" s="21" t="n">
        <v>74</v>
      </c>
      <c r="E2192" s="21" t="n">
        <v>49.5</v>
      </c>
      <c r="F2192" s="27">
        <f>IFERROR(IF(OR(C2192="",D2192="",C2192=0),"",D2192/C2192),"")</f>
        <v/>
      </c>
      <c r="G2192" s="21">
        <f>IFERROR(INDEX(Users!$A$2:$A$310,MATCH(A2192,Users!$B$2:$B$310,0)),"")</f>
        <v/>
      </c>
      <c r="H2192" s="21">
        <f>IFERROR(INDEX(Users!$D$2:$D$310,MATCH(A2192,Users!$B$2:$B$310,0)),"")</f>
        <v/>
      </c>
      <c r="I2192" s="19">
        <f>AND(G2192="Service A",H2192="Band 3")</f>
        <v/>
      </c>
      <c r="J2192" s="33">
        <f>IF(AND(YEAR(B2192)=2025,G2192="Service B",OR(H2192="Band 3",H2192="Band 5"),ISNUMBER(F2192)),F2192,"")</f>
        <v/>
      </c>
    </row>
    <row r="2193">
      <c r="A2193" s="19" t="inlineStr">
        <is>
          <t>User1235</t>
        </is>
      </c>
      <c r="B2193" s="60" t="n">
        <v>45992</v>
      </c>
      <c r="C2193" s="21" t="n">
        <v>155.4</v>
      </c>
      <c r="D2193" s="21" t="n"/>
      <c r="E2193" s="21" t="n"/>
      <c r="F2193" s="27">
        <f>IFERROR(IF(OR(C2193="",D2193="",C2193=0),"",D2193/C2193),"")</f>
        <v/>
      </c>
      <c r="G2193" s="21">
        <f>IFERROR(INDEX(Users!$A$2:$A$310,MATCH(A2193,Users!$B$2:$B$310,0)),"")</f>
        <v/>
      </c>
      <c r="H2193" s="21">
        <f>IFERROR(INDEX(Users!$D$2:$D$310,MATCH(A2193,Users!$B$2:$B$310,0)),"")</f>
        <v/>
      </c>
      <c r="I2193" s="19">
        <f>AND(G2193="Service A",H2193="Band 3")</f>
        <v/>
      </c>
      <c r="J2193" s="33">
        <f>IF(AND(YEAR(B2193)=2025,G2193="Service B",OR(H2193="Band 3",H2193="Band 5"),ISNUMBER(F2193)),F2193,"")</f>
        <v/>
      </c>
    </row>
    <row r="2194">
      <c r="A2194" s="19" t="inlineStr">
        <is>
          <t>User1235</t>
        </is>
      </c>
      <c r="B2194" s="60" t="n">
        <v>46023</v>
      </c>
      <c r="C2194" s="21" t="n">
        <v>155.4</v>
      </c>
      <c r="D2194" s="21" t="n"/>
      <c r="E2194" s="21" t="n"/>
      <c r="F2194" s="27">
        <f>IFERROR(IF(OR(C2194="",D2194="",C2194=0),"",D2194/C2194),"")</f>
        <v/>
      </c>
      <c r="G2194" s="21">
        <f>IFERROR(INDEX(Users!$A$2:$A$310,MATCH(A2194,Users!$B$2:$B$310,0)),"")</f>
        <v/>
      </c>
      <c r="H2194" s="21">
        <f>IFERROR(INDEX(Users!$D$2:$D$310,MATCH(A2194,Users!$B$2:$B$310,0)),"")</f>
        <v/>
      </c>
      <c r="I2194" s="19">
        <f>AND(G2194="Service A",H2194="Band 3")</f>
        <v/>
      </c>
      <c r="J2194" s="33">
        <f>IF(AND(YEAR(B2194)=2025,G2194="Service B",OR(H2194="Band 3",H2194="Band 5"),ISNUMBER(F2194)),F2194,"")</f>
        <v/>
      </c>
    </row>
    <row r="2195">
      <c r="A2195" s="19" t="inlineStr">
        <is>
          <t>User1236</t>
        </is>
      </c>
      <c r="B2195" s="60" t="n">
        <v>45717</v>
      </c>
      <c r="C2195" s="21" t="n">
        <v>44.40000000000001</v>
      </c>
      <c r="D2195" s="21" t="n"/>
      <c r="E2195" s="21" t="n"/>
      <c r="F2195" s="27">
        <f>IFERROR(IF(OR(C2195="",D2195="",C2195=0),"",D2195/C2195),"")</f>
        <v/>
      </c>
      <c r="G2195" s="21">
        <f>IFERROR(INDEX(Users!$A$2:$A$310,MATCH(A2195,Users!$B$2:$B$310,0)),"")</f>
        <v/>
      </c>
      <c r="H2195" s="21">
        <f>IFERROR(INDEX(Users!$D$2:$D$310,MATCH(A2195,Users!$B$2:$B$310,0)),"")</f>
        <v/>
      </c>
      <c r="I2195" s="19">
        <f>AND(G2195="Service A",H2195="Band 3")</f>
        <v/>
      </c>
      <c r="J2195" s="33">
        <f>IF(AND(YEAR(B2195)=2025,G2195="Service B",OR(H2195="Band 3",H2195="Band 5"),ISNUMBER(F2195)),F2195,"")</f>
        <v/>
      </c>
    </row>
    <row r="2196">
      <c r="A2196" s="19" t="inlineStr">
        <is>
          <t>User1236</t>
        </is>
      </c>
      <c r="B2196" s="60" t="n">
        <v>45748</v>
      </c>
      <c r="C2196" s="21" t="n">
        <v>148</v>
      </c>
      <c r="D2196" s="21" t="n">
        <v>22.5</v>
      </c>
      <c r="E2196" s="21" t="n"/>
      <c r="F2196" s="27">
        <f>IFERROR(IF(OR(C2196="",D2196="",C2196=0),"",D2196/C2196),"")</f>
        <v/>
      </c>
      <c r="G2196" s="21">
        <f>IFERROR(INDEX(Users!$A$2:$A$310,MATCH(A2196,Users!$B$2:$B$310,0)),"")</f>
        <v/>
      </c>
      <c r="H2196" s="21">
        <f>IFERROR(INDEX(Users!$D$2:$D$310,MATCH(A2196,Users!$B$2:$B$310,0)),"")</f>
        <v/>
      </c>
      <c r="I2196" s="19">
        <f>AND(G2196="Service A",H2196="Band 3")</f>
        <v/>
      </c>
      <c r="J2196" s="33">
        <f>IF(AND(YEAR(B2196)=2025,G2196="Service B",OR(H2196="Band 3",H2196="Band 5"),ISNUMBER(F2196)),F2196,"")</f>
        <v/>
      </c>
    </row>
    <row r="2197">
      <c r="A2197" s="19" t="inlineStr">
        <is>
          <t>User1236</t>
        </is>
      </c>
      <c r="B2197" s="60" t="n">
        <v>45778</v>
      </c>
      <c r="C2197" s="21" t="n">
        <v>148</v>
      </c>
      <c r="D2197" s="21" t="n">
        <v>99.39</v>
      </c>
      <c r="E2197" s="21" t="n">
        <v>15.64</v>
      </c>
      <c r="F2197" s="27">
        <f>IFERROR(IF(OR(C2197="",D2197="",C2197=0),"",D2197/C2197),"")</f>
        <v/>
      </c>
      <c r="G2197" s="21">
        <f>IFERROR(INDEX(Users!$A$2:$A$310,MATCH(A2197,Users!$B$2:$B$310,0)),"")</f>
        <v/>
      </c>
      <c r="H2197" s="21">
        <f>IFERROR(INDEX(Users!$D$2:$D$310,MATCH(A2197,Users!$B$2:$B$310,0)),"")</f>
        <v/>
      </c>
      <c r="I2197" s="19">
        <f>AND(G2197="Service A",H2197="Band 3")</f>
        <v/>
      </c>
      <c r="J2197" s="33">
        <f>IF(AND(YEAR(B2197)=2025,G2197="Service B",OR(H2197="Band 3",H2197="Band 5"),ISNUMBER(F2197)),F2197,"")</f>
        <v/>
      </c>
    </row>
    <row r="2198">
      <c r="A2198" s="19" t="inlineStr">
        <is>
          <t>User1236</t>
        </is>
      </c>
      <c r="B2198" s="60" t="n">
        <v>45809</v>
      </c>
      <c r="C2198" s="21" t="n">
        <v>155.4</v>
      </c>
      <c r="D2198" s="21" t="n">
        <v>90.81666666666666</v>
      </c>
      <c r="E2198" s="21" t="n">
        <v>23.15000000000001</v>
      </c>
      <c r="F2198" s="27">
        <f>IFERROR(IF(OR(C2198="",D2198="",C2198=0),"",D2198/C2198),"")</f>
        <v/>
      </c>
      <c r="G2198" s="21">
        <f>IFERROR(INDEX(Users!$A$2:$A$310,MATCH(A2198,Users!$B$2:$B$310,0)),"")</f>
        <v/>
      </c>
      <c r="H2198" s="21">
        <f>IFERROR(INDEX(Users!$D$2:$D$310,MATCH(A2198,Users!$B$2:$B$310,0)),"")</f>
        <v/>
      </c>
      <c r="I2198" s="19">
        <f>AND(G2198="Service A",H2198="Band 3")</f>
        <v/>
      </c>
      <c r="J2198" s="33">
        <f>IF(AND(YEAR(B2198)=2025,G2198="Service B",OR(H2198="Band 3",H2198="Band 5"),ISNUMBER(F2198)),F2198,"")</f>
        <v/>
      </c>
    </row>
    <row r="2199">
      <c r="A2199" s="19" t="inlineStr">
        <is>
          <t>User1236</t>
        </is>
      </c>
      <c r="B2199" s="60" t="n">
        <v>45839</v>
      </c>
      <c r="C2199" s="21" t="n">
        <v>170.2</v>
      </c>
      <c r="D2199" s="21" t="n">
        <v>132.7166666666667</v>
      </c>
      <c r="E2199" s="21" t="n">
        <v>55.7</v>
      </c>
      <c r="F2199" s="27">
        <f>IFERROR(IF(OR(C2199="",D2199="",C2199=0),"",D2199/C2199),"")</f>
        <v/>
      </c>
      <c r="G2199" s="21">
        <f>IFERROR(INDEX(Users!$A$2:$A$310,MATCH(A2199,Users!$B$2:$B$310,0)),"")</f>
        <v/>
      </c>
      <c r="H2199" s="21">
        <f>IFERROR(INDEX(Users!$D$2:$D$310,MATCH(A2199,Users!$B$2:$B$310,0)),"")</f>
        <v/>
      </c>
      <c r="I2199" s="19">
        <f>AND(G2199="Service A",H2199="Band 3")</f>
        <v/>
      </c>
      <c r="J2199" s="33">
        <f>IF(AND(YEAR(B2199)=2025,G2199="Service B",OR(H2199="Band 3",H2199="Band 5"),ISNUMBER(F2199)),F2199,"")</f>
        <v/>
      </c>
    </row>
    <row r="2200">
      <c r="A2200" s="19" t="inlineStr">
        <is>
          <t>User1236</t>
        </is>
      </c>
      <c r="B2200" s="60" t="n">
        <v>45870</v>
      </c>
      <c r="C2200" s="21" t="n">
        <v>148</v>
      </c>
      <c r="D2200" s="21" t="n">
        <v>106.81</v>
      </c>
      <c r="E2200" s="21" t="n">
        <v>66.31000000000003</v>
      </c>
      <c r="F2200" s="27">
        <f>IFERROR(IF(OR(C2200="",D2200="",C2200=0),"",D2200/C2200),"")</f>
        <v/>
      </c>
      <c r="G2200" s="21">
        <f>IFERROR(INDEX(Users!$A$2:$A$310,MATCH(A2200,Users!$B$2:$B$310,0)),"")</f>
        <v/>
      </c>
      <c r="H2200" s="21">
        <f>IFERROR(INDEX(Users!$D$2:$D$310,MATCH(A2200,Users!$B$2:$B$310,0)),"")</f>
        <v/>
      </c>
      <c r="I2200" s="19">
        <f>AND(G2200="Service A",H2200="Band 3")</f>
        <v/>
      </c>
      <c r="J2200" s="33">
        <f>IF(AND(YEAR(B2200)=2025,G2200="Service B",OR(H2200="Band 3",H2200="Band 5"),ISNUMBER(F2200)),F2200,"")</f>
        <v/>
      </c>
    </row>
    <row r="2201">
      <c r="A2201" s="19" t="inlineStr">
        <is>
          <t>User1236</t>
        </is>
      </c>
      <c r="B2201" s="60" t="n">
        <v>45901</v>
      </c>
      <c r="C2201" s="21" t="n">
        <v>162.8</v>
      </c>
      <c r="D2201" s="21" t="n">
        <v>117.0433333333334</v>
      </c>
      <c r="E2201" s="21" t="n">
        <v>78.46000000000005</v>
      </c>
      <c r="F2201" s="27">
        <f>IFERROR(IF(OR(C2201="",D2201="",C2201=0),"",D2201/C2201),"")</f>
        <v/>
      </c>
      <c r="G2201" s="21">
        <f>IFERROR(INDEX(Users!$A$2:$A$310,MATCH(A2201,Users!$B$2:$B$310,0)),"")</f>
        <v/>
      </c>
      <c r="H2201" s="21">
        <f>IFERROR(INDEX(Users!$D$2:$D$310,MATCH(A2201,Users!$B$2:$B$310,0)),"")</f>
        <v/>
      </c>
      <c r="I2201" s="19">
        <f>AND(G2201="Service A",H2201="Band 3")</f>
        <v/>
      </c>
      <c r="J2201" s="33">
        <f>IF(AND(YEAR(B2201)=2025,G2201="Service B",OR(H2201="Band 3",H2201="Band 5"),ISNUMBER(F2201)),F2201,"")</f>
        <v/>
      </c>
    </row>
    <row r="2202">
      <c r="A2202" s="19" t="inlineStr">
        <is>
          <t>User1236</t>
        </is>
      </c>
      <c r="B2202" s="60" t="n">
        <v>45931</v>
      </c>
      <c r="C2202" s="21" t="n">
        <v>170.2</v>
      </c>
      <c r="D2202" s="21" t="n">
        <v>168.1666666666668</v>
      </c>
      <c r="E2202" s="21" t="n">
        <v>98.5000000000001</v>
      </c>
      <c r="F2202" s="27">
        <f>IFERROR(IF(OR(C2202="",D2202="",C2202=0),"",D2202/C2202),"")</f>
        <v/>
      </c>
      <c r="G2202" s="21">
        <f>IFERROR(INDEX(Users!$A$2:$A$310,MATCH(A2202,Users!$B$2:$B$310,0)),"")</f>
        <v/>
      </c>
      <c r="H2202" s="21">
        <f>IFERROR(INDEX(Users!$D$2:$D$310,MATCH(A2202,Users!$B$2:$B$310,0)),"")</f>
        <v/>
      </c>
      <c r="I2202" s="19">
        <f>AND(G2202="Service A",H2202="Band 3")</f>
        <v/>
      </c>
      <c r="J2202" s="33">
        <f>IF(AND(YEAR(B2202)=2025,G2202="Service B",OR(H2202="Band 3",H2202="Band 5"),ISNUMBER(F2202)),F2202,"")</f>
        <v/>
      </c>
    </row>
    <row r="2203">
      <c r="A2203" s="19" t="inlineStr">
        <is>
          <t>User1236</t>
        </is>
      </c>
      <c r="B2203" s="60" t="n">
        <v>45962</v>
      </c>
      <c r="C2203" s="21" t="n">
        <v>148</v>
      </c>
      <c r="D2203" s="21" t="n">
        <v>130.6566666666667</v>
      </c>
      <c r="E2203" s="21" t="n">
        <v>67.48999999999999</v>
      </c>
      <c r="F2203" s="27">
        <f>IFERROR(IF(OR(C2203="",D2203="",C2203=0),"",D2203/C2203),"")</f>
        <v/>
      </c>
      <c r="G2203" s="21">
        <f>IFERROR(INDEX(Users!$A$2:$A$310,MATCH(A2203,Users!$B$2:$B$310,0)),"")</f>
        <v/>
      </c>
      <c r="H2203" s="21">
        <f>IFERROR(INDEX(Users!$D$2:$D$310,MATCH(A2203,Users!$B$2:$B$310,0)),"")</f>
        <v/>
      </c>
      <c r="I2203" s="19">
        <f>AND(G2203="Service A",H2203="Band 3")</f>
        <v/>
      </c>
      <c r="J2203" s="33">
        <f>IF(AND(YEAR(B2203)=2025,G2203="Service B",OR(H2203="Band 3",H2203="Band 5"),ISNUMBER(F2203)),F2203,"")</f>
        <v/>
      </c>
    </row>
    <row r="2204">
      <c r="A2204" s="19" t="inlineStr">
        <is>
          <t>User1236</t>
        </is>
      </c>
      <c r="B2204" s="60" t="n">
        <v>45992</v>
      </c>
      <c r="C2204" s="21" t="n">
        <v>155.4</v>
      </c>
      <c r="D2204" s="21" t="n">
        <v>90.22666666666667</v>
      </c>
      <c r="E2204" s="21" t="n">
        <v>15.06</v>
      </c>
      <c r="F2204" s="27">
        <f>IFERROR(IF(OR(C2204="",D2204="",C2204=0),"",D2204/C2204),"")</f>
        <v/>
      </c>
      <c r="G2204" s="21">
        <f>IFERROR(INDEX(Users!$A$2:$A$310,MATCH(A2204,Users!$B$2:$B$310,0)),"")</f>
        <v/>
      </c>
      <c r="H2204" s="21">
        <f>IFERROR(INDEX(Users!$D$2:$D$310,MATCH(A2204,Users!$B$2:$B$310,0)),"")</f>
        <v/>
      </c>
      <c r="I2204" s="19">
        <f>AND(G2204="Service A",H2204="Band 3")</f>
        <v/>
      </c>
      <c r="J2204" s="33">
        <f>IF(AND(YEAR(B2204)=2025,G2204="Service B",OR(H2204="Band 3",H2204="Band 5"),ISNUMBER(F2204)),F2204,"")</f>
        <v/>
      </c>
    </row>
    <row r="2205">
      <c r="A2205" s="19" t="inlineStr">
        <is>
          <t>User1236</t>
        </is>
      </c>
      <c r="B2205" s="60" t="n">
        <v>46023</v>
      </c>
      <c r="C2205" s="21" t="n">
        <v>155.4</v>
      </c>
      <c r="D2205" s="21" t="n">
        <v>142.5</v>
      </c>
      <c r="E2205" s="21" t="n"/>
      <c r="F2205" s="27">
        <f>IFERROR(IF(OR(C2205="",D2205="",C2205=0),"",D2205/C2205),"")</f>
        <v/>
      </c>
      <c r="G2205" s="21">
        <f>IFERROR(INDEX(Users!$A$2:$A$310,MATCH(A2205,Users!$B$2:$B$310,0)),"")</f>
        <v/>
      </c>
      <c r="H2205" s="21">
        <f>IFERROR(INDEX(Users!$D$2:$D$310,MATCH(A2205,Users!$B$2:$B$310,0)),"")</f>
        <v/>
      </c>
      <c r="I2205" s="19">
        <f>AND(G2205="Service A",H2205="Band 3")</f>
        <v/>
      </c>
      <c r="J2205" s="33">
        <f>IF(AND(YEAR(B2205)=2025,G2205="Service B",OR(H2205="Band 3",H2205="Band 5"),ISNUMBER(F2205)),F2205,"")</f>
        <v/>
      </c>
    </row>
    <row r="2206">
      <c r="A2206" s="19" t="inlineStr">
        <is>
          <t>User1237</t>
        </is>
      </c>
      <c r="B2206" s="60" t="n">
        <v>45658</v>
      </c>
      <c r="C2206" s="21" t="n">
        <v>162.8</v>
      </c>
      <c r="D2206" s="21" t="n">
        <v>152.5</v>
      </c>
      <c r="E2206" s="21" t="n">
        <v>119.75</v>
      </c>
      <c r="F2206" s="27">
        <f>IFERROR(IF(OR(C2206="",D2206="",C2206=0),"",D2206/C2206),"")</f>
        <v/>
      </c>
      <c r="G2206" s="21">
        <f>IFERROR(INDEX(Users!$A$2:$A$310,MATCH(A2206,Users!$B$2:$B$310,0)),"")</f>
        <v/>
      </c>
      <c r="H2206" s="21">
        <f>IFERROR(INDEX(Users!$D$2:$D$310,MATCH(A2206,Users!$B$2:$B$310,0)),"")</f>
        <v/>
      </c>
      <c r="I2206" s="19">
        <f>AND(G2206="Service A",H2206="Band 3")</f>
        <v/>
      </c>
      <c r="J2206" s="33">
        <f>IF(AND(YEAR(B2206)=2025,G2206="Service B",OR(H2206="Band 3",H2206="Band 5"),ISNUMBER(F2206)),F2206,"")</f>
        <v/>
      </c>
    </row>
    <row r="2207">
      <c r="A2207" s="19" t="inlineStr">
        <is>
          <t>User1237</t>
        </is>
      </c>
      <c r="B2207" s="60" t="n">
        <v>45689</v>
      </c>
      <c r="C2207" s="21" t="n">
        <v>148</v>
      </c>
      <c r="D2207" s="21" t="n">
        <v>81.5</v>
      </c>
      <c r="E2207" s="21" t="n">
        <v>64</v>
      </c>
      <c r="F2207" s="27">
        <f>IFERROR(IF(OR(C2207="",D2207="",C2207=0),"",D2207/C2207),"")</f>
        <v/>
      </c>
      <c r="G2207" s="21">
        <f>IFERROR(INDEX(Users!$A$2:$A$310,MATCH(A2207,Users!$B$2:$B$310,0)),"")</f>
        <v/>
      </c>
      <c r="H2207" s="21">
        <f>IFERROR(INDEX(Users!$D$2:$D$310,MATCH(A2207,Users!$B$2:$B$310,0)),"")</f>
        <v/>
      </c>
      <c r="I2207" s="19">
        <f>AND(G2207="Service A",H2207="Band 3")</f>
        <v/>
      </c>
      <c r="J2207" s="33">
        <f>IF(AND(YEAR(B2207)=2025,G2207="Service B",OR(H2207="Band 3",H2207="Band 5"),ISNUMBER(F2207)),F2207,"")</f>
        <v/>
      </c>
    </row>
    <row r="2208">
      <c r="A2208" s="19" t="inlineStr">
        <is>
          <t>User1237</t>
        </is>
      </c>
      <c r="B2208" s="60" t="n">
        <v>45717</v>
      </c>
      <c r="C2208" s="21" t="n">
        <v>155.4</v>
      </c>
      <c r="D2208" s="21" t="n">
        <v>155.5</v>
      </c>
      <c r="E2208" s="21" t="n">
        <v>106.5</v>
      </c>
      <c r="F2208" s="27">
        <f>IFERROR(IF(OR(C2208="",D2208="",C2208=0),"",D2208/C2208),"")</f>
        <v/>
      </c>
      <c r="G2208" s="21">
        <f>IFERROR(INDEX(Users!$A$2:$A$310,MATCH(A2208,Users!$B$2:$B$310,0)),"")</f>
        <v/>
      </c>
      <c r="H2208" s="21">
        <f>IFERROR(INDEX(Users!$D$2:$D$310,MATCH(A2208,Users!$B$2:$B$310,0)),"")</f>
        <v/>
      </c>
      <c r="I2208" s="19">
        <f>AND(G2208="Service A",H2208="Band 3")</f>
        <v/>
      </c>
      <c r="J2208" s="33">
        <f>IF(AND(YEAR(B2208)=2025,G2208="Service B",OR(H2208="Band 3",H2208="Band 5"),ISNUMBER(F2208)),F2208,"")</f>
        <v/>
      </c>
    </row>
    <row r="2209">
      <c r="A2209" s="19" t="inlineStr">
        <is>
          <t>User1237</t>
        </is>
      </c>
      <c r="B2209" s="60" t="n">
        <v>45748</v>
      </c>
      <c r="C2209" s="21" t="n">
        <v>148</v>
      </c>
      <c r="D2209" s="21" t="n">
        <v>148.14</v>
      </c>
      <c r="E2209" s="21" t="n">
        <v>107.74</v>
      </c>
      <c r="F2209" s="27">
        <f>IFERROR(IF(OR(C2209="",D2209="",C2209=0),"",D2209/C2209),"")</f>
        <v/>
      </c>
      <c r="G2209" s="21">
        <f>IFERROR(INDEX(Users!$A$2:$A$310,MATCH(A2209,Users!$B$2:$B$310,0)),"")</f>
        <v/>
      </c>
      <c r="H2209" s="21">
        <f>IFERROR(INDEX(Users!$D$2:$D$310,MATCH(A2209,Users!$B$2:$B$310,0)),"")</f>
        <v/>
      </c>
      <c r="I2209" s="19">
        <f>AND(G2209="Service A",H2209="Band 3")</f>
        <v/>
      </c>
      <c r="J2209" s="33">
        <f>IF(AND(YEAR(B2209)=2025,G2209="Service B",OR(H2209="Band 3",H2209="Band 5"),ISNUMBER(F2209)),F2209,"")</f>
        <v/>
      </c>
    </row>
    <row r="2210">
      <c r="A2210" s="19" t="inlineStr">
        <is>
          <t>User1237</t>
        </is>
      </c>
      <c r="B2210" s="60" t="n">
        <v>45778</v>
      </c>
      <c r="C2210" s="21" t="n">
        <v>148</v>
      </c>
      <c r="D2210" s="21" t="n">
        <v>81.67</v>
      </c>
      <c r="E2210" s="21" t="n">
        <v>62.17</v>
      </c>
      <c r="F2210" s="27">
        <f>IFERROR(IF(OR(C2210="",D2210="",C2210=0),"",D2210/C2210),"")</f>
        <v/>
      </c>
      <c r="G2210" s="21">
        <f>IFERROR(INDEX(Users!$A$2:$A$310,MATCH(A2210,Users!$B$2:$B$310,0)),"")</f>
        <v/>
      </c>
      <c r="H2210" s="21">
        <f>IFERROR(INDEX(Users!$D$2:$D$310,MATCH(A2210,Users!$B$2:$B$310,0)),"")</f>
        <v/>
      </c>
      <c r="I2210" s="19">
        <f>AND(G2210="Service A",H2210="Band 3")</f>
        <v/>
      </c>
      <c r="J2210" s="33">
        <f>IF(AND(YEAR(B2210)=2025,G2210="Service B",OR(H2210="Band 3",H2210="Band 5"),ISNUMBER(F2210)),F2210,"")</f>
        <v/>
      </c>
    </row>
    <row r="2211">
      <c r="A2211" s="19" t="inlineStr">
        <is>
          <t>User1237</t>
        </is>
      </c>
      <c r="B2211" s="60" t="n">
        <v>45809</v>
      </c>
      <c r="C2211" s="21" t="n">
        <v>155.4</v>
      </c>
      <c r="D2211" s="21" t="n">
        <v>119</v>
      </c>
      <c r="E2211" s="21" t="n">
        <v>79.5</v>
      </c>
      <c r="F2211" s="27">
        <f>IFERROR(IF(OR(C2211="",D2211="",C2211=0),"",D2211/C2211),"")</f>
        <v/>
      </c>
      <c r="G2211" s="21">
        <f>IFERROR(INDEX(Users!$A$2:$A$310,MATCH(A2211,Users!$B$2:$B$310,0)),"")</f>
        <v/>
      </c>
      <c r="H2211" s="21">
        <f>IFERROR(INDEX(Users!$D$2:$D$310,MATCH(A2211,Users!$B$2:$B$310,0)),"")</f>
        <v/>
      </c>
      <c r="I2211" s="19">
        <f>AND(G2211="Service A",H2211="Band 3")</f>
        <v/>
      </c>
      <c r="J2211" s="33">
        <f>IF(AND(YEAR(B2211)=2025,G2211="Service B",OR(H2211="Band 3",H2211="Band 5"),ISNUMBER(F2211)),F2211,"")</f>
        <v/>
      </c>
    </row>
    <row r="2212">
      <c r="A2212" s="19" t="inlineStr">
        <is>
          <t>User1237</t>
        </is>
      </c>
      <c r="B2212" s="60" t="n">
        <v>45839</v>
      </c>
      <c r="C2212" s="21" t="n">
        <v>170.2</v>
      </c>
      <c r="D2212" s="21" t="n">
        <v>167.5</v>
      </c>
      <c r="E2212" s="21" t="n">
        <v>117.5</v>
      </c>
      <c r="F2212" s="27">
        <f>IFERROR(IF(OR(C2212="",D2212="",C2212=0),"",D2212/C2212),"")</f>
        <v/>
      </c>
      <c r="G2212" s="21">
        <f>IFERROR(INDEX(Users!$A$2:$A$310,MATCH(A2212,Users!$B$2:$B$310,0)),"")</f>
        <v/>
      </c>
      <c r="H2212" s="21">
        <f>IFERROR(INDEX(Users!$D$2:$D$310,MATCH(A2212,Users!$B$2:$B$310,0)),"")</f>
        <v/>
      </c>
      <c r="I2212" s="19">
        <f>AND(G2212="Service A",H2212="Band 3")</f>
        <v/>
      </c>
      <c r="J2212" s="33">
        <f>IF(AND(YEAR(B2212)=2025,G2212="Service B",OR(H2212="Band 3",H2212="Band 5"),ISNUMBER(F2212)),F2212,"")</f>
        <v/>
      </c>
    </row>
    <row r="2213">
      <c r="A2213" s="19" t="inlineStr">
        <is>
          <t>User1237</t>
        </is>
      </c>
      <c r="B2213" s="60" t="n">
        <v>45870</v>
      </c>
      <c r="C2213" s="21" t="n">
        <v>148</v>
      </c>
      <c r="D2213" s="21" t="n">
        <v>111.5</v>
      </c>
      <c r="E2213" s="21" t="n">
        <v>78.5</v>
      </c>
      <c r="F2213" s="27">
        <f>IFERROR(IF(OR(C2213="",D2213="",C2213=0),"",D2213/C2213),"")</f>
        <v/>
      </c>
      <c r="G2213" s="21">
        <f>IFERROR(INDEX(Users!$A$2:$A$310,MATCH(A2213,Users!$B$2:$B$310,0)),"")</f>
        <v/>
      </c>
      <c r="H2213" s="21">
        <f>IFERROR(INDEX(Users!$D$2:$D$310,MATCH(A2213,Users!$B$2:$B$310,0)),"")</f>
        <v/>
      </c>
      <c r="I2213" s="19">
        <f>AND(G2213="Service A",H2213="Band 3")</f>
        <v/>
      </c>
      <c r="J2213" s="33">
        <f>IF(AND(YEAR(B2213)=2025,G2213="Service B",OR(H2213="Band 3",H2213="Band 5"),ISNUMBER(F2213)),F2213,"")</f>
        <v/>
      </c>
    </row>
    <row r="2214">
      <c r="A2214" s="19" t="inlineStr">
        <is>
          <t>User1237</t>
        </is>
      </c>
      <c r="B2214" s="60" t="n">
        <v>45901</v>
      </c>
      <c r="C2214" s="21" t="n">
        <v>162.8</v>
      </c>
      <c r="D2214" s="21" t="n">
        <v>158.2</v>
      </c>
      <c r="E2214" s="21" t="n">
        <v>71</v>
      </c>
      <c r="F2214" s="27">
        <f>IFERROR(IF(OR(C2214="",D2214="",C2214=0),"",D2214/C2214),"")</f>
        <v/>
      </c>
      <c r="G2214" s="21">
        <f>IFERROR(INDEX(Users!$A$2:$A$310,MATCH(A2214,Users!$B$2:$B$310,0)),"")</f>
        <v/>
      </c>
      <c r="H2214" s="21">
        <f>IFERROR(INDEX(Users!$D$2:$D$310,MATCH(A2214,Users!$B$2:$B$310,0)),"")</f>
        <v/>
      </c>
      <c r="I2214" s="19">
        <f>AND(G2214="Service A",H2214="Band 3")</f>
        <v/>
      </c>
      <c r="J2214" s="33">
        <f>IF(AND(YEAR(B2214)=2025,G2214="Service B",OR(H2214="Band 3",H2214="Band 5"),ISNUMBER(F2214)),F2214,"")</f>
        <v/>
      </c>
    </row>
    <row r="2215">
      <c r="A2215" s="19" t="inlineStr">
        <is>
          <t>User1237</t>
        </is>
      </c>
      <c r="B2215" s="60" t="n">
        <v>45931</v>
      </c>
      <c r="C2215" s="21" t="n">
        <v>170.2</v>
      </c>
      <c r="D2215" s="21" t="n">
        <v>147.9</v>
      </c>
      <c r="E2215" s="21" t="n">
        <v>94.5</v>
      </c>
      <c r="F2215" s="27">
        <f>IFERROR(IF(OR(C2215="",D2215="",C2215=0),"",D2215/C2215),"")</f>
        <v/>
      </c>
      <c r="G2215" s="21">
        <f>IFERROR(INDEX(Users!$A$2:$A$310,MATCH(A2215,Users!$B$2:$B$310,0)),"")</f>
        <v/>
      </c>
      <c r="H2215" s="21">
        <f>IFERROR(INDEX(Users!$D$2:$D$310,MATCH(A2215,Users!$B$2:$B$310,0)),"")</f>
        <v/>
      </c>
      <c r="I2215" s="19">
        <f>AND(G2215="Service A",H2215="Band 3")</f>
        <v/>
      </c>
      <c r="J2215" s="33">
        <f>IF(AND(YEAR(B2215)=2025,G2215="Service B",OR(H2215="Band 3",H2215="Band 5"),ISNUMBER(F2215)),F2215,"")</f>
        <v/>
      </c>
    </row>
    <row r="2216">
      <c r="A2216" s="19" t="inlineStr">
        <is>
          <t>User1237</t>
        </is>
      </c>
      <c r="B2216" s="60" t="n">
        <v>45962</v>
      </c>
      <c r="C2216" s="21" t="n">
        <v>148</v>
      </c>
      <c r="D2216" s="21" t="n">
        <v>148</v>
      </c>
      <c r="E2216" s="21" t="n">
        <v>103.5</v>
      </c>
      <c r="F2216" s="27">
        <f>IFERROR(IF(OR(C2216="",D2216="",C2216=0),"",D2216/C2216),"")</f>
        <v/>
      </c>
      <c r="G2216" s="21">
        <f>IFERROR(INDEX(Users!$A$2:$A$310,MATCH(A2216,Users!$B$2:$B$310,0)),"")</f>
        <v/>
      </c>
      <c r="H2216" s="21">
        <f>IFERROR(INDEX(Users!$D$2:$D$310,MATCH(A2216,Users!$B$2:$B$310,0)),"")</f>
        <v/>
      </c>
      <c r="I2216" s="19">
        <f>AND(G2216="Service A",H2216="Band 3")</f>
        <v/>
      </c>
      <c r="J2216" s="33">
        <f>IF(AND(YEAR(B2216)=2025,G2216="Service B",OR(H2216="Band 3",H2216="Band 5"),ISNUMBER(F2216)),F2216,"")</f>
        <v/>
      </c>
    </row>
    <row r="2217">
      <c r="A2217" s="19" t="inlineStr">
        <is>
          <t>User1237</t>
        </is>
      </c>
      <c r="B2217" s="60" t="n">
        <v>45992</v>
      </c>
      <c r="C2217" s="21" t="n">
        <v>155.4</v>
      </c>
      <c r="D2217" s="21" t="n">
        <v>156.5</v>
      </c>
      <c r="E2217" s="21" t="n">
        <v>108.5</v>
      </c>
      <c r="F2217" s="27">
        <f>IFERROR(IF(OR(C2217="",D2217="",C2217=0),"",D2217/C2217),"")</f>
        <v/>
      </c>
      <c r="G2217" s="21">
        <f>IFERROR(INDEX(Users!$A$2:$A$310,MATCH(A2217,Users!$B$2:$B$310,0)),"")</f>
        <v/>
      </c>
      <c r="H2217" s="21">
        <f>IFERROR(INDEX(Users!$D$2:$D$310,MATCH(A2217,Users!$B$2:$B$310,0)),"")</f>
        <v/>
      </c>
      <c r="I2217" s="19">
        <f>AND(G2217="Service A",H2217="Band 3")</f>
        <v/>
      </c>
      <c r="J2217" s="33">
        <f>IF(AND(YEAR(B2217)=2025,G2217="Service B",OR(H2217="Band 3",H2217="Band 5"),ISNUMBER(F2217)),F2217,"")</f>
        <v/>
      </c>
    </row>
    <row r="2218">
      <c r="A2218" s="19" t="inlineStr">
        <is>
          <t>User1237</t>
        </is>
      </c>
      <c r="B2218" s="60" t="n">
        <v>46023</v>
      </c>
      <c r="C2218" s="21" t="n">
        <v>155.4</v>
      </c>
      <c r="D2218" s="21" t="n">
        <v>96.5</v>
      </c>
      <c r="E2218" s="21" t="n">
        <v>58.5</v>
      </c>
      <c r="F2218" s="27">
        <f>IFERROR(IF(OR(C2218="",D2218="",C2218=0),"",D2218/C2218),"")</f>
        <v/>
      </c>
      <c r="G2218" s="21">
        <f>IFERROR(INDEX(Users!$A$2:$A$310,MATCH(A2218,Users!$B$2:$B$310,0)),"")</f>
        <v/>
      </c>
      <c r="H2218" s="21">
        <f>IFERROR(INDEX(Users!$D$2:$D$310,MATCH(A2218,Users!$B$2:$B$310,0)),"")</f>
        <v/>
      </c>
      <c r="I2218" s="19">
        <f>AND(G2218="Service A",H2218="Band 3")</f>
        <v/>
      </c>
      <c r="J2218" s="33">
        <f>IF(AND(YEAR(B2218)=2025,G2218="Service B",OR(H2218="Band 3",H2218="Band 5"),ISNUMBER(F2218)),F2218,"")</f>
        <v/>
      </c>
    </row>
    <row r="2219">
      <c r="A2219" s="19" t="inlineStr">
        <is>
          <t>User1238</t>
        </is>
      </c>
      <c r="B2219" s="60" t="n">
        <v>45717</v>
      </c>
      <c r="C2219" s="21" t="n">
        <v>118.4</v>
      </c>
      <c r="D2219" s="21" t="n">
        <v>134.9333333333333</v>
      </c>
      <c r="E2219" s="21" t="n">
        <v>2</v>
      </c>
      <c r="F2219" s="27">
        <f>IFERROR(IF(OR(C2219="",D2219="",C2219=0),"",D2219/C2219),"")</f>
        <v/>
      </c>
      <c r="G2219" s="21">
        <f>IFERROR(INDEX(Users!$A$2:$A$310,MATCH(A2219,Users!$B$2:$B$310,0)),"")</f>
        <v/>
      </c>
      <c r="H2219" s="21">
        <f>IFERROR(INDEX(Users!$D$2:$D$310,MATCH(A2219,Users!$B$2:$B$310,0)),"")</f>
        <v/>
      </c>
      <c r="I2219" s="19">
        <f>AND(G2219="Service A",H2219="Band 3")</f>
        <v/>
      </c>
      <c r="J2219" s="33">
        <f>IF(AND(YEAR(B2219)=2025,G2219="Service B",OR(H2219="Band 3",H2219="Band 5"),ISNUMBER(F2219)),F2219,"")</f>
        <v/>
      </c>
    </row>
    <row r="2220">
      <c r="A2220" s="19" t="inlineStr">
        <is>
          <t>User1238</t>
        </is>
      </c>
      <c r="B2220" s="60" t="n">
        <v>45748</v>
      </c>
      <c r="C2220" s="21" t="n">
        <v>148</v>
      </c>
      <c r="D2220" s="21" t="n">
        <v>115.3733333333334</v>
      </c>
      <c r="E2220" s="21" t="n">
        <v>7.54</v>
      </c>
      <c r="F2220" s="27">
        <f>IFERROR(IF(OR(C2220="",D2220="",C2220=0),"",D2220/C2220),"")</f>
        <v/>
      </c>
      <c r="G2220" s="21">
        <f>IFERROR(INDEX(Users!$A$2:$A$310,MATCH(A2220,Users!$B$2:$B$310,0)),"")</f>
        <v/>
      </c>
      <c r="H2220" s="21">
        <f>IFERROR(INDEX(Users!$D$2:$D$310,MATCH(A2220,Users!$B$2:$B$310,0)),"")</f>
        <v/>
      </c>
      <c r="I2220" s="19">
        <f>AND(G2220="Service A",H2220="Band 3")</f>
        <v/>
      </c>
      <c r="J2220" s="33">
        <f>IF(AND(YEAR(B2220)=2025,G2220="Service B",OR(H2220="Band 3",H2220="Band 5"),ISNUMBER(F2220)),F2220,"")</f>
        <v/>
      </c>
    </row>
    <row r="2221">
      <c r="A2221" s="19" t="inlineStr">
        <is>
          <t>User1238</t>
        </is>
      </c>
      <c r="B2221" s="60" t="n">
        <v>45778</v>
      </c>
      <c r="C2221" s="21" t="n">
        <v>148</v>
      </c>
      <c r="D2221" s="21" t="n">
        <v>115.6</v>
      </c>
      <c r="E2221" s="21" t="n">
        <v>51.1</v>
      </c>
      <c r="F2221" s="27">
        <f>IFERROR(IF(OR(C2221="",D2221="",C2221=0),"",D2221/C2221),"")</f>
        <v/>
      </c>
      <c r="G2221" s="21">
        <f>IFERROR(INDEX(Users!$A$2:$A$310,MATCH(A2221,Users!$B$2:$B$310,0)),"")</f>
        <v/>
      </c>
      <c r="H2221" s="21">
        <f>IFERROR(INDEX(Users!$D$2:$D$310,MATCH(A2221,Users!$B$2:$B$310,0)),"")</f>
        <v/>
      </c>
      <c r="I2221" s="19">
        <f>AND(G2221="Service A",H2221="Band 3")</f>
        <v/>
      </c>
      <c r="J2221" s="33">
        <f>IF(AND(YEAR(B2221)=2025,G2221="Service B",OR(H2221="Band 3",H2221="Band 5"),ISNUMBER(F2221)),F2221,"")</f>
        <v/>
      </c>
    </row>
    <row r="2222">
      <c r="A2222" s="19" t="inlineStr">
        <is>
          <t>User1238</t>
        </is>
      </c>
      <c r="B2222" s="60" t="n">
        <v>45809</v>
      </c>
      <c r="C2222" s="21" t="n">
        <v>155.4</v>
      </c>
      <c r="D2222" s="21" t="n">
        <v>96.90000000000003</v>
      </c>
      <c r="E2222" s="21" t="n">
        <v>60.15000000000003</v>
      </c>
      <c r="F2222" s="27">
        <f>IFERROR(IF(OR(C2222="",D2222="",C2222=0),"",D2222/C2222),"")</f>
        <v/>
      </c>
      <c r="G2222" s="21">
        <f>IFERROR(INDEX(Users!$A$2:$A$310,MATCH(A2222,Users!$B$2:$B$310,0)),"")</f>
        <v/>
      </c>
      <c r="H2222" s="21">
        <f>IFERROR(INDEX(Users!$D$2:$D$310,MATCH(A2222,Users!$B$2:$B$310,0)),"")</f>
        <v/>
      </c>
      <c r="I2222" s="19">
        <f>AND(G2222="Service A",H2222="Band 3")</f>
        <v/>
      </c>
      <c r="J2222" s="33">
        <f>IF(AND(YEAR(B2222)=2025,G2222="Service B",OR(H2222="Band 3",H2222="Band 5"),ISNUMBER(F2222)),F2222,"")</f>
        <v/>
      </c>
    </row>
    <row r="2223">
      <c r="A2223" s="19" t="inlineStr">
        <is>
          <t>User1238</t>
        </is>
      </c>
      <c r="B2223" s="60" t="n">
        <v>45839</v>
      </c>
      <c r="C2223" s="21" t="n">
        <v>170.2</v>
      </c>
      <c r="D2223" s="21" t="n">
        <v>143.3066666666667</v>
      </c>
      <c r="E2223" s="21" t="n">
        <v>127.69</v>
      </c>
      <c r="F2223" s="27">
        <f>IFERROR(IF(OR(C2223="",D2223="",C2223=0),"",D2223/C2223),"")</f>
        <v/>
      </c>
      <c r="G2223" s="21">
        <f>IFERROR(INDEX(Users!$A$2:$A$310,MATCH(A2223,Users!$B$2:$B$310,0)),"")</f>
        <v/>
      </c>
      <c r="H2223" s="21">
        <f>IFERROR(INDEX(Users!$D$2:$D$310,MATCH(A2223,Users!$B$2:$B$310,0)),"")</f>
        <v/>
      </c>
      <c r="I2223" s="19">
        <f>AND(G2223="Service A",H2223="Band 3")</f>
        <v/>
      </c>
      <c r="J2223" s="33">
        <f>IF(AND(YEAR(B2223)=2025,G2223="Service B",OR(H2223="Band 3",H2223="Band 5"),ISNUMBER(F2223)),F2223,"")</f>
        <v/>
      </c>
    </row>
    <row r="2224">
      <c r="A2224" s="19" t="inlineStr">
        <is>
          <t>User1238</t>
        </is>
      </c>
      <c r="B2224" s="60" t="n">
        <v>45870</v>
      </c>
      <c r="C2224" s="21" t="n">
        <v>148</v>
      </c>
      <c r="D2224" s="21" t="n">
        <v>85.42666666666668</v>
      </c>
      <c r="E2224" s="21" t="n">
        <v>74.26000000000001</v>
      </c>
      <c r="F2224" s="27">
        <f>IFERROR(IF(OR(C2224="",D2224="",C2224=0),"",D2224/C2224),"")</f>
        <v/>
      </c>
      <c r="G2224" s="21">
        <f>IFERROR(INDEX(Users!$A$2:$A$310,MATCH(A2224,Users!$B$2:$B$310,0)),"")</f>
        <v/>
      </c>
      <c r="H2224" s="21">
        <f>IFERROR(INDEX(Users!$D$2:$D$310,MATCH(A2224,Users!$B$2:$B$310,0)),"")</f>
        <v/>
      </c>
      <c r="I2224" s="19">
        <f>AND(G2224="Service A",H2224="Band 3")</f>
        <v/>
      </c>
      <c r="J2224" s="33">
        <f>IF(AND(YEAR(B2224)=2025,G2224="Service B",OR(H2224="Band 3",H2224="Band 5"),ISNUMBER(F2224)),F2224,"")</f>
        <v/>
      </c>
    </row>
    <row r="2225">
      <c r="A2225" s="19" t="inlineStr">
        <is>
          <t>User1238</t>
        </is>
      </c>
      <c r="B2225" s="60" t="n">
        <v>45901</v>
      </c>
      <c r="C2225" s="21" t="n">
        <v>148</v>
      </c>
      <c r="D2225" s="21" t="n">
        <v>107.4966666666667</v>
      </c>
      <c r="E2225" s="21" t="n">
        <v>92.22999999999999</v>
      </c>
      <c r="F2225" s="27">
        <f>IFERROR(IF(OR(C2225="",D2225="",C2225=0),"",D2225/C2225),"")</f>
        <v/>
      </c>
      <c r="G2225" s="21">
        <f>IFERROR(INDEX(Users!$A$2:$A$310,MATCH(A2225,Users!$B$2:$B$310,0)),"")</f>
        <v/>
      </c>
      <c r="H2225" s="21">
        <f>IFERROR(INDEX(Users!$D$2:$D$310,MATCH(A2225,Users!$B$2:$B$310,0)),"")</f>
        <v/>
      </c>
      <c r="I2225" s="19">
        <f>AND(G2225="Service A",H2225="Band 3")</f>
        <v/>
      </c>
      <c r="J2225" s="33">
        <f>IF(AND(YEAR(B2225)=2025,G2225="Service B",OR(H2225="Band 3",H2225="Band 5"),ISNUMBER(F2225)),F2225,"")</f>
        <v/>
      </c>
    </row>
    <row r="2226">
      <c r="A2226" s="19" t="inlineStr">
        <is>
          <t>User1239</t>
        </is>
      </c>
      <c r="B2226" s="60" t="n">
        <v>45658</v>
      </c>
      <c r="C2226" s="21" t="n">
        <v>157.25</v>
      </c>
      <c r="D2226" s="21" t="n">
        <v>155.7633333333333</v>
      </c>
      <c r="E2226" s="21" t="n">
        <v>132.4299999999999</v>
      </c>
      <c r="F2226" s="27">
        <f>IFERROR(IF(OR(C2226="",D2226="",C2226=0),"",D2226/C2226),"")</f>
        <v/>
      </c>
      <c r="G2226" s="21">
        <f>IFERROR(INDEX(Users!$A$2:$A$310,MATCH(A2226,Users!$B$2:$B$310,0)),"")</f>
        <v/>
      </c>
      <c r="H2226" s="21">
        <f>IFERROR(INDEX(Users!$D$2:$D$310,MATCH(A2226,Users!$B$2:$B$310,0)),"")</f>
        <v/>
      </c>
      <c r="I2226" s="19">
        <f>AND(G2226="Service A",H2226="Band 3")</f>
        <v/>
      </c>
      <c r="J2226" s="33">
        <f>IF(AND(YEAR(B2226)=2025,G2226="Service B",OR(H2226="Band 3",H2226="Band 5"),ISNUMBER(F2226)),F2226,"")</f>
        <v/>
      </c>
    </row>
    <row r="2227">
      <c r="A2227" s="19" t="inlineStr">
        <is>
          <t>User1239</t>
        </is>
      </c>
      <c r="B2227" s="60" t="n">
        <v>45689</v>
      </c>
      <c r="C2227" s="21" t="n">
        <v>148</v>
      </c>
      <c r="D2227" s="21" t="n">
        <v>131.99</v>
      </c>
      <c r="E2227" s="21" t="n">
        <v>109.99</v>
      </c>
      <c r="F2227" s="27">
        <f>IFERROR(IF(OR(C2227="",D2227="",C2227=0),"",D2227/C2227),"")</f>
        <v/>
      </c>
      <c r="G2227" s="21">
        <f>IFERROR(INDEX(Users!$A$2:$A$310,MATCH(A2227,Users!$B$2:$B$310,0)),"")</f>
        <v/>
      </c>
      <c r="H2227" s="21">
        <f>IFERROR(INDEX(Users!$D$2:$D$310,MATCH(A2227,Users!$B$2:$B$310,0)),"")</f>
        <v/>
      </c>
      <c r="I2227" s="19">
        <f>AND(G2227="Service A",H2227="Band 3")</f>
        <v/>
      </c>
      <c r="J2227" s="33">
        <f>IF(AND(YEAR(B2227)=2025,G2227="Service B",OR(H2227="Band 3",H2227="Band 5"),ISNUMBER(F2227)),F2227,"")</f>
        <v/>
      </c>
    </row>
    <row r="2228">
      <c r="A2228" s="19" t="inlineStr">
        <is>
          <t>User1239</t>
        </is>
      </c>
      <c r="B2228" s="60" t="n">
        <v>45717</v>
      </c>
      <c r="C2228" s="21" t="n">
        <v>157.25</v>
      </c>
      <c r="D2228" s="21" t="n">
        <v>109.3133333333333</v>
      </c>
      <c r="E2228" s="21" t="n">
        <v>78.52999999999997</v>
      </c>
      <c r="F2228" s="27">
        <f>IFERROR(IF(OR(C2228="",D2228="",C2228=0),"",D2228/C2228),"")</f>
        <v/>
      </c>
      <c r="G2228" s="21">
        <f>IFERROR(INDEX(Users!$A$2:$A$310,MATCH(A2228,Users!$B$2:$B$310,0)),"")</f>
        <v/>
      </c>
      <c r="H2228" s="21">
        <f>IFERROR(INDEX(Users!$D$2:$D$310,MATCH(A2228,Users!$B$2:$B$310,0)),"")</f>
        <v/>
      </c>
      <c r="I2228" s="19">
        <f>AND(G2228="Service A",H2228="Band 3")</f>
        <v/>
      </c>
      <c r="J2228" s="33">
        <f>IF(AND(YEAR(B2228)=2025,G2228="Service B",OR(H2228="Band 3",H2228="Band 5"),ISNUMBER(F2228)),F2228,"")</f>
        <v/>
      </c>
    </row>
    <row r="2229">
      <c r="A2229" s="19" t="inlineStr">
        <is>
          <t>User1239</t>
        </is>
      </c>
      <c r="B2229" s="60" t="n">
        <v>45748</v>
      </c>
      <c r="C2229" s="21" t="n">
        <v>157.25</v>
      </c>
      <c r="D2229" s="21" t="n">
        <v>113.6933333333333</v>
      </c>
      <c r="E2229" s="21" t="n">
        <v>93.90999999999997</v>
      </c>
      <c r="F2229" s="27">
        <f>IFERROR(IF(OR(C2229="",D2229="",C2229=0),"",D2229/C2229),"")</f>
        <v/>
      </c>
      <c r="G2229" s="21">
        <f>IFERROR(INDEX(Users!$A$2:$A$310,MATCH(A2229,Users!$B$2:$B$310,0)),"")</f>
        <v/>
      </c>
      <c r="H2229" s="21">
        <f>IFERROR(INDEX(Users!$D$2:$D$310,MATCH(A2229,Users!$B$2:$B$310,0)),"")</f>
        <v/>
      </c>
      <c r="I2229" s="19">
        <f>AND(G2229="Service A",H2229="Band 3")</f>
        <v/>
      </c>
      <c r="J2229" s="33">
        <f>IF(AND(YEAR(B2229)=2025,G2229="Service B",OR(H2229="Band 3",H2229="Band 5"),ISNUMBER(F2229)),F2229,"")</f>
        <v/>
      </c>
    </row>
    <row r="2230">
      <c r="A2230" s="19" t="inlineStr">
        <is>
          <t>User1239</t>
        </is>
      </c>
      <c r="B2230" s="60" t="n">
        <v>45778</v>
      </c>
      <c r="C2230" s="21" t="n">
        <v>138.75</v>
      </c>
      <c r="D2230" s="21" t="n">
        <v>118.2833333333333</v>
      </c>
      <c r="E2230" s="21" t="n">
        <v>94.64999999999999</v>
      </c>
      <c r="F2230" s="27">
        <f>IFERROR(IF(OR(C2230="",D2230="",C2230=0),"",D2230/C2230),"")</f>
        <v/>
      </c>
      <c r="G2230" s="21">
        <f>IFERROR(INDEX(Users!$A$2:$A$310,MATCH(A2230,Users!$B$2:$B$310,0)),"")</f>
        <v/>
      </c>
      <c r="H2230" s="21">
        <f>IFERROR(INDEX(Users!$D$2:$D$310,MATCH(A2230,Users!$B$2:$B$310,0)),"")</f>
        <v/>
      </c>
      <c r="I2230" s="19">
        <f>AND(G2230="Service A",H2230="Band 3")</f>
        <v/>
      </c>
      <c r="J2230" s="33">
        <f>IF(AND(YEAR(B2230)=2025,G2230="Service B",OR(H2230="Band 3",H2230="Band 5"),ISNUMBER(F2230)),F2230,"")</f>
        <v/>
      </c>
    </row>
    <row r="2231">
      <c r="A2231" s="19" t="inlineStr">
        <is>
          <t>User1239</t>
        </is>
      </c>
      <c r="B2231" s="60" t="n">
        <v>45809</v>
      </c>
      <c r="C2231" s="21" t="n">
        <v>157.25</v>
      </c>
      <c r="D2231" s="21" t="n">
        <v>131.79</v>
      </c>
      <c r="E2231" s="21" t="n">
        <v>107.14</v>
      </c>
      <c r="F2231" s="27">
        <f>IFERROR(IF(OR(C2231="",D2231="",C2231=0),"",D2231/C2231),"")</f>
        <v/>
      </c>
      <c r="G2231" s="21">
        <f>IFERROR(INDEX(Users!$A$2:$A$310,MATCH(A2231,Users!$B$2:$B$310,0)),"")</f>
        <v/>
      </c>
      <c r="H2231" s="21">
        <f>IFERROR(INDEX(Users!$D$2:$D$310,MATCH(A2231,Users!$B$2:$B$310,0)),"")</f>
        <v/>
      </c>
      <c r="I2231" s="19">
        <f>AND(G2231="Service A",H2231="Band 3")</f>
        <v/>
      </c>
      <c r="J2231" s="33">
        <f>IF(AND(YEAR(B2231)=2025,G2231="Service B",OR(H2231="Band 3",H2231="Band 5"),ISNUMBER(F2231)),F2231,"")</f>
        <v/>
      </c>
    </row>
    <row r="2232">
      <c r="A2232" s="19" t="inlineStr">
        <is>
          <t>User1239</t>
        </is>
      </c>
      <c r="B2232" s="60" t="n">
        <v>45839</v>
      </c>
      <c r="C2232" s="21" t="n">
        <v>175.75</v>
      </c>
      <c r="D2232" s="21" t="n">
        <v>111.4266666666666</v>
      </c>
      <c r="E2232" s="21" t="n">
        <v>98.20999999999998</v>
      </c>
      <c r="F2232" s="27">
        <f>IFERROR(IF(OR(C2232="",D2232="",C2232=0),"",D2232/C2232),"")</f>
        <v/>
      </c>
      <c r="G2232" s="21">
        <f>IFERROR(INDEX(Users!$A$2:$A$310,MATCH(A2232,Users!$B$2:$B$310,0)),"")</f>
        <v/>
      </c>
      <c r="H2232" s="21">
        <f>IFERROR(INDEX(Users!$D$2:$D$310,MATCH(A2232,Users!$B$2:$B$310,0)),"")</f>
        <v/>
      </c>
      <c r="I2232" s="19">
        <f>AND(G2232="Service A",H2232="Band 3")</f>
        <v/>
      </c>
      <c r="J2232" s="33">
        <f>IF(AND(YEAR(B2232)=2025,G2232="Service B",OR(H2232="Band 3",H2232="Band 5"),ISNUMBER(F2232)),F2232,"")</f>
        <v/>
      </c>
    </row>
    <row r="2233">
      <c r="A2233" s="19" t="inlineStr">
        <is>
          <t>User1239</t>
        </is>
      </c>
      <c r="B2233" s="60" t="n">
        <v>45870</v>
      </c>
      <c r="C2233" s="21" t="n">
        <v>138.75</v>
      </c>
      <c r="D2233" s="21" t="n">
        <v>111.7633333333333</v>
      </c>
      <c r="E2233" s="21" t="n">
        <v>96.58</v>
      </c>
      <c r="F2233" s="27">
        <f>IFERROR(IF(OR(C2233="",D2233="",C2233=0),"",D2233/C2233),"")</f>
        <v/>
      </c>
      <c r="G2233" s="21">
        <f>IFERROR(INDEX(Users!$A$2:$A$310,MATCH(A2233,Users!$B$2:$B$310,0)),"")</f>
        <v/>
      </c>
      <c r="H2233" s="21">
        <f>IFERROR(INDEX(Users!$D$2:$D$310,MATCH(A2233,Users!$B$2:$B$310,0)),"")</f>
        <v/>
      </c>
      <c r="I2233" s="19">
        <f>AND(G2233="Service A",H2233="Band 3")</f>
        <v/>
      </c>
      <c r="J2233" s="33">
        <f>IF(AND(YEAR(B2233)=2025,G2233="Service B",OR(H2233="Band 3",H2233="Band 5"),ISNUMBER(F2233)),F2233,"")</f>
        <v/>
      </c>
    </row>
    <row r="2234">
      <c r="A2234" s="19" t="inlineStr">
        <is>
          <t>User1239</t>
        </is>
      </c>
      <c r="B2234" s="60" t="n">
        <v>45901</v>
      </c>
      <c r="C2234" s="21" t="n">
        <v>166.5</v>
      </c>
      <c r="D2234" s="21" t="n">
        <v>142.4633333333333</v>
      </c>
      <c r="E2234" s="21" t="n">
        <v>124.68</v>
      </c>
      <c r="F2234" s="27">
        <f>IFERROR(IF(OR(C2234="",D2234="",C2234=0),"",D2234/C2234),"")</f>
        <v/>
      </c>
      <c r="G2234" s="21">
        <f>IFERROR(INDEX(Users!$A$2:$A$310,MATCH(A2234,Users!$B$2:$B$310,0)),"")</f>
        <v/>
      </c>
      <c r="H2234" s="21">
        <f>IFERROR(INDEX(Users!$D$2:$D$310,MATCH(A2234,Users!$B$2:$B$310,0)),"")</f>
        <v/>
      </c>
      <c r="I2234" s="19">
        <f>AND(G2234="Service A",H2234="Band 3")</f>
        <v/>
      </c>
      <c r="J2234" s="33">
        <f>IF(AND(YEAR(B2234)=2025,G2234="Service B",OR(H2234="Band 3",H2234="Band 5"),ISNUMBER(F2234)),F2234,"")</f>
        <v/>
      </c>
    </row>
    <row r="2235">
      <c r="A2235" s="19" t="inlineStr">
        <is>
          <t>User1239</t>
        </is>
      </c>
      <c r="B2235" s="60" t="n">
        <v>45931</v>
      </c>
      <c r="C2235" s="21" t="n">
        <v>166.5</v>
      </c>
      <c r="D2235" s="21" t="n">
        <v>149.8133333333333</v>
      </c>
      <c r="E2235" s="21" t="n">
        <v>131.43</v>
      </c>
      <c r="F2235" s="27">
        <f>IFERROR(IF(OR(C2235="",D2235="",C2235=0),"",D2235/C2235),"")</f>
        <v/>
      </c>
      <c r="G2235" s="21">
        <f>IFERROR(INDEX(Users!$A$2:$A$310,MATCH(A2235,Users!$B$2:$B$310,0)),"")</f>
        <v/>
      </c>
      <c r="H2235" s="21">
        <f>IFERROR(INDEX(Users!$D$2:$D$310,MATCH(A2235,Users!$B$2:$B$310,0)),"")</f>
        <v/>
      </c>
      <c r="I2235" s="19">
        <f>AND(G2235="Service A",H2235="Band 3")</f>
        <v/>
      </c>
      <c r="J2235" s="33">
        <f>IF(AND(YEAR(B2235)=2025,G2235="Service B",OR(H2235="Band 3",H2235="Band 5"),ISNUMBER(F2235)),F2235,"")</f>
        <v/>
      </c>
    </row>
    <row r="2236">
      <c r="A2236" s="19" t="inlineStr">
        <is>
          <t>User1239</t>
        </is>
      </c>
      <c r="B2236" s="60" t="n">
        <v>45962</v>
      </c>
      <c r="C2236" s="21" t="n">
        <v>148</v>
      </c>
      <c r="D2236" s="21" t="n">
        <v>131.2366666666667</v>
      </c>
      <c r="E2236" s="21" t="n">
        <v>111.82</v>
      </c>
      <c r="F2236" s="27">
        <f>IFERROR(IF(OR(C2236="",D2236="",C2236=0),"",D2236/C2236),"")</f>
        <v/>
      </c>
      <c r="G2236" s="21">
        <f>IFERROR(INDEX(Users!$A$2:$A$310,MATCH(A2236,Users!$B$2:$B$310,0)),"")</f>
        <v/>
      </c>
      <c r="H2236" s="21">
        <f>IFERROR(INDEX(Users!$D$2:$D$310,MATCH(A2236,Users!$B$2:$B$310,0)),"")</f>
        <v/>
      </c>
      <c r="I2236" s="19">
        <f>AND(G2236="Service A",H2236="Band 3")</f>
        <v/>
      </c>
      <c r="J2236" s="33">
        <f>IF(AND(YEAR(B2236)=2025,G2236="Service B",OR(H2236="Band 3",H2236="Band 5"),ISNUMBER(F2236)),F2236,"")</f>
        <v/>
      </c>
    </row>
    <row r="2237">
      <c r="A2237" s="19" t="inlineStr">
        <is>
          <t>User1239</t>
        </is>
      </c>
      <c r="B2237" s="60" t="n">
        <v>45992</v>
      </c>
      <c r="C2237" s="21" t="n">
        <v>166.5</v>
      </c>
      <c r="D2237" s="21" t="n">
        <v>102.96</v>
      </c>
      <c r="E2237" s="21" t="n">
        <v>91.81</v>
      </c>
      <c r="F2237" s="27">
        <f>IFERROR(IF(OR(C2237="",D2237="",C2237=0),"",D2237/C2237),"")</f>
        <v/>
      </c>
      <c r="G2237" s="21">
        <f>IFERROR(INDEX(Users!$A$2:$A$310,MATCH(A2237,Users!$B$2:$B$310,0)),"")</f>
        <v/>
      </c>
      <c r="H2237" s="21">
        <f>IFERROR(INDEX(Users!$D$2:$D$310,MATCH(A2237,Users!$B$2:$B$310,0)),"")</f>
        <v/>
      </c>
      <c r="I2237" s="19">
        <f>AND(G2237="Service A",H2237="Band 3")</f>
        <v/>
      </c>
      <c r="J2237" s="33">
        <f>IF(AND(YEAR(B2237)=2025,G2237="Service B",OR(H2237="Band 3",H2237="Band 5"),ISNUMBER(F2237)),F2237,"")</f>
        <v/>
      </c>
    </row>
    <row r="2238">
      <c r="A2238" s="19" t="inlineStr">
        <is>
          <t>User1239</t>
        </is>
      </c>
      <c r="B2238" s="60" t="n">
        <v>46023</v>
      </c>
      <c r="C2238" s="21" t="n">
        <v>148</v>
      </c>
      <c r="D2238" s="21" t="n">
        <v>132.8366666666667</v>
      </c>
      <c r="E2238" s="21" t="n">
        <v>114.52</v>
      </c>
      <c r="F2238" s="27">
        <f>IFERROR(IF(OR(C2238="",D2238="",C2238=0),"",D2238/C2238),"")</f>
        <v/>
      </c>
      <c r="G2238" s="21">
        <f>IFERROR(INDEX(Users!$A$2:$A$310,MATCH(A2238,Users!$B$2:$B$310,0)),"")</f>
        <v/>
      </c>
      <c r="H2238" s="21">
        <f>IFERROR(INDEX(Users!$D$2:$D$310,MATCH(A2238,Users!$B$2:$B$310,0)),"")</f>
        <v/>
      </c>
      <c r="I2238" s="19">
        <f>AND(G2238="Service A",H2238="Band 3")</f>
        <v/>
      </c>
      <c r="J2238" s="33">
        <f>IF(AND(YEAR(B2238)=2025,G2238="Service B",OR(H2238="Band 3",H2238="Band 5"),ISNUMBER(F2238)),F2238,"")</f>
        <v/>
      </c>
    </row>
    <row r="2239">
      <c r="A2239" s="19" t="inlineStr">
        <is>
          <t>User1240</t>
        </is>
      </c>
      <c r="B2239" s="60" t="n">
        <v>45658</v>
      </c>
      <c r="C2239" s="21" t="n">
        <v>162.8</v>
      </c>
      <c r="D2239" s="21" t="n">
        <v>125.8133333333333</v>
      </c>
      <c r="E2239" s="21" t="n">
        <v>36.98</v>
      </c>
      <c r="F2239" s="27">
        <f>IFERROR(IF(OR(C2239="",D2239="",C2239=0),"",D2239/C2239),"")</f>
        <v/>
      </c>
      <c r="G2239" s="21">
        <f>IFERROR(INDEX(Users!$A$2:$A$310,MATCH(A2239,Users!$B$2:$B$310,0)),"")</f>
        <v/>
      </c>
      <c r="H2239" s="21">
        <f>IFERROR(INDEX(Users!$D$2:$D$310,MATCH(A2239,Users!$B$2:$B$310,0)),"")</f>
        <v/>
      </c>
      <c r="I2239" s="19">
        <f>AND(G2239="Service A",H2239="Band 3")</f>
        <v/>
      </c>
      <c r="J2239" s="33">
        <f>IF(AND(YEAR(B2239)=2025,G2239="Service B",OR(H2239="Band 3",H2239="Band 5"),ISNUMBER(F2239)),F2239,"")</f>
        <v/>
      </c>
    </row>
    <row r="2240">
      <c r="A2240" s="19" t="inlineStr">
        <is>
          <t>User1240</t>
        </is>
      </c>
      <c r="B2240" s="60" t="n">
        <v>45689</v>
      </c>
      <c r="C2240" s="21" t="n">
        <v>148</v>
      </c>
      <c r="D2240" s="21" t="n">
        <v>119.5133333333333</v>
      </c>
      <c r="E2240" s="21" t="n">
        <v>62.18000000000001</v>
      </c>
      <c r="F2240" s="27">
        <f>IFERROR(IF(OR(C2240="",D2240="",C2240=0),"",D2240/C2240),"")</f>
        <v/>
      </c>
      <c r="G2240" s="21">
        <f>IFERROR(INDEX(Users!$A$2:$A$310,MATCH(A2240,Users!$B$2:$B$310,0)),"")</f>
        <v/>
      </c>
      <c r="H2240" s="21">
        <f>IFERROR(INDEX(Users!$D$2:$D$310,MATCH(A2240,Users!$B$2:$B$310,0)),"")</f>
        <v/>
      </c>
      <c r="I2240" s="19">
        <f>AND(G2240="Service A",H2240="Band 3")</f>
        <v/>
      </c>
      <c r="J2240" s="33">
        <f>IF(AND(YEAR(B2240)=2025,G2240="Service B",OR(H2240="Band 3",H2240="Band 5"),ISNUMBER(F2240)),F2240,"")</f>
        <v/>
      </c>
    </row>
    <row r="2241">
      <c r="A2241" s="19" t="inlineStr">
        <is>
          <t>User1240</t>
        </is>
      </c>
      <c r="B2241" s="60" t="n">
        <v>45717</v>
      </c>
      <c r="C2241" s="21" t="n">
        <v>155.4</v>
      </c>
      <c r="D2241" s="21" t="n">
        <v>129.4</v>
      </c>
      <c r="E2241" s="21" t="n">
        <v>57.65</v>
      </c>
      <c r="F2241" s="27">
        <f>IFERROR(IF(OR(C2241="",D2241="",C2241=0),"",D2241/C2241),"")</f>
        <v/>
      </c>
      <c r="G2241" s="21">
        <f>IFERROR(INDEX(Users!$A$2:$A$310,MATCH(A2241,Users!$B$2:$B$310,0)),"")</f>
        <v/>
      </c>
      <c r="H2241" s="21">
        <f>IFERROR(INDEX(Users!$D$2:$D$310,MATCH(A2241,Users!$B$2:$B$310,0)),"")</f>
        <v/>
      </c>
      <c r="I2241" s="19">
        <f>AND(G2241="Service A",H2241="Band 3")</f>
        <v/>
      </c>
      <c r="J2241" s="33">
        <f>IF(AND(YEAR(B2241)=2025,G2241="Service B",OR(H2241="Band 3",H2241="Band 5"),ISNUMBER(F2241)),F2241,"")</f>
        <v/>
      </c>
    </row>
    <row r="2242">
      <c r="A2242" s="19" t="inlineStr">
        <is>
          <t>User1240</t>
        </is>
      </c>
      <c r="B2242" s="60" t="n">
        <v>45748</v>
      </c>
      <c r="C2242" s="21" t="n">
        <v>148</v>
      </c>
      <c r="D2242" s="21" t="n">
        <v>113.8233333333333</v>
      </c>
      <c r="E2242" s="21" t="n">
        <v>56.24</v>
      </c>
      <c r="F2242" s="27">
        <f>IFERROR(IF(OR(C2242="",D2242="",C2242=0),"",D2242/C2242),"")</f>
        <v/>
      </c>
      <c r="G2242" s="21">
        <f>IFERROR(INDEX(Users!$A$2:$A$310,MATCH(A2242,Users!$B$2:$B$310,0)),"")</f>
        <v/>
      </c>
      <c r="H2242" s="21">
        <f>IFERROR(INDEX(Users!$D$2:$D$310,MATCH(A2242,Users!$B$2:$B$310,0)),"")</f>
        <v/>
      </c>
      <c r="I2242" s="19">
        <f>AND(G2242="Service A",H2242="Band 3")</f>
        <v/>
      </c>
      <c r="J2242" s="33">
        <f>IF(AND(YEAR(B2242)=2025,G2242="Service B",OR(H2242="Band 3",H2242="Band 5"),ISNUMBER(F2242)),F2242,"")</f>
        <v/>
      </c>
    </row>
    <row r="2243">
      <c r="A2243" s="19" t="inlineStr">
        <is>
          <t>User1240</t>
        </is>
      </c>
      <c r="B2243" s="60" t="n">
        <v>45778</v>
      </c>
      <c r="C2243" s="21" t="n">
        <v>148</v>
      </c>
      <c r="D2243" s="21" t="n">
        <v>123.73</v>
      </c>
      <c r="E2243" s="21" t="n">
        <v>72.22999999999999</v>
      </c>
      <c r="F2243" s="27">
        <f>IFERROR(IF(OR(C2243="",D2243="",C2243=0),"",D2243/C2243),"")</f>
        <v/>
      </c>
      <c r="G2243" s="21">
        <f>IFERROR(INDEX(Users!$A$2:$A$310,MATCH(A2243,Users!$B$2:$B$310,0)),"")</f>
        <v/>
      </c>
      <c r="H2243" s="21">
        <f>IFERROR(INDEX(Users!$D$2:$D$310,MATCH(A2243,Users!$B$2:$B$310,0)),"")</f>
        <v/>
      </c>
      <c r="I2243" s="19">
        <f>AND(G2243="Service A",H2243="Band 3")</f>
        <v/>
      </c>
      <c r="J2243" s="33">
        <f>IF(AND(YEAR(B2243)=2025,G2243="Service B",OR(H2243="Band 3",H2243="Band 5"),ISNUMBER(F2243)),F2243,"")</f>
        <v/>
      </c>
    </row>
    <row r="2244">
      <c r="A2244" s="19" t="inlineStr">
        <is>
          <t>User1240</t>
        </is>
      </c>
      <c r="B2244" s="60" t="n">
        <v>45809</v>
      </c>
      <c r="C2244" s="21" t="n">
        <v>155.4</v>
      </c>
      <c r="D2244" s="21" t="n">
        <v>125.13</v>
      </c>
      <c r="E2244" s="21" t="n">
        <v>41.38000000000001</v>
      </c>
      <c r="F2244" s="27">
        <f>IFERROR(IF(OR(C2244="",D2244="",C2244=0),"",D2244/C2244),"")</f>
        <v/>
      </c>
      <c r="G2244" s="21">
        <f>IFERROR(INDEX(Users!$A$2:$A$310,MATCH(A2244,Users!$B$2:$B$310,0)),"")</f>
        <v/>
      </c>
      <c r="H2244" s="21">
        <f>IFERROR(INDEX(Users!$D$2:$D$310,MATCH(A2244,Users!$B$2:$B$310,0)),"")</f>
        <v/>
      </c>
      <c r="I2244" s="19">
        <f>AND(G2244="Service A",H2244="Band 3")</f>
        <v/>
      </c>
      <c r="J2244" s="33">
        <f>IF(AND(YEAR(B2244)=2025,G2244="Service B",OR(H2244="Band 3",H2244="Band 5"),ISNUMBER(F2244)),F2244,"")</f>
        <v/>
      </c>
    </row>
    <row r="2245">
      <c r="A2245" s="19" t="inlineStr">
        <is>
          <t>User1240</t>
        </is>
      </c>
      <c r="B2245" s="60" t="n">
        <v>45839</v>
      </c>
      <c r="C2245" s="21" t="n">
        <v>170.2</v>
      </c>
      <c r="D2245" s="21" t="n">
        <v>122.0666666666667</v>
      </c>
      <c r="E2245" s="21" t="n">
        <v>64.65000000000001</v>
      </c>
      <c r="F2245" s="27">
        <f>IFERROR(IF(OR(C2245="",D2245="",C2245=0),"",D2245/C2245),"")</f>
        <v/>
      </c>
      <c r="G2245" s="21">
        <f>IFERROR(INDEX(Users!$A$2:$A$310,MATCH(A2245,Users!$B$2:$B$310,0)),"")</f>
        <v/>
      </c>
      <c r="H2245" s="21">
        <f>IFERROR(INDEX(Users!$D$2:$D$310,MATCH(A2245,Users!$B$2:$B$310,0)),"")</f>
        <v/>
      </c>
      <c r="I2245" s="19">
        <f>AND(G2245="Service A",H2245="Band 3")</f>
        <v/>
      </c>
      <c r="J2245" s="33">
        <f>IF(AND(YEAR(B2245)=2025,G2245="Service B",OR(H2245="Band 3",H2245="Band 5"),ISNUMBER(F2245)),F2245,"")</f>
        <v/>
      </c>
    </row>
    <row r="2246">
      <c r="A2246" s="19" t="inlineStr">
        <is>
          <t>User1240</t>
        </is>
      </c>
      <c r="B2246" s="60" t="n">
        <v>45870</v>
      </c>
      <c r="C2246" s="21" t="n">
        <v>148</v>
      </c>
      <c r="D2246" s="21" t="n">
        <v>54.08</v>
      </c>
      <c r="E2246" s="21" t="n">
        <v>26.83</v>
      </c>
      <c r="F2246" s="27">
        <f>IFERROR(IF(OR(C2246="",D2246="",C2246=0),"",D2246/C2246),"")</f>
        <v/>
      </c>
      <c r="G2246" s="21">
        <f>IFERROR(INDEX(Users!$A$2:$A$310,MATCH(A2246,Users!$B$2:$B$310,0)),"")</f>
        <v/>
      </c>
      <c r="H2246" s="21">
        <f>IFERROR(INDEX(Users!$D$2:$D$310,MATCH(A2246,Users!$B$2:$B$310,0)),"")</f>
        <v/>
      </c>
      <c r="I2246" s="19">
        <f>AND(G2246="Service A",H2246="Band 3")</f>
        <v/>
      </c>
      <c r="J2246" s="33">
        <f>IF(AND(YEAR(B2246)=2025,G2246="Service B",OR(H2246="Band 3",H2246="Band 5"),ISNUMBER(F2246)),F2246,"")</f>
        <v/>
      </c>
    </row>
    <row r="2247">
      <c r="A2247" s="19" t="inlineStr">
        <is>
          <t>User1240</t>
        </is>
      </c>
      <c r="B2247" s="60" t="n">
        <v>45901</v>
      </c>
      <c r="C2247" s="21" t="n">
        <v>162.8</v>
      </c>
      <c r="D2247" s="21" t="n">
        <v>152.84</v>
      </c>
      <c r="E2247" s="21" t="n">
        <v>90.34</v>
      </c>
      <c r="F2247" s="27">
        <f>IFERROR(IF(OR(C2247="",D2247="",C2247=0),"",D2247/C2247),"")</f>
        <v/>
      </c>
      <c r="G2247" s="21">
        <f>IFERROR(INDEX(Users!$A$2:$A$310,MATCH(A2247,Users!$B$2:$B$310,0)),"")</f>
        <v/>
      </c>
      <c r="H2247" s="21">
        <f>IFERROR(INDEX(Users!$D$2:$D$310,MATCH(A2247,Users!$B$2:$B$310,0)),"")</f>
        <v/>
      </c>
      <c r="I2247" s="19">
        <f>AND(G2247="Service A",H2247="Band 3")</f>
        <v/>
      </c>
      <c r="J2247" s="33">
        <f>IF(AND(YEAR(B2247)=2025,G2247="Service B",OR(H2247="Band 3",H2247="Band 5"),ISNUMBER(F2247)),F2247,"")</f>
        <v/>
      </c>
    </row>
    <row r="2248">
      <c r="A2248" s="19" t="inlineStr">
        <is>
          <t>User1240</t>
        </is>
      </c>
      <c r="B2248" s="60" t="n">
        <v>45931</v>
      </c>
      <c r="C2248" s="21" t="n">
        <v>170.2</v>
      </c>
      <c r="D2248" s="21" t="n">
        <v>141.16</v>
      </c>
      <c r="E2248" s="21" t="n">
        <v>54.66</v>
      </c>
      <c r="F2248" s="27">
        <f>IFERROR(IF(OR(C2248="",D2248="",C2248=0),"",D2248/C2248),"")</f>
        <v/>
      </c>
      <c r="G2248" s="21">
        <f>IFERROR(INDEX(Users!$A$2:$A$310,MATCH(A2248,Users!$B$2:$B$310,0)),"")</f>
        <v/>
      </c>
      <c r="H2248" s="21">
        <f>IFERROR(INDEX(Users!$D$2:$D$310,MATCH(A2248,Users!$B$2:$B$310,0)),"")</f>
        <v/>
      </c>
      <c r="I2248" s="19">
        <f>AND(G2248="Service A",H2248="Band 3")</f>
        <v/>
      </c>
      <c r="J2248" s="33">
        <f>IF(AND(YEAR(B2248)=2025,G2248="Service B",OR(H2248="Band 3",H2248="Band 5"),ISNUMBER(F2248)),F2248,"")</f>
        <v/>
      </c>
    </row>
    <row r="2249">
      <c r="A2249" s="19" t="inlineStr">
        <is>
          <t>User1240</t>
        </is>
      </c>
      <c r="B2249" s="60" t="n">
        <v>45962</v>
      </c>
      <c r="C2249" s="21" t="n">
        <v>148</v>
      </c>
      <c r="D2249" s="21" t="n">
        <v>135.39</v>
      </c>
      <c r="E2249" s="21" t="n">
        <v>64.99000000000001</v>
      </c>
      <c r="F2249" s="27">
        <f>IFERROR(IF(OR(C2249="",D2249="",C2249=0),"",D2249/C2249),"")</f>
        <v/>
      </c>
      <c r="G2249" s="21">
        <f>IFERROR(INDEX(Users!$A$2:$A$310,MATCH(A2249,Users!$B$2:$B$310,0)),"")</f>
        <v/>
      </c>
      <c r="H2249" s="21">
        <f>IFERROR(INDEX(Users!$D$2:$D$310,MATCH(A2249,Users!$B$2:$B$310,0)),"")</f>
        <v/>
      </c>
      <c r="I2249" s="19">
        <f>AND(G2249="Service A",H2249="Band 3")</f>
        <v/>
      </c>
      <c r="J2249" s="33">
        <f>IF(AND(YEAR(B2249)=2025,G2249="Service B",OR(H2249="Band 3",H2249="Band 5"),ISNUMBER(F2249)),F2249,"")</f>
        <v/>
      </c>
    </row>
    <row r="2250">
      <c r="A2250" s="19" t="inlineStr">
        <is>
          <t>User1240</t>
        </is>
      </c>
      <c r="B2250" s="60" t="n">
        <v>45992</v>
      </c>
      <c r="C2250" s="21" t="n">
        <v>155.4</v>
      </c>
      <c r="D2250" s="21" t="n">
        <v>106</v>
      </c>
      <c r="E2250" s="21" t="n">
        <v>60.5</v>
      </c>
      <c r="F2250" s="27">
        <f>IFERROR(IF(OR(C2250="",D2250="",C2250=0),"",D2250/C2250),"")</f>
        <v/>
      </c>
      <c r="G2250" s="21">
        <f>IFERROR(INDEX(Users!$A$2:$A$310,MATCH(A2250,Users!$B$2:$B$310,0)),"")</f>
        <v/>
      </c>
      <c r="H2250" s="21">
        <f>IFERROR(INDEX(Users!$D$2:$D$310,MATCH(A2250,Users!$B$2:$B$310,0)),"")</f>
        <v/>
      </c>
      <c r="I2250" s="19">
        <f>AND(G2250="Service A",H2250="Band 3")</f>
        <v/>
      </c>
      <c r="J2250" s="33">
        <f>IF(AND(YEAR(B2250)=2025,G2250="Service B",OR(H2250="Band 3",H2250="Band 5"),ISNUMBER(F2250)),F2250,"")</f>
        <v/>
      </c>
    </row>
    <row r="2251">
      <c r="A2251" s="19" t="inlineStr">
        <is>
          <t>User1240</t>
        </is>
      </c>
      <c r="B2251" s="60" t="n">
        <v>46023</v>
      </c>
      <c r="C2251" s="21" t="n">
        <v>155.4</v>
      </c>
      <c r="D2251" s="21" t="n">
        <v>134.22</v>
      </c>
      <c r="E2251" s="21" t="n">
        <v>81.47</v>
      </c>
      <c r="F2251" s="27">
        <f>IFERROR(IF(OR(C2251="",D2251="",C2251=0),"",D2251/C2251),"")</f>
        <v/>
      </c>
      <c r="G2251" s="21">
        <f>IFERROR(INDEX(Users!$A$2:$A$310,MATCH(A2251,Users!$B$2:$B$310,0)),"")</f>
        <v/>
      </c>
      <c r="H2251" s="21">
        <f>IFERROR(INDEX(Users!$D$2:$D$310,MATCH(A2251,Users!$B$2:$B$310,0)),"")</f>
        <v/>
      </c>
      <c r="I2251" s="19">
        <f>AND(G2251="Service A",H2251="Band 3")</f>
        <v/>
      </c>
      <c r="J2251" s="33">
        <f>IF(AND(YEAR(B2251)=2025,G2251="Service B",OR(H2251="Band 3",H2251="Band 5"),ISNUMBER(F2251)),F2251,"")</f>
        <v/>
      </c>
    </row>
    <row r="2252">
      <c r="A2252" s="19" t="inlineStr">
        <is>
          <t>User1241</t>
        </is>
      </c>
      <c r="B2252" s="60" t="n">
        <v>45658</v>
      </c>
      <c r="C2252" s="21" t="n">
        <v>162.8</v>
      </c>
      <c r="D2252" s="21" t="n"/>
      <c r="E2252" s="21" t="n"/>
      <c r="F2252" s="27">
        <f>IFERROR(IF(OR(C2252="",D2252="",C2252=0),"",D2252/C2252),"")</f>
        <v/>
      </c>
      <c r="G2252" s="21">
        <f>IFERROR(INDEX(Users!$A$2:$A$310,MATCH(A2252,Users!$B$2:$B$310,0)),"")</f>
        <v/>
      </c>
      <c r="H2252" s="21">
        <f>IFERROR(INDEX(Users!$D$2:$D$310,MATCH(A2252,Users!$B$2:$B$310,0)),"")</f>
        <v/>
      </c>
      <c r="I2252" s="19">
        <f>AND(G2252="Service A",H2252="Band 3")</f>
        <v/>
      </c>
      <c r="J2252" s="33">
        <f>IF(AND(YEAR(B2252)=2025,G2252="Service B",OR(H2252="Band 3",H2252="Band 5"),ISNUMBER(F2252)),F2252,"")</f>
        <v/>
      </c>
    </row>
    <row r="2253">
      <c r="A2253" s="19" t="inlineStr">
        <is>
          <t>User1241</t>
        </is>
      </c>
      <c r="B2253" s="60" t="n">
        <v>45689</v>
      </c>
      <c r="C2253" s="21" t="n">
        <v>148</v>
      </c>
      <c r="D2253" s="21" t="n">
        <v>75.73999999999999</v>
      </c>
      <c r="E2253" s="21" t="n">
        <v>27.48999999999999</v>
      </c>
      <c r="F2253" s="27">
        <f>IFERROR(IF(OR(C2253="",D2253="",C2253=0),"",D2253/C2253),"")</f>
        <v/>
      </c>
      <c r="G2253" s="21">
        <f>IFERROR(INDEX(Users!$A$2:$A$310,MATCH(A2253,Users!$B$2:$B$310,0)),"")</f>
        <v/>
      </c>
      <c r="H2253" s="21">
        <f>IFERROR(INDEX(Users!$D$2:$D$310,MATCH(A2253,Users!$B$2:$B$310,0)),"")</f>
        <v/>
      </c>
      <c r="I2253" s="19">
        <f>AND(G2253="Service A",H2253="Band 3")</f>
        <v/>
      </c>
      <c r="J2253" s="33">
        <f>IF(AND(YEAR(B2253)=2025,G2253="Service B",OR(H2253="Band 3",H2253="Band 5"),ISNUMBER(F2253)),F2253,"")</f>
        <v/>
      </c>
    </row>
    <row r="2254">
      <c r="A2254" s="19" t="inlineStr">
        <is>
          <t>User1241</t>
        </is>
      </c>
      <c r="B2254" s="60" t="n">
        <v>45717</v>
      </c>
      <c r="C2254" s="21" t="n">
        <v>155.4</v>
      </c>
      <c r="D2254" s="21" t="n">
        <v>30.40000000000001</v>
      </c>
      <c r="E2254" s="21" t="n">
        <v>8.65</v>
      </c>
      <c r="F2254" s="27">
        <f>IFERROR(IF(OR(C2254="",D2254="",C2254=0),"",D2254/C2254),"")</f>
        <v/>
      </c>
      <c r="G2254" s="21">
        <f>IFERROR(INDEX(Users!$A$2:$A$310,MATCH(A2254,Users!$B$2:$B$310,0)),"")</f>
        <v/>
      </c>
      <c r="H2254" s="21">
        <f>IFERROR(INDEX(Users!$D$2:$D$310,MATCH(A2254,Users!$B$2:$B$310,0)),"")</f>
        <v/>
      </c>
      <c r="I2254" s="19">
        <f>AND(G2254="Service A",H2254="Band 3")</f>
        <v/>
      </c>
      <c r="J2254" s="33">
        <f>IF(AND(YEAR(B2254)=2025,G2254="Service B",OR(H2254="Band 3",H2254="Band 5"),ISNUMBER(F2254)),F2254,"")</f>
        <v/>
      </c>
    </row>
    <row r="2255">
      <c r="A2255" s="19" t="inlineStr">
        <is>
          <t>User1241</t>
        </is>
      </c>
      <c r="B2255" s="60" t="n">
        <v>45748</v>
      </c>
      <c r="C2255" s="21" t="n">
        <v>148</v>
      </c>
      <c r="D2255" s="21" t="n">
        <v>9.833333333333334</v>
      </c>
      <c r="E2255" s="21" t="n"/>
      <c r="F2255" s="27">
        <f>IFERROR(IF(OR(C2255="",D2255="",C2255=0),"",D2255/C2255),"")</f>
        <v/>
      </c>
      <c r="G2255" s="21">
        <f>IFERROR(INDEX(Users!$A$2:$A$310,MATCH(A2255,Users!$B$2:$B$310,0)),"")</f>
        <v/>
      </c>
      <c r="H2255" s="21">
        <f>IFERROR(INDEX(Users!$D$2:$D$310,MATCH(A2255,Users!$B$2:$B$310,0)),"")</f>
        <v/>
      </c>
      <c r="I2255" s="19">
        <f>AND(G2255="Service A",H2255="Band 3")</f>
        <v/>
      </c>
      <c r="J2255" s="33">
        <f>IF(AND(YEAR(B2255)=2025,G2255="Service B",OR(H2255="Band 3",H2255="Band 5"),ISNUMBER(F2255)),F2255,"")</f>
        <v/>
      </c>
    </row>
    <row r="2256">
      <c r="A2256" s="19" t="inlineStr">
        <is>
          <t>User1241</t>
        </is>
      </c>
      <c r="B2256" s="60" t="n">
        <v>45778</v>
      </c>
      <c r="C2256" s="21" t="n">
        <v>148</v>
      </c>
      <c r="D2256" s="21" t="n">
        <v>60.26333333333334</v>
      </c>
      <c r="E2256" s="21" t="n">
        <v>34.68000000000001</v>
      </c>
      <c r="F2256" s="27">
        <f>IFERROR(IF(OR(C2256="",D2256="",C2256=0),"",D2256/C2256),"")</f>
        <v/>
      </c>
      <c r="G2256" s="21">
        <f>IFERROR(INDEX(Users!$A$2:$A$310,MATCH(A2256,Users!$B$2:$B$310,0)),"")</f>
        <v/>
      </c>
      <c r="H2256" s="21">
        <f>IFERROR(INDEX(Users!$D$2:$D$310,MATCH(A2256,Users!$B$2:$B$310,0)),"")</f>
        <v/>
      </c>
      <c r="I2256" s="19">
        <f>AND(G2256="Service A",H2256="Band 3")</f>
        <v/>
      </c>
      <c r="J2256" s="33">
        <f>IF(AND(YEAR(B2256)=2025,G2256="Service B",OR(H2256="Band 3",H2256="Band 5"),ISNUMBER(F2256)),F2256,"")</f>
        <v/>
      </c>
    </row>
    <row r="2257">
      <c r="A2257" s="19" t="inlineStr">
        <is>
          <t>User1241</t>
        </is>
      </c>
      <c r="B2257" s="60" t="n">
        <v>45809</v>
      </c>
      <c r="C2257" s="21" t="n">
        <v>155.4</v>
      </c>
      <c r="D2257" s="21" t="n">
        <v>4</v>
      </c>
      <c r="E2257" s="21" t="n"/>
      <c r="F2257" s="27">
        <f>IFERROR(IF(OR(C2257="",D2257="",C2257=0),"",D2257/C2257),"")</f>
        <v/>
      </c>
      <c r="G2257" s="21">
        <f>IFERROR(INDEX(Users!$A$2:$A$310,MATCH(A2257,Users!$B$2:$B$310,0)),"")</f>
        <v/>
      </c>
      <c r="H2257" s="21">
        <f>IFERROR(INDEX(Users!$D$2:$D$310,MATCH(A2257,Users!$B$2:$B$310,0)),"")</f>
        <v/>
      </c>
      <c r="I2257" s="19">
        <f>AND(G2257="Service A",H2257="Band 3")</f>
        <v/>
      </c>
      <c r="J2257" s="33">
        <f>IF(AND(YEAR(B2257)=2025,G2257="Service B",OR(H2257="Band 3",H2257="Band 5"),ISNUMBER(F2257)),F2257,"")</f>
        <v/>
      </c>
    </row>
    <row r="2258">
      <c r="A2258" s="19" t="inlineStr">
        <is>
          <t>User1241</t>
        </is>
      </c>
      <c r="B2258" s="60" t="n">
        <v>45839</v>
      </c>
      <c r="C2258" s="21" t="n">
        <v>170.2</v>
      </c>
      <c r="D2258" s="21" t="n">
        <v>118.2333333333333</v>
      </c>
      <c r="E2258" s="21" t="n">
        <v>48.4</v>
      </c>
      <c r="F2258" s="27">
        <f>IFERROR(IF(OR(C2258="",D2258="",C2258=0),"",D2258/C2258),"")</f>
        <v/>
      </c>
      <c r="G2258" s="21">
        <f>IFERROR(INDEX(Users!$A$2:$A$310,MATCH(A2258,Users!$B$2:$B$310,0)),"")</f>
        <v/>
      </c>
      <c r="H2258" s="21">
        <f>IFERROR(INDEX(Users!$D$2:$D$310,MATCH(A2258,Users!$B$2:$B$310,0)),"")</f>
        <v/>
      </c>
      <c r="I2258" s="19">
        <f>AND(G2258="Service A",H2258="Band 3")</f>
        <v/>
      </c>
      <c r="J2258" s="33">
        <f>IF(AND(YEAR(B2258)=2025,G2258="Service B",OR(H2258="Band 3",H2258="Band 5"),ISNUMBER(F2258)),F2258,"")</f>
        <v/>
      </c>
    </row>
    <row r="2259">
      <c r="A2259" s="19" t="inlineStr">
        <is>
          <t>User1241</t>
        </is>
      </c>
      <c r="B2259" s="60" t="n">
        <v>45870</v>
      </c>
      <c r="C2259" s="21" t="n">
        <v>148</v>
      </c>
      <c r="D2259" s="21" t="n">
        <v>119.0166666666667</v>
      </c>
      <c r="E2259" s="21" t="n">
        <v>62.75000000000001</v>
      </c>
      <c r="F2259" s="27">
        <f>IFERROR(IF(OR(C2259="",D2259="",C2259=0),"",D2259/C2259),"")</f>
        <v/>
      </c>
      <c r="G2259" s="21">
        <f>IFERROR(INDEX(Users!$A$2:$A$310,MATCH(A2259,Users!$B$2:$B$310,0)),"")</f>
        <v/>
      </c>
      <c r="H2259" s="21">
        <f>IFERROR(INDEX(Users!$D$2:$D$310,MATCH(A2259,Users!$B$2:$B$310,0)),"")</f>
        <v/>
      </c>
      <c r="I2259" s="19">
        <f>AND(G2259="Service A",H2259="Band 3")</f>
        <v/>
      </c>
      <c r="J2259" s="33">
        <f>IF(AND(YEAR(B2259)=2025,G2259="Service B",OR(H2259="Band 3",H2259="Band 5"),ISNUMBER(F2259)),F2259,"")</f>
        <v/>
      </c>
    </row>
    <row r="2260">
      <c r="A2260" s="19" t="inlineStr">
        <is>
          <t>User1241</t>
        </is>
      </c>
      <c r="B2260" s="60" t="n">
        <v>45901</v>
      </c>
      <c r="C2260" s="21" t="n">
        <v>162.8</v>
      </c>
      <c r="D2260" s="21" t="n">
        <v>133.19</v>
      </c>
      <c r="E2260" s="21" t="n">
        <v>61.04000000000001</v>
      </c>
      <c r="F2260" s="27">
        <f>IFERROR(IF(OR(C2260="",D2260="",C2260=0),"",D2260/C2260),"")</f>
        <v/>
      </c>
      <c r="G2260" s="21">
        <f>IFERROR(INDEX(Users!$A$2:$A$310,MATCH(A2260,Users!$B$2:$B$310,0)),"")</f>
        <v/>
      </c>
      <c r="H2260" s="21">
        <f>IFERROR(INDEX(Users!$D$2:$D$310,MATCH(A2260,Users!$B$2:$B$310,0)),"")</f>
        <v/>
      </c>
      <c r="I2260" s="19">
        <f>AND(G2260="Service A",H2260="Band 3")</f>
        <v/>
      </c>
      <c r="J2260" s="33">
        <f>IF(AND(YEAR(B2260)=2025,G2260="Service B",OR(H2260="Band 3",H2260="Band 5"),ISNUMBER(F2260)),F2260,"")</f>
        <v/>
      </c>
    </row>
    <row r="2261">
      <c r="A2261" s="19" t="inlineStr">
        <is>
          <t>User1241</t>
        </is>
      </c>
      <c r="B2261" s="60" t="n">
        <v>45931</v>
      </c>
      <c r="C2261" s="21" t="n">
        <v>170.2</v>
      </c>
      <c r="D2261" s="21" t="n">
        <v>84.17</v>
      </c>
      <c r="E2261" s="21" t="n">
        <v>47.67</v>
      </c>
      <c r="F2261" s="27">
        <f>IFERROR(IF(OR(C2261="",D2261="",C2261=0),"",D2261/C2261),"")</f>
        <v/>
      </c>
      <c r="G2261" s="21">
        <f>IFERROR(INDEX(Users!$A$2:$A$310,MATCH(A2261,Users!$B$2:$B$310,0)),"")</f>
        <v/>
      </c>
      <c r="H2261" s="21">
        <f>IFERROR(INDEX(Users!$D$2:$D$310,MATCH(A2261,Users!$B$2:$B$310,0)),"")</f>
        <v/>
      </c>
      <c r="I2261" s="19">
        <f>AND(G2261="Service A",H2261="Band 3")</f>
        <v/>
      </c>
      <c r="J2261" s="33">
        <f>IF(AND(YEAR(B2261)=2025,G2261="Service B",OR(H2261="Band 3",H2261="Band 5"),ISNUMBER(F2261)),F2261,"")</f>
        <v/>
      </c>
    </row>
    <row r="2262">
      <c r="A2262" s="19" t="inlineStr">
        <is>
          <t>User1241</t>
        </is>
      </c>
      <c r="B2262" s="60" t="n">
        <v>45962</v>
      </c>
      <c r="C2262" s="21" t="n">
        <v>148</v>
      </c>
      <c r="D2262" s="21" t="n">
        <v>138.4966666666667</v>
      </c>
      <c r="E2262" s="21" t="n">
        <v>92.08</v>
      </c>
      <c r="F2262" s="27">
        <f>IFERROR(IF(OR(C2262="",D2262="",C2262=0),"",D2262/C2262),"")</f>
        <v/>
      </c>
      <c r="G2262" s="21">
        <f>IFERROR(INDEX(Users!$A$2:$A$310,MATCH(A2262,Users!$B$2:$B$310,0)),"")</f>
        <v/>
      </c>
      <c r="H2262" s="21">
        <f>IFERROR(INDEX(Users!$D$2:$D$310,MATCH(A2262,Users!$B$2:$B$310,0)),"")</f>
        <v/>
      </c>
      <c r="I2262" s="19">
        <f>AND(G2262="Service A",H2262="Band 3")</f>
        <v/>
      </c>
      <c r="J2262" s="33">
        <f>IF(AND(YEAR(B2262)=2025,G2262="Service B",OR(H2262="Band 3",H2262="Band 5"),ISNUMBER(F2262)),F2262,"")</f>
        <v/>
      </c>
    </row>
    <row r="2263">
      <c r="A2263" s="19" t="inlineStr">
        <is>
          <t>User1241</t>
        </is>
      </c>
      <c r="B2263" s="60" t="n">
        <v>45992</v>
      </c>
      <c r="C2263" s="21" t="n">
        <v>7.4</v>
      </c>
      <c r="D2263" s="21" t="n">
        <v>9.416666666666666</v>
      </c>
      <c r="E2263" s="21" t="n">
        <v>8.25</v>
      </c>
      <c r="F2263" s="27">
        <f>IFERROR(IF(OR(C2263="",D2263="",C2263=0),"",D2263/C2263),"")</f>
        <v/>
      </c>
      <c r="G2263" s="21">
        <f>IFERROR(INDEX(Users!$A$2:$A$310,MATCH(A2263,Users!$B$2:$B$310,0)),"")</f>
        <v/>
      </c>
      <c r="H2263" s="21">
        <f>IFERROR(INDEX(Users!$D$2:$D$310,MATCH(A2263,Users!$B$2:$B$310,0)),"")</f>
        <v/>
      </c>
      <c r="I2263" s="19">
        <f>AND(G2263="Service A",H2263="Band 3")</f>
        <v/>
      </c>
      <c r="J2263" s="33">
        <f>IF(AND(YEAR(B2263)=2025,G2263="Service B",OR(H2263="Band 3",H2263="Band 5"),ISNUMBER(F2263)),F2263,"")</f>
        <v/>
      </c>
    </row>
    <row r="2264">
      <c r="A2264" s="19" t="inlineStr">
        <is>
          <t>User1242</t>
        </is>
      </c>
      <c r="B2264" s="60" t="n">
        <v>45689</v>
      </c>
      <c r="C2264" s="21" t="n">
        <v>37</v>
      </c>
      <c r="D2264" s="21" t="n">
        <v>44.4</v>
      </c>
      <c r="E2264" s="21" t="n"/>
      <c r="F2264" s="27">
        <f>IFERROR(IF(OR(C2264="",D2264="",C2264=0),"",D2264/C2264),"")</f>
        <v/>
      </c>
      <c r="G2264" s="21">
        <f>IFERROR(INDEX(Users!$A$2:$A$310,MATCH(A2264,Users!$B$2:$B$310,0)),"")</f>
        <v/>
      </c>
      <c r="H2264" s="21">
        <f>IFERROR(INDEX(Users!$D$2:$D$310,MATCH(A2264,Users!$B$2:$B$310,0)),"")</f>
        <v/>
      </c>
      <c r="I2264" s="19">
        <f>AND(G2264="Service A",H2264="Band 3")</f>
        <v/>
      </c>
      <c r="J2264" s="33">
        <f>IF(AND(YEAR(B2264)=2025,G2264="Service B",OR(H2264="Band 3",H2264="Band 5"),ISNUMBER(F2264)),F2264,"")</f>
        <v/>
      </c>
    </row>
    <row r="2265">
      <c r="A2265" s="19" t="inlineStr">
        <is>
          <t>User1242</t>
        </is>
      </c>
      <c r="B2265" s="60" t="n">
        <v>45717</v>
      </c>
      <c r="C2265" s="21" t="n">
        <v>155.4</v>
      </c>
      <c r="D2265" s="21" t="n">
        <v>156.5000000000001</v>
      </c>
      <c r="E2265" s="21" t="n"/>
      <c r="F2265" s="27">
        <f>IFERROR(IF(OR(C2265="",D2265="",C2265=0),"",D2265/C2265),"")</f>
        <v/>
      </c>
      <c r="G2265" s="21">
        <f>IFERROR(INDEX(Users!$A$2:$A$310,MATCH(A2265,Users!$B$2:$B$310,0)),"")</f>
        <v/>
      </c>
      <c r="H2265" s="21">
        <f>IFERROR(INDEX(Users!$D$2:$D$310,MATCH(A2265,Users!$B$2:$B$310,0)),"")</f>
        <v/>
      </c>
      <c r="I2265" s="19">
        <f>AND(G2265="Service A",H2265="Band 3")</f>
        <v/>
      </c>
      <c r="J2265" s="33">
        <f>IF(AND(YEAR(B2265)=2025,G2265="Service B",OR(H2265="Band 3",H2265="Band 5"),ISNUMBER(F2265)),F2265,"")</f>
        <v/>
      </c>
    </row>
    <row r="2266">
      <c r="A2266" s="19" t="inlineStr">
        <is>
          <t>User1242</t>
        </is>
      </c>
      <c r="B2266" s="60" t="n">
        <v>45748</v>
      </c>
      <c r="C2266" s="21" t="n">
        <v>148</v>
      </c>
      <c r="D2266" s="21" t="n">
        <v>96.20000000000002</v>
      </c>
      <c r="E2266" s="21" t="n"/>
      <c r="F2266" s="27">
        <f>IFERROR(IF(OR(C2266="",D2266="",C2266=0),"",D2266/C2266),"")</f>
        <v/>
      </c>
      <c r="G2266" s="21">
        <f>IFERROR(INDEX(Users!$A$2:$A$310,MATCH(A2266,Users!$B$2:$B$310,0)),"")</f>
        <v/>
      </c>
      <c r="H2266" s="21">
        <f>IFERROR(INDEX(Users!$D$2:$D$310,MATCH(A2266,Users!$B$2:$B$310,0)),"")</f>
        <v/>
      </c>
      <c r="I2266" s="19">
        <f>AND(G2266="Service A",H2266="Band 3")</f>
        <v/>
      </c>
      <c r="J2266" s="33">
        <f>IF(AND(YEAR(B2266)=2025,G2266="Service B",OR(H2266="Band 3",H2266="Band 5"),ISNUMBER(F2266)),F2266,"")</f>
        <v/>
      </c>
    </row>
    <row r="2267">
      <c r="A2267" s="19" t="inlineStr">
        <is>
          <t>User1242</t>
        </is>
      </c>
      <c r="B2267" s="60" t="n">
        <v>45778</v>
      </c>
      <c r="C2267" s="21" t="n">
        <v>148</v>
      </c>
      <c r="D2267" s="21" t="n">
        <v>155.4</v>
      </c>
      <c r="E2267" s="21" t="n">
        <v>37</v>
      </c>
      <c r="F2267" s="27">
        <f>IFERROR(IF(OR(C2267="",D2267="",C2267=0),"",D2267/C2267),"")</f>
        <v/>
      </c>
      <c r="G2267" s="21">
        <f>IFERROR(INDEX(Users!$A$2:$A$310,MATCH(A2267,Users!$B$2:$B$310,0)),"")</f>
        <v/>
      </c>
      <c r="H2267" s="21">
        <f>IFERROR(INDEX(Users!$D$2:$D$310,MATCH(A2267,Users!$B$2:$B$310,0)),"")</f>
        <v/>
      </c>
      <c r="I2267" s="19">
        <f>AND(G2267="Service A",H2267="Band 3")</f>
        <v/>
      </c>
      <c r="J2267" s="33">
        <f>IF(AND(YEAR(B2267)=2025,G2267="Service B",OR(H2267="Band 3",H2267="Band 5"),ISNUMBER(F2267)),F2267,"")</f>
        <v/>
      </c>
    </row>
    <row r="2268">
      <c r="A2268" s="19" t="inlineStr">
        <is>
          <t>User1242</t>
        </is>
      </c>
      <c r="B2268" s="60" t="n">
        <v>45809</v>
      </c>
      <c r="C2268" s="21" t="n">
        <v>155.4</v>
      </c>
      <c r="D2268" s="21" t="n">
        <v>149.5</v>
      </c>
      <c r="E2268" s="21" t="n">
        <v>115.2</v>
      </c>
      <c r="F2268" s="27">
        <f>IFERROR(IF(OR(C2268="",D2268="",C2268=0),"",D2268/C2268),"")</f>
        <v/>
      </c>
      <c r="G2268" s="21">
        <f>IFERROR(INDEX(Users!$A$2:$A$310,MATCH(A2268,Users!$B$2:$B$310,0)),"")</f>
        <v/>
      </c>
      <c r="H2268" s="21">
        <f>IFERROR(INDEX(Users!$D$2:$D$310,MATCH(A2268,Users!$B$2:$B$310,0)),"")</f>
        <v/>
      </c>
      <c r="I2268" s="19">
        <f>AND(G2268="Service A",H2268="Band 3")</f>
        <v/>
      </c>
      <c r="J2268" s="33">
        <f>IF(AND(YEAR(B2268)=2025,G2268="Service B",OR(H2268="Band 3",H2268="Band 5"),ISNUMBER(F2268)),F2268,"")</f>
        <v/>
      </c>
    </row>
    <row r="2269">
      <c r="A2269" s="19" t="inlineStr">
        <is>
          <t>User1242</t>
        </is>
      </c>
      <c r="B2269" s="60" t="n">
        <v>45839</v>
      </c>
      <c r="C2269" s="21" t="n">
        <v>170.2</v>
      </c>
      <c r="D2269" s="21" t="n">
        <v>157.68</v>
      </c>
      <c r="E2269" s="21" t="n">
        <v>114.88</v>
      </c>
      <c r="F2269" s="27">
        <f>IFERROR(IF(OR(C2269="",D2269="",C2269=0),"",D2269/C2269),"")</f>
        <v/>
      </c>
      <c r="G2269" s="21">
        <f>IFERROR(INDEX(Users!$A$2:$A$310,MATCH(A2269,Users!$B$2:$B$310,0)),"")</f>
        <v/>
      </c>
      <c r="H2269" s="21">
        <f>IFERROR(INDEX(Users!$D$2:$D$310,MATCH(A2269,Users!$B$2:$B$310,0)),"")</f>
        <v/>
      </c>
      <c r="I2269" s="19">
        <f>AND(G2269="Service A",H2269="Band 3")</f>
        <v/>
      </c>
      <c r="J2269" s="33">
        <f>IF(AND(YEAR(B2269)=2025,G2269="Service B",OR(H2269="Band 3",H2269="Band 5"),ISNUMBER(F2269)),F2269,"")</f>
        <v/>
      </c>
    </row>
    <row r="2270">
      <c r="A2270" s="19" t="inlineStr">
        <is>
          <t>User1242</t>
        </is>
      </c>
      <c r="B2270" s="60" t="n">
        <v>45870</v>
      </c>
      <c r="C2270" s="21" t="n">
        <v>148</v>
      </c>
      <c r="D2270" s="21" t="n">
        <v>80.7</v>
      </c>
      <c r="E2270" s="21" t="n">
        <v>64.40000000000001</v>
      </c>
      <c r="F2270" s="27">
        <f>IFERROR(IF(OR(C2270="",D2270="",C2270=0),"",D2270/C2270),"")</f>
        <v/>
      </c>
      <c r="G2270" s="21">
        <f>IFERROR(INDEX(Users!$A$2:$A$310,MATCH(A2270,Users!$B$2:$B$310,0)),"")</f>
        <v/>
      </c>
      <c r="H2270" s="21">
        <f>IFERROR(INDEX(Users!$D$2:$D$310,MATCH(A2270,Users!$B$2:$B$310,0)),"")</f>
        <v/>
      </c>
      <c r="I2270" s="19">
        <f>AND(G2270="Service A",H2270="Band 3")</f>
        <v/>
      </c>
      <c r="J2270" s="33">
        <f>IF(AND(YEAR(B2270)=2025,G2270="Service B",OR(H2270="Band 3",H2270="Band 5"),ISNUMBER(F2270)),F2270,"")</f>
        <v/>
      </c>
    </row>
    <row r="2271">
      <c r="A2271" s="19" t="inlineStr">
        <is>
          <t>User1242</t>
        </is>
      </c>
      <c r="B2271" s="60" t="n">
        <v>45901</v>
      </c>
      <c r="C2271" s="21" t="n">
        <v>162.8</v>
      </c>
      <c r="D2271" s="21" t="n">
        <v>162.84</v>
      </c>
      <c r="E2271" s="21" t="n">
        <v>128.74</v>
      </c>
      <c r="F2271" s="27">
        <f>IFERROR(IF(OR(C2271="",D2271="",C2271=0),"",D2271/C2271),"")</f>
        <v/>
      </c>
      <c r="G2271" s="21">
        <f>IFERROR(INDEX(Users!$A$2:$A$310,MATCH(A2271,Users!$B$2:$B$310,0)),"")</f>
        <v/>
      </c>
      <c r="H2271" s="21">
        <f>IFERROR(INDEX(Users!$D$2:$D$310,MATCH(A2271,Users!$B$2:$B$310,0)),"")</f>
        <v/>
      </c>
      <c r="I2271" s="19">
        <f>AND(G2271="Service A",H2271="Band 3")</f>
        <v/>
      </c>
      <c r="J2271" s="33">
        <f>IF(AND(YEAR(B2271)=2025,G2271="Service B",OR(H2271="Band 3",H2271="Band 5"),ISNUMBER(F2271)),F2271,"")</f>
        <v/>
      </c>
    </row>
    <row r="2272">
      <c r="A2272" s="19" t="inlineStr">
        <is>
          <t>User1242</t>
        </is>
      </c>
      <c r="B2272" s="60" t="n">
        <v>45931</v>
      </c>
      <c r="C2272" s="21" t="n">
        <v>170.2</v>
      </c>
      <c r="D2272" s="21" t="n">
        <v>163</v>
      </c>
      <c r="E2272" s="21" t="n">
        <v>124.2</v>
      </c>
      <c r="F2272" s="27">
        <f>IFERROR(IF(OR(C2272="",D2272="",C2272=0),"",D2272/C2272),"")</f>
        <v/>
      </c>
      <c r="G2272" s="21">
        <f>IFERROR(INDEX(Users!$A$2:$A$310,MATCH(A2272,Users!$B$2:$B$310,0)),"")</f>
        <v/>
      </c>
      <c r="H2272" s="21">
        <f>IFERROR(INDEX(Users!$D$2:$D$310,MATCH(A2272,Users!$B$2:$B$310,0)),"")</f>
        <v/>
      </c>
      <c r="I2272" s="19">
        <f>AND(G2272="Service A",H2272="Band 3")</f>
        <v/>
      </c>
      <c r="J2272" s="33">
        <f>IF(AND(YEAR(B2272)=2025,G2272="Service B",OR(H2272="Band 3",H2272="Band 5"),ISNUMBER(F2272)),F2272,"")</f>
        <v/>
      </c>
    </row>
    <row r="2273">
      <c r="A2273" s="19" t="inlineStr">
        <is>
          <t>User1242</t>
        </is>
      </c>
      <c r="B2273" s="60" t="n">
        <v>45962</v>
      </c>
      <c r="C2273" s="21" t="n">
        <v>148</v>
      </c>
      <c r="D2273" s="21" t="n">
        <v>145.81</v>
      </c>
      <c r="E2273" s="21" t="n">
        <v>132.01</v>
      </c>
      <c r="F2273" s="27">
        <f>IFERROR(IF(OR(C2273="",D2273="",C2273=0),"",D2273/C2273),"")</f>
        <v/>
      </c>
      <c r="G2273" s="21">
        <f>IFERROR(INDEX(Users!$A$2:$A$310,MATCH(A2273,Users!$B$2:$B$310,0)),"")</f>
        <v/>
      </c>
      <c r="H2273" s="21">
        <f>IFERROR(INDEX(Users!$D$2:$D$310,MATCH(A2273,Users!$B$2:$B$310,0)),"")</f>
        <v/>
      </c>
      <c r="I2273" s="19">
        <f>AND(G2273="Service A",H2273="Band 3")</f>
        <v/>
      </c>
      <c r="J2273" s="33">
        <f>IF(AND(YEAR(B2273)=2025,G2273="Service B",OR(H2273="Band 3",H2273="Band 5"),ISNUMBER(F2273)),F2273,"")</f>
        <v/>
      </c>
    </row>
    <row r="2274">
      <c r="A2274" s="19" t="inlineStr">
        <is>
          <t>User1242</t>
        </is>
      </c>
      <c r="B2274" s="60" t="n">
        <v>45992</v>
      </c>
      <c r="C2274" s="21" t="n">
        <v>155.4</v>
      </c>
      <c r="D2274" s="21" t="n">
        <v>149.64</v>
      </c>
      <c r="E2274" s="21" t="n">
        <v>117.29</v>
      </c>
      <c r="F2274" s="27">
        <f>IFERROR(IF(OR(C2274="",D2274="",C2274=0),"",D2274/C2274),"")</f>
        <v/>
      </c>
      <c r="G2274" s="21">
        <f>IFERROR(INDEX(Users!$A$2:$A$310,MATCH(A2274,Users!$B$2:$B$310,0)),"")</f>
        <v/>
      </c>
      <c r="H2274" s="21">
        <f>IFERROR(INDEX(Users!$D$2:$D$310,MATCH(A2274,Users!$B$2:$B$310,0)),"")</f>
        <v/>
      </c>
      <c r="I2274" s="19">
        <f>AND(G2274="Service A",H2274="Band 3")</f>
        <v/>
      </c>
      <c r="J2274" s="33">
        <f>IF(AND(YEAR(B2274)=2025,G2274="Service B",OR(H2274="Band 3",H2274="Band 5"),ISNUMBER(F2274)),F2274,"")</f>
        <v/>
      </c>
    </row>
    <row r="2275">
      <c r="A2275" s="19" t="inlineStr">
        <is>
          <t>User1242</t>
        </is>
      </c>
      <c r="B2275" s="60" t="n">
        <v>46023</v>
      </c>
      <c r="C2275" s="21" t="n">
        <v>155.4</v>
      </c>
      <c r="D2275" s="21" t="n">
        <v>157.18</v>
      </c>
      <c r="E2275" s="21" t="n">
        <v>137.88</v>
      </c>
      <c r="F2275" s="27">
        <f>IFERROR(IF(OR(C2275="",D2275="",C2275=0),"",D2275/C2275),"")</f>
        <v/>
      </c>
      <c r="G2275" s="21">
        <f>IFERROR(INDEX(Users!$A$2:$A$310,MATCH(A2275,Users!$B$2:$B$310,0)),"")</f>
        <v/>
      </c>
      <c r="H2275" s="21">
        <f>IFERROR(INDEX(Users!$D$2:$D$310,MATCH(A2275,Users!$B$2:$B$310,0)),"")</f>
        <v/>
      </c>
      <c r="I2275" s="19">
        <f>AND(G2275="Service A",H2275="Band 3")</f>
        <v/>
      </c>
      <c r="J2275" s="33">
        <f>IF(AND(YEAR(B2275)=2025,G2275="Service B",OR(H2275="Band 3",H2275="Band 5"),ISNUMBER(F2275)),F2275,"")</f>
        <v/>
      </c>
    </row>
    <row r="2276">
      <c r="A2276" s="19" t="inlineStr">
        <is>
          <t>User1243</t>
        </is>
      </c>
      <c r="B2276" s="60" t="n">
        <v>45658</v>
      </c>
      <c r="C2276" s="21" t="n">
        <v>162.8</v>
      </c>
      <c r="D2276" s="21" t="n">
        <v>108.32</v>
      </c>
      <c r="E2276" s="21" t="n">
        <v>35.87</v>
      </c>
      <c r="F2276" s="27">
        <f>IFERROR(IF(OR(C2276="",D2276="",C2276=0),"",D2276/C2276),"")</f>
        <v/>
      </c>
      <c r="G2276" s="21">
        <f>IFERROR(INDEX(Users!$A$2:$A$310,MATCH(A2276,Users!$B$2:$B$310,0)),"")</f>
        <v/>
      </c>
      <c r="H2276" s="21">
        <f>IFERROR(INDEX(Users!$D$2:$D$310,MATCH(A2276,Users!$B$2:$B$310,0)),"")</f>
        <v/>
      </c>
      <c r="I2276" s="19">
        <f>AND(G2276="Service A",H2276="Band 3")</f>
        <v/>
      </c>
      <c r="J2276" s="33">
        <f>IF(AND(YEAR(B2276)=2025,G2276="Service B",OR(H2276="Band 3",H2276="Band 5"),ISNUMBER(F2276)),F2276,"")</f>
        <v/>
      </c>
    </row>
    <row r="2277">
      <c r="A2277" s="19" t="inlineStr">
        <is>
          <t>User1243</t>
        </is>
      </c>
      <c r="B2277" s="60" t="n">
        <v>45689</v>
      </c>
      <c r="C2277" s="21" t="n">
        <v>148</v>
      </c>
      <c r="D2277" s="21" t="n">
        <v>75.84666666666666</v>
      </c>
      <c r="E2277" s="21" t="n">
        <v>17.83</v>
      </c>
      <c r="F2277" s="27">
        <f>IFERROR(IF(OR(C2277="",D2277="",C2277=0),"",D2277/C2277),"")</f>
        <v/>
      </c>
      <c r="G2277" s="21">
        <f>IFERROR(INDEX(Users!$A$2:$A$310,MATCH(A2277,Users!$B$2:$B$310,0)),"")</f>
        <v/>
      </c>
      <c r="H2277" s="21">
        <f>IFERROR(INDEX(Users!$D$2:$D$310,MATCH(A2277,Users!$B$2:$B$310,0)),"")</f>
        <v/>
      </c>
      <c r="I2277" s="19">
        <f>AND(G2277="Service A",H2277="Band 3")</f>
        <v/>
      </c>
      <c r="J2277" s="33">
        <f>IF(AND(YEAR(B2277)=2025,G2277="Service B",OR(H2277="Band 3",H2277="Band 5"),ISNUMBER(F2277)),F2277,"")</f>
        <v/>
      </c>
    </row>
    <row r="2278">
      <c r="A2278" s="19" t="inlineStr">
        <is>
          <t>User1243</t>
        </is>
      </c>
      <c r="B2278" s="60" t="n">
        <v>45717</v>
      </c>
      <c r="C2278" s="21" t="n">
        <v>155.4</v>
      </c>
      <c r="D2278" s="21" t="n">
        <v>156.51</v>
      </c>
      <c r="E2278" s="21" t="n">
        <v>44.01</v>
      </c>
      <c r="F2278" s="27">
        <f>IFERROR(IF(OR(C2278="",D2278="",C2278=0),"",D2278/C2278),"")</f>
        <v/>
      </c>
      <c r="G2278" s="21">
        <f>IFERROR(INDEX(Users!$A$2:$A$310,MATCH(A2278,Users!$B$2:$B$310,0)),"")</f>
        <v/>
      </c>
      <c r="H2278" s="21">
        <f>IFERROR(INDEX(Users!$D$2:$D$310,MATCH(A2278,Users!$B$2:$B$310,0)),"")</f>
        <v/>
      </c>
      <c r="I2278" s="19">
        <f>AND(G2278="Service A",H2278="Band 3")</f>
        <v/>
      </c>
      <c r="J2278" s="33">
        <f>IF(AND(YEAR(B2278)=2025,G2278="Service B",OR(H2278="Band 3",H2278="Band 5"),ISNUMBER(F2278)),F2278,"")</f>
        <v/>
      </c>
    </row>
    <row r="2279">
      <c r="A2279" s="19" t="inlineStr">
        <is>
          <t>User1243</t>
        </is>
      </c>
      <c r="B2279" s="60" t="n">
        <v>45748</v>
      </c>
      <c r="C2279" s="21" t="n">
        <v>148</v>
      </c>
      <c r="D2279" s="21" t="n">
        <v>141.1633333333333</v>
      </c>
      <c r="E2279" s="21" t="n">
        <v>40.43</v>
      </c>
      <c r="F2279" s="27">
        <f>IFERROR(IF(OR(C2279="",D2279="",C2279=0),"",D2279/C2279),"")</f>
        <v/>
      </c>
      <c r="G2279" s="21">
        <f>IFERROR(INDEX(Users!$A$2:$A$310,MATCH(A2279,Users!$B$2:$B$310,0)),"")</f>
        <v/>
      </c>
      <c r="H2279" s="21">
        <f>IFERROR(INDEX(Users!$D$2:$D$310,MATCH(A2279,Users!$B$2:$B$310,0)),"")</f>
        <v/>
      </c>
      <c r="I2279" s="19">
        <f>AND(G2279="Service A",H2279="Band 3")</f>
        <v/>
      </c>
      <c r="J2279" s="33">
        <f>IF(AND(YEAR(B2279)=2025,G2279="Service B",OR(H2279="Band 3",H2279="Band 5"),ISNUMBER(F2279)),F2279,"")</f>
        <v/>
      </c>
    </row>
    <row r="2280">
      <c r="A2280" s="19" t="inlineStr">
        <is>
          <t>User1243</t>
        </is>
      </c>
      <c r="B2280" s="60" t="n">
        <v>45778</v>
      </c>
      <c r="C2280" s="21" t="n">
        <v>148</v>
      </c>
      <c r="D2280" s="21" t="n">
        <v>120.0933333333333</v>
      </c>
      <c r="E2280" s="21" t="n">
        <v>22.06</v>
      </c>
      <c r="F2280" s="27">
        <f>IFERROR(IF(OR(C2280="",D2280="",C2280=0),"",D2280/C2280),"")</f>
        <v/>
      </c>
      <c r="G2280" s="21">
        <f>IFERROR(INDEX(Users!$A$2:$A$310,MATCH(A2280,Users!$B$2:$B$310,0)),"")</f>
        <v/>
      </c>
      <c r="H2280" s="21">
        <f>IFERROR(INDEX(Users!$D$2:$D$310,MATCH(A2280,Users!$B$2:$B$310,0)),"")</f>
        <v/>
      </c>
      <c r="I2280" s="19">
        <f>AND(G2280="Service A",H2280="Band 3")</f>
        <v/>
      </c>
      <c r="J2280" s="33">
        <f>IF(AND(YEAR(B2280)=2025,G2280="Service B",OR(H2280="Band 3",H2280="Band 5"),ISNUMBER(F2280)),F2280,"")</f>
        <v/>
      </c>
    </row>
    <row r="2281">
      <c r="A2281" s="19" t="inlineStr">
        <is>
          <t>User1243</t>
        </is>
      </c>
      <c r="B2281" s="60" t="n">
        <v>45809</v>
      </c>
      <c r="C2281" s="21" t="n">
        <v>155.4</v>
      </c>
      <c r="D2281" s="21" t="n">
        <v>164.7</v>
      </c>
      <c r="E2281" s="21" t="n">
        <v>21.25000000000001</v>
      </c>
      <c r="F2281" s="27">
        <f>IFERROR(IF(OR(C2281="",D2281="",C2281=0),"",D2281/C2281),"")</f>
        <v/>
      </c>
      <c r="G2281" s="21">
        <f>IFERROR(INDEX(Users!$A$2:$A$310,MATCH(A2281,Users!$B$2:$B$310,0)),"")</f>
        <v/>
      </c>
      <c r="H2281" s="21">
        <f>IFERROR(INDEX(Users!$D$2:$D$310,MATCH(A2281,Users!$B$2:$B$310,0)),"")</f>
        <v/>
      </c>
      <c r="I2281" s="19">
        <f>AND(G2281="Service A",H2281="Band 3")</f>
        <v/>
      </c>
      <c r="J2281" s="33">
        <f>IF(AND(YEAR(B2281)=2025,G2281="Service B",OR(H2281="Band 3",H2281="Band 5"),ISNUMBER(F2281)),F2281,"")</f>
        <v/>
      </c>
    </row>
    <row r="2282">
      <c r="A2282" s="19" t="inlineStr">
        <is>
          <t>User1243</t>
        </is>
      </c>
      <c r="B2282" s="60" t="n">
        <v>45839</v>
      </c>
      <c r="C2282" s="21" t="n">
        <v>170.2</v>
      </c>
      <c r="D2282" s="21" t="n">
        <v>156.7833333333333</v>
      </c>
      <c r="E2282" s="21" t="n">
        <v>33.15000000000001</v>
      </c>
      <c r="F2282" s="27">
        <f>IFERROR(IF(OR(C2282="",D2282="",C2282=0),"",D2282/C2282),"")</f>
        <v/>
      </c>
      <c r="G2282" s="21">
        <f>IFERROR(INDEX(Users!$A$2:$A$310,MATCH(A2282,Users!$B$2:$B$310,0)),"")</f>
        <v/>
      </c>
      <c r="H2282" s="21">
        <f>IFERROR(INDEX(Users!$D$2:$D$310,MATCH(A2282,Users!$B$2:$B$310,0)),"")</f>
        <v/>
      </c>
      <c r="I2282" s="19">
        <f>AND(G2282="Service A",H2282="Band 3")</f>
        <v/>
      </c>
      <c r="J2282" s="33">
        <f>IF(AND(YEAR(B2282)=2025,G2282="Service B",OR(H2282="Band 3",H2282="Band 5"),ISNUMBER(F2282)),F2282,"")</f>
        <v/>
      </c>
    </row>
    <row r="2283">
      <c r="A2283" s="19" t="inlineStr">
        <is>
          <t>User1243</t>
        </is>
      </c>
      <c r="B2283" s="60" t="n">
        <v>45870</v>
      </c>
      <c r="C2283" s="21" t="n">
        <v>148</v>
      </c>
      <c r="D2283" s="21" t="n">
        <v>134.99</v>
      </c>
      <c r="E2283" s="21" t="n">
        <v>24.14</v>
      </c>
      <c r="F2283" s="27">
        <f>IFERROR(IF(OR(C2283="",D2283="",C2283=0),"",D2283/C2283),"")</f>
        <v/>
      </c>
      <c r="G2283" s="21">
        <f>IFERROR(INDEX(Users!$A$2:$A$310,MATCH(A2283,Users!$B$2:$B$310,0)),"")</f>
        <v/>
      </c>
      <c r="H2283" s="21">
        <f>IFERROR(INDEX(Users!$D$2:$D$310,MATCH(A2283,Users!$B$2:$B$310,0)),"")</f>
        <v/>
      </c>
      <c r="I2283" s="19">
        <f>AND(G2283="Service A",H2283="Band 3")</f>
        <v/>
      </c>
      <c r="J2283" s="33">
        <f>IF(AND(YEAR(B2283)=2025,G2283="Service B",OR(H2283="Band 3",H2283="Band 5"),ISNUMBER(F2283)),F2283,"")</f>
        <v/>
      </c>
    </row>
    <row r="2284">
      <c r="A2284" s="19" t="inlineStr">
        <is>
          <t>User1243</t>
        </is>
      </c>
      <c r="B2284" s="60" t="n">
        <v>45901</v>
      </c>
      <c r="C2284" s="21" t="n">
        <v>162.8</v>
      </c>
      <c r="D2284" s="21" t="n">
        <v>169.0133333333333</v>
      </c>
      <c r="E2284" s="21" t="n">
        <v>19.38</v>
      </c>
      <c r="F2284" s="27">
        <f>IFERROR(IF(OR(C2284="",D2284="",C2284=0),"",D2284/C2284),"")</f>
        <v/>
      </c>
      <c r="G2284" s="21">
        <f>IFERROR(INDEX(Users!$A$2:$A$310,MATCH(A2284,Users!$B$2:$B$310,0)),"")</f>
        <v/>
      </c>
      <c r="H2284" s="21">
        <f>IFERROR(INDEX(Users!$D$2:$D$310,MATCH(A2284,Users!$B$2:$B$310,0)),"")</f>
        <v/>
      </c>
      <c r="I2284" s="19">
        <f>AND(G2284="Service A",H2284="Band 3")</f>
        <v/>
      </c>
      <c r="J2284" s="33">
        <f>IF(AND(YEAR(B2284)=2025,G2284="Service B",OR(H2284="Band 3",H2284="Band 5"),ISNUMBER(F2284)),F2284,"")</f>
        <v/>
      </c>
    </row>
    <row r="2285">
      <c r="A2285" s="19" t="inlineStr">
        <is>
          <t>User1243</t>
        </is>
      </c>
      <c r="B2285" s="60" t="n">
        <v>45931</v>
      </c>
      <c r="C2285" s="21" t="n">
        <v>170.2</v>
      </c>
      <c r="D2285" s="21" t="n">
        <v>170.0566666666666</v>
      </c>
      <c r="E2285" s="21" t="n">
        <v>13.59</v>
      </c>
      <c r="F2285" s="27">
        <f>IFERROR(IF(OR(C2285="",D2285="",C2285=0),"",D2285/C2285),"")</f>
        <v/>
      </c>
      <c r="G2285" s="21">
        <f>IFERROR(INDEX(Users!$A$2:$A$310,MATCH(A2285,Users!$B$2:$B$310,0)),"")</f>
        <v/>
      </c>
      <c r="H2285" s="21">
        <f>IFERROR(INDEX(Users!$D$2:$D$310,MATCH(A2285,Users!$B$2:$B$310,0)),"")</f>
        <v/>
      </c>
      <c r="I2285" s="19">
        <f>AND(G2285="Service A",H2285="Band 3")</f>
        <v/>
      </c>
      <c r="J2285" s="33">
        <f>IF(AND(YEAR(B2285)=2025,G2285="Service B",OR(H2285="Band 3",H2285="Band 5"),ISNUMBER(F2285)),F2285,"")</f>
        <v/>
      </c>
    </row>
    <row r="2286">
      <c r="A2286" s="19" t="inlineStr">
        <is>
          <t>User1243</t>
        </is>
      </c>
      <c r="B2286" s="60" t="n">
        <v>45962</v>
      </c>
      <c r="C2286" s="21" t="n">
        <v>148</v>
      </c>
      <c r="D2286" s="21" t="n">
        <v>66.85000000000001</v>
      </c>
      <c r="E2286" s="21" t="n"/>
      <c r="F2286" s="27">
        <f>IFERROR(IF(OR(C2286="",D2286="",C2286=0),"",D2286/C2286),"")</f>
        <v/>
      </c>
      <c r="G2286" s="21">
        <f>IFERROR(INDEX(Users!$A$2:$A$310,MATCH(A2286,Users!$B$2:$B$310,0)),"")</f>
        <v/>
      </c>
      <c r="H2286" s="21">
        <f>IFERROR(INDEX(Users!$D$2:$D$310,MATCH(A2286,Users!$B$2:$B$310,0)),"")</f>
        <v/>
      </c>
      <c r="I2286" s="19">
        <f>AND(G2286="Service A",H2286="Band 3")</f>
        <v/>
      </c>
      <c r="J2286" s="33">
        <f>IF(AND(YEAR(B2286)=2025,G2286="Service B",OR(H2286="Band 3",H2286="Band 5"),ISNUMBER(F2286)),F2286,"")</f>
        <v/>
      </c>
    </row>
    <row r="2287">
      <c r="A2287" s="19" t="inlineStr">
        <is>
          <t>User1245</t>
        </is>
      </c>
      <c r="B2287" s="60" t="n">
        <v>45658</v>
      </c>
      <c r="C2287" s="21" t="n">
        <v>162.8</v>
      </c>
      <c r="D2287" s="21" t="n">
        <v>163.0772222222222</v>
      </c>
      <c r="E2287" s="21" t="n">
        <v>101.41</v>
      </c>
      <c r="F2287" s="27">
        <f>IFERROR(IF(OR(C2287="",D2287="",C2287=0),"",D2287/C2287),"")</f>
        <v/>
      </c>
      <c r="G2287" s="21">
        <f>IFERROR(INDEX(Users!$A$2:$A$310,MATCH(A2287,Users!$B$2:$B$310,0)),"")</f>
        <v/>
      </c>
      <c r="H2287" s="21">
        <f>IFERROR(INDEX(Users!$D$2:$D$310,MATCH(A2287,Users!$B$2:$B$310,0)),"")</f>
        <v/>
      </c>
      <c r="I2287" s="19">
        <f>AND(G2287="Service A",H2287="Band 3")</f>
        <v/>
      </c>
      <c r="J2287" s="33">
        <f>IF(AND(YEAR(B2287)=2025,G2287="Service B",OR(H2287="Band 3",H2287="Band 5"),ISNUMBER(F2287)),F2287,"")</f>
        <v/>
      </c>
    </row>
    <row r="2288">
      <c r="A2288" s="19" t="inlineStr">
        <is>
          <t>User1245</t>
        </is>
      </c>
      <c r="B2288" s="60" t="n">
        <v>45689</v>
      </c>
      <c r="C2288" s="21" t="n">
        <v>148</v>
      </c>
      <c r="D2288" s="21" t="n">
        <v>124.7125</v>
      </c>
      <c r="E2288" s="21" t="n">
        <v>72.68000000000001</v>
      </c>
      <c r="F2288" s="27">
        <f>IFERROR(IF(OR(C2288="",D2288="",C2288=0),"",D2288/C2288),"")</f>
        <v/>
      </c>
      <c r="G2288" s="21">
        <f>IFERROR(INDEX(Users!$A$2:$A$310,MATCH(A2288,Users!$B$2:$B$310,0)),"")</f>
        <v/>
      </c>
      <c r="H2288" s="21">
        <f>IFERROR(INDEX(Users!$D$2:$D$310,MATCH(A2288,Users!$B$2:$B$310,0)),"")</f>
        <v/>
      </c>
      <c r="I2288" s="19">
        <f>AND(G2288="Service A",H2288="Band 3")</f>
        <v/>
      </c>
      <c r="J2288" s="33">
        <f>IF(AND(YEAR(B2288)=2025,G2288="Service B",OR(H2288="Band 3",H2288="Band 5"),ISNUMBER(F2288)),F2288,"")</f>
        <v/>
      </c>
    </row>
    <row r="2289">
      <c r="A2289" s="19" t="inlineStr">
        <is>
          <t>User1245</t>
        </is>
      </c>
      <c r="B2289" s="60" t="n">
        <v>45717</v>
      </c>
      <c r="C2289" s="21" t="n">
        <v>155.4</v>
      </c>
      <c r="D2289" s="21" t="n">
        <v>157.4575</v>
      </c>
      <c r="E2289" s="21" t="n">
        <v>110.08</v>
      </c>
      <c r="F2289" s="27">
        <f>IFERROR(IF(OR(C2289="",D2289="",C2289=0),"",D2289/C2289),"")</f>
        <v/>
      </c>
      <c r="G2289" s="21">
        <f>IFERROR(INDEX(Users!$A$2:$A$310,MATCH(A2289,Users!$B$2:$B$310,0)),"")</f>
        <v/>
      </c>
      <c r="H2289" s="21">
        <f>IFERROR(INDEX(Users!$D$2:$D$310,MATCH(A2289,Users!$B$2:$B$310,0)),"")</f>
        <v/>
      </c>
      <c r="I2289" s="19">
        <f>AND(G2289="Service A",H2289="Band 3")</f>
        <v/>
      </c>
      <c r="J2289" s="33">
        <f>IF(AND(YEAR(B2289)=2025,G2289="Service B",OR(H2289="Band 3",H2289="Band 5"),ISNUMBER(F2289)),F2289,"")</f>
        <v/>
      </c>
    </row>
    <row r="2290">
      <c r="A2290" s="19" t="inlineStr">
        <is>
          <t>User1245</t>
        </is>
      </c>
      <c r="B2290" s="60" t="n">
        <v>45748</v>
      </c>
      <c r="C2290" s="21" t="n">
        <v>148</v>
      </c>
      <c r="D2290" s="21" t="n">
        <v>112.2666666666667</v>
      </c>
      <c r="E2290" s="21" t="n">
        <v>87</v>
      </c>
      <c r="F2290" s="27">
        <f>IFERROR(IF(OR(C2290="",D2290="",C2290=0),"",D2290/C2290),"")</f>
        <v/>
      </c>
      <c r="G2290" s="21">
        <f>IFERROR(INDEX(Users!$A$2:$A$310,MATCH(A2290,Users!$B$2:$B$310,0)),"")</f>
        <v/>
      </c>
      <c r="H2290" s="21">
        <f>IFERROR(INDEX(Users!$D$2:$D$310,MATCH(A2290,Users!$B$2:$B$310,0)),"")</f>
        <v/>
      </c>
      <c r="I2290" s="19">
        <f>AND(G2290="Service A",H2290="Band 3")</f>
        <v/>
      </c>
      <c r="J2290" s="33">
        <f>IF(AND(YEAR(B2290)=2025,G2290="Service B",OR(H2290="Band 3",H2290="Band 5"),ISNUMBER(F2290)),F2290,"")</f>
        <v/>
      </c>
    </row>
    <row r="2291">
      <c r="A2291" s="19" t="inlineStr">
        <is>
          <t>User1245</t>
        </is>
      </c>
      <c r="B2291" s="60" t="n">
        <v>45778</v>
      </c>
      <c r="C2291" s="21" t="n">
        <v>148</v>
      </c>
      <c r="D2291" s="21" t="n">
        <v>116.75</v>
      </c>
      <c r="E2291" s="21" t="n">
        <v>80.8</v>
      </c>
      <c r="F2291" s="27">
        <f>IFERROR(IF(OR(C2291="",D2291="",C2291=0),"",D2291/C2291),"")</f>
        <v/>
      </c>
      <c r="G2291" s="21">
        <f>IFERROR(INDEX(Users!$A$2:$A$310,MATCH(A2291,Users!$B$2:$B$310,0)),"")</f>
        <v/>
      </c>
      <c r="H2291" s="21">
        <f>IFERROR(INDEX(Users!$D$2:$D$310,MATCH(A2291,Users!$B$2:$B$310,0)),"")</f>
        <v/>
      </c>
      <c r="I2291" s="19">
        <f>AND(G2291="Service A",H2291="Band 3")</f>
        <v/>
      </c>
      <c r="J2291" s="33">
        <f>IF(AND(YEAR(B2291)=2025,G2291="Service B",OR(H2291="Band 3",H2291="Band 5"),ISNUMBER(F2291)),F2291,"")</f>
        <v/>
      </c>
    </row>
    <row r="2292">
      <c r="A2292" s="19" t="inlineStr">
        <is>
          <t>User1245</t>
        </is>
      </c>
      <c r="B2292" s="60" t="n">
        <v>45809</v>
      </c>
      <c r="C2292" s="21" t="n">
        <v>155.4</v>
      </c>
      <c r="D2292" s="21" t="n">
        <v>146.37</v>
      </c>
      <c r="E2292" s="21" t="n">
        <v>82.42</v>
      </c>
      <c r="F2292" s="27">
        <f>IFERROR(IF(OR(C2292="",D2292="",C2292=0),"",D2292/C2292),"")</f>
        <v/>
      </c>
      <c r="G2292" s="21">
        <f>IFERROR(INDEX(Users!$A$2:$A$310,MATCH(A2292,Users!$B$2:$B$310,0)),"")</f>
        <v/>
      </c>
      <c r="H2292" s="21">
        <f>IFERROR(INDEX(Users!$D$2:$D$310,MATCH(A2292,Users!$B$2:$B$310,0)),"")</f>
        <v/>
      </c>
      <c r="I2292" s="19">
        <f>AND(G2292="Service A",H2292="Band 3")</f>
        <v/>
      </c>
      <c r="J2292" s="33">
        <f>IF(AND(YEAR(B2292)=2025,G2292="Service B",OR(H2292="Band 3",H2292="Band 5"),ISNUMBER(F2292)),F2292,"")</f>
        <v/>
      </c>
    </row>
    <row r="2293">
      <c r="A2293" s="19" t="inlineStr">
        <is>
          <t>User1245</t>
        </is>
      </c>
      <c r="B2293" s="60" t="n">
        <v>45839</v>
      </c>
      <c r="C2293" s="21" t="n">
        <v>170.2</v>
      </c>
      <c r="D2293" s="21" t="n">
        <v>132.92</v>
      </c>
      <c r="E2293" s="21" t="n">
        <v>86.31999999999999</v>
      </c>
      <c r="F2293" s="27">
        <f>IFERROR(IF(OR(C2293="",D2293="",C2293=0),"",D2293/C2293),"")</f>
        <v/>
      </c>
      <c r="G2293" s="21">
        <f>IFERROR(INDEX(Users!$A$2:$A$310,MATCH(A2293,Users!$B$2:$B$310,0)),"")</f>
        <v/>
      </c>
      <c r="H2293" s="21">
        <f>IFERROR(INDEX(Users!$D$2:$D$310,MATCH(A2293,Users!$B$2:$B$310,0)),"")</f>
        <v/>
      </c>
      <c r="I2293" s="19">
        <f>AND(G2293="Service A",H2293="Band 3")</f>
        <v/>
      </c>
      <c r="J2293" s="33">
        <f>IF(AND(YEAR(B2293)=2025,G2293="Service B",OR(H2293="Band 3",H2293="Band 5"),ISNUMBER(F2293)),F2293,"")</f>
        <v/>
      </c>
    </row>
    <row r="2294">
      <c r="A2294" s="19" t="inlineStr">
        <is>
          <t>User1245</t>
        </is>
      </c>
      <c r="B2294" s="60" t="n">
        <v>45870</v>
      </c>
      <c r="C2294" s="21" t="n">
        <v>148</v>
      </c>
      <c r="D2294" s="21" t="n">
        <v>75.75</v>
      </c>
      <c r="E2294" s="21" t="n">
        <v>49.25</v>
      </c>
      <c r="F2294" s="27">
        <f>IFERROR(IF(OR(C2294="",D2294="",C2294=0),"",D2294/C2294),"")</f>
        <v/>
      </c>
      <c r="G2294" s="21">
        <f>IFERROR(INDEX(Users!$A$2:$A$310,MATCH(A2294,Users!$B$2:$B$310,0)),"")</f>
        <v/>
      </c>
      <c r="H2294" s="21">
        <f>IFERROR(INDEX(Users!$D$2:$D$310,MATCH(A2294,Users!$B$2:$B$310,0)),"")</f>
        <v/>
      </c>
      <c r="I2294" s="19">
        <f>AND(G2294="Service A",H2294="Band 3")</f>
        <v/>
      </c>
      <c r="J2294" s="33">
        <f>IF(AND(YEAR(B2294)=2025,G2294="Service B",OR(H2294="Band 3",H2294="Band 5"),ISNUMBER(F2294)),F2294,"")</f>
        <v/>
      </c>
    </row>
    <row r="2295">
      <c r="A2295" s="19" t="inlineStr">
        <is>
          <t>User1245</t>
        </is>
      </c>
      <c r="B2295" s="60" t="n">
        <v>45901</v>
      </c>
      <c r="C2295" s="21" t="n">
        <v>162.8</v>
      </c>
      <c r="D2295" s="21" t="n">
        <v>161.2466666666667</v>
      </c>
      <c r="E2295" s="21" t="n">
        <v>120.33</v>
      </c>
      <c r="F2295" s="27">
        <f>IFERROR(IF(OR(C2295="",D2295="",C2295=0),"",D2295/C2295),"")</f>
        <v/>
      </c>
      <c r="G2295" s="21">
        <f>IFERROR(INDEX(Users!$A$2:$A$310,MATCH(A2295,Users!$B$2:$B$310,0)),"")</f>
        <v/>
      </c>
      <c r="H2295" s="21">
        <f>IFERROR(INDEX(Users!$D$2:$D$310,MATCH(A2295,Users!$B$2:$B$310,0)),"")</f>
        <v/>
      </c>
      <c r="I2295" s="19">
        <f>AND(G2295="Service A",H2295="Band 3")</f>
        <v/>
      </c>
      <c r="J2295" s="33">
        <f>IF(AND(YEAR(B2295)=2025,G2295="Service B",OR(H2295="Band 3",H2295="Band 5"),ISNUMBER(F2295)),F2295,"")</f>
        <v/>
      </c>
    </row>
    <row r="2296">
      <c r="A2296" s="19" t="inlineStr">
        <is>
          <t>User1245</t>
        </is>
      </c>
      <c r="B2296" s="60" t="n">
        <v>45931</v>
      </c>
      <c r="C2296" s="21" t="n">
        <v>170.2</v>
      </c>
      <c r="D2296" s="21" t="n">
        <v>98.5</v>
      </c>
      <c r="E2296" s="21" t="n">
        <v>65.5</v>
      </c>
      <c r="F2296" s="27">
        <f>IFERROR(IF(OR(C2296="",D2296="",C2296=0),"",D2296/C2296),"")</f>
        <v/>
      </c>
      <c r="G2296" s="21">
        <f>IFERROR(INDEX(Users!$A$2:$A$310,MATCH(A2296,Users!$B$2:$B$310,0)),"")</f>
        <v/>
      </c>
      <c r="H2296" s="21">
        <f>IFERROR(INDEX(Users!$D$2:$D$310,MATCH(A2296,Users!$B$2:$B$310,0)),"")</f>
        <v/>
      </c>
      <c r="I2296" s="19">
        <f>AND(G2296="Service A",H2296="Band 3")</f>
        <v/>
      </c>
      <c r="J2296" s="33">
        <f>IF(AND(YEAR(B2296)=2025,G2296="Service B",OR(H2296="Band 3",H2296="Band 5"),ISNUMBER(F2296)),F2296,"")</f>
        <v/>
      </c>
    </row>
    <row r="2297">
      <c r="A2297" s="19" t="inlineStr">
        <is>
          <t>User1245</t>
        </is>
      </c>
      <c r="B2297" s="60" t="n">
        <v>45962</v>
      </c>
      <c r="C2297" s="21" t="n">
        <v>148</v>
      </c>
      <c r="D2297" s="21" t="n">
        <v>150.33</v>
      </c>
      <c r="E2297" s="21" t="n">
        <v>98.83</v>
      </c>
      <c r="F2297" s="27">
        <f>IFERROR(IF(OR(C2297="",D2297="",C2297=0),"",D2297/C2297),"")</f>
        <v/>
      </c>
      <c r="G2297" s="21">
        <f>IFERROR(INDEX(Users!$A$2:$A$310,MATCH(A2297,Users!$B$2:$B$310,0)),"")</f>
        <v/>
      </c>
      <c r="H2297" s="21">
        <f>IFERROR(INDEX(Users!$D$2:$D$310,MATCH(A2297,Users!$B$2:$B$310,0)),"")</f>
        <v/>
      </c>
      <c r="I2297" s="19">
        <f>AND(G2297="Service A",H2297="Band 3")</f>
        <v/>
      </c>
      <c r="J2297" s="33">
        <f>IF(AND(YEAR(B2297)=2025,G2297="Service B",OR(H2297="Band 3",H2297="Band 5"),ISNUMBER(F2297)),F2297,"")</f>
        <v/>
      </c>
    </row>
    <row r="2298">
      <c r="A2298" s="19" t="inlineStr">
        <is>
          <t>User1245</t>
        </is>
      </c>
      <c r="B2298" s="60" t="n">
        <v>45992</v>
      </c>
      <c r="C2298" s="21" t="n">
        <v>155.4</v>
      </c>
      <c r="D2298" s="21" t="n">
        <v>157.0833333333333</v>
      </c>
      <c r="E2298" s="21" t="n">
        <v>61.5</v>
      </c>
      <c r="F2298" s="27">
        <f>IFERROR(IF(OR(C2298="",D2298="",C2298=0),"",D2298/C2298),"")</f>
        <v/>
      </c>
      <c r="G2298" s="21">
        <f>IFERROR(INDEX(Users!$A$2:$A$310,MATCH(A2298,Users!$B$2:$B$310,0)),"")</f>
        <v/>
      </c>
      <c r="H2298" s="21">
        <f>IFERROR(INDEX(Users!$D$2:$D$310,MATCH(A2298,Users!$B$2:$B$310,0)),"")</f>
        <v/>
      </c>
      <c r="I2298" s="19">
        <f>AND(G2298="Service A",H2298="Band 3")</f>
        <v/>
      </c>
      <c r="J2298" s="33">
        <f>IF(AND(YEAR(B2298)=2025,G2298="Service B",OR(H2298="Band 3",H2298="Band 5"),ISNUMBER(F2298)),F2298,"")</f>
        <v/>
      </c>
    </row>
    <row r="2299">
      <c r="A2299" s="19" t="inlineStr">
        <is>
          <t>User1245</t>
        </is>
      </c>
      <c r="B2299" s="60" t="n">
        <v>46023</v>
      </c>
      <c r="C2299" s="21" t="n">
        <v>155.4</v>
      </c>
      <c r="D2299" s="21" t="n">
        <v>131.6633333333333</v>
      </c>
      <c r="E2299" s="21" t="n">
        <v>72.58</v>
      </c>
      <c r="F2299" s="27">
        <f>IFERROR(IF(OR(C2299="",D2299="",C2299=0),"",D2299/C2299),"")</f>
        <v/>
      </c>
      <c r="G2299" s="21">
        <f>IFERROR(INDEX(Users!$A$2:$A$310,MATCH(A2299,Users!$B$2:$B$310,0)),"")</f>
        <v/>
      </c>
      <c r="H2299" s="21">
        <f>IFERROR(INDEX(Users!$D$2:$D$310,MATCH(A2299,Users!$B$2:$B$310,0)),"")</f>
        <v/>
      </c>
      <c r="I2299" s="19">
        <f>AND(G2299="Service A",H2299="Band 3")</f>
        <v/>
      </c>
      <c r="J2299" s="33">
        <f>IF(AND(YEAR(B2299)=2025,G2299="Service B",OR(H2299="Band 3",H2299="Band 5"),ISNUMBER(F2299)),F2299,"")</f>
        <v/>
      </c>
    </row>
    <row r="2300">
      <c r="A2300" s="19" t="inlineStr">
        <is>
          <t>User1249</t>
        </is>
      </c>
      <c r="B2300" s="60" t="n">
        <v>45658</v>
      </c>
      <c r="C2300" s="21" t="n">
        <v>162.8</v>
      </c>
      <c r="D2300" s="21" t="n">
        <v>130.8566666666667</v>
      </c>
      <c r="E2300" s="21" t="n">
        <v>105.69</v>
      </c>
      <c r="F2300" s="27">
        <f>IFERROR(IF(OR(C2300="",D2300="",C2300=0),"",D2300/C2300),"")</f>
        <v/>
      </c>
      <c r="G2300" s="21">
        <f>IFERROR(INDEX(Users!$A$2:$A$310,MATCH(A2300,Users!$B$2:$B$310,0)),"")</f>
        <v/>
      </c>
      <c r="H2300" s="21">
        <f>IFERROR(INDEX(Users!$D$2:$D$310,MATCH(A2300,Users!$B$2:$B$310,0)),"")</f>
        <v/>
      </c>
      <c r="I2300" s="19">
        <f>AND(G2300="Service A",H2300="Band 3")</f>
        <v/>
      </c>
      <c r="J2300" s="33">
        <f>IF(AND(YEAR(B2300)=2025,G2300="Service B",OR(H2300="Band 3",H2300="Band 5"),ISNUMBER(F2300)),F2300,"")</f>
        <v/>
      </c>
    </row>
    <row r="2301">
      <c r="A2301" s="19" t="inlineStr">
        <is>
          <t>User1249</t>
        </is>
      </c>
      <c r="B2301" s="60" t="n">
        <v>45689</v>
      </c>
      <c r="C2301" s="21" t="n">
        <v>148</v>
      </c>
      <c r="D2301" s="21" t="n">
        <v>138.8</v>
      </c>
      <c r="E2301" s="21" t="n">
        <v>93.75</v>
      </c>
      <c r="F2301" s="27">
        <f>IFERROR(IF(OR(C2301="",D2301="",C2301=0),"",D2301/C2301),"")</f>
        <v/>
      </c>
      <c r="G2301" s="21">
        <f>IFERROR(INDEX(Users!$A$2:$A$310,MATCH(A2301,Users!$B$2:$B$310,0)),"")</f>
        <v/>
      </c>
      <c r="H2301" s="21">
        <f>IFERROR(INDEX(Users!$D$2:$D$310,MATCH(A2301,Users!$B$2:$B$310,0)),"")</f>
        <v/>
      </c>
      <c r="I2301" s="19">
        <f>AND(G2301="Service A",H2301="Band 3")</f>
        <v/>
      </c>
      <c r="J2301" s="33">
        <f>IF(AND(YEAR(B2301)=2025,G2301="Service B",OR(H2301="Band 3",H2301="Band 5"),ISNUMBER(F2301)),F2301,"")</f>
        <v/>
      </c>
    </row>
    <row r="2302">
      <c r="A2302" s="19" t="inlineStr">
        <is>
          <t>User1249</t>
        </is>
      </c>
      <c r="B2302" s="60" t="n">
        <v>45717</v>
      </c>
      <c r="C2302" s="21" t="n">
        <v>155.4</v>
      </c>
      <c r="D2302" s="21" t="n">
        <v>120.4733333333333</v>
      </c>
      <c r="E2302" s="21" t="n">
        <v>94.14</v>
      </c>
      <c r="F2302" s="27">
        <f>IFERROR(IF(OR(C2302="",D2302="",C2302=0),"",D2302/C2302),"")</f>
        <v/>
      </c>
      <c r="G2302" s="21">
        <f>IFERROR(INDEX(Users!$A$2:$A$310,MATCH(A2302,Users!$B$2:$B$310,0)),"")</f>
        <v/>
      </c>
      <c r="H2302" s="21">
        <f>IFERROR(INDEX(Users!$D$2:$D$310,MATCH(A2302,Users!$B$2:$B$310,0)),"")</f>
        <v/>
      </c>
      <c r="I2302" s="19">
        <f>AND(G2302="Service A",H2302="Band 3")</f>
        <v/>
      </c>
      <c r="J2302" s="33">
        <f>IF(AND(YEAR(B2302)=2025,G2302="Service B",OR(H2302="Band 3",H2302="Band 5"),ISNUMBER(F2302)),F2302,"")</f>
        <v/>
      </c>
    </row>
    <row r="2303">
      <c r="A2303" s="19" t="inlineStr">
        <is>
          <t>User1249</t>
        </is>
      </c>
      <c r="B2303" s="60" t="n">
        <v>45748</v>
      </c>
      <c r="C2303" s="21" t="n">
        <v>148</v>
      </c>
      <c r="D2303" s="21" t="n">
        <v>124.7166666666667</v>
      </c>
      <c r="E2303" s="21" t="n">
        <v>105.3</v>
      </c>
      <c r="F2303" s="27">
        <f>IFERROR(IF(OR(C2303="",D2303="",C2303=0),"",D2303/C2303),"")</f>
        <v/>
      </c>
      <c r="G2303" s="21">
        <f>IFERROR(INDEX(Users!$A$2:$A$310,MATCH(A2303,Users!$B$2:$B$310,0)),"")</f>
        <v/>
      </c>
      <c r="H2303" s="21">
        <f>IFERROR(INDEX(Users!$D$2:$D$310,MATCH(A2303,Users!$B$2:$B$310,0)),"")</f>
        <v/>
      </c>
      <c r="I2303" s="19">
        <f>AND(G2303="Service A",H2303="Band 3")</f>
        <v/>
      </c>
      <c r="J2303" s="33">
        <f>IF(AND(YEAR(B2303)=2025,G2303="Service B",OR(H2303="Band 3",H2303="Band 5"),ISNUMBER(F2303)),F2303,"")</f>
        <v/>
      </c>
    </row>
    <row r="2304">
      <c r="A2304" s="19" t="inlineStr">
        <is>
          <t>User1249</t>
        </is>
      </c>
      <c r="B2304" s="60" t="n">
        <v>45778</v>
      </c>
      <c r="C2304" s="21" t="n">
        <v>148</v>
      </c>
      <c r="D2304" s="21" t="n">
        <v>131.2266666666667</v>
      </c>
      <c r="E2304" s="21" t="n">
        <v>101.81</v>
      </c>
      <c r="F2304" s="27">
        <f>IFERROR(IF(OR(C2304="",D2304="",C2304=0),"",D2304/C2304),"")</f>
        <v/>
      </c>
      <c r="G2304" s="21">
        <f>IFERROR(INDEX(Users!$A$2:$A$310,MATCH(A2304,Users!$B$2:$B$310,0)),"")</f>
        <v/>
      </c>
      <c r="H2304" s="21">
        <f>IFERROR(INDEX(Users!$D$2:$D$310,MATCH(A2304,Users!$B$2:$B$310,0)),"")</f>
        <v/>
      </c>
      <c r="I2304" s="19">
        <f>AND(G2304="Service A",H2304="Band 3")</f>
        <v/>
      </c>
      <c r="J2304" s="33">
        <f>IF(AND(YEAR(B2304)=2025,G2304="Service B",OR(H2304="Band 3",H2304="Band 5"),ISNUMBER(F2304)),F2304,"")</f>
        <v/>
      </c>
    </row>
    <row r="2305">
      <c r="A2305" s="19" t="inlineStr">
        <is>
          <t>User1249</t>
        </is>
      </c>
      <c r="B2305" s="60" t="n">
        <v>45809</v>
      </c>
      <c r="C2305" s="21" t="n">
        <v>155.4</v>
      </c>
      <c r="D2305" s="21" t="n">
        <v>126.0566666666666</v>
      </c>
      <c r="E2305" s="21" t="n">
        <v>93.78999999999996</v>
      </c>
      <c r="F2305" s="27">
        <f>IFERROR(IF(OR(C2305="",D2305="",C2305=0),"",D2305/C2305),"")</f>
        <v/>
      </c>
      <c r="G2305" s="21">
        <f>IFERROR(INDEX(Users!$A$2:$A$310,MATCH(A2305,Users!$B$2:$B$310,0)),"")</f>
        <v/>
      </c>
      <c r="H2305" s="21">
        <f>IFERROR(INDEX(Users!$D$2:$D$310,MATCH(A2305,Users!$B$2:$B$310,0)),"")</f>
        <v/>
      </c>
      <c r="I2305" s="19">
        <f>AND(G2305="Service A",H2305="Band 3")</f>
        <v/>
      </c>
      <c r="J2305" s="33">
        <f>IF(AND(YEAR(B2305)=2025,G2305="Service B",OR(H2305="Band 3",H2305="Band 5"),ISNUMBER(F2305)),F2305,"")</f>
        <v/>
      </c>
    </row>
    <row r="2306">
      <c r="A2306" s="19" t="inlineStr">
        <is>
          <t>User1249</t>
        </is>
      </c>
      <c r="B2306" s="60" t="n">
        <v>45839</v>
      </c>
      <c r="C2306" s="21" t="n">
        <v>170.2</v>
      </c>
      <c r="D2306" s="21" t="n">
        <v>142.9566666666666</v>
      </c>
      <c r="E2306" s="21" t="n">
        <v>105.5399999999999</v>
      </c>
      <c r="F2306" s="27">
        <f>IFERROR(IF(OR(C2306="",D2306="",C2306=0),"",D2306/C2306),"")</f>
        <v/>
      </c>
      <c r="G2306" s="21">
        <f>IFERROR(INDEX(Users!$A$2:$A$310,MATCH(A2306,Users!$B$2:$B$310,0)),"")</f>
        <v/>
      </c>
      <c r="H2306" s="21">
        <f>IFERROR(INDEX(Users!$D$2:$D$310,MATCH(A2306,Users!$B$2:$B$310,0)),"")</f>
        <v/>
      </c>
      <c r="I2306" s="19">
        <f>AND(G2306="Service A",H2306="Band 3")</f>
        <v/>
      </c>
      <c r="J2306" s="33">
        <f>IF(AND(YEAR(B2306)=2025,G2306="Service B",OR(H2306="Band 3",H2306="Band 5"),ISNUMBER(F2306)),F2306,"")</f>
        <v/>
      </c>
    </row>
    <row r="2307">
      <c r="A2307" s="19" t="inlineStr">
        <is>
          <t>User1249</t>
        </is>
      </c>
      <c r="B2307" s="60" t="n">
        <v>45870</v>
      </c>
      <c r="C2307" s="21" t="n">
        <v>148</v>
      </c>
      <c r="D2307" s="21" t="n">
        <v>117.3233333333333</v>
      </c>
      <c r="E2307" s="21" t="n">
        <v>83.48999999999995</v>
      </c>
      <c r="F2307" s="27">
        <f>IFERROR(IF(OR(C2307="",D2307="",C2307=0),"",D2307/C2307),"")</f>
        <v/>
      </c>
      <c r="G2307" s="21">
        <f>IFERROR(INDEX(Users!$A$2:$A$310,MATCH(A2307,Users!$B$2:$B$310,0)),"")</f>
        <v/>
      </c>
      <c r="H2307" s="21">
        <f>IFERROR(INDEX(Users!$D$2:$D$310,MATCH(A2307,Users!$B$2:$B$310,0)),"")</f>
        <v/>
      </c>
      <c r="I2307" s="19">
        <f>AND(G2307="Service A",H2307="Band 3")</f>
        <v/>
      </c>
      <c r="J2307" s="33">
        <f>IF(AND(YEAR(B2307)=2025,G2307="Service B",OR(H2307="Band 3",H2307="Band 5"),ISNUMBER(F2307)),F2307,"")</f>
        <v/>
      </c>
    </row>
    <row r="2308">
      <c r="A2308" s="19" t="inlineStr">
        <is>
          <t>User1249</t>
        </is>
      </c>
      <c r="B2308" s="60" t="n">
        <v>45901</v>
      </c>
      <c r="C2308" s="21" t="n">
        <v>162.8</v>
      </c>
      <c r="D2308" s="21" t="n">
        <v>101.5966666666666</v>
      </c>
      <c r="E2308" s="21" t="n">
        <v>76.27999999999996</v>
      </c>
      <c r="F2308" s="27">
        <f>IFERROR(IF(OR(C2308="",D2308="",C2308=0),"",D2308/C2308),"")</f>
        <v/>
      </c>
      <c r="G2308" s="21">
        <f>IFERROR(INDEX(Users!$A$2:$A$310,MATCH(A2308,Users!$B$2:$B$310,0)),"")</f>
        <v/>
      </c>
      <c r="H2308" s="21">
        <f>IFERROR(INDEX(Users!$D$2:$D$310,MATCH(A2308,Users!$B$2:$B$310,0)),"")</f>
        <v/>
      </c>
      <c r="I2308" s="19">
        <f>AND(G2308="Service A",H2308="Band 3")</f>
        <v/>
      </c>
      <c r="J2308" s="33">
        <f>IF(AND(YEAR(B2308)=2025,G2308="Service B",OR(H2308="Band 3",H2308="Band 5"),ISNUMBER(F2308)),F2308,"")</f>
        <v/>
      </c>
    </row>
    <row r="2309">
      <c r="A2309" s="19" t="inlineStr">
        <is>
          <t>User1249</t>
        </is>
      </c>
      <c r="B2309" s="60" t="n">
        <v>45931</v>
      </c>
      <c r="C2309" s="21" t="n">
        <v>170.2</v>
      </c>
      <c r="D2309" s="21" t="n">
        <v>124.9133333333333</v>
      </c>
      <c r="E2309" s="21" t="n">
        <v>79.92999999999994</v>
      </c>
      <c r="F2309" s="27">
        <f>IFERROR(IF(OR(C2309="",D2309="",C2309=0),"",D2309/C2309),"")</f>
        <v/>
      </c>
      <c r="G2309" s="21">
        <f>IFERROR(INDEX(Users!$A$2:$A$310,MATCH(A2309,Users!$B$2:$B$310,0)),"")</f>
        <v/>
      </c>
      <c r="H2309" s="21">
        <f>IFERROR(INDEX(Users!$D$2:$D$310,MATCH(A2309,Users!$B$2:$B$310,0)),"")</f>
        <v/>
      </c>
      <c r="I2309" s="19">
        <f>AND(G2309="Service A",H2309="Band 3")</f>
        <v/>
      </c>
      <c r="J2309" s="33">
        <f>IF(AND(YEAR(B2309)=2025,G2309="Service B",OR(H2309="Band 3",H2309="Band 5"),ISNUMBER(F2309)),F2309,"")</f>
        <v/>
      </c>
    </row>
    <row r="2310">
      <c r="A2310" s="19" t="inlineStr">
        <is>
          <t>User1249</t>
        </is>
      </c>
      <c r="B2310" s="60" t="n">
        <v>45962</v>
      </c>
      <c r="C2310" s="21" t="n"/>
      <c r="D2310" s="21" t="n"/>
      <c r="E2310" s="21" t="n"/>
      <c r="F2310" s="27">
        <f>IFERROR(IF(OR(C2310="",D2310="",C2310=0),"",D2310/C2310),"")</f>
        <v/>
      </c>
      <c r="G2310" s="21">
        <f>IFERROR(INDEX(Users!$A$2:$A$310,MATCH(A2310,Users!$B$2:$B$310,0)),"")</f>
        <v/>
      </c>
      <c r="H2310" s="21">
        <f>IFERROR(INDEX(Users!$D$2:$D$310,MATCH(A2310,Users!$B$2:$B$310,0)),"")</f>
        <v/>
      </c>
      <c r="I2310" s="19">
        <f>AND(G2310="Service A",H2310="Band 3")</f>
        <v/>
      </c>
      <c r="J2310" s="33">
        <f>IF(AND(YEAR(B2310)=2025,G2310="Service B",OR(H2310="Band 3",H2310="Band 5"),ISNUMBER(F2310)),F2310,"")</f>
        <v/>
      </c>
    </row>
    <row r="2311">
      <c r="A2311" s="19" t="inlineStr">
        <is>
          <t>User1250</t>
        </is>
      </c>
      <c r="B2311" s="60" t="n">
        <v>45658</v>
      </c>
      <c r="C2311" s="21" t="n">
        <v>162.8</v>
      </c>
      <c r="D2311" s="21" t="n">
        <v>41.5</v>
      </c>
      <c r="E2311" s="21" t="n">
        <v>17.5</v>
      </c>
      <c r="F2311" s="27">
        <f>IFERROR(IF(OR(C2311="",D2311="",C2311=0),"",D2311/C2311),"")</f>
        <v/>
      </c>
      <c r="G2311" s="21">
        <f>IFERROR(INDEX(Users!$A$2:$A$310,MATCH(A2311,Users!$B$2:$B$310,0)),"")</f>
        <v/>
      </c>
      <c r="H2311" s="21">
        <f>IFERROR(INDEX(Users!$D$2:$D$310,MATCH(A2311,Users!$B$2:$B$310,0)),"")</f>
        <v/>
      </c>
      <c r="I2311" s="19">
        <f>AND(G2311="Service A",H2311="Band 3")</f>
        <v/>
      </c>
      <c r="J2311" s="33">
        <f>IF(AND(YEAR(B2311)=2025,G2311="Service B",OR(H2311="Band 3",H2311="Band 5"),ISNUMBER(F2311)),F2311,"")</f>
        <v/>
      </c>
    </row>
    <row r="2312">
      <c r="A2312" s="19" t="inlineStr">
        <is>
          <t>User1250</t>
        </is>
      </c>
      <c r="B2312" s="60" t="n">
        <v>45689</v>
      </c>
      <c r="C2312" s="21" t="n">
        <v>148</v>
      </c>
      <c r="D2312" s="21" t="n">
        <v>140</v>
      </c>
      <c r="E2312" s="21" t="n">
        <v>63</v>
      </c>
      <c r="F2312" s="27">
        <f>IFERROR(IF(OR(C2312="",D2312="",C2312=0),"",D2312/C2312),"")</f>
        <v/>
      </c>
      <c r="G2312" s="21">
        <f>IFERROR(INDEX(Users!$A$2:$A$310,MATCH(A2312,Users!$B$2:$B$310,0)),"")</f>
        <v/>
      </c>
      <c r="H2312" s="21">
        <f>IFERROR(INDEX(Users!$D$2:$D$310,MATCH(A2312,Users!$B$2:$B$310,0)),"")</f>
        <v/>
      </c>
      <c r="I2312" s="19">
        <f>AND(G2312="Service A",H2312="Band 3")</f>
        <v/>
      </c>
      <c r="J2312" s="33">
        <f>IF(AND(YEAR(B2312)=2025,G2312="Service B",OR(H2312="Band 3",H2312="Band 5"),ISNUMBER(F2312)),F2312,"")</f>
        <v/>
      </c>
    </row>
    <row r="2313">
      <c r="A2313" s="19" t="inlineStr">
        <is>
          <t>User1250</t>
        </is>
      </c>
      <c r="B2313" s="60" t="n">
        <v>45717</v>
      </c>
      <c r="C2313" s="21" t="n">
        <v>155.4</v>
      </c>
      <c r="D2313" s="21" t="n">
        <v>153.5</v>
      </c>
      <c r="E2313" s="21" t="n">
        <v>118.75</v>
      </c>
      <c r="F2313" s="27">
        <f>IFERROR(IF(OR(C2313="",D2313="",C2313=0),"",D2313/C2313),"")</f>
        <v/>
      </c>
      <c r="G2313" s="21">
        <f>IFERROR(INDEX(Users!$A$2:$A$310,MATCH(A2313,Users!$B$2:$B$310,0)),"")</f>
        <v/>
      </c>
      <c r="H2313" s="21">
        <f>IFERROR(INDEX(Users!$D$2:$D$310,MATCH(A2313,Users!$B$2:$B$310,0)),"")</f>
        <v/>
      </c>
      <c r="I2313" s="19">
        <f>AND(G2313="Service A",H2313="Band 3")</f>
        <v/>
      </c>
      <c r="J2313" s="33">
        <f>IF(AND(YEAR(B2313)=2025,G2313="Service B",OR(H2313="Band 3",H2313="Band 5"),ISNUMBER(F2313)),F2313,"")</f>
        <v/>
      </c>
    </row>
    <row r="2314">
      <c r="A2314" s="19" t="inlineStr">
        <is>
          <t>User1250</t>
        </is>
      </c>
      <c r="B2314" s="60" t="n">
        <v>45748</v>
      </c>
      <c r="C2314" s="21" t="n">
        <v>148</v>
      </c>
      <c r="D2314" s="21" t="n">
        <v>146.5</v>
      </c>
      <c r="E2314" s="21" t="n">
        <v>117.5</v>
      </c>
      <c r="F2314" s="27">
        <f>IFERROR(IF(OR(C2314="",D2314="",C2314=0),"",D2314/C2314),"")</f>
        <v/>
      </c>
      <c r="G2314" s="21">
        <f>IFERROR(INDEX(Users!$A$2:$A$310,MATCH(A2314,Users!$B$2:$B$310,0)),"")</f>
        <v/>
      </c>
      <c r="H2314" s="21">
        <f>IFERROR(INDEX(Users!$D$2:$D$310,MATCH(A2314,Users!$B$2:$B$310,0)),"")</f>
        <v/>
      </c>
      <c r="I2314" s="19">
        <f>AND(G2314="Service A",H2314="Band 3")</f>
        <v/>
      </c>
      <c r="J2314" s="33">
        <f>IF(AND(YEAR(B2314)=2025,G2314="Service B",OR(H2314="Band 3",H2314="Band 5"),ISNUMBER(F2314)),F2314,"")</f>
        <v/>
      </c>
    </row>
    <row r="2315">
      <c r="A2315" s="19" t="inlineStr">
        <is>
          <t>User1250</t>
        </is>
      </c>
      <c r="B2315" s="60" t="n">
        <v>45778</v>
      </c>
      <c r="C2315" s="21" t="n">
        <v>148</v>
      </c>
      <c r="D2315" s="21" t="n">
        <v>130.75</v>
      </c>
      <c r="E2315" s="21" t="n">
        <v>101.25</v>
      </c>
      <c r="F2315" s="27">
        <f>IFERROR(IF(OR(C2315="",D2315="",C2315=0),"",D2315/C2315),"")</f>
        <v/>
      </c>
      <c r="G2315" s="21">
        <f>IFERROR(INDEX(Users!$A$2:$A$310,MATCH(A2315,Users!$B$2:$B$310,0)),"")</f>
        <v/>
      </c>
      <c r="H2315" s="21">
        <f>IFERROR(INDEX(Users!$D$2:$D$310,MATCH(A2315,Users!$B$2:$B$310,0)),"")</f>
        <v/>
      </c>
      <c r="I2315" s="19">
        <f>AND(G2315="Service A",H2315="Band 3")</f>
        <v/>
      </c>
      <c r="J2315" s="33">
        <f>IF(AND(YEAR(B2315)=2025,G2315="Service B",OR(H2315="Band 3",H2315="Band 5"),ISNUMBER(F2315)),F2315,"")</f>
        <v/>
      </c>
    </row>
    <row r="2316">
      <c r="A2316" s="19" t="inlineStr">
        <is>
          <t>User1250</t>
        </is>
      </c>
      <c r="B2316" s="60" t="n">
        <v>45809</v>
      </c>
      <c r="C2316" s="21" t="n">
        <v>155.4</v>
      </c>
      <c r="D2316" s="21" t="n">
        <v>152.03</v>
      </c>
      <c r="E2316" s="21" t="n">
        <v>119.28</v>
      </c>
      <c r="F2316" s="27">
        <f>IFERROR(IF(OR(C2316="",D2316="",C2316=0),"",D2316/C2316),"")</f>
        <v/>
      </c>
      <c r="G2316" s="21">
        <f>IFERROR(INDEX(Users!$A$2:$A$310,MATCH(A2316,Users!$B$2:$B$310,0)),"")</f>
        <v/>
      </c>
      <c r="H2316" s="21">
        <f>IFERROR(INDEX(Users!$D$2:$D$310,MATCH(A2316,Users!$B$2:$B$310,0)),"")</f>
        <v/>
      </c>
      <c r="I2316" s="19">
        <f>AND(G2316="Service A",H2316="Band 3")</f>
        <v/>
      </c>
      <c r="J2316" s="33">
        <f>IF(AND(YEAR(B2316)=2025,G2316="Service B",OR(H2316="Band 3",H2316="Band 5"),ISNUMBER(F2316)),F2316,"")</f>
        <v/>
      </c>
    </row>
    <row r="2317">
      <c r="A2317" s="19" t="inlineStr">
        <is>
          <t>User1250</t>
        </is>
      </c>
      <c r="B2317" s="60" t="n">
        <v>45839</v>
      </c>
      <c r="C2317" s="21" t="n">
        <v>170.2</v>
      </c>
      <c r="D2317" s="21" t="n">
        <v>133.51</v>
      </c>
      <c r="E2317" s="21" t="n">
        <v>110.01</v>
      </c>
      <c r="F2317" s="27">
        <f>IFERROR(IF(OR(C2317="",D2317="",C2317=0),"",D2317/C2317),"")</f>
        <v/>
      </c>
      <c r="G2317" s="21">
        <f>IFERROR(INDEX(Users!$A$2:$A$310,MATCH(A2317,Users!$B$2:$B$310,0)),"")</f>
        <v/>
      </c>
      <c r="H2317" s="21">
        <f>IFERROR(INDEX(Users!$D$2:$D$310,MATCH(A2317,Users!$B$2:$B$310,0)),"")</f>
        <v/>
      </c>
      <c r="I2317" s="19">
        <f>AND(G2317="Service A",H2317="Band 3")</f>
        <v/>
      </c>
      <c r="J2317" s="33">
        <f>IF(AND(YEAR(B2317)=2025,G2317="Service B",OR(H2317="Band 3",H2317="Band 5"),ISNUMBER(F2317)),F2317,"")</f>
        <v/>
      </c>
    </row>
    <row r="2318">
      <c r="A2318" s="19" t="inlineStr">
        <is>
          <t>User1250</t>
        </is>
      </c>
      <c r="B2318" s="60" t="n">
        <v>45870</v>
      </c>
      <c r="C2318" s="21" t="n">
        <v>148</v>
      </c>
      <c r="D2318" s="21" t="n">
        <v>112</v>
      </c>
      <c r="E2318" s="21" t="n">
        <v>34</v>
      </c>
      <c r="F2318" s="27">
        <f>IFERROR(IF(OR(C2318="",D2318="",C2318=0),"",D2318/C2318),"")</f>
        <v/>
      </c>
      <c r="G2318" s="21">
        <f>IFERROR(INDEX(Users!$A$2:$A$310,MATCH(A2318,Users!$B$2:$B$310,0)),"")</f>
        <v/>
      </c>
      <c r="H2318" s="21">
        <f>IFERROR(INDEX(Users!$D$2:$D$310,MATCH(A2318,Users!$B$2:$B$310,0)),"")</f>
        <v/>
      </c>
      <c r="I2318" s="19">
        <f>AND(G2318="Service A",H2318="Band 3")</f>
        <v/>
      </c>
      <c r="J2318" s="33">
        <f>IF(AND(YEAR(B2318)=2025,G2318="Service B",OR(H2318="Band 3",H2318="Band 5"),ISNUMBER(F2318)),F2318,"")</f>
        <v/>
      </c>
    </row>
    <row r="2319">
      <c r="A2319" s="19" t="inlineStr">
        <is>
          <t>User1250</t>
        </is>
      </c>
      <c r="B2319" s="60" t="n">
        <v>45901</v>
      </c>
      <c r="C2319" s="21" t="n">
        <v>162.8</v>
      </c>
      <c r="D2319" s="21" t="n">
        <v>156</v>
      </c>
      <c r="E2319" s="21" t="n">
        <v>53.5</v>
      </c>
      <c r="F2319" s="27">
        <f>IFERROR(IF(OR(C2319="",D2319="",C2319=0),"",D2319/C2319),"")</f>
        <v/>
      </c>
      <c r="G2319" s="21">
        <f>IFERROR(INDEX(Users!$A$2:$A$310,MATCH(A2319,Users!$B$2:$B$310,0)),"")</f>
        <v/>
      </c>
      <c r="H2319" s="21">
        <f>IFERROR(INDEX(Users!$D$2:$D$310,MATCH(A2319,Users!$B$2:$B$310,0)),"")</f>
        <v/>
      </c>
      <c r="I2319" s="19">
        <f>AND(G2319="Service A",H2319="Band 3")</f>
        <v/>
      </c>
      <c r="J2319" s="33">
        <f>IF(AND(YEAR(B2319)=2025,G2319="Service B",OR(H2319="Band 3",H2319="Band 5"),ISNUMBER(F2319)),F2319,"")</f>
        <v/>
      </c>
    </row>
    <row r="2320">
      <c r="A2320" s="19" t="inlineStr">
        <is>
          <t>User1250</t>
        </is>
      </c>
      <c r="B2320" s="60" t="n">
        <v>45931</v>
      </c>
      <c r="C2320" s="21" t="n">
        <v>170.2</v>
      </c>
      <c r="D2320" s="21" t="n">
        <v>175</v>
      </c>
      <c r="E2320" s="21" t="n">
        <v>61.5</v>
      </c>
      <c r="F2320" s="27">
        <f>IFERROR(IF(OR(C2320="",D2320="",C2320=0),"",D2320/C2320),"")</f>
        <v/>
      </c>
      <c r="G2320" s="21">
        <f>IFERROR(INDEX(Users!$A$2:$A$310,MATCH(A2320,Users!$B$2:$B$310,0)),"")</f>
        <v/>
      </c>
      <c r="H2320" s="21">
        <f>IFERROR(INDEX(Users!$D$2:$D$310,MATCH(A2320,Users!$B$2:$B$310,0)),"")</f>
        <v/>
      </c>
      <c r="I2320" s="19">
        <f>AND(G2320="Service A",H2320="Band 3")</f>
        <v/>
      </c>
      <c r="J2320" s="33">
        <f>IF(AND(YEAR(B2320)=2025,G2320="Service B",OR(H2320="Band 3",H2320="Band 5"),ISNUMBER(F2320)),F2320,"")</f>
        <v/>
      </c>
    </row>
    <row r="2321">
      <c r="A2321" s="19" t="inlineStr">
        <is>
          <t>User1250</t>
        </is>
      </c>
      <c r="B2321" s="60" t="n">
        <v>45962</v>
      </c>
      <c r="C2321" s="21" t="n">
        <v>148</v>
      </c>
      <c r="D2321" s="21" t="n">
        <v>136</v>
      </c>
      <c r="E2321" s="21" t="n">
        <v>58.5</v>
      </c>
      <c r="F2321" s="27">
        <f>IFERROR(IF(OR(C2321="",D2321="",C2321=0),"",D2321/C2321),"")</f>
        <v/>
      </c>
      <c r="G2321" s="21">
        <f>IFERROR(INDEX(Users!$A$2:$A$310,MATCH(A2321,Users!$B$2:$B$310,0)),"")</f>
        <v/>
      </c>
      <c r="H2321" s="21">
        <f>IFERROR(INDEX(Users!$D$2:$D$310,MATCH(A2321,Users!$B$2:$B$310,0)),"")</f>
        <v/>
      </c>
      <c r="I2321" s="19">
        <f>AND(G2321="Service A",H2321="Band 3")</f>
        <v/>
      </c>
      <c r="J2321" s="33">
        <f>IF(AND(YEAR(B2321)=2025,G2321="Service B",OR(H2321="Band 3",H2321="Band 5"),ISNUMBER(F2321)),F2321,"")</f>
        <v/>
      </c>
    </row>
    <row r="2322">
      <c r="A2322" s="19" t="inlineStr">
        <is>
          <t>User1250</t>
        </is>
      </c>
      <c r="B2322" s="60" t="n">
        <v>45992</v>
      </c>
      <c r="C2322" s="21" t="n">
        <v>155.4</v>
      </c>
      <c r="D2322" s="21" t="n">
        <v>109.5</v>
      </c>
      <c r="E2322" s="21" t="n">
        <v>51</v>
      </c>
      <c r="F2322" s="27">
        <f>IFERROR(IF(OR(C2322="",D2322="",C2322=0),"",D2322/C2322),"")</f>
        <v/>
      </c>
      <c r="G2322" s="21">
        <f>IFERROR(INDEX(Users!$A$2:$A$310,MATCH(A2322,Users!$B$2:$B$310,0)),"")</f>
        <v/>
      </c>
      <c r="H2322" s="21">
        <f>IFERROR(INDEX(Users!$D$2:$D$310,MATCH(A2322,Users!$B$2:$B$310,0)),"")</f>
        <v/>
      </c>
      <c r="I2322" s="19">
        <f>AND(G2322="Service A",H2322="Band 3")</f>
        <v/>
      </c>
      <c r="J2322" s="33">
        <f>IF(AND(YEAR(B2322)=2025,G2322="Service B",OR(H2322="Band 3",H2322="Band 5"),ISNUMBER(F2322)),F2322,"")</f>
        <v/>
      </c>
    </row>
    <row r="2323">
      <c r="A2323" s="19" t="inlineStr">
        <is>
          <t>User1250</t>
        </is>
      </c>
      <c r="B2323" s="60" t="n">
        <v>46023</v>
      </c>
      <c r="C2323" s="21" t="n">
        <v>155.4</v>
      </c>
      <c r="D2323" s="21" t="n">
        <v>143</v>
      </c>
      <c r="E2323" s="21" t="n">
        <v>77</v>
      </c>
      <c r="F2323" s="27">
        <f>IFERROR(IF(OR(C2323="",D2323="",C2323=0),"",D2323/C2323),"")</f>
        <v/>
      </c>
      <c r="G2323" s="21">
        <f>IFERROR(INDEX(Users!$A$2:$A$310,MATCH(A2323,Users!$B$2:$B$310,0)),"")</f>
        <v/>
      </c>
      <c r="H2323" s="21">
        <f>IFERROR(INDEX(Users!$D$2:$D$310,MATCH(A2323,Users!$B$2:$B$310,0)),"")</f>
        <v/>
      </c>
      <c r="I2323" s="19">
        <f>AND(G2323="Service A",H2323="Band 3")</f>
        <v/>
      </c>
      <c r="J2323" s="33">
        <f>IF(AND(YEAR(B2323)=2025,G2323="Service B",OR(H2323="Band 3",H2323="Band 5"),ISNUMBER(F2323)),F2323,"")</f>
        <v/>
      </c>
    </row>
    <row r="2324">
      <c r="A2324" s="19" t="inlineStr">
        <is>
          <t>User1251</t>
        </is>
      </c>
      <c r="B2324" s="60" t="n">
        <v>45658</v>
      </c>
      <c r="C2324" s="21" t="n">
        <v>162.8</v>
      </c>
      <c r="D2324" s="21" t="n">
        <v>151.5533333333333</v>
      </c>
      <c r="E2324" s="21" t="n">
        <v>59.22</v>
      </c>
      <c r="F2324" s="27">
        <f>IFERROR(IF(OR(C2324="",D2324="",C2324=0),"",D2324/C2324),"")</f>
        <v/>
      </c>
      <c r="G2324" s="21">
        <f>IFERROR(INDEX(Users!$A$2:$A$310,MATCH(A2324,Users!$B$2:$B$310,0)),"")</f>
        <v/>
      </c>
      <c r="H2324" s="21">
        <f>IFERROR(INDEX(Users!$D$2:$D$310,MATCH(A2324,Users!$B$2:$B$310,0)),"")</f>
        <v/>
      </c>
      <c r="I2324" s="19">
        <f>AND(G2324="Service A",H2324="Band 3")</f>
        <v/>
      </c>
      <c r="J2324" s="33">
        <f>IF(AND(YEAR(B2324)=2025,G2324="Service B",OR(H2324="Band 3",H2324="Band 5"),ISNUMBER(F2324)),F2324,"")</f>
        <v/>
      </c>
    </row>
    <row r="2325">
      <c r="A2325" s="19" t="inlineStr">
        <is>
          <t>User1251</t>
        </is>
      </c>
      <c r="B2325" s="60" t="n">
        <v>45689</v>
      </c>
      <c r="C2325" s="21" t="n">
        <v>148</v>
      </c>
      <c r="D2325" s="21" t="n">
        <v>137.9233333333333</v>
      </c>
      <c r="E2325" s="21" t="n">
        <v>42.48999999999999</v>
      </c>
      <c r="F2325" s="27">
        <f>IFERROR(IF(OR(C2325="",D2325="",C2325=0),"",D2325/C2325),"")</f>
        <v/>
      </c>
      <c r="G2325" s="21">
        <f>IFERROR(INDEX(Users!$A$2:$A$310,MATCH(A2325,Users!$B$2:$B$310,0)),"")</f>
        <v/>
      </c>
      <c r="H2325" s="21">
        <f>IFERROR(INDEX(Users!$D$2:$D$310,MATCH(A2325,Users!$B$2:$B$310,0)),"")</f>
        <v/>
      </c>
      <c r="I2325" s="19">
        <f>AND(G2325="Service A",H2325="Band 3")</f>
        <v/>
      </c>
      <c r="J2325" s="33">
        <f>IF(AND(YEAR(B2325)=2025,G2325="Service B",OR(H2325="Band 3",H2325="Band 5"),ISNUMBER(F2325)),F2325,"")</f>
        <v/>
      </c>
    </row>
    <row r="2326">
      <c r="A2326" s="19" t="inlineStr">
        <is>
          <t>User1251</t>
        </is>
      </c>
      <c r="B2326" s="60" t="n">
        <v>45717</v>
      </c>
      <c r="C2326" s="21" t="n">
        <v>155.4</v>
      </c>
      <c r="D2326" s="21" t="n">
        <v>139.4766666666667</v>
      </c>
      <c r="E2326" s="21" t="n">
        <v>41.06000000000002</v>
      </c>
      <c r="F2326" s="27">
        <f>IFERROR(IF(OR(C2326="",D2326="",C2326=0),"",D2326/C2326),"")</f>
        <v/>
      </c>
      <c r="G2326" s="21">
        <f>IFERROR(INDEX(Users!$A$2:$A$310,MATCH(A2326,Users!$B$2:$B$310,0)),"")</f>
        <v/>
      </c>
      <c r="H2326" s="21">
        <f>IFERROR(INDEX(Users!$D$2:$D$310,MATCH(A2326,Users!$B$2:$B$310,0)),"")</f>
        <v/>
      </c>
      <c r="I2326" s="19">
        <f>AND(G2326="Service A",H2326="Band 3")</f>
        <v/>
      </c>
      <c r="J2326" s="33">
        <f>IF(AND(YEAR(B2326)=2025,G2326="Service B",OR(H2326="Band 3",H2326="Band 5"),ISNUMBER(F2326)),F2326,"")</f>
        <v/>
      </c>
    </row>
    <row r="2327">
      <c r="A2327" s="19" t="inlineStr">
        <is>
          <t>User1251</t>
        </is>
      </c>
      <c r="B2327" s="60" t="n">
        <v>45748</v>
      </c>
      <c r="C2327" s="21" t="n">
        <v>148</v>
      </c>
      <c r="D2327" s="21" t="n">
        <v>147.1033333333334</v>
      </c>
      <c r="E2327" s="21" t="n">
        <v>57.62000000000004</v>
      </c>
      <c r="F2327" s="27">
        <f>IFERROR(IF(OR(C2327="",D2327="",C2327=0),"",D2327/C2327),"")</f>
        <v/>
      </c>
      <c r="G2327" s="21">
        <f>IFERROR(INDEX(Users!$A$2:$A$310,MATCH(A2327,Users!$B$2:$B$310,0)),"")</f>
        <v/>
      </c>
      <c r="H2327" s="21">
        <f>IFERROR(INDEX(Users!$D$2:$D$310,MATCH(A2327,Users!$B$2:$B$310,0)),"")</f>
        <v/>
      </c>
      <c r="I2327" s="19">
        <f>AND(G2327="Service A",H2327="Band 3")</f>
        <v/>
      </c>
      <c r="J2327" s="33">
        <f>IF(AND(YEAR(B2327)=2025,G2327="Service B",OR(H2327="Band 3",H2327="Band 5"),ISNUMBER(F2327)),F2327,"")</f>
        <v/>
      </c>
    </row>
    <row r="2328">
      <c r="A2328" s="19" t="inlineStr">
        <is>
          <t>User1251</t>
        </is>
      </c>
      <c r="B2328" s="60" t="n">
        <v>45778</v>
      </c>
      <c r="C2328" s="21" t="n">
        <v>148</v>
      </c>
      <c r="D2328" s="21" t="n">
        <v>132.6</v>
      </c>
      <c r="E2328" s="21" t="n">
        <v>80.40000000000002</v>
      </c>
      <c r="F2328" s="27">
        <f>IFERROR(IF(OR(C2328="",D2328="",C2328=0),"",D2328/C2328),"")</f>
        <v/>
      </c>
      <c r="G2328" s="21">
        <f>IFERROR(INDEX(Users!$A$2:$A$310,MATCH(A2328,Users!$B$2:$B$310,0)),"")</f>
        <v/>
      </c>
      <c r="H2328" s="21">
        <f>IFERROR(INDEX(Users!$D$2:$D$310,MATCH(A2328,Users!$B$2:$B$310,0)),"")</f>
        <v/>
      </c>
      <c r="I2328" s="19">
        <f>AND(G2328="Service A",H2328="Band 3")</f>
        <v/>
      </c>
      <c r="J2328" s="33">
        <f>IF(AND(YEAR(B2328)=2025,G2328="Service B",OR(H2328="Band 3",H2328="Band 5"),ISNUMBER(F2328)),F2328,"")</f>
        <v/>
      </c>
    </row>
    <row r="2329">
      <c r="A2329" s="19" t="inlineStr">
        <is>
          <t>User1251</t>
        </is>
      </c>
      <c r="B2329" s="60" t="n">
        <v>45809</v>
      </c>
      <c r="C2329" s="21" t="n">
        <v>155.4</v>
      </c>
      <c r="D2329" s="21" t="n">
        <v>95.53333333333332</v>
      </c>
      <c r="E2329" s="21" t="n">
        <v>64.84999999999999</v>
      </c>
      <c r="F2329" s="27">
        <f>IFERROR(IF(OR(C2329="",D2329="",C2329=0),"",D2329/C2329),"")</f>
        <v/>
      </c>
      <c r="G2329" s="21">
        <f>IFERROR(INDEX(Users!$A$2:$A$310,MATCH(A2329,Users!$B$2:$B$310,0)),"")</f>
        <v/>
      </c>
      <c r="H2329" s="21">
        <f>IFERROR(INDEX(Users!$D$2:$D$310,MATCH(A2329,Users!$B$2:$B$310,0)),"")</f>
        <v/>
      </c>
      <c r="I2329" s="19">
        <f>AND(G2329="Service A",H2329="Band 3")</f>
        <v/>
      </c>
      <c r="J2329" s="33">
        <f>IF(AND(YEAR(B2329)=2025,G2329="Service B",OR(H2329="Band 3",H2329="Band 5"),ISNUMBER(F2329)),F2329,"")</f>
        <v/>
      </c>
    </row>
    <row r="2330">
      <c r="A2330" s="19" t="inlineStr">
        <is>
          <t>User1251</t>
        </is>
      </c>
      <c r="B2330" s="60" t="n">
        <v>45839</v>
      </c>
      <c r="C2330" s="21" t="n">
        <v>170.2</v>
      </c>
      <c r="D2330" s="21" t="n">
        <v>154.73</v>
      </c>
      <c r="E2330" s="21" t="n">
        <v>93.47999999999999</v>
      </c>
      <c r="F2330" s="27">
        <f>IFERROR(IF(OR(C2330="",D2330="",C2330=0),"",D2330/C2330),"")</f>
        <v/>
      </c>
      <c r="G2330" s="21">
        <f>IFERROR(INDEX(Users!$A$2:$A$310,MATCH(A2330,Users!$B$2:$B$310,0)),"")</f>
        <v/>
      </c>
      <c r="H2330" s="21">
        <f>IFERROR(INDEX(Users!$D$2:$D$310,MATCH(A2330,Users!$B$2:$B$310,0)),"")</f>
        <v/>
      </c>
      <c r="I2330" s="19">
        <f>AND(G2330="Service A",H2330="Band 3")</f>
        <v/>
      </c>
      <c r="J2330" s="33">
        <f>IF(AND(YEAR(B2330)=2025,G2330="Service B",OR(H2330="Band 3",H2330="Band 5"),ISNUMBER(F2330)),F2330,"")</f>
        <v/>
      </c>
    </row>
    <row r="2331">
      <c r="A2331" s="19" t="inlineStr">
        <is>
          <t>User1251</t>
        </is>
      </c>
      <c r="B2331" s="60" t="n">
        <v>45870</v>
      </c>
      <c r="C2331" s="21" t="n">
        <v>148</v>
      </c>
      <c r="D2331" s="21" t="n">
        <v>93.81000000000003</v>
      </c>
      <c r="E2331" s="21" t="n">
        <v>54.36000000000002</v>
      </c>
      <c r="F2331" s="27">
        <f>IFERROR(IF(OR(C2331="",D2331="",C2331=0),"",D2331/C2331),"")</f>
        <v/>
      </c>
      <c r="G2331" s="21">
        <f>IFERROR(INDEX(Users!$A$2:$A$310,MATCH(A2331,Users!$B$2:$B$310,0)),"")</f>
        <v/>
      </c>
      <c r="H2331" s="21">
        <f>IFERROR(INDEX(Users!$D$2:$D$310,MATCH(A2331,Users!$B$2:$B$310,0)),"")</f>
        <v/>
      </c>
      <c r="I2331" s="19">
        <f>AND(G2331="Service A",H2331="Band 3")</f>
        <v/>
      </c>
      <c r="J2331" s="33">
        <f>IF(AND(YEAR(B2331)=2025,G2331="Service B",OR(H2331="Band 3",H2331="Band 5"),ISNUMBER(F2331)),F2331,"")</f>
        <v/>
      </c>
    </row>
    <row r="2332">
      <c r="A2332" s="19" t="inlineStr">
        <is>
          <t>User1251</t>
        </is>
      </c>
      <c r="B2332" s="60" t="n">
        <v>45901</v>
      </c>
      <c r="C2332" s="21" t="n">
        <v>162.8</v>
      </c>
      <c r="D2332" s="21" t="n">
        <v>162.8466666666667</v>
      </c>
      <c r="E2332" s="21" t="n">
        <v>85.38</v>
      </c>
      <c r="F2332" s="27">
        <f>IFERROR(IF(OR(C2332="",D2332="",C2332=0),"",D2332/C2332),"")</f>
        <v/>
      </c>
      <c r="G2332" s="21">
        <f>IFERROR(INDEX(Users!$A$2:$A$310,MATCH(A2332,Users!$B$2:$B$310,0)),"")</f>
        <v/>
      </c>
      <c r="H2332" s="21">
        <f>IFERROR(INDEX(Users!$D$2:$D$310,MATCH(A2332,Users!$B$2:$B$310,0)),"")</f>
        <v/>
      </c>
      <c r="I2332" s="19">
        <f>AND(G2332="Service A",H2332="Band 3")</f>
        <v/>
      </c>
      <c r="J2332" s="33">
        <f>IF(AND(YEAR(B2332)=2025,G2332="Service B",OR(H2332="Band 3",H2332="Band 5"),ISNUMBER(F2332)),F2332,"")</f>
        <v/>
      </c>
    </row>
    <row r="2333">
      <c r="A2333" s="19" t="inlineStr">
        <is>
          <t>User1251</t>
        </is>
      </c>
      <c r="B2333" s="60" t="n">
        <v>45931</v>
      </c>
      <c r="C2333" s="21" t="n">
        <v>170.2</v>
      </c>
      <c r="D2333" s="21" t="n">
        <v>163.2566666666667</v>
      </c>
      <c r="E2333" s="21" t="n">
        <v>101.59</v>
      </c>
      <c r="F2333" s="27">
        <f>IFERROR(IF(OR(C2333="",D2333="",C2333=0),"",D2333/C2333),"")</f>
        <v/>
      </c>
      <c r="G2333" s="21">
        <f>IFERROR(INDEX(Users!$A$2:$A$310,MATCH(A2333,Users!$B$2:$B$310,0)),"")</f>
        <v/>
      </c>
      <c r="H2333" s="21">
        <f>IFERROR(INDEX(Users!$D$2:$D$310,MATCH(A2333,Users!$B$2:$B$310,0)),"")</f>
        <v/>
      </c>
      <c r="I2333" s="19">
        <f>AND(G2333="Service A",H2333="Band 3")</f>
        <v/>
      </c>
      <c r="J2333" s="33">
        <f>IF(AND(YEAR(B2333)=2025,G2333="Service B",OR(H2333="Band 3",H2333="Band 5"),ISNUMBER(F2333)),F2333,"")</f>
        <v/>
      </c>
    </row>
    <row r="2334">
      <c r="A2334" s="19" t="inlineStr">
        <is>
          <t>User1251</t>
        </is>
      </c>
      <c r="B2334" s="60" t="n">
        <v>45962</v>
      </c>
      <c r="C2334" s="21" t="n">
        <v>148</v>
      </c>
      <c r="D2334" s="21" t="n">
        <v>146.51</v>
      </c>
      <c r="E2334" s="21" t="n">
        <v>81.00999999999998</v>
      </c>
      <c r="F2334" s="27">
        <f>IFERROR(IF(OR(C2334="",D2334="",C2334=0),"",D2334/C2334),"")</f>
        <v/>
      </c>
      <c r="G2334" s="21">
        <f>IFERROR(INDEX(Users!$A$2:$A$310,MATCH(A2334,Users!$B$2:$B$310,0)),"")</f>
        <v/>
      </c>
      <c r="H2334" s="21">
        <f>IFERROR(INDEX(Users!$D$2:$D$310,MATCH(A2334,Users!$B$2:$B$310,0)),"")</f>
        <v/>
      </c>
      <c r="I2334" s="19">
        <f>AND(G2334="Service A",H2334="Band 3")</f>
        <v/>
      </c>
      <c r="J2334" s="33">
        <f>IF(AND(YEAR(B2334)=2025,G2334="Service B",OR(H2334="Band 3",H2334="Band 5"),ISNUMBER(F2334)),F2334,"")</f>
        <v/>
      </c>
    </row>
    <row r="2335">
      <c r="A2335" s="19" t="inlineStr">
        <is>
          <t>User1251</t>
        </is>
      </c>
      <c r="B2335" s="60" t="n">
        <v>45992</v>
      </c>
      <c r="C2335" s="21" t="n">
        <v>155.4</v>
      </c>
      <c r="D2335" s="21" t="n">
        <v>133.5933333333333</v>
      </c>
      <c r="E2335" s="21" t="n">
        <v>71.96000000000001</v>
      </c>
      <c r="F2335" s="27">
        <f>IFERROR(IF(OR(C2335="",D2335="",C2335=0),"",D2335/C2335),"")</f>
        <v/>
      </c>
      <c r="G2335" s="21">
        <f>IFERROR(INDEX(Users!$A$2:$A$310,MATCH(A2335,Users!$B$2:$B$310,0)),"")</f>
        <v/>
      </c>
      <c r="H2335" s="21">
        <f>IFERROR(INDEX(Users!$D$2:$D$310,MATCH(A2335,Users!$B$2:$B$310,0)),"")</f>
        <v/>
      </c>
      <c r="I2335" s="19">
        <f>AND(G2335="Service A",H2335="Band 3")</f>
        <v/>
      </c>
      <c r="J2335" s="33">
        <f>IF(AND(YEAR(B2335)=2025,G2335="Service B",OR(H2335="Band 3",H2335="Band 5"),ISNUMBER(F2335)),F2335,"")</f>
        <v/>
      </c>
    </row>
    <row r="2336">
      <c r="A2336" s="19" t="inlineStr">
        <is>
          <t>User1251</t>
        </is>
      </c>
      <c r="B2336" s="60" t="n">
        <v>46023</v>
      </c>
      <c r="C2336" s="21" t="n">
        <v>155.4</v>
      </c>
      <c r="D2336" s="21" t="n">
        <v>140.9833333333333</v>
      </c>
      <c r="E2336" s="21" t="n">
        <v>45.5</v>
      </c>
      <c r="F2336" s="27">
        <f>IFERROR(IF(OR(C2336="",D2336="",C2336=0),"",D2336/C2336),"")</f>
        <v/>
      </c>
      <c r="G2336" s="21">
        <f>IFERROR(INDEX(Users!$A$2:$A$310,MATCH(A2336,Users!$B$2:$B$310,0)),"")</f>
        <v/>
      </c>
      <c r="H2336" s="21">
        <f>IFERROR(INDEX(Users!$D$2:$D$310,MATCH(A2336,Users!$B$2:$B$310,0)),"")</f>
        <v/>
      </c>
      <c r="I2336" s="19">
        <f>AND(G2336="Service A",H2336="Band 3")</f>
        <v/>
      </c>
      <c r="J2336" s="33">
        <f>IF(AND(YEAR(B2336)=2025,G2336="Service B",OR(H2336="Band 3",H2336="Band 5"),ISNUMBER(F2336)),F2336,"")</f>
        <v/>
      </c>
    </row>
    <row r="2337">
      <c r="A2337" s="19" t="inlineStr">
        <is>
          <t>User1252</t>
        </is>
      </c>
      <c r="B2337" s="60" t="n">
        <v>45658</v>
      </c>
      <c r="C2337" s="21" t="n">
        <v>162.8</v>
      </c>
      <c r="D2337" s="21" t="n">
        <v>152.1066666666667</v>
      </c>
      <c r="E2337" s="21" t="n">
        <v>119.94</v>
      </c>
      <c r="F2337" s="27">
        <f>IFERROR(IF(OR(C2337="",D2337="",C2337=0),"",D2337/C2337),"")</f>
        <v/>
      </c>
      <c r="G2337" s="21">
        <f>IFERROR(INDEX(Users!$A$2:$A$310,MATCH(A2337,Users!$B$2:$B$310,0)),"")</f>
        <v/>
      </c>
      <c r="H2337" s="21">
        <f>IFERROR(INDEX(Users!$D$2:$D$310,MATCH(A2337,Users!$B$2:$B$310,0)),"")</f>
        <v/>
      </c>
      <c r="I2337" s="19">
        <f>AND(G2337="Service A",H2337="Band 3")</f>
        <v/>
      </c>
      <c r="J2337" s="33">
        <f>IF(AND(YEAR(B2337)=2025,G2337="Service B",OR(H2337="Band 3",H2337="Band 5"),ISNUMBER(F2337)),F2337,"")</f>
        <v/>
      </c>
    </row>
    <row r="2338">
      <c r="A2338" s="19" t="inlineStr">
        <is>
          <t>User1252</t>
        </is>
      </c>
      <c r="B2338" s="60" t="n">
        <v>45689</v>
      </c>
      <c r="C2338" s="21" t="n">
        <v>148</v>
      </c>
      <c r="D2338" s="21" t="n">
        <v>121.6833333333333</v>
      </c>
      <c r="E2338" s="21" t="n">
        <v>88.35000000000001</v>
      </c>
      <c r="F2338" s="27">
        <f>IFERROR(IF(OR(C2338="",D2338="",C2338=0),"",D2338/C2338),"")</f>
        <v/>
      </c>
      <c r="G2338" s="21">
        <f>IFERROR(INDEX(Users!$A$2:$A$310,MATCH(A2338,Users!$B$2:$B$310,0)),"")</f>
        <v/>
      </c>
      <c r="H2338" s="21">
        <f>IFERROR(INDEX(Users!$D$2:$D$310,MATCH(A2338,Users!$B$2:$B$310,0)),"")</f>
        <v/>
      </c>
      <c r="I2338" s="19">
        <f>AND(G2338="Service A",H2338="Band 3")</f>
        <v/>
      </c>
      <c r="J2338" s="33">
        <f>IF(AND(YEAR(B2338)=2025,G2338="Service B",OR(H2338="Band 3",H2338="Band 5"),ISNUMBER(F2338)),F2338,"")</f>
        <v/>
      </c>
    </row>
    <row r="2339">
      <c r="A2339" s="19" t="inlineStr">
        <is>
          <t>User1252</t>
        </is>
      </c>
      <c r="B2339" s="60" t="n">
        <v>45717</v>
      </c>
      <c r="C2339" s="21" t="n">
        <v>155.4</v>
      </c>
      <c r="D2339" s="21" t="n">
        <v>151.0366666666666</v>
      </c>
      <c r="E2339" s="21" t="n">
        <v>93.36999999999999</v>
      </c>
      <c r="F2339" s="27">
        <f>IFERROR(IF(OR(C2339="",D2339="",C2339=0),"",D2339/C2339),"")</f>
        <v/>
      </c>
      <c r="G2339" s="21">
        <f>IFERROR(INDEX(Users!$A$2:$A$310,MATCH(A2339,Users!$B$2:$B$310,0)),"")</f>
        <v/>
      </c>
      <c r="H2339" s="21">
        <f>IFERROR(INDEX(Users!$D$2:$D$310,MATCH(A2339,Users!$B$2:$B$310,0)),"")</f>
        <v/>
      </c>
      <c r="I2339" s="19">
        <f>AND(G2339="Service A",H2339="Band 3")</f>
        <v/>
      </c>
      <c r="J2339" s="33">
        <f>IF(AND(YEAR(B2339)=2025,G2339="Service B",OR(H2339="Band 3",H2339="Band 5"),ISNUMBER(F2339)),F2339,"")</f>
        <v/>
      </c>
    </row>
    <row r="2340">
      <c r="A2340" s="19" t="inlineStr">
        <is>
          <t>User1252</t>
        </is>
      </c>
      <c r="B2340" s="60" t="n">
        <v>45748</v>
      </c>
      <c r="C2340" s="21" t="n">
        <v>148</v>
      </c>
      <c r="D2340" s="21" t="n">
        <v>107.64</v>
      </c>
      <c r="E2340" s="21" t="n">
        <v>80.64000000000001</v>
      </c>
      <c r="F2340" s="27">
        <f>IFERROR(IF(OR(C2340="",D2340="",C2340=0),"",D2340/C2340),"")</f>
        <v/>
      </c>
      <c r="G2340" s="21">
        <f>IFERROR(INDEX(Users!$A$2:$A$310,MATCH(A2340,Users!$B$2:$B$310,0)),"")</f>
        <v/>
      </c>
      <c r="H2340" s="21">
        <f>IFERROR(INDEX(Users!$D$2:$D$310,MATCH(A2340,Users!$B$2:$B$310,0)),"")</f>
        <v/>
      </c>
      <c r="I2340" s="19">
        <f>AND(G2340="Service A",H2340="Band 3")</f>
        <v/>
      </c>
      <c r="J2340" s="33">
        <f>IF(AND(YEAR(B2340)=2025,G2340="Service B",OR(H2340="Band 3",H2340="Band 5"),ISNUMBER(F2340)),F2340,"")</f>
        <v/>
      </c>
    </row>
    <row r="2341">
      <c r="A2341" s="19" t="inlineStr">
        <is>
          <t>User1252</t>
        </is>
      </c>
      <c r="B2341" s="60" t="n">
        <v>45778</v>
      </c>
      <c r="C2341" s="21" t="n">
        <v>148</v>
      </c>
      <c r="D2341" s="21" t="n">
        <v>133.97</v>
      </c>
      <c r="E2341" s="21" t="n">
        <v>98.42000000000002</v>
      </c>
      <c r="F2341" s="27">
        <f>IFERROR(IF(OR(C2341="",D2341="",C2341=0),"",D2341/C2341),"")</f>
        <v/>
      </c>
      <c r="G2341" s="21">
        <f>IFERROR(INDEX(Users!$A$2:$A$310,MATCH(A2341,Users!$B$2:$B$310,0)),"")</f>
        <v/>
      </c>
      <c r="H2341" s="21">
        <f>IFERROR(INDEX(Users!$D$2:$D$310,MATCH(A2341,Users!$B$2:$B$310,0)),"")</f>
        <v/>
      </c>
      <c r="I2341" s="19">
        <f>AND(G2341="Service A",H2341="Band 3")</f>
        <v/>
      </c>
      <c r="J2341" s="33">
        <f>IF(AND(YEAR(B2341)=2025,G2341="Service B",OR(H2341="Band 3",H2341="Band 5"),ISNUMBER(F2341)),F2341,"")</f>
        <v/>
      </c>
    </row>
    <row r="2342">
      <c r="A2342" s="19" t="inlineStr">
        <is>
          <t>User1252</t>
        </is>
      </c>
      <c r="B2342" s="60" t="n">
        <v>45809</v>
      </c>
      <c r="C2342" s="21" t="n">
        <v>155.4</v>
      </c>
      <c r="D2342" s="21" t="n">
        <v>143.35</v>
      </c>
      <c r="E2342" s="21" t="n">
        <v>104.7</v>
      </c>
      <c r="F2342" s="27">
        <f>IFERROR(IF(OR(C2342="",D2342="",C2342=0),"",D2342/C2342),"")</f>
        <v/>
      </c>
      <c r="G2342" s="21">
        <f>IFERROR(INDEX(Users!$A$2:$A$310,MATCH(A2342,Users!$B$2:$B$310,0)),"")</f>
        <v/>
      </c>
      <c r="H2342" s="21">
        <f>IFERROR(INDEX(Users!$D$2:$D$310,MATCH(A2342,Users!$B$2:$B$310,0)),"")</f>
        <v/>
      </c>
      <c r="I2342" s="19">
        <f>AND(G2342="Service A",H2342="Band 3")</f>
        <v/>
      </c>
      <c r="J2342" s="33">
        <f>IF(AND(YEAR(B2342)=2025,G2342="Service B",OR(H2342="Band 3",H2342="Band 5"),ISNUMBER(F2342)),F2342,"")</f>
        <v/>
      </c>
    </row>
    <row r="2343">
      <c r="A2343" s="19" t="inlineStr">
        <is>
          <t>User1252</t>
        </is>
      </c>
      <c r="B2343" s="60" t="n">
        <v>45839</v>
      </c>
      <c r="C2343" s="21" t="n">
        <v>170.2</v>
      </c>
      <c r="D2343" s="21" t="n">
        <v>154.05</v>
      </c>
      <c r="E2343" s="21" t="n">
        <v>89.40000000000002</v>
      </c>
      <c r="F2343" s="27">
        <f>IFERROR(IF(OR(C2343="",D2343="",C2343=0),"",D2343/C2343),"")</f>
        <v/>
      </c>
      <c r="G2343" s="21">
        <f>IFERROR(INDEX(Users!$A$2:$A$310,MATCH(A2343,Users!$B$2:$B$310,0)),"")</f>
        <v/>
      </c>
      <c r="H2343" s="21">
        <f>IFERROR(INDEX(Users!$D$2:$D$310,MATCH(A2343,Users!$B$2:$B$310,0)),"")</f>
        <v/>
      </c>
      <c r="I2343" s="19">
        <f>AND(G2343="Service A",H2343="Band 3")</f>
        <v/>
      </c>
      <c r="J2343" s="33">
        <f>IF(AND(YEAR(B2343)=2025,G2343="Service B",OR(H2343="Band 3",H2343="Band 5"),ISNUMBER(F2343)),F2343,"")</f>
        <v/>
      </c>
    </row>
    <row r="2344">
      <c r="A2344" s="19" t="inlineStr">
        <is>
          <t>User1252</t>
        </is>
      </c>
      <c r="B2344" s="60" t="n">
        <v>45870</v>
      </c>
      <c r="C2344" s="21" t="n">
        <v>148</v>
      </c>
      <c r="D2344" s="21" t="n">
        <v>130.83</v>
      </c>
      <c r="E2344" s="21" t="n">
        <v>101.83</v>
      </c>
      <c r="F2344" s="27">
        <f>IFERROR(IF(OR(C2344="",D2344="",C2344=0),"",D2344/C2344),"")</f>
        <v/>
      </c>
      <c r="G2344" s="21">
        <f>IFERROR(INDEX(Users!$A$2:$A$310,MATCH(A2344,Users!$B$2:$B$310,0)),"")</f>
        <v/>
      </c>
      <c r="H2344" s="21">
        <f>IFERROR(INDEX(Users!$D$2:$D$310,MATCH(A2344,Users!$B$2:$B$310,0)),"")</f>
        <v/>
      </c>
      <c r="I2344" s="19">
        <f>AND(G2344="Service A",H2344="Band 3")</f>
        <v/>
      </c>
      <c r="J2344" s="33">
        <f>IF(AND(YEAR(B2344)=2025,G2344="Service B",OR(H2344="Band 3",H2344="Band 5"),ISNUMBER(F2344)),F2344,"")</f>
        <v/>
      </c>
    </row>
    <row r="2345">
      <c r="A2345" s="19" t="inlineStr">
        <is>
          <t>User1252</t>
        </is>
      </c>
      <c r="B2345" s="60" t="n">
        <v>45901</v>
      </c>
      <c r="C2345" s="21" t="n">
        <v>162.8</v>
      </c>
      <c r="D2345" s="21" t="n">
        <v>79.02333333333334</v>
      </c>
      <c r="E2345" s="21" t="n">
        <v>58.34000000000001</v>
      </c>
      <c r="F2345" s="27">
        <f>IFERROR(IF(OR(C2345="",D2345="",C2345=0),"",D2345/C2345),"")</f>
        <v/>
      </c>
      <c r="G2345" s="21">
        <f>IFERROR(INDEX(Users!$A$2:$A$310,MATCH(A2345,Users!$B$2:$B$310,0)),"")</f>
        <v/>
      </c>
      <c r="H2345" s="21">
        <f>IFERROR(INDEX(Users!$D$2:$D$310,MATCH(A2345,Users!$B$2:$B$310,0)),"")</f>
        <v/>
      </c>
      <c r="I2345" s="19">
        <f>AND(G2345="Service A",H2345="Band 3")</f>
        <v/>
      </c>
      <c r="J2345" s="33">
        <f>IF(AND(YEAR(B2345)=2025,G2345="Service B",OR(H2345="Band 3",H2345="Band 5"),ISNUMBER(F2345)),F2345,"")</f>
        <v/>
      </c>
    </row>
    <row r="2346">
      <c r="A2346" s="19" t="inlineStr">
        <is>
          <t>User1252</t>
        </is>
      </c>
      <c r="B2346" s="60" t="n">
        <v>45931</v>
      </c>
      <c r="C2346" s="21" t="n">
        <v>170.2</v>
      </c>
      <c r="D2346" s="21" t="n">
        <v>162.7</v>
      </c>
      <c r="E2346" s="21" t="n">
        <v>86.49999999999999</v>
      </c>
      <c r="F2346" s="27">
        <f>IFERROR(IF(OR(C2346="",D2346="",C2346=0),"",D2346/C2346),"")</f>
        <v/>
      </c>
      <c r="G2346" s="21">
        <f>IFERROR(INDEX(Users!$A$2:$A$310,MATCH(A2346,Users!$B$2:$B$310,0)),"")</f>
        <v/>
      </c>
      <c r="H2346" s="21">
        <f>IFERROR(INDEX(Users!$D$2:$D$310,MATCH(A2346,Users!$B$2:$B$310,0)),"")</f>
        <v/>
      </c>
      <c r="I2346" s="19">
        <f>AND(G2346="Service A",H2346="Band 3")</f>
        <v/>
      </c>
      <c r="J2346" s="33">
        <f>IF(AND(YEAR(B2346)=2025,G2346="Service B",OR(H2346="Band 3",H2346="Band 5"),ISNUMBER(F2346)),F2346,"")</f>
        <v/>
      </c>
    </row>
    <row r="2347">
      <c r="A2347" s="19" t="inlineStr">
        <is>
          <t>User1252</t>
        </is>
      </c>
      <c r="B2347" s="60" t="n">
        <v>45962</v>
      </c>
      <c r="C2347" s="21" t="n">
        <v>148</v>
      </c>
      <c r="D2347" s="21" t="n">
        <v>141.7966666666667</v>
      </c>
      <c r="E2347" s="21" t="n">
        <v>93.68000000000004</v>
      </c>
      <c r="F2347" s="27">
        <f>IFERROR(IF(OR(C2347="",D2347="",C2347=0),"",D2347/C2347),"")</f>
        <v/>
      </c>
      <c r="G2347" s="21">
        <f>IFERROR(INDEX(Users!$A$2:$A$310,MATCH(A2347,Users!$B$2:$B$310,0)),"")</f>
        <v/>
      </c>
      <c r="H2347" s="21">
        <f>IFERROR(INDEX(Users!$D$2:$D$310,MATCH(A2347,Users!$B$2:$B$310,0)),"")</f>
        <v/>
      </c>
      <c r="I2347" s="19">
        <f>AND(G2347="Service A",H2347="Band 3")</f>
        <v/>
      </c>
      <c r="J2347" s="33">
        <f>IF(AND(YEAR(B2347)=2025,G2347="Service B",OR(H2347="Band 3",H2347="Band 5"),ISNUMBER(F2347)),F2347,"")</f>
        <v/>
      </c>
    </row>
    <row r="2348">
      <c r="A2348" s="19" t="inlineStr">
        <is>
          <t>User1252</t>
        </is>
      </c>
      <c r="B2348" s="60" t="n">
        <v>45992</v>
      </c>
      <c r="C2348" s="21" t="n">
        <v>155.4</v>
      </c>
      <c r="D2348" s="21" t="n">
        <v>130.42</v>
      </c>
      <c r="E2348" s="21" t="n">
        <v>95.51999999999998</v>
      </c>
      <c r="F2348" s="27">
        <f>IFERROR(IF(OR(C2348="",D2348="",C2348=0),"",D2348/C2348),"")</f>
        <v/>
      </c>
      <c r="G2348" s="21">
        <f>IFERROR(INDEX(Users!$A$2:$A$310,MATCH(A2348,Users!$B$2:$B$310,0)),"")</f>
        <v/>
      </c>
      <c r="H2348" s="21">
        <f>IFERROR(INDEX(Users!$D$2:$D$310,MATCH(A2348,Users!$B$2:$B$310,0)),"")</f>
        <v/>
      </c>
      <c r="I2348" s="19">
        <f>AND(G2348="Service A",H2348="Band 3")</f>
        <v/>
      </c>
      <c r="J2348" s="33">
        <f>IF(AND(YEAR(B2348)=2025,G2348="Service B",OR(H2348="Band 3",H2348="Band 5"),ISNUMBER(F2348)),F2348,"")</f>
        <v/>
      </c>
    </row>
    <row r="2349">
      <c r="A2349" s="19" t="inlineStr">
        <is>
          <t>User1252</t>
        </is>
      </c>
      <c r="B2349" s="60" t="n">
        <v>46023</v>
      </c>
      <c r="C2349" s="21" t="n">
        <v>155.4</v>
      </c>
      <c r="D2349" s="21" t="n">
        <v>143.5833333333334</v>
      </c>
      <c r="E2349" s="21" t="n">
        <v>88.80000000000005</v>
      </c>
      <c r="F2349" s="27">
        <f>IFERROR(IF(OR(C2349="",D2349="",C2349=0),"",D2349/C2349),"")</f>
        <v/>
      </c>
      <c r="G2349" s="21">
        <f>IFERROR(INDEX(Users!$A$2:$A$310,MATCH(A2349,Users!$B$2:$B$310,0)),"")</f>
        <v/>
      </c>
      <c r="H2349" s="21">
        <f>IFERROR(INDEX(Users!$D$2:$D$310,MATCH(A2349,Users!$B$2:$B$310,0)),"")</f>
        <v/>
      </c>
      <c r="I2349" s="19">
        <f>AND(G2349="Service A",H2349="Band 3")</f>
        <v/>
      </c>
      <c r="J2349" s="33">
        <f>IF(AND(YEAR(B2349)=2025,G2349="Service B",OR(H2349="Band 3",H2349="Band 5"),ISNUMBER(F2349)),F2349,"")</f>
        <v/>
      </c>
    </row>
    <row r="2350">
      <c r="A2350" s="19" t="inlineStr">
        <is>
          <t>User1253</t>
        </is>
      </c>
      <c r="B2350" s="60" t="n">
        <v>45689</v>
      </c>
      <c r="C2350" s="21" t="n">
        <v>37</v>
      </c>
      <c r="D2350" s="21" t="n"/>
      <c r="E2350" s="21" t="n"/>
      <c r="F2350" s="27">
        <f>IFERROR(IF(OR(C2350="",D2350="",C2350=0),"",D2350/C2350),"")</f>
        <v/>
      </c>
      <c r="G2350" s="21">
        <f>IFERROR(INDEX(Users!$A$2:$A$310,MATCH(A2350,Users!$B$2:$B$310,0)),"")</f>
        <v/>
      </c>
      <c r="H2350" s="21">
        <f>IFERROR(INDEX(Users!$D$2:$D$310,MATCH(A2350,Users!$B$2:$B$310,0)),"")</f>
        <v/>
      </c>
      <c r="I2350" s="19">
        <f>AND(G2350="Service A",H2350="Band 3")</f>
        <v/>
      </c>
      <c r="J2350" s="33">
        <f>IF(AND(YEAR(B2350)=2025,G2350="Service B",OR(H2350="Band 3",H2350="Band 5"),ISNUMBER(F2350)),F2350,"")</f>
        <v/>
      </c>
    </row>
    <row r="2351">
      <c r="A2351" s="19" t="inlineStr">
        <is>
          <t>User1253</t>
        </is>
      </c>
      <c r="B2351" s="60" t="n">
        <v>45717</v>
      </c>
      <c r="C2351" s="21" t="n">
        <v>155.4000000000001</v>
      </c>
      <c r="D2351" s="21" t="n"/>
      <c r="E2351" s="21" t="n"/>
      <c r="F2351" s="27">
        <f>IFERROR(IF(OR(C2351="",D2351="",C2351=0),"",D2351/C2351),"")</f>
        <v/>
      </c>
      <c r="G2351" s="21">
        <f>IFERROR(INDEX(Users!$A$2:$A$310,MATCH(A2351,Users!$B$2:$B$310,0)),"")</f>
        <v/>
      </c>
      <c r="H2351" s="21">
        <f>IFERROR(INDEX(Users!$D$2:$D$310,MATCH(A2351,Users!$B$2:$B$310,0)),"")</f>
        <v/>
      </c>
      <c r="I2351" s="19">
        <f>AND(G2351="Service A",H2351="Band 3")</f>
        <v/>
      </c>
      <c r="J2351" s="33">
        <f>IF(AND(YEAR(B2351)=2025,G2351="Service B",OR(H2351="Band 3",H2351="Band 5"),ISNUMBER(F2351)),F2351,"")</f>
        <v/>
      </c>
    </row>
    <row r="2352">
      <c r="A2352" s="19" t="inlineStr">
        <is>
          <t>User1253</t>
        </is>
      </c>
      <c r="B2352" s="60" t="n">
        <v>45748</v>
      </c>
      <c r="C2352" s="21" t="n">
        <v>148.0000000000001</v>
      </c>
      <c r="D2352" s="21" t="n">
        <v>121.07</v>
      </c>
      <c r="E2352" s="21" t="n">
        <v>2.67</v>
      </c>
      <c r="F2352" s="27">
        <f>IFERROR(IF(OR(C2352="",D2352="",C2352=0),"",D2352/C2352),"")</f>
        <v/>
      </c>
      <c r="G2352" s="21">
        <f>IFERROR(INDEX(Users!$A$2:$A$310,MATCH(A2352,Users!$B$2:$B$310,0)),"")</f>
        <v/>
      </c>
      <c r="H2352" s="21">
        <f>IFERROR(INDEX(Users!$D$2:$D$310,MATCH(A2352,Users!$B$2:$B$310,0)),"")</f>
        <v/>
      </c>
      <c r="I2352" s="19">
        <f>AND(G2352="Service A",H2352="Band 3")</f>
        <v/>
      </c>
      <c r="J2352" s="33">
        <f>IF(AND(YEAR(B2352)=2025,G2352="Service B",OR(H2352="Band 3",H2352="Band 5"),ISNUMBER(F2352)),F2352,"")</f>
        <v/>
      </c>
    </row>
    <row r="2353">
      <c r="A2353" s="19" t="inlineStr">
        <is>
          <t>User1253</t>
        </is>
      </c>
      <c r="B2353" s="60" t="n">
        <v>45778</v>
      </c>
      <c r="C2353" s="21" t="n">
        <v>148.0000000000001</v>
      </c>
      <c r="D2353" s="21" t="n">
        <v>136.6233333333333</v>
      </c>
      <c r="E2353" s="21" t="n">
        <v>11.34</v>
      </c>
      <c r="F2353" s="27">
        <f>IFERROR(IF(OR(C2353="",D2353="",C2353=0),"",D2353/C2353),"")</f>
        <v/>
      </c>
      <c r="G2353" s="21">
        <f>IFERROR(INDEX(Users!$A$2:$A$310,MATCH(A2353,Users!$B$2:$B$310,0)),"")</f>
        <v/>
      </c>
      <c r="H2353" s="21">
        <f>IFERROR(INDEX(Users!$D$2:$D$310,MATCH(A2353,Users!$B$2:$B$310,0)),"")</f>
        <v/>
      </c>
      <c r="I2353" s="19">
        <f>AND(G2353="Service A",H2353="Band 3")</f>
        <v/>
      </c>
      <c r="J2353" s="33">
        <f>IF(AND(YEAR(B2353)=2025,G2353="Service B",OR(H2353="Band 3",H2353="Band 5"),ISNUMBER(F2353)),F2353,"")</f>
        <v/>
      </c>
    </row>
    <row r="2354">
      <c r="A2354" s="19" t="inlineStr">
        <is>
          <t>User1253</t>
        </is>
      </c>
      <c r="B2354" s="60" t="n">
        <v>45809</v>
      </c>
      <c r="C2354" s="21" t="n">
        <v>155.4000000000001</v>
      </c>
      <c r="D2354" s="21" t="n">
        <v>75.25666666666667</v>
      </c>
      <c r="E2354" s="21" t="n">
        <v>3.84</v>
      </c>
      <c r="F2354" s="27">
        <f>IFERROR(IF(OR(C2354="",D2354="",C2354=0),"",D2354/C2354),"")</f>
        <v/>
      </c>
      <c r="G2354" s="21">
        <f>IFERROR(INDEX(Users!$A$2:$A$310,MATCH(A2354,Users!$B$2:$B$310,0)),"")</f>
        <v/>
      </c>
      <c r="H2354" s="21">
        <f>IFERROR(INDEX(Users!$D$2:$D$310,MATCH(A2354,Users!$B$2:$B$310,0)),"")</f>
        <v/>
      </c>
      <c r="I2354" s="19">
        <f>AND(G2354="Service A",H2354="Band 3")</f>
        <v/>
      </c>
      <c r="J2354" s="33">
        <f>IF(AND(YEAR(B2354)=2025,G2354="Service B",OR(H2354="Band 3",H2354="Band 5"),ISNUMBER(F2354)),F2354,"")</f>
        <v/>
      </c>
    </row>
    <row r="2355">
      <c r="A2355" s="19" t="inlineStr">
        <is>
          <t>User1253</t>
        </is>
      </c>
      <c r="B2355" s="60" t="n">
        <v>45839</v>
      </c>
      <c r="C2355" s="21" t="n">
        <v>170.2000000000001</v>
      </c>
      <c r="D2355" s="21" t="n">
        <v>170.0833333333333</v>
      </c>
      <c r="E2355" s="21" t="n">
        <v>68.5</v>
      </c>
      <c r="F2355" s="27">
        <f>IFERROR(IF(OR(C2355="",D2355="",C2355=0),"",D2355/C2355),"")</f>
        <v/>
      </c>
      <c r="G2355" s="21">
        <f>IFERROR(INDEX(Users!$A$2:$A$310,MATCH(A2355,Users!$B$2:$B$310,0)),"")</f>
        <v/>
      </c>
      <c r="H2355" s="21">
        <f>IFERROR(INDEX(Users!$D$2:$D$310,MATCH(A2355,Users!$B$2:$B$310,0)),"")</f>
        <v/>
      </c>
      <c r="I2355" s="19">
        <f>AND(G2355="Service A",H2355="Band 3")</f>
        <v/>
      </c>
      <c r="J2355" s="33">
        <f>IF(AND(YEAR(B2355)=2025,G2355="Service B",OR(H2355="Band 3",H2355="Band 5"),ISNUMBER(F2355)),F2355,"")</f>
        <v/>
      </c>
    </row>
    <row r="2356">
      <c r="A2356" s="19" t="inlineStr">
        <is>
          <t>User1253</t>
        </is>
      </c>
      <c r="B2356" s="60" t="n">
        <v>45870</v>
      </c>
      <c r="C2356" s="21" t="n">
        <v>148.0000000000001</v>
      </c>
      <c r="D2356" s="21" t="n">
        <v>152.06</v>
      </c>
      <c r="E2356" s="21" t="n">
        <v>85.81000000000002</v>
      </c>
      <c r="F2356" s="27">
        <f>IFERROR(IF(OR(C2356="",D2356="",C2356=0),"",D2356/C2356),"")</f>
        <v/>
      </c>
      <c r="G2356" s="21">
        <f>IFERROR(INDEX(Users!$A$2:$A$310,MATCH(A2356,Users!$B$2:$B$310,0)),"")</f>
        <v/>
      </c>
      <c r="H2356" s="21">
        <f>IFERROR(INDEX(Users!$D$2:$D$310,MATCH(A2356,Users!$B$2:$B$310,0)),"")</f>
        <v/>
      </c>
      <c r="I2356" s="19">
        <f>AND(G2356="Service A",H2356="Band 3")</f>
        <v/>
      </c>
      <c r="J2356" s="33">
        <f>IF(AND(YEAR(B2356)=2025,G2356="Service B",OR(H2356="Band 3",H2356="Band 5"),ISNUMBER(F2356)),F2356,"")</f>
        <v/>
      </c>
    </row>
    <row r="2357">
      <c r="A2357" s="19" t="inlineStr">
        <is>
          <t>User1253</t>
        </is>
      </c>
      <c r="B2357" s="60" t="n">
        <v>45901</v>
      </c>
      <c r="C2357" s="21" t="n">
        <v>162.8000000000001</v>
      </c>
      <c r="D2357" s="21" t="n">
        <v>168.46</v>
      </c>
      <c r="E2357" s="21" t="n">
        <v>91.71000000000002</v>
      </c>
      <c r="F2357" s="27">
        <f>IFERROR(IF(OR(C2357="",D2357="",C2357=0),"",D2357/C2357),"")</f>
        <v/>
      </c>
      <c r="G2357" s="21">
        <f>IFERROR(INDEX(Users!$A$2:$A$310,MATCH(A2357,Users!$B$2:$B$310,0)),"")</f>
        <v/>
      </c>
      <c r="H2357" s="21">
        <f>IFERROR(INDEX(Users!$D$2:$D$310,MATCH(A2357,Users!$B$2:$B$310,0)),"")</f>
        <v/>
      </c>
      <c r="I2357" s="19">
        <f>AND(G2357="Service A",H2357="Band 3")</f>
        <v/>
      </c>
      <c r="J2357" s="33">
        <f>IF(AND(YEAR(B2357)=2025,G2357="Service B",OR(H2357="Band 3",H2357="Band 5"),ISNUMBER(F2357)),F2357,"")</f>
        <v/>
      </c>
    </row>
    <row r="2358">
      <c r="A2358" s="19" t="inlineStr">
        <is>
          <t>User1253</t>
        </is>
      </c>
      <c r="B2358" s="60" t="n">
        <v>45931</v>
      </c>
      <c r="C2358" s="21" t="n">
        <v>170.2000000000001</v>
      </c>
      <c r="D2358" s="21" t="n">
        <v>176.91</v>
      </c>
      <c r="E2358" s="21" t="n">
        <v>95.66</v>
      </c>
      <c r="F2358" s="27">
        <f>IFERROR(IF(OR(C2358="",D2358="",C2358=0),"",D2358/C2358),"")</f>
        <v/>
      </c>
      <c r="G2358" s="21">
        <f>IFERROR(INDEX(Users!$A$2:$A$310,MATCH(A2358,Users!$B$2:$B$310,0)),"")</f>
        <v/>
      </c>
      <c r="H2358" s="21">
        <f>IFERROR(INDEX(Users!$D$2:$D$310,MATCH(A2358,Users!$B$2:$B$310,0)),"")</f>
        <v/>
      </c>
      <c r="I2358" s="19">
        <f>AND(G2358="Service A",H2358="Band 3")</f>
        <v/>
      </c>
      <c r="J2358" s="33">
        <f>IF(AND(YEAR(B2358)=2025,G2358="Service B",OR(H2358="Band 3",H2358="Band 5"),ISNUMBER(F2358)),F2358,"")</f>
        <v/>
      </c>
    </row>
    <row r="2359">
      <c r="A2359" s="19" t="inlineStr">
        <is>
          <t>User1253</t>
        </is>
      </c>
      <c r="B2359" s="60" t="n">
        <v>45962</v>
      </c>
      <c r="C2359" s="21" t="n">
        <v>148.0000000000001</v>
      </c>
      <c r="D2359" s="21" t="n">
        <v>15</v>
      </c>
      <c r="E2359" s="21" t="n">
        <v>7.25</v>
      </c>
      <c r="F2359" s="27">
        <f>IFERROR(IF(OR(C2359="",D2359="",C2359=0),"",D2359/C2359),"")</f>
        <v/>
      </c>
      <c r="G2359" s="21">
        <f>IFERROR(INDEX(Users!$A$2:$A$310,MATCH(A2359,Users!$B$2:$B$310,0)),"")</f>
        <v/>
      </c>
      <c r="H2359" s="21">
        <f>IFERROR(INDEX(Users!$D$2:$D$310,MATCH(A2359,Users!$B$2:$B$310,0)),"")</f>
        <v/>
      </c>
      <c r="I2359" s="19">
        <f>AND(G2359="Service A",H2359="Band 3")</f>
        <v/>
      </c>
      <c r="J2359" s="33">
        <f>IF(AND(YEAR(B2359)=2025,G2359="Service B",OR(H2359="Band 3",H2359="Band 5"),ISNUMBER(F2359)),F2359,"")</f>
        <v/>
      </c>
    </row>
    <row r="2360">
      <c r="A2360" s="19" t="inlineStr">
        <is>
          <t>User1253</t>
        </is>
      </c>
      <c r="B2360" s="60" t="n">
        <v>45992</v>
      </c>
      <c r="C2360" s="21" t="n">
        <v>155.4000000000001</v>
      </c>
      <c r="D2360" s="21" t="n"/>
      <c r="E2360" s="21" t="n"/>
      <c r="F2360" s="27">
        <f>IFERROR(IF(OR(C2360="",D2360="",C2360=0),"",D2360/C2360),"")</f>
        <v/>
      </c>
      <c r="G2360" s="21">
        <f>IFERROR(INDEX(Users!$A$2:$A$310,MATCH(A2360,Users!$B$2:$B$310,0)),"")</f>
        <v/>
      </c>
      <c r="H2360" s="21">
        <f>IFERROR(INDEX(Users!$D$2:$D$310,MATCH(A2360,Users!$B$2:$B$310,0)),"")</f>
        <v/>
      </c>
      <c r="I2360" s="19">
        <f>AND(G2360="Service A",H2360="Band 3")</f>
        <v/>
      </c>
      <c r="J2360" s="33">
        <f>IF(AND(YEAR(B2360)=2025,G2360="Service B",OR(H2360="Band 3",H2360="Band 5"),ISNUMBER(F2360)),F2360,"")</f>
        <v/>
      </c>
    </row>
    <row r="2361">
      <c r="A2361" s="19" t="inlineStr">
        <is>
          <t>User1253</t>
        </is>
      </c>
      <c r="B2361" s="60" t="n">
        <v>46023</v>
      </c>
      <c r="C2361" s="21" t="n">
        <v>155.4000000000001</v>
      </c>
      <c r="D2361" s="21" t="n"/>
      <c r="E2361" s="21" t="n"/>
      <c r="F2361" s="27">
        <f>IFERROR(IF(OR(C2361="",D2361="",C2361=0),"",D2361/C2361),"")</f>
        <v/>
      </c>
      <c r="G2361" s="21">
        <f>IFERROR(INDEX(Users!$A$2:$A$310,MATCH(A2361,Users!$B$2:$B$310,0)),"")</f>
        <v/>
      </c>
      <c r="H2361" s="21">
        <f>IFERROR(INDEX(Users!$D$2:$D$310,MATCH(A2361,Users!$B$2:$B$310,0)),"")</f>
        <v/>
      </c>
      <c r="I2361" s="19">
        <f>AND(G2361="Service A",H2361="Band 3")</f>
        <v/>
      </c>
      <c r="J2361" s="33">
        <f>IF(AND(YEAR(B2361)=2025,G2361="Service B",OR(H2361="Band 3",H2361="Band 5"),ISNUMBER(F2361)),F2361,"")</f>
        <v/>
      </c>
    </row>
    <row r="2362">
      <c r="A2362" s="19" t="inlineStr">
        <is>
          <t>User1254</t>
        </is>
      </c>
      <c r="B2362" s="60" t="n">
        <v>45658</v>
      </c>
      <c r="C2362" s="21" t="n">
        <v>162.8</v>
      </c>
      <c r="D2362" s="21" t="n">
        <v>162.6766666666667</v>
      </c>
      <c r="E2362" s="21" t="n">
        <v>56.36</v>
      </c>
      <c r="F2362" s="27">
        <f>IFERROR(IF(OR(C2362="",D2362="",C2362=0),"",D2362/C2362),"")</f>
        <v/>
      </c>
      <c r="G2362" s="21">
        <f>IFERROR(INDEX(Users!$A$2:$A$310,MATCH(A2362,Users!$B$2:$B$310,0)),"")</f>
        <v/>
      </c>
      <c r="H2362" s="21">
        <f>IFERROR(INDEX(Users!$D$2:$D$310,MATCH(A2362,Users!$B$2:$B$310,0)),"")</f>
        <v/>
      </c>
      <c r="I2362" s="19">
        <f>AND(G2362="Service A",H2362="Band 3")</f>
        <v/>
      </c>
      <c r="J2362" s="33">
        <f>IF(AND(YEAR(B2362)=2025,G2362="Service B",OR(H2362="Band 3",H2362="Band 5"),ISNUMBER(F2362)),F2362,"")</f>
        <v/>
      </c>
    </row>
    <row r="2363">
      <c r="A2363" s="19" t="inlineStr">
        <is>
          <t>User1254</t>
        </is>
      </c>
      <c r="B2363" s="60" t="n">
        <v>45689</v>
      </c>
      <c r="C2363" s="21" t="n">
        <v>148</v>
      </c>
      <c r="D2363" s="21" t="n">
        <v>139.57</v>
      </c>
      <c r="E2363" s="21" t="n">
        <v>58.06999999999998</v>
      </c>
      <c r="F2363" s="27">
        <f>IFERROR(IF(OR(C2363="",D2363="",C2363=0),"",D2363/C2363),"")</f>
        <v/>
      </c>
      <c r="G2363" s="21">
        <f>IFERROR(INDEX(Users!$A$2:$A$310,MATCH(A2363,Users!$B$2:$B$310,0)),"")</f>
        <v/>
      </c>
      <c r="H2363" s="21">
        <f>IFERROR(INDEX(Users!$D$2:$D$310,MATCH(A2363,Users!$B$2:$B$310,0)),"")</f>
        <v/>
      </c>
      <c r="I2363" s="19">
        <f>AND(G2363="Service A",H2363="Band 3")</f>
        <v/>
      </c>
      <c r="J2363" s="33">
        <f>IF(AND(YEAR(B2363)=2025,G2363="Service B",OR(H2363="Band 3",H2363="Band 5"),ISNUMBER(F2363)),F2363,"")</f>
        <v/>
      </c>
    </row>
    <row r="2364">
      <c r="A2364" s="19" t="inlineStr">
        <is>
          <t>User1254</t>
        </is>
      </c>
      <c r="B2364" s="60" t="n">
        <v>45717</v>
      </c>
      <c r="C2364" s="21" t="n">
        <v>155.4</v>
      </c>
      <c r="D2364" s="21" t="n">
        <v>150.2199999999999</v>
      </c>
      <c r="E2364" s="21" t="n">
        <v>79.71999999999994</v>
      </c>
      <c r="F2364" s="27">
        <f>IFERROR(IF(OR(C2364="",D2364="",C2364=0),"",D2364/C2364),"")</f>
        <v/>
      </c>
      <c r="G2364" s="21">
        <f>IFERROR(INDEX(Users!$A$2:$A$310,MATCH(A2364,Users!$B$2:$B$310,0)),"")</f>
        <v/>
      </c>
      <c r="H2364" s="21">
        <f>IFERROR(INDEX(Users!$D$2:$D$310,MATCH(A2364,Users!$B$2:$B$310,0)),"")</f>
        <v/>
      </c>
      <c r="I2364" s="19">
        <f>AND(G2364="Service A",H2364="Band 3")</f>
        <v/>
      </c>
      <c r="J2364" s="33">
        <f>IF(AND(YEAR(B2364)=2025,G2364="Service B",OR(H2364="Band 3",H2364="Band 5"),ISNUMBER(F2364)),F2364,"")</f>
        <v/>
      </c>
    </row>
    <row r="2365">
      <c r="A2365" s="19" t="inlineStr">
        <is>
          <t>User1254</t>
        </is>
      </c>
      <c r="B2365" s="60" t="n">
        <v>45748</v>
      </c>
      <c r="C2365" s="21" t="n">
        <v>148</v>
      </c>
      <c r="D2365" s="21" t="n">
        <v>149.9933333333333</v>
      </c>
      <c r="E2365" s="21" t="n">
        <v>65.66</v>
      </c>
      <c r="F2365" s="27">
        <f>IFERROR(IF(OR(C2365="",D2365="",C2365=0),"",D2365/C2365),"")</f>
        <v/>
      </c>
      <c r="G2365" s="21">
        <f>IFERROR(INDEX(Users!$A$2:$A$310,MATCH(A2365,Users!$B$2:$B$310,0)),"")</f>
        <v/>
      </c>
      <c r="H2365" s="21">
        <f>IFERROR(INDEX(Users!$D$2:$D$310,MATCH(A2365,Users!$B$2:$B$310,0)),"")</f>
        <v/>
      </c>
      <c r="I2365" s="19">
        <f>AND(G2365="Service A",H2365="Band 3")</f>
        <v/>
      </c>
      <c r="J2365" s="33">
        <f>IF(AND(YEAR(B2365)=2025,G2365="Service B",OR(H2365="Band 3",H2365="Band 5"),ISNUMBER(F2365)),F2365,"")</f>
        <v/>
      </c>
    </row>
    <row r="2366">
      <c r="A2366" s="19" t="inlineStr">
        <is>
          <t>User1254</t>
        </is>
      </c>
      <c r="B2366" s="60" t="n">
        <v>45778</v>
      </c>
      <c r="C2366" s="21" t="n">
        <v>14.8</v>
      </c>
      <c r="D2366" s="21" t="n">
        <v>14.96666666666667</v>
      </c>
      <c r="E2366" s="21" t="n">
        <v>6.800000000000002</v>
      </c>
      <c r="F2366" s="27">
        <f>IFERROR(IF(OR(C2366="",D2366="",C2366=0),"",D2366/C2366),"")</f>
        <v/>
      </c>
      <c r="G2366" s="21">
        <f>IFERROR(INDEX(Users!$A$2:$A$310,MATCH(A2366,Users!$B$2:$B$310,0)),"")</f>
        <v/>
      </c>
      <c r="H2366" s="21">
        <f>IFERROR(INDEX(Users!$D$2:$D$310,MATCH(A2366,Users!$B$2:$B$310,0)),"")</f>
        <v/>
      </c>
      <c r="I2366" s="19">
        <f>AND(G2366="Service A",H2366="Band 3")</f>
        <v/>
      </c>
      <c r="J2366" s="33">
        <f>IF(AND(YEAR(B2366)=2025,G2366="Service B",OR(H2366="Band 3",H2366="Band 5"),ISNUMBER(F2366)),F2366,"")</f>
        <v/>
      </c>
    </row>
    <row r="2367">
      <c r="A2367" s="19" t="inlineStr">
        <is>
          <t>User1255</t>
        </is>
      </c>
      <c r="B2367" s="60" t="n">
        <v>45658</v>
      </c>
      <c r="C2367" s="21" t="n">
        <v>166.5</v>
      </c>
      <c r="D2367" s="21" t="n">
        <v>162.82</v>
      </c>
      <c r="E2367" s="21" t="n">
        <v>77.02</v>
      </c>
      <c r="F2367" s="27">
        <f>IFERROR(IF(OR(C2367="",D2367="",C2367=0),"",D2367/C2367),"")</f>
        <v/>
      </c>
      <c r="G2367" s="21">
        <f>IFERROR(INDEX(Users!$A$2:$A$310,MATCH(A2367,Users!$B$2:$B$310,0)),"")</f>
        <v/>
      </c>
      <c r="H2367" s="21">
        <f>IFERROR(INDEX(Users!$D$2:$D$310,MATCH(A2367,Users!$B$2:$B$310,0)),"")</f>
        <v/>
      </c>
      <c r="I2367" s="19">
        <f>AND(G2367="Service A",H2367="Band 3")</f>
        <v/>
      </c>
      <c r="J2367" s="33">
        <f>IF(AND(YEAR(B2367)=2025,G2367="Service B",OR(H2367="Band 3",H2367="Band 5"),ISNUMBER(F2367)),F2367,"")</f>
        <v/>
      </c>
    </row>
    <row r="2368">
      <c r="A2368" s="19" t="inlineStr">
        <is>
          <t>User1255</t>
        </is>
      </c>
      <c r="B2368" s="60" t="n">
        <v>45689</v>
      </c>
      <c r="C2368" s="21" t="n">
        <v>148</v>
      </c>
      <c r="D2368" s="21" t="n">
        <v>81.13</v>
      </c>
      <c r="E2368" s="21" t="n">
        <v>54.13</v>
      </c>
      <c r="F2368" s="27">
        <f>IFERROR(IF(OR(C2368="",D2368="",C2368=0),"",D2368/C2368),"")</f>
        <v/>
      </c>
      <c r="G2368" s="21">
        <f>IFERROR(INDEX(Users!$A$2:$A$310,MATCH(A2368,Users!$B$2:$B$310,0)),"")</f>
        <v/>
      </c>
      <c r="H2368" s="21">
        <f>IFERROR(INDEX(Users!$D$2:$D$310,MATCH(A2368,Users!$B$2:$B$310,0)),"")</f>
        <v/>
      </c>
      <c r="I2368" s="19">
        <f>AND(G2368="Service A",H2368="Band 3")</f>
        <v/>
      </c>
      <c r="J2368" s="33">
        <f>IF(AND(YEAR(B2368)=2025,G2368="Service B",OR(H2368="Band 3",H2368="Band 5"),ISNUMBER(F2368)),F2368,"")</f>
        <v/>
      </c>
    </row>
    <row r="2369">
      <c r="A2369" s="19" t="inlineStr">
        <is>
          <t>User1255</t>
        </is>
      </c>
      <c r="B2369" s="60" t="n">
        <v>45717</v>
      </c>
      <c r="C2369" s="21" t="n">
        <v>148</v>
      </c>
      <c r="D2369" s="21" t="n">
        <v>156.51</v>
      </c>
      <c r="E2369" s="21" t="n">
        <v>122.01</v>
      </c>
      <c r="F2369" s="27">
        <f>IFERROR(IF(OR(C2369="",D2369="",C2369=0),"",D2369/C2369),"")</f>
        <v/>
      </c>
      <c r="G2369" s="21">
        <f>IFERROR(INDEX(Users!$A$2:$A$310,MATCH(A2369,Users!$B$2:$B$310,0)),"")</f>
        <v/>
      </c>
      <c r="H2369" s="21">
        <f>IFERROR(INDEX(Users!$D$2:$D$310,MATCH(A2369,Users!$B$2:$B$310,0)),"")</f>
        <v/>
      </c>
      <c r="I2369" s="19">
        <f>AND(G2369="Service A",H2369="Band 3")</f>
        <v/>
      </c>
      <c r="J2369" s="33">
        <f>IF(AND(YEAR(B2369)=2025,G2369="Service B",OR(H2369="Band 3",H2369="Band 5"),ISNUMBER(F2369)),F2369,"")</f>
        <v/>
      </c>
    </row>
    <row r="2370">
      <c r="A2370" s="19" t="inlineStr">
        <is>
          <t>User1255</t>
        </is>
      </c>
      <c r="B2370" s="60" t="n">
        <v>45748</v>
      </c>
      <c r="C2370" s="21" t="n">
        <v>157.25</v>
      </c>
      <c r="D2370" s="21" t="n">
        <v>163.36</v>
      </c>
      <c r="E2370" s="21" t="n">
        <v>121.36</v>
      </c>
      <c r="F2370" s="27">
        <f>IFERROR(IF(OR(C2370="",D2370="",C2370=0),"",D2370/C2370),"")</f>
        <v/>
      </c>
      <c r="G2370" s="21">
        <f>IFERROR(INDEX(Users!$A$2:$A$310,MATCH(A2370,Users!$B$2:$B$310,0)),"")</f>
        <v/>
      </c>
      <c r="H2370" s="21">
        <f>IFERROR(INDEX(Users!$D$2:$D$310,MATCH(A2370,Users!$B$2:$B$310,0)),"")</f>
        <v/>
      </c>
      <c r="I2370" s="19">
        <f>AND(G2370="Service A",H2370="Band 3")</f>
        <v/>
      </c>
      <c r="J2370" s="33">
        <f>IF(AND(YEAR(B2370)=2025,G2370="Service B",OR(H2370="Band 3",H2370="Band 5"),ISNUMBER(F2370)),F2370,"")</f>
        <v/>
      </c>
    </row>
    <row r="2371">
      <c r="A2371" s="19" t="inlineStr">
        <is>
          <t>User1255</t>
        </is>
      </c>
      <c r="B2371" s="60" t="n">
        <v>45778</v>
      </c>
      <c r="C2371" s="21" t="n">
        <v>166.5</v>
      </c>
      <c r="D2371" s="21" t="n">
        <v>42.52</v>
      </c>
      <c r="E2371" s="21" t="n">
        <v>33.52</v>
      </c>
      <c r="F2371" s="27">
        <f>IFERROR(IF(OR(C2371="",D2371="",C2371=0),"",D2371/C2371),"")</f>
        <v/>
      </c>
      <c r="G2371" s="21">
        <f>IFERROR(INDEX(Users!$A$2:$A$310,MATCH(A2371,Users!$B$2:$B$310,0)),"")</f>
        <v/>
      </c>
      <c r="H2371" s="21">
        <f>IFERROR(INDEX(Users!$D$2:$D$310,MATCH(A2371,Users!$B$2:$B$310,0)),"")</f>
        <v/>
      </c>
      <c r="I2371" s="19">
        <f>AND(G2371="Service A",H2371="Band 3")</f>
        <v/>
      </c>
      <c r="J2371" s="33">
        <f>IF(AND(YEAR(B2371)=2025,G2371="Service B",OR(H2371="Band 3",H2371="Band 5"),ISNUMBER(F2371)),F2371,"")</f>
        <v/>
      </c>
    </row>
    <row r="2372">
      <c r="A2372" s="19" t="inlineStr">
        <is>
          <t>User1255</t>
        </is>
      </c>
      <c r="B2372" s="60" t="n">
        <v>45809</v>
      </c>
      <c r="C2372" s="21" t="n">
        <v>148</v>
      </c>
      <c r="D2372" s="21" t="n">
        <v>146.73</v>
      </c>
      <c r="E2372" s="21" t="n">
        <v>107.73</v>
      </c>
      <c r="F2372" s="27">
        <f>IFERROR(IF(OR(C2372="",D2372="",C2372=0),"",D2372/C2372),"")</f>
        <v/>
      </c>
      <c r="G2372" s="21">
        <f>IFERROR(INDEX(Users!$A$2:$A$310,MATCH(A2372,Users!$B$2:$B$310,0)),"")</f>
        <v/>
      </c>
      <c r="H2372" s="21">
        <f>IFERROR(INDEX(Users!$D$2:$D$310,MATCH(A2372,Users!$B$2:$B$310,0)),"")</f>
        <v/>
      </c>
      <c r="I2372" s="19">
        <f>AND(G2372="Service A",H2372="Band 3")</f>
        <v/>
      </c>
      <c r="J2372" s="33">
        <f>IF(AND(YEAR(B2372)=2025,G2372="Service B",OR(H2372="Band 3",H2372="Band 5"),ISNUMBER(F2372)),F2372,"")</f>
        <v/>
      </c>
    </row>
    <row r="2373">
      <c r="A2373" s="19" t="inlineStr">
        <is>
          <t>User1255</t>
        </is>
      </c>
      <c r="B2373" s="60" t="n">
        <v>45839</v>
      </c>
      <c r="C2373" s="21" t="n">
        <v>175.75</v>
      </c>
      <c r="D2373" s="21" t="n">
        <v>123</v>
      </c>
      <c r="E2373" s="21" t="n">
        <v>70</v>
      </c>
      <c r="F2373" s="27">
        <f>IFERROR(IF(OR(C2373="",D2373="",C2373=0),"",D2373/C2373),"")</f>
        <v/>
      </c>
      <c r="G2373" s="21">
        <f>IFERROR(INDEX(Users!$A$2:$A$310,MATCH(A2373,Users!$B$2:$B$310,0)),"")</f>
        <v/>
      </c>
      <c r="H2373" s="21">
        <f>IFERROR(INDEX(Users!$D$2:$D$310,MATCH(A2373,Users!$B$2:$B$310,0)),"")</f>
        <v/>
      </c>
      <c r="I2373" s="19">
        <f>AND(G2373="Service A",H2373="Band 3")</f>
        <v/>
      </c>
      <c r="J2373" s="33">
        <f>IF(AND(YEAR(B2373)=2025,G2373="Service B",OR(H2373="Band 3",H2373="Band 5"),ISNUMBER(F2373)),F2373,"")</f>
        <v/>
      </c>
    </row>
    <row r="2374">
      <c r="A2374" s="19" t="inlineStr">
        <is>
          <t>User1255</t>
        </is>
      </c>
      <c r="B2374" s="60" t="n">
        <v>45870</v>
      </c>
      <c r="C2374" s="21" t="n">
        <v>157.25</v>
      </c>
      <c r="D2374" s="21" t="n">
        <v>161.49</v>
      </c>
      <c r="E2374" s="21" t="n">
        <v>108.49</v>
      </c>
      <c r="F2374" s="27">
        <f>IFERROR(IF(OR(C2374="",D2374="",C2374=0),"",D2374/C2374),"")</f>
        <v/>
      </c>
      <c r="G2374" s="21">
        <f>IFERROR(INDEX(Users!$A$2:$A$310,MATCH(A2374,Users!$B$2:$B$310,0)),"")</f>
        <v/>
      </c>
      <c r="H2374" s="21">
        <f>IFERROR(INDEX(Users!$D$2:$D$310,MATCH(A2374,Users!$B$2:$B$310,0)),"")</f>
        <v/>
      </c>
      <c r="I2374" s="19">
        <f>AND(G2374="Service A",H2374="Band 3")</f>
        <v/>
      </c>
      <c r="J2374" s="33">
        <f>IF(AND(YEAR(B2374)=2025,G2374="Service B",OR(H2374="Band 3",H2374="Band 5"),ISNUMBER(F2374)),F2374,"")</f>
        <v/>
      </c>
    </row>
    <row r="2375">
      <c r="A2375" s="19" t="inlineStr">
        <is>
          <t>User1255</t>
        </is>
      </c>
      <c r="B2375" s="60" t="n">
        <v>45901</v>
      </c>
      <c r="C2375" s="21" t="n">
        <v>157.25</v>
      </c>
      <c r="D2375" s="21" t="n">
        <v>161.82</v>
      </c>
      <c r="E2375" s="21" t="n">
        <v>115.82</v>
      </c>
      <c r="F2375" s="27">
        <f>IFERROR(IF(OR(C2375="",D2375="",C2375=0),"",D2375/C2375),"")</f>
        <v/>
      </c>
      <c r="G2375" s="21">
        <f>IFERROR(INDEX(Users!$A$2:$A$310,MATCH(A2375,Users!$B$2:$B$310,0)),"")</f>
        <v/>
      </c>
      <c r="H2375" s="21">
        <f>IFERROR(INDEX(Users!$D$2:$D$310,MATCH(A2375,Users!$B$2:$B$310,0)),"")</f>
        <v/>
      </c>
      <c r="I2375" s="19">
        <f>AND(G2375="Service A",H2375="Band 3")</f>
        <v/>
      </c>
      <c r="J2375" s="33">
        <f>IF(AND(YEAR(B2375)=2025,G2375="Service B",OR(H2375="Band 3",H2375="Band 5"),ISNUMBER(F2375)),F2375,"")</f>
        <v/>
      </c>
    </row>
    <row r="2376">
      <c r="A2376" s="19" t="inlineStr">
        <is>
          <t>User1255</t>
        </is>
      </c>
      <c r="B2376" s="60" t="n">
        <v>45931</v>
      </c>
      <c r="C2376" s="21" t="n">
        <v>175.75</v>
      </c>
      <c r="D2376" s="21" t="n">
        <v>175.3633333333333</v>
      </c>
      <c r="E2376" s="21" t="n">
        <v>137.03</v>
      </c>
      <c r="F2376" s="27">
        <f>IFERROR(IF(OR(C2376="",D2376="",C2376=0),"",D2376/C2376),"")</f>
        <v/>
      </c>
      <c r="G2376" s="21">
        <f>IFERROR(INDEX(Users!$A$2:$A$310,MATCH(A2376,Users!$B$2:$B$310,0)),"")</f>
        <v/>
      </c>
      <c r="H2376" s="21">
        <f>IFERROR(INDEX(Users!$D$2:$D$310,MATCH(A2376,Users!$B$2:$B$310,0)),"")</f>
        <v/>
      </c>
      <c r="I2376" s="19">
        <f>AND(G2376="Service A",H2376="Band 3")</f>
        <v/>
      </c>
      <c r="J2376" s="33">
        <f>IF(AND(YEAR(B2376)=2025,G2376="Service B",OR(H2376="Band 3",H2376="Band 5"),ISNUMBER(F2376)),F2376,"")</f>
        <v/>
      </c>
    </row>
    <row r="2377">
      <c r="A2377" s="19" t="inlineStr">
        <is>
          <t>User1255</t>
        </is>
      </c>
      <c r="B2377" s="60" t="n">
        <v>45962</v>
      </c>
      <c r="C2377" s="21" t="n">
        <v>148</v>
      </c>
      <c r="D2377" s="21" t="n">
        <v>117.76</v>
      </c>
      <c r="E2377" s="21" t="n">
        <v>94.76000000000001</v>
      </c>
      <c r="F2377" s="27">
        <f>IFERROR(IF(OR(C2377="",D2377="",C2377=0),"",D2377/C2377),"")</f>
        <v/>
      </c>
      <c r="G2377" s="21">
        <f>IFERROR(INDEX(Users!$A$2:$A$310,MATCH(A2377,Users!$B$2:$B$310,0)),"")</f>
        <v/>
      </c>
      <c r="H2377" s="21">
        <f>IFERROR(INDEX(Users!$D$2:$D$310,MATCH(A2377,Users!$B$2:$B$310,0)),"")</f>
        <v/>
      </c>
      <c r="I2377" s="19">
        <f>AND(G2377="Service A",H2377="Band 3")</f>
        <v/>
      </c>
      <c r="J2377" s="33">
        <f>IF(AND(YEAR(B2377)=2025,G2377="Service B",OR(H2377="Band 3",H2377="Band 5"),ISNUMBER(F2377)),F2377,"")</f>
        <v/>
      </c>
    </row>
    <row r="2378">
      <c r="A2378" s="19" t="inlineStr">
        <is>
          <t>User1255</t>
        </is>
      </c>
      <c r="B2378" s="60" t="n">
        <v>45992</v>
      </c>
      <c r="C2378" s="21" t="n">
        <v>148</v>
      </c>
      <c r="D2378" s="21" t="n">
        <v>76.98000000000002</v>
      </c>
      <c r="E2378" s="21" t="n">
        <v>56.98000000000001</v>
      </c>
      <c r="F2378" s="27">
        <f>IFERROR(IF(OR(C2378="",D2378="",C2378=0),"",D2378/C2378),"")</f>
        <v/>
      </c>
      <c r="G2378" s="21">
        <f>IFERROR(INDEX(Users!$A$2:$A$310,MATCH(A2378,Users!$B$2:$B$310,0)),"")</f>
        <v/>
      </c>
      <c r="H2378" s="21">
        <f>IFERROR(INDEX(Users!$D$2:$D$310,MATCH(A2378,Users!$B$2:$B$310,0)),"")</f>
        <v/>
      </c>
      <c r="I2378" s="19">
        <f>AND(G2378="Service A",H2378="Band 3")</f>
        <v/>
      </c>
      <c r="J2378" s="33">
        <f>IF(AND(YEAR(B2378)=2025,G2378="Service B",OR(H2378="Band 3",H2378="Band 5"),ISNUMBER(F2378)),F2378,"")</f>
        <v/>
      </c>
    </row>
    <row r="2379">
      <c r="A2379" s="19" t="inlineStr">
        <is>
          <t>User1255</t>
        </is>
      </c>
      <c r="B2379" s="60" t="n">
        <v>46023</v>
      </c>
      <c r="C2379" s="21" t="n">
        <v>157.25</v>
      </c>
      <c r="D2379" s="21" t="n">
        <v>163.97</v>
      </c>
      <c r="E2379" s="21" t="n">
        <v>114.22</v>
      </c>
      <c r="F2379" s="27">
        <f>IFERROR(IF(OR(C2379="",D2379="",C2379=0),"",D2379/C2379),"")</f>
        <v/>
      </c>
      <c r="G2379" s="21">
        <f>IFERROR(INDEX(Users!$A$2:$A$310,MATCH(A2379,Users!$B$2:$B$310,0)),"")</f>
        <v/>
      </c>
      <c r="H2379" s="21">
        <f>IFERROR(INDEX(Users!$D$2:$D$310,MATCH(A2379,Users!$B$2:$B$310,0)),"")</f>
        <v/>
      </c>
      <c r="I2379" s="19">
        <f>AND(G2379="Service A",H2379="Band 3")</f>
        <v/>
      </c>
      <c r="J2379" s="33">
        <f>IF(AND(YEAR(B2379)=2025,G2379="Service B",OR(H2379="Band 3",H2379="Band 5"),ISNUMBER(F2379)),F2379,"")</f>
        <v/>
      </c>
    </row>
    <row r="2380">
      <c r="A2380" s="19" t="inlineStr">
        <is>
          <t>User1256</t>
        </is>
      </c>
      <c r="B2380" s="60" t="n">
        <v>45658</v>
      </c>
      <c r="C2380" s="21" t="n">
        <v>162.8</v>
      </c>
      <c r="D2380" s="21" t="n">
        <v>87.16</v>
      </c>
      <c r="E2380" s="21" t="n">
        <v>75.66</v>
      </c>
      <c r="F2380" s="27">
        <f>IFERROR(IF(OR(C2380="",D2380="",C2380=0),"",D2380/C2380),"")</f>
        <v/>
      </c>
      <c r="G2380" s="21">
        <f>IFERROR(INDEX(Users!$A$2:$A$310,MATCH(A2380,Users!$B$2:$B$310,0)),"")</f>
        <v/>
      </c>
      <c r="H2380" s="21">
        <f>IFERROR(INDEX(Users!$D$2:$D$310,MATCH(A2380,Users!$B$2:$B$310,0)),"")</f>
        <v/>
      </c>
      <c r="I2380" s="19">
        <f>AND(G2380="Service A",H2380="Band 3")</f>
        <v/>
      </c>
      <c r="J2380" s="33">
        <f>IF(AND(YEAR(B2380)=2025,G2380="Service B",OR(H2380="Band 3",H2380="Band 5"),ISNUMBER(F2380)),F2380,"")</f>
        <v/>
      </c>
    </row>
    <row r="2381">
      <c r="A2381" s="19" t="inlineStr">
        <is>
          <t>User1256</t>
        </is>
      </c>
      <c r="B2381" s="60" t="n">
        <v>45689</v>
      </c>
      <c r="C2381" s="21" t="n">
        <v>148</v>
      </c>
      <c r="D2381" s="21" t="n">
        <v>105.83</v>
      </c>
      <c r="E2381" s="21" t="n">
        <v>77.83</v>
      </c>
      <c r="F2381" s="27">
        <f>IFERROR(IF(OR(C2381="",D2381="",C2381=0),"",D2381/C2381),"")</f>
        <v/>
      </c>
      <c r="G2381" s="21">
        <f>IFERROR(INDEX(Users!$A$2:$A$310,MATCH(A2381,Users!$B$2:$B$310,0)),"")</f>
        <v/>
      </c>
      <c r="H2381" s="21">
        <f>IFERROR(INDEX(Users!$D$2:$D$310,MATCH(A2381,Users!$B$2:$B$310,0)),"")</f>
        <v/>
      </c>
      <c r="I2381" s="19">
        <f>AND(G2381="Service A",H2381="Band 3")</f>
        <v/>
      </c>
      <c r="J2381" s="33">
        <f>IF(AND(YEAR(B2381)=2025,G2381="Service B",OR(H2381="Band 3",H2381="Band 5"),ISNUMBER(F2381)),F2381,"")</f>
        <v/>
      </c>
    </row>
    <row r="2382">
      <c r="A2382" s="19" t="inlineStr">
        <is>
          <t>User1256</t>
        </is>
      </c>
      <c r="B2382" s="60" t="n">
        <v>45717</v>
      </c>
      <c r="C2382" s="21" t="n">
        <v>155.4</v>
      </c>
      <c r="D2382" s="21" t="n">
        <v>156.4933333333333</v>
      </c>
      <c r="E2382" s="21" t="n">
        <v>126.91</v>
      </c>
      <c r="F2382" s="27">
        <f>IFERROR(IF(OR(C2382="",D2382="",C2382=0),"",D2382/C2382),"")</f>
        <v/>
      </c>
      <c r="G2382" s="21">
        <f>IFERROR(INDEX(Users!$A$2:$A$310,MATCH(A2382,Users!$B$2:$B$310,0)),"")</f>
        <v/>
      </c>
      <c r="H2382" s="21">
        <f>IFERROR(INDEX(Users!$D$2:$D$310,MATCH(A2382,Users!$B$2:$B$310,0)),"")</f>
        <v/>
      </c>
      <c r="I2382" s="19">
        <f>AND(G2382="Service A",H2382="Band 3")</f>
        <v/>
      </c>
      <c r="J2382" s="33">
        <f>IF(AND(YEAR(B2382)=2025,G2382="Service B",OR(H2382="Band 3",H2382="Band 5"),ISNUMBER(F2382)),F2382,"")</f>
        <v/>
      </c>
    </row>
    <row r="2383">
      <c r="A2383" s="19" t="inlineStr">
        <is>
          <t>User1256</t>
        </is>
      </c>
      <c r="B2383" s="60" t="n">
        <v>45748</v>
      </c>
      <c r="C2383" s="21" t="n">
        <v>148</v>
      </c>
      <c r="D2383" s="21" t="n">
        <v>149.6666666666667</v>
      </c>
      <c r="E2383" s="21" t="n">
        <v>126.25</v>
      </c>
      <c r="F2383" s="27">
        <f>IFERROR(IF(OR(C2383="",D2383="",C2383=0),"",D2383/C2383),"")</f>
        <v/>
      </c>
      <c r="G2383" s="21">
        <f>IFERROR(INDEX(Users!$A$2:$A$310,MATCH(A2383,Users!$B$2:$B$310,0)),"")</f>
        <v/>
      </c>
      <c r="H2383" s="21">
        <f>IFERROR(INDEX(Users!$D$2:$D$310,MATCH(A2383,Users!$B$2:$B$310,0)),"")</f>
        <v/>
      </c>
      <c r="I2383" s="19">
        <f>AND(G2383="Service A",H2383="Band 3")</f>
        <v/>
      </c>
      <c r="J2383" s="33">
        <f>IF(AND(YEAR(B2383)=2025,G2383="Service B",OR(H2383="Band 3",H2383="Band 5"),ISNUMBER(F2383)),F2383,"")</f>
        <v/>
      </c>
    </row>
    <row r="2384">
      <c r="A2384" s="19" t="inlineStr">
        <is>
          <t>User1256</t>
        </is>
      </c>
      <c r="B2384" s="60" t="n">
        <v>45778</v>
      </c>
      <c r="C2384" s="21" t="n">
        <v>148</v>
      </c>
      <c r="D2384" s="21" t="n">
        <v>133.6666666666667</v>
      </c>
      <c r="E2384" s="21" t="n">
        <v>104.75</v>
      </c>
      <c r="F2384" s="27">
        <f>IFERROR(IF(OR(C2384="",D2384="",C2384=0),"",D2384/C2384),"")</f>
        <v/>
      </c>
      <c r="G2384" s="21">
        <f>IFERROR(INDEX(Users!$A$2:$A$310,MATCH(A2384,Users!$B$2:$B$310,0)),"")</f>
        <v/>
      </c>
      <c r="H2384" s="21">
        <f>IFERROR(INDEX(Users!$D$2:$D$310,MATCH(A2384,Users!$B$2:$B$310,0)),"")</f>
        <v/>
      </c>
      <c r="I2384" s="19">
        <f>AND(G2384="Service A",H2384="Band 3")</f>
        <v/>
      </c>
      <c r="J2384" s="33">
        <f>IF(AND(YEAR(B2384)=2025,G2384="Service B",OR(H2384="Band 3",H2384="Band 5"),ISNUMBER(F2384)),F2384,"")</f>
        <v/>
      </c>
    </row>
    <row r="2385">
      <c r="A2385" s="19" t="inlineStr">
        <is>
          <t>User1256</t>
        </is>
      </c>
      <c r="B2385" s="60" t="n">
        <v>45809</v>
      </c>
      <c r="C2385" s="21" t="n">
        <v>155.4</v>
      </c>
      <c r="D2385" s="21" t="n">
        <v>114.6666666666667</v>
      </c>
      <c r="E2385" s="21" t="n">
        <v>102</v>
      </c>
      <c r="F2385" s="27">
        <f>IFERROR(IF(OR(C2385="",D2385="",C2385=0),"",D2385/C2385),"")</f>
        <v/>
      </c>
      <c r="G2385" s="21">
        <f>IFERROR(INDEX(Users!$A$2:$A$310,MATCH(A2385,Users!$B$2:$B$310,0)),"")</f>
        <v/>
      </c>
      <c r="H2385" s="21">
        <f>IFERROR(INDEX(Users!$D$2:$D$310,MATCH(A2385,Users!$B$2:$B$310,0)),"")</f>
        <v/>
      </c>
      <c r="I2385" s="19">
        <f>AND(G2385="Service A",H2385="Band 3")</f>
        <v/>
      </c>
      <c r="J2385" s="33">
        <f>IF(AND(YEAR(B2385)=2025,G2385="Service B",OR(H2385="Band 3",H2385="Band 5"),ISNUMBER(F2385)),F2385,"")</f>
        <v/>
      </c>
    </row>
    <row r="2386">
      <c r="A2386" s="19" t="inlineStr">
        <is>
          <t>User1256</t>
        </is>
      </c>
      <c r="B2386" s="60" t="n">
        <v>45839</v>
      </c>
      <c r="C2386" s="21" t="n">
        <v>170.2</v>
      </c>
      <c r="D2386" s="21" t="n">
        <v>142.5833333333333</v>
      </c>
      <c r="E2386" s="21" t="n">
        <v>104</v>
      </c>
      <c r="F2386" s="27">
        <f>IFERROR(IF(OR(C2386="",D2386="",C2386=0),"",D2386/C2386),"")</f>
        <v/>
      </c>
      <c r="G2386" s="21">
        <f>IFERROR(INDEX(Users!$A$2:$A$310,MATCH(A2386,Users!$B$2:$B$310,0)),"")</f>
        <v/>
      </c>
      <c r="H2386" s="21">
        <f>IFERROR(INDEX(Users!$D$2:$D$310,MATCH(A2386,Users!$B$2:$B$310,0)),"")</f>
        <v/>
      </c>
      <c r="I2386" s="19">
        <f>AND(G2386="Service A",H2386="Band 3")</f>
        <v/>
      </c>
      <c r="J2386" s="33">
        <f>IF(AND(YEAR(B2386)=2025,G2386="Service B",OR(H2386="Band 3",H2386="Band 5"),ISNUMBER(F2386)),F2386,"")</f>
        <v/>
      </c>
    </row>
    <row r="2387">
      <c r="A2387" s="19" t="inlineStr">
        <is>
          <t>User1256</t>
        </is>
      </c>
      <c r="B2387" s="60" t="n">
        <v>45870</v>
      </c>
      <c r="C2387" s="21" t="n">
        <v>148</v>
      </c>
      <c r="D2387" s="21" t="n">
        <v>116.0833333333333</v>
      </c>
      <c r="E2387" s="21" t="n">
        <v>90.75</v>
      </c>
      <c r="F2387" s="27">
        <f>IFERROR(IF(OR(C2387="",D2387="",C2387=0),"",D2387/C2387),"")</f>
        <v/>
      </c>
      <c r="G2387" s="21">
        <f>IFERROR(INDEX(Users!$A$2:$A$310,MATCH(A2387,Users!$B$2:$B$310,0)),"")</f>
        <v/>
      </c>
      <c r="H2387" s="21">
        <f>IFERROR(INDEX(Users!$D$2:$D$310,MATCH(A2387,Users!$B$2:$B$310,0)),"")</f>
        <v/>
      </c>
      <c r="I2387" s="19">
        <f>AND(G2387="Service A",H2387="Band 3")</f>
        <v/>
      </c>
      <c r="J2387" s="33">
        <f>IF(AND(YEAR(B2387)=2025,G2387="Service B",OR(H2387="Band 3",H2387="Band 5"),ISNUMBER(F2387)),F2387,"")</f>
        <v/>
      </c>
    </row>
    <row r="2388">
      <c r="A2388" s="19" t="inlineStr">
        <is>
          <t>User1256</t>
        </is>
      </c>
      <c r="B2388" s="60" t="n">
        <v>45901</v>
      </c>
      <c r="C2388" s="21" t="n">
        <v>162.8</v>
      </c>
      <c r="D2388" s="21" t="n">
        <v>164.6533333333333</v>
      </c>
      <c r="E2388" s="21" t="n">
        <v>129.32</v>
      </c>
      <c r="F2388" s="27">
        <f>IFERROR(IF(OR(C2388="",D2388="",C2388=0),"",D2388/C2388),"")</f>
        <v/>
      </c>
      <c r="G2388" s="21">
        <f>IFERROR(INDEX(Users!$A$2:$A$310,MATCH(A2388,Users!$B$2:$B$310,0)),"")</f>
        <v/>
      </c>
      <c r="H2388" s="21">
        <f>IFERROR(INDEX(Users!$D$2:$D$310,MATCH(A2388,Users!$B$2:$B$310,0)),"")</f>
        <v/>
      </c>
      <c r="I2388" s="19">
        <f>AND(G2388="Service A",H2388="Band 3")</f>
        <v/>
      </c>
      <c r="J2388" s="33">
        <f>IF(AND(YEAR(B2388)=2025,G2388="Service B",OR(H2388="Band 3",H2388="Band 5"),ISNUMBER(F2388)),F2388,"")</f>
        <v/>
      </c>
    </row>
    <row r="2389">
      <c r="A2389" s="19" t="inlineStr">
        <is>
          <t>User1256</t>
        </is>
      </c>
      <c r="B2389" s="60" t="n">
        <v>45931</v>
      </c>
      <c r="C2389" s="21" t="n">
        <v>170.2</v>
      </c>
      <c r="D2389" s="21" t="n">
        <v>145.25</v>
      </c>
      <c r="E2389" s="21" t="n">
        <v>121.25</v>
      </c>
      <c r="F2389" s="27">
        <f>IFERROR(IF(OR(C2389="",D2389="",C2389=0),"",D2389/C2389),"")</f>
        <v/>
      </c>
      <c r="G2389" s="21">
        <f>IFERROR(INDEX(Users!$A$2:$A$310,MATCH(A2389,Users!$B$2:$B$310,0)),"")</f>
        <v/>
      </c>
      <c r="H2389" s="21">
        <f>IFERROR(INDEX(Users!$D$2:$D$310,MATCH(A2389,Users!$B$2:$B$310,0)),"")</f>
        <v/>
      </c>
      <c r="I2389" s="19">
        <f>AND(G2389="Service A",H2389="Band 3")</f>
        <v/>
      </c>
      <c r="J2389" s="33">
        <f>IF(AND(YEAR(B2389)=2025,G2389="Service B",OR(H2389="Band 3",H2389="Band 5"),ISNUMBER(F2389)),F2389,"")</f>
        <v/>
      </c>
    </row>
    <row r="2390">
      <c r="A2390" s="19" t="inlineStr">
        <is>
          <t>User1256</t>
        </is>
      </c>
      <c r="B2390" s="60" t="n">
        <v>45962</v>
      </c>
      <c r="C2390" s="21" t="n">
        <v>148</v>
      </c>
      <c r="D2390" s="21" t="n">
        <v>146.1666666666667</v>
      </c>
      <c r="E2390" s="21" t="n">
        <v>127</v>
      </c>
      <c r="F2390" s="27">
        <f>IFERROR(IF(OR(C2390="",D2390="",C2390=0),"",D2390/C2390),"")</f>
        <v/>
      </c>
      <c r="G2390" s="21">
        <f>IFERROR(INDEX(Users!$A$2:$A$310,MATCH(A2390,Users!$B$2:$B$310,0)),"")</f>
        <v/>
      </c>
      <c r="H2390" s="21">
        <f>IFERROR(INDEX(Users!$D$2:$D$310,MATCH(A2390,Users!$B$2:$B$310,0)),"")</f>
        <v/>
      </c>
      <c r="I2390" s="19">
        <f>AND(G2390="Service A",H2390="Band 3")</f>
        <v/>
      </c>
      <c r="J2390" s="33">
        <f>IF(AND(YEAR(B2390)=2025,G2390="Service B",OR(H2390="Band 3",H2390="Band 5"),ISNUMBER(F2390)),F2390,"")</f>
        <v/>
      </c>
    </row>
    <row r="2391">
      <c r="A2391" s="19" t="inlineStr">
        <is>
          <t>User1256</t>
        </is>
      </c>
      <c r="B2391" s="60" t="n">
        <v>45992</v>
      </c>
      <c r="C2391" s="21" t="n">
        <v>155.4</v>
      </c>
      <c r="D2391" s="21" t="n">
        <v>135.8333333333333</v>
      </c>
      <c r="E2391" s="21" t="n">
        <v>111.5</v>
      </c>
      <c r="F2391" s="27">
        <f>IFERROR(IF(OR(C2391="",D2391="",C2391=0),"",D2391/C2391),"")</f>
        <v/>
      </c>
      <c r="G2391" s="21">
        <f>IFERROR(INDEX(Users!$A$2:$A$310,MATCH(A2391,Users!$B$2:$B$310,0)),"")</f>
        <v/>
      </c>
      <c r="H2391" s="21">
        <f>IFERROR(INDEX(Users!$D$2:$D$310,MATCH(A2391,Users!$B$2:$B$310,0)),"")</f>
        <v/>
      </c>
      <c r="I2391" s="19">
        <f>AND(G2391="Service A",H2391="Band 3")</f>
        <v/>
      </c>
      <c r="J2391" s="33">
        <f>IF(AND(YEAR(B2391)=2025,G2391="Service B",OR(H2391="Band 3",H2391="Band 5"),ISNUMBER(F2391)),F2391,"")</f>
        <v/>
      </c>
    </row>
    <row r="2392">
      <c r="A2392" s="19" t="inlineStr">
        <is>
          <t>User1256</t>
        </is>
      </c>
      <c r="B2392" s="60" t="n">
        <v>46023</v>
      </c>
      <c r="C2392" s="21" t="n">
        <v>155.4</v>
      </c>
      <c r="D2392" s="21" t="n">
        <v>48</v>
      </c>
      <c r="E2392" s="21" t="n">
        <v>39.5</v>
      </c>
      <c r="F2392" s="27">
        <f>IFERROR(IF(OR(C2392="",D2392="",C2392=0),"",D2392/C2392),"")</f>
        <v/>
      </c>
      <c r="G2392" s="21">
        <f>IFERROR(INDEX(Users!$A$2:$A$310,MATCH(A2392,Users!$B$2:$B$310,0)),"")</f>
        <v/>
      </c>
      <c r="H2392" s="21">
        <f>IFERROR(INDEX(Users!$D$2:$D$310,MATCH(A2392,Users!$B$2:$B$310,0)),"")</f>
        <v/>
      </c>
      <c r="I2392" s="19">
        <f>AND(G2392="Service A",H2392="Band 3")</f>
        <v/>
      </c>
      <c r="J2392" s="33">
        <f>IF(AND(YEAR(B2392)=2025,G2392="Service B",OR(H2392="Band 3",H2392="Band 5"),ISNUMBER(F2392)),F2392,"")</f>
        <v/>
      </c>
    </row>
    <row r="2393">
      <c r="A2393" s="19" t="inlineStr">
        <is>
          <t>User1257</t>
        </is>
      </c>
      <c r="B2393" s="60" t="n">
        <v>45658</v>
      </c>
      <c r="C2393" s="21" t="n">
        <v>162.8</v>
      </c>
      <c r="D2393" s="21" t="n">
        <v>28.46</v>
      </c>
      <c r="E2393" s="21" t="n">
        <v>11.66</v>
      </c>
      <c r="F2393" s="27">
        <f>IFERROR(IF(OR(C2393="",D2393="",C2393=0),"",D2393/C2393),"")</f>
        <v/>
      </c>
      <c r="G2393" s="21">
        <f>IFERROR(INDEX(Users!$A$2:$A$310,MATCH(A2393,Users!$B$2:$B$310,0)),"")</f>
        <v/>
      </c>
      <c r="H2393" s="21">
        <f>IFERROR(INDEX(Users!$D$2:$D$310,MATCH(A2393,Users!$B$2:$B$310,0)),"")</f>
        <v/>
      </c>
      <c r="I2393" s="19">
        <f>AND(G2393="Service A",H2393="Band 3")</f>
        <v/>
      </c>
      <c r="J2393" s="33">
        <f>IF(AND(YEAR(B2393)=2025,G2393="Service B",OR(H2393="Band 3",H2393="Band 5"),ISNUMBER(F2393)),F2393,"")</f>
        <v/>
      </c>
    </row>
    <row r="2394">
      <c r="A2394" s="19" t="inlineStr">
        <is>
          <t>User1257</t>
        </is>
      </c>
      <c r="B2394" s="60" t="n">
        <v>45689</v>
      </c>
      <c r="C2394" s="21" t="n">
        <v>148</v>
      </c>
      <c r="D2394" s="21" t="n">
        <v>142.59</v>
      </c>
      <c r="E2394" s="21" t="n">
        <v>111.09</v>
      </c>
      <c r="F2394" s="27">
        <f>IFERROR(IF(OR(C2394="",D2394="",C2394=0),"",D2394/C2394),"")</f>
        <v/>
      </c>
      <c r="G2394" s="21">
        <f>IFERROR(INDEX(Users!$A$2:$A$310,MATCH(A2394,Users!$B$2:$B$310,0)),"")</f>
        <v/>
      </c>
      <c r="H2394" s="21">
        <f>IFERROR(INDEX(Users!$D$2:$D$310,MATCH(A2394,Users!$B$2:$B$310,0)),"")</f>
        <v/>
      </c>
      <c r="I2394" s="19">
        <f>AND(G2394="Service A",H2394="Band 3")</f>
        <v/>
      </c>
      <c r="J2394" s="33">
        <f>IF(AND(YEAR(B2394)=2025,G2394="Service B",OR(H2394="Band 3",H2394="Band 5"),ISNUMBER(F2394)),F2394,"")</f>
        <v/>
      </c>
    </row>
    <row r="2395">
      <c r="A2395" s="19" t="inlineStr">
        <is>
          <t>User1257</t>
        </is>
      </c>
      <c r="B2395" s="60" t="n">
        <v>45717</v>
      </c>
      <c r="C2395" s="21" t="n">
        <v>155.4</v>
      </c>
      <c r="D2395" s="21" t="n">
        <v>148.16</v>
      </c>
      <c r="E2395" s="21" t="n">
        <v>104.16</v>
      </c>
      <c r="F2395" s="27">
        <f>IFERROR(IF(OR(C2395="",D2395="",C2395=0),"",D2395/C2395),"")</f>
        <v/>
      </c>
      <c r="G2395" s="21">
        <f>IFERROR(INDEX(Users!$A$2:$A$310,MATCH(A2395,Users!$B$2:$B$310,0)),"")</f>
        <v/>
      </c>
      <c r="H2395" s="21">
        <f>IFERROR(INDEX(Users!$D$2:$D$310,MATCH(A2395,Users!$B$2:$B$310,0)),"")</f>
        <v/>
      </c>
      <c r="I2395" s="19">
        <f>AND(G2395="Service A",H2395="Band 3")</f>
        <v/>
      </c>
      <c r="J2395" s="33">
        <f>IF(AND(YEAR(B2395)=2025,G2395="Service B",OR(H2395="Band 3",H2395="Band 5"),ISNUMBER(F2395)),F2395,"")</f>
        <v/>
      </c>
    </row>
    <row r="2396">
      <c r="A2396" s="19" t="inlineStr">
        <is>
          <t>User1257</t>
        </is>
      </c>
      <c r="B2396" s="60" t="n">
        <v>45748</v>
      </c>
      <c r="C2396" s="21" t="n">
        <v>148</v>
      </c>
      <c r="D2396" s="21" t="n">
        <v>141.8266666666667</v>
      </c>
      <c r="E2396" s="21" t="n">
        <v>102.66</v>
      </c>
      <c r="F2396" s="27">
        <f>IFERROR(IF(OR(C2396="",D2396="",C2396=0),"",D2396/C2396),"")</f>
        <v/>
      </c>
      <c r="G2396" s="21">
        <f>IFERROR(INDEX(Users!$A$2:$A$310,MATCH(A2396,Users!$B$2:$B$310,0)),"")</f>
        <v/>
      </c>
      <c r="H2396" s="21">
        <f>IFERROR(INDEX(Users!$D$2:$D$310,MATCH(A2396,Users!$B$2:$B$310,0)),"")</f>
        <v/>
      </c>
      <c r="I2396" s="19">
        <f>AND(G2396="Service A",H2396="Band 3")</f>
        <v/>
      </c>
      <c r="J2396" s="33">
        <f>IF(AND(YEAR(B2396)=2025,G2396="Service B",OR(H2396="Band 3",H2396="Band 5"),ISNUMBER(F2396)),F2396,"")</f>
        <v/>
      </c>
    </row>
    <row r="2397">
      <c r="A2397" s="19" t="inlineStr">
        <is>
          <t>User1257</t>
        </is>
      </c>
      <c r="B2397" s="60" t="n">
        <v>45778</v>
      </c>
      <c r="C2397" s="21" t="n">
        <v>148</v>
      </c>
      <c r="D2397" s="21" t="n">
        <v>148.8533333333333</v>
      </c>
      <c r="E2397" s="21" t="n">
        <v>102.77</v>
      </c>
      <c r="F2397" s="27">
        <f>IFERROR(IF(OR(C2397="",D2397="",C2397=0),"",D2397/C2397),"")</f>
        <v/>
      </c>
      <c r="G2397" s="21">
        <f>IFERROR(INDEX(Users!$A$2:$A$310,MATCH(A2397,Users!$B$2:$B$310,0)),"")</f>
        <v/>
      </c>
      <c r="H2397" s="21">
        <f>IFERROR(INDEX(Users!$D$2:$D$310,MATCH(A2397,Users!$B$2:$B$310,0)),"")</f>
        <v/>
      </c>
      <c r="I2397" s="19">
        <f>AND(G2397="Service A",H2397="Band 3")</f>
        <v/>
      </c>
      <c r="J2397" s="33">
        <f>IF(AND(YEAR(B2397)=2025,G2397="Service B",OR(H2397="Band 3",H2397="Band 5"),ISNUMBER(F2397)),F2397,"")</f>
        <v/>
      </c>
    </row>
    <row r="2398">
      <c r="A2398" s="19" t="inlineStr">
        <is>
          <t>User1257</t>
        </is>
      </c>
      <c r="B2398" s="60" t="n">
        <v>45809</v>
      </c>
      <c r="C2398" s="21" t="n">
        <v>155.4</v>
      </c>
      <c r="D2398" s="21" t="n">
        <v>154.7533333333333</v>
      </c>
      <c r="E2398" s="21" t="n">
        <v>124.42</v>
      </c>
      <c r="F2398" s="27">
        <f>IFERROR(IF(OR(C2398="",D2398="",C2398=0),"",D2398/C2398),"")</f>
        <v/>
      </c>
      <c r="G2398" s="21">
        <f>IFERROR(INDEX(Users!$A$2:$A$310,MATCH(A2398,Users!$B$2:$B$310,0)),"")</f>
        <v/>
      </c>
      <c r="H2398" s="21">
        <f>IFERROR(INDEX(Users!$D$2:$D$310,MATCH(A2398,Users!$B$2:$B$310,0)),"")</f>
        <v/>
      </c>
      <c r="I2398" s="19">
        <f>AND(G2398="Service A",H2398="Band 3")</f>
        <v/>
      </c>
      <c r="J2398" s="33">
        <f>IF(AND(YEAR(B2398)=2025,G2398="Service B",OR(H2398="Band 3",H2398="Band 5"),ISNUMBER(F2398)),F2398,"")</f>
        <v/>
      </c>
    </row>
    <row r="2399">
      <c r="A2399" s="19" t="inlineStr">
        <is>
          <t>User1257</t>
        </is>
      </c>
      <c r="B2399" s="60" t="n">
        <v>45839</v>
      </c>
      <c r="C2399" s="21" t="n">
        <v>170.2</v>
      </c>
      <c r="D2399" s="21" t="n">
        <v>174.9133333333333</v>
      </c>
      <c r="E2399" s="21" t="n">
        <v>132.33</v>
      </c>
      <c r="F2399" s="27">
        <f>IFERROR(IF(OR(C2399="",D2399="",C2399=0),"",D2399/C2399),"")</f>
        <v/>
      </c>
      <c r="G2399" s="21">
        <f>IFERROR(INDEX(Users!$A$2:$A$310,MATCH(A2399,Users!$B$2:$B$310,0)),"")</f>
        <v/>
      </c>
      <c r="H2399" s="21">
        <f>IFERROR(INDEX(Users!$D$2:$D$310,MATCH(A2399,Users!$B$2:$B$310,0)),"")</f>
        <v/>
      </c>
      <c r="I2399" s="19">
        <f>AND(G2399="Service A",H2399="Band 3")</f>
        <v/>
      </c>
      <c r="J2399" s="33">
        <f>IF(AND(YEAR(B2399)=2025,G2399="Service B",OR(H2399="Band 3",H2399="Band 5"),ISNUMBER(F2399)),F2399,"")</f>
        <v/>
      </c>
    </row>
    <row r="2400">
      <c r="A2400" s="19" t="inlineStr">
        <is>
          <t>User1257</t>
        </is>
      </c>
      <c r="B2400" s="60" t="n">
        <v>45870</v>
      </c>
      <c r="C2400" s="21" t="n">
        <v>148</v>
      </c>
      <c r="D2400" s="21" t="n">
        <v>146.84</v>
      </c>
      <c r="E2400" s="21" t="n">
        <v>99.84</v>
      </c>
      <c r="F2400" s="27">
        <f>IFERROR(IF(OR(C2400="",D2400="",C2400=0),"",D2400/C2400),"")</f>
        <v/>
      </c>
      <c r="G2400" s="21">
        <f>IFERROR(INDEX(Users!$A$2:$A$310,MATCH(A2400,Users!$B$2:$B$310,0)),"")</f>
        <v/>
      </c>
      <c r="H2400" s="21">
        <f>IFERROR(INDEX(Users!$D$2:$D$310,MATCH(A2400,Users!$B$2:$B$310,0)),"")</f>
        <v/>
      </c>
      <c r="I2400" s="19">
        <f>AND(G2400="Service A",H2400="Band 3")</f>
        <v/>
      </c>
      <c r="J2400" s="33">
        <f>IF(AND(YEAR(B2400)=2025,G2400="Service B",OR(H2400="Band 3",H2400="Band 5"),ISNUMBER(F2400)),F2400,"")</f>
        <v/>
      </c>
    </row>
    <row r="2401">
      <c r="A2401" s="19" t="inlineStr">
        <is>
          <t>User1257</t>
        </is>
      </c>
      <c r="B2401" s="60" t="n">
        <v>45901</v>
      </c>
      <c r="C2401" s="21" t="n">
        <v>162.8</v>
      </c>
      <c r="D2401" s="21" t="n">
        <v>169.5066666666667</v>
      </c>
      <c r="E2401" s="21" t="n">
        <v>118.34</v>
      </c>
      <c r="F2401" s="27">
        <f>IFERROR(IF(OR(C2401="",D2401="",C2401=0),"",D2401/C2401),"")</f>
        <v/>
      </c>
      <c r="G2401" s="21">
        <f>IFERROR(INDEX(Users!$A$2:$A$310,MATCH(A2401,Users!$B$2:$B$310,0)),"")</f>
        <v/>
      </c>
      <c r="H2401" s="21">
        <f>IFERROR(INDEX(Users!$D$2:$D$310,MATCH(A2401,Users!$B$2:$B$310,0)),"")</f>
        <v/>
      </c>
      <c r="I2401" s="19">
        <f>AND(G2401="Service A",H2401="Band 3")</f>
        <v/>
      </c>
      <c r="J2401" s="33">
        <f>IF(AND(YEAR(B2401)=2025,G2401="Service B",OR(H2401="Band 3",H2401="Band 5"),ISNUMBER(F2401)),F2401,"")</f>
        <v/>
      </c>
    </row>
    <row r="2402">
      <c r="A2402" s="19" t="inlineStr">
        <is>
          <t>User1257</t>
        </is>
      </c>
      <c r="B2402" s="60" t="n">
        <v>45931</v>
      </c>
      <c r="C2402" s="21" t="n">
        <v>140.6</v>
      </c>
      <c r="D2402" s="21" t="n">
        <v>130.4966666666667</v>
      </c>
      <c r="E2402" s="21" t="n">
        <v>91.08</v>
      </c>
      <c r="F2402" s="27">
        <f>IFERROR(IF(OR(C2402="",D2402="",C2402=0),"",D2402/C2402),"")</f>
        <v/>
      </c>
      <c r="G2402" s="21">
        <f>IFERROR(INDEX(Users!$A$2:$A$310,MATCH(A2402,Users!$B$2:$B$310,0)),"")</f>
        <v/>
      </c>
      <c r="H2402" s="21">
        <f>IFERROR(INDEX(Users!$D$2:$D$310,MATCH(A2402,Users!$B$2:$B$310,0)),"")</f>
        <v/>
      </c>
      <c r="I2402" s="19">
        <f>AND(G2402="Service A",H2402="Band 3")</f>
        <v/>
      </c>
      <c r="J2402" s="33">
        <f>IF(AND(YEAR(B2402)=2025,G2402="Service B",OR(H2402="Band 3",H2402="Band 5"),ISNUMBER(F2402)),F2402,"")</f>
        <v/>
      </c>
    </row>
    <row r="2403">
      <c r="A2403" s="19" t="inlineStr">
        <is>
          <t>User1258</t>
        </is>
      </c>
      <c r="B2403" s="60" t="n">
        <v>45658</v>
      </c>
      <c r="C2403" s="21" t="n">
        <v>162.8</v>
      </c>
      <c r="D2403" s="21" t="n">
        <v>134.25</v>
      </c>
      <c r="E2403" s="21" t="n">
        <v>73</v>
      </c>
      <c r="F2403" s="27">
        <f>IFERROR(IF(OR(C2403="",D2403="",C2403=0),"",D2403/C2403),"")</f>
        <v/>
      </c>
      <c r="G2403" s="21">
        <f>IFERROR(INDEX(Users!$A$2:$A$310,MATCH(A2403,Users!$B$2:$B$310,0)),"")</f>
        <v/>
      </c>
      <c r="H2403" s="21">
        <f>IFERROR(INDEX(Users!$D$2:$D$310,MATCH(A2403,Users!$B$2:$B$310,0)),"")</f>
        <v/>
      </c>
      <c r="I2403" s="19">
        <f>AND(G2403="Service A",H2403="Band 3")</f>
        <v/>
      </c>
      <c r="J2403" s="33">
        <f>IF(AND(YEAR(B2403)=2025,G2403="Service B",OR(H2403="Band 3",H2403="Band 5"),ISNUMBER(F2403)),F2403,"")</f>
        <v/>
      </c>
    </row>
    <row r="2404">
      <c r="A2404" s="19" t="inlineStr">
        <is>
          <t>User1258</t>
        </is>
      </c>
      <c r="B2404" s="60" t="n">
        <v>45689</v>
      </c>
      <c r="C2404" s="21" t="n">
        <v>148</v>
      </c>
      <c r="D2404" s="21" t="n">
        <v>117.75</v>
      </c>
      <c r="E2404" s="21" t="n">
        <v>17.5</v>
      </c>
      <c r="F2404" s="27">
        <f>IFERROR(IF(OR(C2404="",D2404="",C2404=0),"",D2404/C2404),"")</f>
        <v/>
      </c>
      <c r="G2404" s="21">
        <f>IFERROR(INDEX(Users!$A$2:$A$310,MATCH(A2404,Users!$B$2:$B$310,0)),"")</f>
        <v/>
      </c>
      <c r="H2404" s="21">
        <f>IFERROR(INDEX(Users!$D$2:$D$310,MATCH(A2404,Users!$B$2:$B$310,0)),"")</f>
        <v/>
      </c>
      <c r="I2404" s="19">
        <f>AND(G2404="Service A",H2404="Band 3")</f>
        <v/>
      </c>
      <c r="J2404" s="33">
        <f>IF(AND(YEAR(B2404)=2025,G2404="Service B",OR(H2404="Band 3",H2404="Band 5"),ISNUMBER(F2404)),F2404,"")</f>
        <v/>
      </c>
    </row>
    <row r="2405">
      <c r="A2405" s="19" t="inlineStr">
        <is>
          <t>User1258</t>
        </is>
      </c>
      <c r="B2405" s="60" t="n">
        <v>45717</v>
      </c>
      <c r="C2405" s="21" t="n">
        <v>155.4</v>
      </c>
      <c r="D2405" s="21" t="n">
        <v>72.41666666666666</v>
      </c>
      <c r="E2405" s="21" t="n">
        <v>31</v>
      </c>
      <c r="F2405" s="27">
        <f>IFERROR(IF(OR(C2405="",D2405="",C2405=0),"",D2405/C2405),"")</f>
        <v/>
      </c>
      <c r="G2405" s="21">
        <f>IFERROR(INDEX(Users!$A$2:$A$310,MATCH(A2405,Users!$B$2:$B$310,0)),"")</f>
        <v/>
      </c>
      <c r="H2405" s="21">
        <f>IFERROR(INDEX(Users!$D$2:$D$310,MATCH(A2405,Users!$B$2:$B$310,0)),"")</f>
        <v/>
      </c>
      <c r="I2405" s="19">
        <f>AND(G2405="Service A",H2405="Band 3")</f>
        <v/>
      </c>
      <c r="J2405" s="33">
        <f>IF(AND(YEAR(B2405)=2025,G2405="Service B",OR(H2405="Band 3",H2405="Band 5"),ISNUMBER(F2405)),F2405,"")</f>
        <v/>
      </c>
    </row>
    <row r="2406">
      <c r="A2406" s="19" t="inlineStr">
        <is>
          <t>User1258</t>
        </is>
      </c>
      <c r="B2406" s="60" t="n">
        <v>45748</v>
      </c>
      <c r="C2406" s="21" t="n">
        <v>59.2</v>
      </c>
      <c r="D2406" s="21" t="n">
        <v>14.25</v>
      </c>
      <c r="E2406" s="21" t="n">
        <v>7</v>
      </c>
      <c r="F2406" s="27">
        <f>IFERROR(IF(OR(C2406="",D2406="",C2406=0),"",D2406/C2406),"")</f>
        <v/>
      </c>
      <c r="G2406" s="21">
        <f>IFERROR(INDEX(Users!$A$2:$A$310,MATCH(A2406,Users!$B$2:$B$310,0)),"")</f>
        <v/>
      </c>
      <c r="H2406" s="21">
        <f>IFERROR(INDEX(Users!$D$2:$D$310,MATCH(A2406,Users!$B$2:$B$310,0)),"")</f>
        <v/>
      </c>
      <c r="I2406" s="19">
        <f>AND(G2406="Service A",H2406="Band 3")</f>
        <v/>
      </c>
      <c r="J2406" s="33">
        <f>IF(AND(YEAR(B2406)=2025,G2406="Service B",OR(H2406="Band 3",H2406="Band 5"),ISNUMBER(F2406)),F2406,"")</f>
        <v/>
      </c>
    </row>
    <row r="2407">
      <c r="A2407" s="19" t="inlineStr">
        <is>
          <t>User1259</t>
        </is>
      </c>
      <c r="B2407" s="60" t="n">
        <v>45658</v>
      </c>
      <c r="C2407" s="21" t="n">
        <v>162.8</v>
      </c>
      <c r="D2407" s="21" t="n">
        <v>129.2761111111111</v>
      </c>
      <c r="E2407" s="21" t="n">
        <v>94.39</v>
      </c>
      <c r="F2407" s="27">
        <f>IFERROR(IF(OR(C2407="",D2407="",C2407=0),"",D2407/C2407),"")</f>
        <v/>
      </c>
      <c r="G2407" s="21">
        <f>IFERROR(INDEX(Users!$A$2:$A$310,MATCH(A2407,Users!$B$2:$B$310,0)),"")</f>
        <v/>
      </c>
      <c r="H2407" s="21">
        <f>IFERROR(INDEX(Users!$D$2:$D$310,MATCH(A2407,Users!$B$2:$B$310,0)),"")</f>
        <v/>
      </c>
      <c r="I2407" s="19">
        <f>AND(G2407="Service A",H2407="Band 3")</f>
        <v/>
      </c>
      <c r="J2407" s="33">
        <f>IF(AND(YEAR(B2407)=2025,G2407="Service B",OR(H2407="Band 3",H2407="Band 5"),ISNUMBER(F2407)),F2407,"")</f>
        <v/>
      </c>
    </row>
    <row r="2408">
      <c r="A2408" s="19" t="inlineStr">
        <is>
          <t>User1259</t>
        </is>
      </c>
      <c r="B2408" s="60" t="n">
        <v>45689</v>
      </c>
      <c r="C2408" s="21" t="n">
        <v>148</v>
      </c>
      <c r="D2408" s="21" t="n">
        <v>112.7411111111111</v>
      </c>
      <c r="E2408" s="21" t="n">
        <v>58.85000000000002</v>
      </c>
      <c r="F2408" s="27">
        <f>IFERROR(IF(OR(C2408="",D2408="",C2408=0),"",D2408/C2408),"")</f>
        <v/>
      </c>
      <c r="G2408" s="21">
        <f>IFERROR(INDEX(Users!$A$2:$A$310,MATCH(A2408,Users!$B$2:$B$310,0)),"")</f>
        <v/>
      </c>
      <c r="H2408" s="21">
        <f>IFERROR(INDEX(Users!$D$2:$D$310,MATCH(A2408,Users!$B$2:$B$310,0)),"")</f>
        <v/>
      </c>
      <c r="I2408" s="19">
        <f>AND(G2408="Service A",H2408="Band 3")</f>
        <v/>
      </c>
      <c r="J2408" s="33">
        <f>IF(AND(YEAR(B2408)=2025,G2408="Service B",OR(H2408="Band 3",H2408="Band 5"),ISNUMBER(F2408)),F2408,"")</f>
        <v/>
      </c>
    </row>
    <row r="2409">
      <c r="A2409" s="19" t="inlineStr">
        <is>
          <t>User1259</t>
        </is>
      </c>
      <c r="B2409" s="60" t="n">
        <v>45717</v>
      </c>
      <c r="C2409" s="21" t="n">
        <v>155.4</v>
      </c>
      <c r="D2409" s="21" t="n">
        <v>127.6616666666667</v>
      </c>
      <c r="E2409" s="21" t="n">
        <v>82.53999999999999</v>
      </c>
      <c r="F2409" s="27">
        <f>IFERROR(IF(OR(C2409="",D2409="",C2409=0),"",D2409/C2409),"")</f>
        <v/>
      </c>
      <c r="G2409" s="21">
        <f>IFERROR(INDEX(Users!$A$2:$A$310,MATCH(A2409,Users!$B$2:$B$310,0)),"")</f>
        <v/>
      </c>
      <c r="H2409" s="21">
        <f>IFERROR(INDEX(Users!$D$2:$D$310,MATCH(A2409,Users!$B$2:$B$310,0)),"")</f>
        <v/>
      </c>
      <c r="I2409" s="19">
        <f>AND(G2409="Service A",H2409="Band 3")</f>
        <v/>
      </c>
      <c r="J2409" s="33">
        <f>IF(AND(YEAR(B2409)=2025,G2409="Service B",OR(H2409="Band 3",H2409="Band 5"),ISNUMBER(F2409)),F2409,"")</f>
        <v/>
      </c>
    </row>
    <row r="2410">
      <c r="A2410" s="19" t="inlineStr">
        <is>
          <t>User1259</t>
        </is>
      </c>
      <c r="B2410" s="60" t="n">
        <v>45748</v>
      </c>
      <c r="C2410" s="21" t="n">
        <v>148</v>
      </c>
      <c r="D2410" s="21" t="n">
        <v>110.8125</v>
      </c>
      <c r="E2410" s="21" t="n">
        <v>50.56</v>
      </c>
      <c r="F2410" s="27">
        <f>IFERROR(IF(OR(C2410="",D2410="",C2410=0),"",D2410/C2410),"")</f>
        <v/>
      </c>
      <c r="G2410" s="21">
        <f>IFERROR(INDEX(Users!$A$2:$A$310,MATCH(A2410,Users!$B$2:$B$310,0)),"")</f>
        <v/>
      </c>
      <c r="H2410" s="21">
        <f>IFERROR(INDEX(Users!$D$2:$D$310,MATCH(A2410,Users!$B$2:$B$310,0)),"")</f>
        <v/>
      </c>
      <c r="I2410" s="19">
        <f>AND(G2410="Service A",H2410="Band 3")</f>
        <v/>
      </c>
      <c r="J2410" s="33">
        <f>IF(AND(YEAR(B2410)=2025,G2410="Service B",OR(H2410="Band 3",H2410="Band 5"),ISNUMBER(F2410)),F2410,"")</f>
        <v/>
      </c>
    </row>
    <row r="2411">
      <c r="A2411" s="19" t="inlineStr">
        <is>
          <t>User1259</t>
        </is>
      </c>
      <c r="B2411" s="60" t="n">
        <v>45778</v>
      </c>
      <c r="C2411" s="21" t="n">
        <v>148</v>
      </c>
      <c r="D2411" s="21" t="n">
        <v>131.4752777777778</v>
      </c>
      <c r="E2411" s="21" t="n">
        <v>83.56999999999998</v>
      </c>
      <c r="F2411" s="27">
        <f>IFERROR(IF(OR(C2411="",D2411="",C2411=0),"",D2411/C2411),"")</f>
        <v/>
      </c>
      <c r="G2411" s="21">
        <f>IFERROR(INDEX(Users!$A$2:$A$310,MATCH(A2411,Users!$B$2:$B$310,0)),"")</f>
        <v/>
      </c>
      <c r="H2411" s="21">
        <f>IFERROR(INDEX(Users!$D$2:$D$310,MATCH(A2411,Users!$B$2:$B$310,0)),"")</f>
        <v/>
      </c>
      <c r="I2411" s="19">
        <f>AND(G2411="Service A",H2411="Band 3")</f>
        <v/>
      </c>
      <c r="J2411" s="33">
        <f>IF(AND(YEAR(B2411)=2025,G2411="Service B",OR(H2411="Band 3",H2411="Band 5"),ISNUMBER(F2411)),F2411,"")</f>
        <v/>
      </c>
    </row>
    <row r="2412">
      <c r="A2412" s="19" t="inlineStr">
        <is>
          <t>User1259</t>
        </is>
      </c>
      <c r="B2412" s="60" t="n">
        <v>45809</v>
      </c>
      <c r="C2412" s="21" t="n">
        <v>155.4</v>
      </c>
      <c r="D2412" s="21" t="n">
        <v>78.44000000000003</v>
      </c>
      <c r="E2412" s="21" t="n">
        <v>34.72000000000001</v>
      </c>
      <c r="F2412" s="27">
        <f>IFERROR(IF(OR(C2412="",D2412="",C2412=0),"",D2412/C2412),"")</f>
        <v/>
      </c>
      <c r="G2412" s="21">
        <f>IFERROR(INDEX(Users!$A$2:$A$310,MATCH(A2412,Users!$B$2:$B$310,0)),"")</f>
        <v/>
      </c>
      <c r="H2412" s="21">
        <f>IFERROR(INDEX(Users!$D$2:$D$310,MATCH(A2412,Users!$B$2:$B$310,0)),"")</f>
        <v/>
      </c>
      <c r="I2412" s="19">
        <f>AND(G2412="Service A",H2412="Band 3")</f>
        <v/>
      </c>
      <c r="J2412" s="33">
        <f>IF(AND(YEAR(B2412)=2025,G2412="Service B",OR(H2412="Band 3",H2412="Band 5"),ISNUMBER(F2412)),F2412,"")</f>
        <v/>
      </c>
    </row>
    <row r="2413">
      <c r="A2413" s="19" t="inlineStr">
        <is>
          <t>User1259</t>
        </is>
      </c>
      <c r="B2413" s="60" t="n">
        <v>45839</v>
      </c>
      <c r="C2413" s="21" t="n">
        <v>170.2</v>
      </c>
      <c r="D2413" s="21" t="n">
        <v>113.0225</v>
      </c>
      <c r="E2413" s="21" t="n">
        <v>64.94</v>
      </c>
      <c r="F2413" s="27">
        <f>IFERROR(IF(OR(C2413="",D2413="",C2413=0),"",D2413/C2413),"")</f>
        <v/>
      </c>
      <c r="G2413" s="21">
        <f>IFERROR(INDEX(Users!$A$2:$A$310,MATCH(A2413,Users!$B$2:$B$310,0)),"")</f>
        <v/>
      </c>
      <c r="H2413" s="21">
        <f>IFERROR(INDEX(Users!$D$2:$D$310,MATCH(A2413,Users!$B$2:$B$310,0)),"")</f>
        <v/>
      </c>
      <c r="I2413" s="19">
        <f>AND(G2413="Service A",H2413="Band 3")</f>
        <v/>
      </c>
      <c r="J2413" s="33">
        <f>IF(AND(YEAR(B2413)=2025,G2413="Service B",OR(H2413="Band 3",H2413="Band 5"),ISNUMBER(F2413)),F2413,"")</f>
        <v/>
      </c>
    </row>
    <row r="2414">
      <c r="A2414" s="19" t="inlineStr">
        <is>
          <t>User1259</t>
        </is>
      </c>
      <c r="B2414" s="60" t="n">
        <v>45870</v>
      </c>
      <c r="C2414" s="21" t="n">
        <v>148</v>
      </c>
      <c r="D2414" s="21" t="n">
        <v>135.0233333333333</v>
      </c>
      <c r="E2414" s="21" t="n">
        <v>76.11999999999999</v>
      </c>
      <c r="F2414" s="27">
        <f>IFERROR(IF(OR(C2414="",D2414="",C2414=0),"",D2414/C2414),"")</f>
        <v/>
      </c>
      <c r="G2414" s="21">
        <f>IFERROR(INDEX(Users!$A$2:$A$310,MATCH(A2414,Users!$B$2:$B$310,0)),"")</f>
        <v/>
      </c>
      <c r="H2414" s="21">
        <f>IFERROR(INDEX(Users!$D$2:$D$310,MATCH(A2414,Users!$B$2:$B$310,0)),"")</f>
        <v/>
      </c>
      <c r="I2414" s="19">
        <f>AND(G2414="Service A",H2414="Band 3")</f>
        <v/>
      </c>
      <c r="J2414" s="33">
        <f>IF(AND(YEAR(B2414)=2025,G2414="Service B",OR(H2414="Band 3",H2414="Band 5"),ISNUMBER(F2414)),F2414,"")</f>
        <v/>
      </c>
    </row>
    <row r="2415">
      <c r="A2415" s="19" t="inlineStr">
        <is>
          <t>User1259</t>
        </is>
      </c>
      <c r="B2415" s="60" t="n">
        <v>45901</v>
      </c>
      <c r="C2415" s="21" t="n">
        <v>162.8</v>
      </c>
      <c r="D2415" s="21" t="n">
        <v>65.21194444444446</v>
      </c>
      <c r="E2415" s="21" t="n">
        <v>40.45000000000001</v>
      </c>
      <c r="F2415" s="27">
        <f>IFERROR(IF(OR(C2415="",D2415="",C2415=0),"",D2415/C2415),"")</f>
        <v/>
      </c>
      <c r="G2415" s="21">
        <f>IFERROR(INDEX(Users!$A$2:$A$310,MATCH(A2415,Users!$B$2:$B$310,0)),"")</f>
        <v/>
      </c>
      <c r="H2415" s="21">
        <f>IFERROR(INDEX(Users!$D$2:$D$310,MATCH(A2415,Users!$B$2:$B$310,0)),"")</f>
        <v/>
      </c>
      <c r="I2415" s="19">
        <f>AND(G2415="Service A",H2415="Band 3")</f>
        <v/>
      </c>
      <c r="J2415" s="33">
        <f>IF(AND(YEAR(B2415)=2025,G2415="Service B",OR(H2415="Band 3",H2415="Band 5"),ISNUMBER(F2415)),F2415,"")</f>
        <v/>
      </c>
    </row>
    <row r="2416">
      <c r="A2416" s="19" t="inlineStr">
        <is>
          <t>User1259</t>
        </is>
      </c>
      <c r="B2416" s="60" t="n">
        <v>45931</v>
      </c>
      <c r="C2416" s="21" t="n">
        <v>170.2</v>
      </c>
      <c r="D2416" s="21" t="n">
        <v>139.1602777777778</v>
      </c>
      <c r="E2416" s="21" t="n">
        <v>49.81000000000001</v>
      </c>
      <c r="F2416" s="27">
        <f>IFERROR(IF(OR(C2416="",D2416="",C2416=0),"",D2416/C2416),"")</f>
        <v/>
      </c>
      <c r="G2416" s="21">
        <f>IFERROR(INDEX(Users!$A$2:$A$310,MATCH(A2416,Users!$B$2:$B$310,0)),"")</f>
        <v/>
      </c>
      <c r="H2416" s="21">
        <f>IFERROR(INDEX(Users!$D$2:$D$310,MATCH(A2416,Users!$B$2:$B$310,0)),"")</f>
        <v/>
      </c>
      <c r="I2416" s="19">
        <f>AND(G2416="Service A",H2416="Band 3")</f>
        <v/>
      </c>
      <c r="J2416" s="33">
        <f>IF(AND(YEAR(B2416)=2025,G2416="Service B",OR(H2416="Band 3",H2416="Band 5"),ISNUMBER(F2416)),F2416,"")</f>
        <v/>
      </c>
    </row>
    <row r="2417">
      <c r="A2417" s="19" t="inlineStr">
        <is>
          <t>User1259</t>
        </is>
      </c>
      <c r="B2417" s="60" t="n">
        <v>45962</v>
      </c>
      <c r="C2417" s="21" t="n">
        <v>148</v>
      </c>
      <c r="D2417" s="21" t="n">
        <v>122.7222222222222</v>
      </c>
      <c r="E2417" s="21" t="n">
        <v>60.92</v>
      </c>
      <c r="F2417" s="27">
        <f>IFERROR(IF(OR(C2417="",D2417="",C2417=0),"",D2417/C2417),"")</f>
        <v/>
      </c>
      <c r="G2417" s="21">
        <f>IFERROR(INDEX(Users!$A$2:$A$310,MATCH(A2417,Users!$B$2:$B$310,0)),"")</f>
        <v/>
      </c>
      <c r="H2417" s="21">
        <f>IFERROR(INDEX(Users!$D$2:$D$310,MATCH(A2417,Users!$B$2:$B$310,0)),"")</f>
        <v/>
      </c>
      <c r="I2417" s="19">
        <f>AND(G2417="Service A",H2417="Band 3")</f>
        <v/>
      </c>
      <c r="J2417" s="33">
        <f>IF(AND(YEAR(B2417)=2025,G2417="Service B",OR(H2417="Band 3",H2417="Band 5"),ISNUMBER(F2417)),F2417,"")</f>
        <v/>
      </c>
    </row>
    <row r="2418">
      <c r="A2418" s="19" t="inlineStr">
        <is>
          <t>User1259</t>
        </is>
      </c>
      <c r="B2418" s="60" t="n">
        <v>45992</v>
      </c>
      <c r="C2418" s="21" t="n">
        <v>155.4</v>
      </c>
      <c r="D2418" s="21" t="n">
        <v>92.95638888888891</v>
      </c>
      <c r="E2418" s="21" t="n">
        <v>19.78</v>
      </c>
      <c r="F2418" s="27">
        <f>IFERROR(IF(OR(C2418="",D2418="",C2418=0),"",D2418/C2418),"")</f>
        <v/>
      </c>
      <c r="G2418" s="21">
        <f>IFERROR(INDEX(Users!$A$2:$A$310,MATCH(A2418,Users!$B$2:$B$310,0)),"")</f>
        <v/>
      </c>
      <c r="H2418" s="21">
        <f>IFERROR(INDEX(Users!$D$2:$D$310,MATCH(A2418,Users!$B$2:$B$310,0)),"")</f>
        <v/>
      </c>
      <c r="I2418" s="19">
        <f>AND(G2418="Service A",H2418="Band 3")</f>
        <v/>
      </c>
      <c r="J2418" s="33">
        <f>IF(AND(YEAR(B2418)=2025,G2418="Service B",OR(H2418="Band 3",H2418="Band 5"),ISNUMBER(F2418)),F2418,"")</f>
        <v/>
      </c>
    </row>
    <row r="2419">
      <c r="A2419" s="19" t="inlineStr">
        <is>
          <t>User1259</t>
        </is>
      </c>
      <c r="B2419" s="60" t="n">
        <v>46023</v>
      </c>
      <c r="C2419" s="21" t="n">
        <v>155.4</v>
      </c>
      <c r="D2419" s="21" t="n">
        <v>1.000277777777778</v>
      </c>
      <c r="E2419" s="21" t="n"/>
      <c r="F2419" s="27">
        <f>IFERROR(IF(OR(C2419="",D2419="",C2419=0),"",D2419/C2419),"")</f>
        <v/>
      </c>
      <c r="G2419" s="21">
        <f>IFERROR(INDEX(Users!$A$2:$A$310,MATCH(A2419,Users!$B$2:$B$310,0)),"")</f>
        <v/>
      </c>
      <c r="H2419" s="21">
        <f>IFERROR(INDEX(Users!$D$2:$D$310,MATCH(A2419,Users!$B$2:$B$310,0)),"")</f>
        <v/>
      </c>
      <c r="I2419" s="19">
        <f>AND(G2419="Service A",H2419="Band 3")</f>
        <v/>
      </c>
      <c r="J2419" s="33">
        <f>IF(AND(YEAR(B2419)=2025,G2419="Service B",OR(H2419="Band 3",H2419="Band 5"),ISNUMBER(F2419)),F2419,"")</f>
        <v/>
      </c>
    </row>
    <row r="2420">
      <c r="A2420" s="19" t="inlineStr">
        <is>
          <t>User1260</t>
        </is>
      </c>
      <c r="B2420" s="60" t="n">
        <v>45658</v>
      </c>
      <c r="C2420" s="21" t="n">
        <v>162.8</v>
      </c>
      <c r="D2420" s="21" t="n">
        <v>157.6233333333333</v>
      </c>
      <c r="E2420" s="21" t="n">
        <v>41.84</v>
      </c>
      <c r="F2420" s="27">
        <f>IFERROR(IF(OR(C2420="",D2420="",C2420=0),"",D2420/C2420),"")</f>
        <v/>
      </c>
      <c r="G2420" s="21">
        <f>IFERROR(INDEX(Users!$A$2:$A$310,MATCH(A2420,Users!$B$2:$B$310,0)),"")</f>
        <v/>
      </c>
      <c r="H2420" s="21">
        <f>IFERROR(INDEX(Users!$D$2:$D$310,MATCH(A2420,Users!$B$2:$B$310,0)),"")</f>
        <v/>
      </c>
      <c r="I2420" s="19">
        <f>AND(G2420="Service A",H2420="Band 3")</f>
        <v/>
      </c>
      <c r="J2420" s="33">
        <f>IF(AND(YEAR(B2420)=2025,G2420="Service B",OR(H2420="Band 3",H2420="Band 5"),ISNUMBER(F2420)),F2420,"")</f>
        <v/>
      </c>
    </row>
    <row r="2421">
      <c r="A2421" s="19" t="inlineStr">
        <is>
          <t>User1260</t>
        </is>
      </c>
      <c r="B2421" s="60" t="n">
        <v>45689</v>
      </c>
      <c r="C2421" s="21" t="n">
        <v>148</v>
      </c>
      <c r="D2421" s="21" t="n">
        <v>136.08</v>
      </c>
      <c r="E2421" s="21" t="n">
        <v>29.58</v>
      </c>
      <c r="F2421" s="27">
        <f>IFERROR(IF(OR(C2421="",D2421="",C2421=0),"",D2421/C2421),"")</f>
        <v/>
      </c>
      <c r="G2421" s="21">
        <f>IFERROR(INDEX(Users!$A$2:$A$310,MATCH(A2421,Users!$B$2:$B$310,0)),"")</f>
        <v/>
      </c>
      <c r="H2421" s="21">
        <f>IFERROR(INDEX(Users!$D$2:$D$310,MATCH(A2421,Users!$B$2:$B$310,0)),"")</f>
        <v/>
      </c>
      <c r="I2421" s="19">
        <f>AND(G2421="Service A",H2421="Band 3")</f>
        <v/>
      </c>
      <c r="J2421" s="33">
        <f>IF(AND(YEAR(B2421)=2025,G2421="Service B",OR(H2421="Band 3",H2421="Band 5"),ISNUMBER(F2421)),F2421,"")</f>
        <v/>
      </c>
    </row>
    <row r="2422">
      <c r="A2422" s="19" t="inlineStr">
        <is>
          <t>User1260</t>
        </is>
      </c>
      <c r="B2422" s="60" t="n">
        <v>45717</v>
      </c>
      <c r="C2422" s="21" t="n">
        <v>155.4</v>
      </c>
      <c r="D2422" s="21" t="n">
        <v>156.1766666666667</v>
      </c>
      <c r="E2422" s="21" t="n">
        <v>55.41</v>
      </c>
      <c r="F2422" s="27">
        <f>IFERROR(IF(OR(C2422="",D2422="",C2422=0),"",D2422/C2422),"")</f>
        <v/>
      </c>
      <c r="G2422" s="21">
        <f>IFERROR(INDEX(Users!$A$2:$A$310,MATCH(A2422,Users!$B$2:$B$310,0)),"")</f>
        <v/>
      </c>
      <c r="H2422" s="21">
        <f>IFERROR(INDEX(Users!$D$2:$D$310,MATCH(A2422,Users!$B$2:$B$310,0)),"")</f>
        <v/>
      </c>
      <c r="I2422" s="19">
        <f>AND(G2422="Service A",H2422="Band 3")</f>
        <v/>
      </c>
      <c r="J2422" s="33">
        <f>IF(AND(YEAR(B2422)=2025,G2422="Service B",OR(H2422="Band 3",H2422="Band 5"),ISNUMBER(F2422)),F2422,"")</f>
        <v/>
      </c>
    </row>
    <row r="2423">
      <c r="A2423" s="19" t="inlineStr">
        <is>
          <t>User1260</t>
        </is>
      </c>
      <c r="B2423" s="60" t="n">
        <v>45748</v>
      </c>
      <c r="C2423" s="21" t="n">
        <v>148</v>
      </c>
      <c r="D2423" s="21" t="n">
        <v>91.24666666666667</v>
      </c>
      <c r="E2423" s="21" t="n">
        <v>23.63</v>
      </c>
      <c r="F2423" s="27">
        <f>IFERROR(IF(OR(C2423="",D2423="",C2423=0),"",D2423/C2423),"")</f>
        <v/>
      </c>
      <c r="G2423" s="21">
        <f>IFERROR(INDEX(Users!$A$2:$A$310,MATCH(A2423,Users!$B$2:$B$310,0)),"")</f>
        <v/>
      </c>
      <c r="H2423" s="21">
        <f>IFERROR(INDEX(Users!$D$2:$D$310,MATCH(A2423,Users!$B$2:$B$310,0)),"")</f>
        <v/>
      </c>
      <c r="I2423" s="19">
        <f>AND(G2423="Service A",H2423="Band 3")</f>
        <v/>
      </c>
      <c r="J2423" s="33">
        <f>IF(AND(YEAR(B2423)=2025,G2423="Service B",OR(H2423="Band 3",H2423="Band 5"),ISNUMBER(F2423)),F2423,"")</f>
        <v/>
      </c>
    </row>
    <row r="2424">
      <c r="A2424" s="19" t="inlineStr">
        <is>
          <t>User1260</t>
        </is>
      </c>
      <c r="B2424" s="60" t="n">
        <v>45778</v>
      </c>
      <c r="C2424" s="21" t="n">
        <v>148</v>
      </c>
      <c r="D2424" s="21" t="n">
        <v>152.1033333333334</v>
      </c>
      <c r="E2424" s="21" t="n">
        <v>85.17</v>
      </c>
      <c r="F2424" s="27">
        <f>IFERROR(IF(OR(C2424="",D2424="",C2424=0),"",D2424/C2424),"")</f>
        <v/>
      </c>
      <c r="G2424" s="21">
        <f>IFERROR(INDEX(Users!$A$2:$A$310,MATCH(A2424,Users!$B$2:$B$310,0)),"")</f>
        <v/>
      </c>
      <c r="H2424" s="21">
        <f>IFERROR(INDEX(Users!$D$2:$D$310,MATCH(A2424,Users!$B$2:$B$310,0)),"")</f>
        <v/>
      </c>
      <c r="I2424" s="19">
        <f>AND(G2424="Service A",H2424="Band 3")</f>
        <v/>
      </c>
      <c r="J2424" s="33">
        <f>IF(AND(YEAR(B2424)=2025,G2424="Service B",OR(H2424="Band 3",H2424="Band 5"),ISNUMBER(F2424)),F2424,"")</f>
        <v/>
      </c>
    </row>
    <row r="2425">
      <c r="A2425" s="19" t="inlineStr">
        <is>
          <t>User1260</t>
        </is>
      </c>
      <c r="B2425" s="60" t="n">
        <v>45809</v>
      </c>
      <c r="C2425" s="21" t="n">
        <v>155.4</v>
      </c>
      <c r="D2425" s="21" t="n">
        <v>153.43</v>
      </c>
      <c r="E2425" s="21" t="n">
        <v>78.58</v>
      </c>
      <c r="F2425" s="27">
        <f>IFERROR(IF(OR(C2425="",D2425="",C2425=0),"",D2425/C2425),"")</f>
        <v/>
      </c>
      <c r="G2425" s="21">
        <f>IFERROR(INDEX(Users!$A$2:$A$310,MATCH(A2425,Users!$B$2:$B$310,0)),"")</f>
        <v/>
      </c>
      <c r="H2425" s="21">
        <f>IFERROR(INDEX(Users!$D$2:$D$310,MATCH(A2425,Users!$B$2:$B$310,0)),"")</f>
        <v/>
      </c>
      <c r="I2425" s="19">
        <f>AND(G2425="Service A",H2425="Band 3")</f>
        <v/>
      </c>
      <c r="J2425" s="33">
        <f>IF(AND(YEAR(B2425)=2025,G2425="Service B",OR(H2425="Band 3",H2425="Band 5"),ISNUMBER(F2425)),F2425,"")</f>
        <v/>
      </c>
    </row>
    <row r="2426">
      <c r="A2426" s="19" t="inlineStr">
        <is>
          <t>User1260</t>
        </is>
      </c>
      <c r="B2426" s="60" t="n">
        <v>45839</v>
      </c>
      <c r="C2426" s="21" t="n">
        <v>170.2</v>
      </c>
      <c r="D2426" s="21" t="n">
        <v>136.99</v>
      </c>
      <c r="E2426" s="21" t="n">
        <v>75.03999999999999</v>
      </c>
      <c r="F2426" s="27">
        <f>IFERROR(IF(OR(C2426="",D2426="",C2426=0),"",D2426/C2426),"")</f>
        <v/>
      </c>
      <c r="G2426" s="21">
        <f>IFERROR(INDEX(Users!$A$2:$A$310,MATCH(A2426,Users!$B$2:$B$310,0)),"")</f>
        <v/>
      </c>
      <c r="H2426" s="21">
        <f>IFERROR(INDEX(Users!$D$2:$D$310,MATCH(A2426,Users!$B$2:$B$310,0)),"")</f>
        <v/>
      </c>
      <c r="I2426" s="19">
        <f>AND(G2426="Service A",H2426="Band 3")</f>
        <v/>
      </c>
      <c r="J2426" s="33">
        <f>IF(AND(YEAR(B2426)=2025,G2426="Service B",OR(H2426="Band 3",H2426="Band 5"),ISNUMBER(F2426)),F2426,"")</f>
        <v/>
      </c>
    </row>
    <row r="2427">
      <c r="A2427" s="19" t="inlineStr">
        <is>
          <t>User1260</t>
        </is>
      </c>
      <c r="B2427" s="60" t="n">
        <v>45870</v>
      </c>
      <c r="C2427" s="21" t="n">
        <v>148</v>
      </c>
      <c r="D2427" s="21" t="n">
        <v>141.1566666666667</v>
      </c>
      <c r="E2427" s="21" t="n">
        <v>59.04</v>
      </c>
      <c r="F2427" s="27">
        <f>IFERROR(IF(OR(C2427="",D2427="",C2427=0),"",D2427/C2427),"")</f>
        <v/>
      </c>
      <c r="G2427" s="21">
        <f>IFERROR(INDEX(Users!$A$2:$A$310,MATCH(A2427,Users!$B$2:$B$310,0)),"")</f>
        <v/>
      </c>
      <c r="H2427" s="21">
        <f>IFERROR(INDEX(Users!$D$2:$D$310,MATCH(A2427,Users!$B$2:$B$310,0)),"")</f>
        <v/>
      </c>
      <c r="I2427" s="19">
        <f>AND(G2427="Service A",H2427="Band 3")</f>
        <v/>
      </c>
      <c r="J2427" s="33">
        <f>IF(AND(YEAR(B2427)=2025,G2427="Service B",OR(H2427="Band 3",H2427="Band 5"),ISNUMBER(F2427)),F2427,"")</f>
        <v/>
      </c>
    </row>
    <row r="2428">
      <c r="A2428" s="19" t="inlineStr">
        <is>
          <t>User1260</t>
        </is>
      </c>
      <c r="B2428" s="60" t="n">
        <v>45901</v>
      </c>
      <c r="C2428" s="21" t="n">
        <v>162.8</v>
      </c>
      <c r="D2428" s="21" t="n">
        <v>153.8066666666667</v>
      </c>
      <c r="E2428" s="21" t="n">
        <v>78.04000000000001</v>
      </c>
      <c r="F2428" s="27">
        <f>IFERROR(IF(OR(C2428="",D2428="",C2428=0),"",D2428/C2428),"")</f>
        <v/>
      </c>
      <c r="G2428" s="21">
        <f>IFERROR(INDEX(Users!$A$2:$A$310,MATCH(A2428,Users!$B$2:$B$310,0)),"")</f>
        <v/>
      </c>
      <c r="H2428" s="21">
        <f>IFERROR(INDEX(Users!$D$2:$D$310,MATCH(A2428,Users!$B$2:$B$310,0)),"")</f>
        <v/>
      </c>
      <c r="I2428" s="19">
        <f>AND(G2428="Service A",H2428="Band 3")</f>
        <v/>
      </c>
      <c r="J2428" s="33">
        <f>IF(AND(YEAR(B2428)=2025,G2428="Service B",OR(H2428="Band 3",H2428="Band 5"),ISNUMBER(F2428)),F2428,"")</f>
        <v/>
      </c>
    </row>
    <row r="2429">
      <c r="A2429" s="19" t="inlineStr">
        <is>
          <t>User1260</t>
        </is>
      </c>
      <c r="B2429" s="60" t="n">
        <v>45931</v>
      </c>
      <c r="C2429" s="21" t="n">
        <v>170.2</v>
      </c>
      <c r="D2429" s="21" t="n">
        <v>113.29</v>
      </c>
      <c r="E2429" s="21" t="n">
        <v>68.09</v>
      </c>
      <c r="F2429" s="27">
        <f>IFERROR(IF(OR(C2429="",D2429="",C2429=0),"",D2429/C2429),"")</f>
        <v/>
      </c>
      <c r="G2429" s="21">
        <f>IFERROR(INDEX(Users!$A$2:$A$310,MATCH(A2429,Users!$B$2:$B$310,0)),"")</f>
        <v/>
      </c>
      <c r="H2429" s="21">
        <f>IFERROR(INDEX(Users!$D$2:$D$310,MATCH(A2429,Users!$B$2:$B$310,0)),"")</f>
        <v/>
      </c>
      <c r="I2429" s="19">
        <f>AND(G2429="Service A",H2429="Band 3")</f>
        <v/>
      </c>
      <c r="J2429" s="33">
        <f>IF(AND(YEAR(B2429)=2025,G2429="Service B",OR(H2429="Band 3",H2429="Band 5"),ISNUMBER(F2429)),F2429,"")</f>
        <v/>
      </c>
    </row>
    <row r="2430">
      <c r="A2430" s="19" t="inlineStr">
        <is>
          <t>User1260</t>
        </is>
      </c>
      <c r="B2430" s="60" t="n">
        <v>45962</v>
      </c>
      <c r="C2430" s="21" t="n">
        <v>148</v>
      </c>
      <c r="D2430" s="21" t="n">
        <v>148.4466666666667</v>
      </c>
      <c r="E2430" s="21" t="n">
        <v>85.87999999999998</v>
      </c>
      <c r="F2430" s="27">
        <f>IFERROR(IF(OR(C2430="",D2430="",C2430=0),"",D2430/C2430),"")</f>
        <v/>
      </c>
      <c r="G2430" s="21">
        <f>IFERROR(INDEX(Users!$A$2:$A$310,MATCH(A2430,Users!$B$2:$B$310,0)),"")</f>
        <v/>
      </c>
      <c r="H2430" s="21">
        <f>IFERROR(INDEX(Users!$D$2:$D$310,MATCH(A2430,Users!$B$2:$B$310,0)),"")</f>
        <v/>
      </c>
      <c r="I2430" s="19">
        <f>AND(G2430="Service A",H2430="Band 3")</f>
        <v/>
      </c>
      <c r="J2430" s="33">
        <f>IF(AND(YEAR(B2430)=2025,G2430="Service B",OR(H2430="Band 3",H2430="Band 5"),ISNUMBER(F2430)),F2430,"")</f>
        <v/>
      </c>
    </row>
    <row r="2431">
      <c r="A2431" s="19" t="inlineStr">
        <is>
          <t>User1260</t>
        </is>
      </c>
      <c r="B2431" s="60" t="n">
        <v>45992</v>
      </c>
      <c r="C2431" s="21" t="n">
        <v>155.4</v>
      </c>
      <c r="D2431" s="21" t="n">
        <v>102.5866666666667</v>
      </c>
      <c r="E2431" s="21" t="n">
        <v>51.62</v>
      </c>
      <c r="F2431" s="27">
        <f>IFERROR(IF(OR(C2431="",D2431="",C2431=0),"",D2431/C2431),"")</f>
        <v/>
      </c>
      <c r="G2431" s="21">
        <f>IFERROR(INDEX(Users!$A$2:$A$310,MATCH(A2431,Users!$B$2:$B$310,0)),"")</f>
        <v/>
      </c>
      <c r="H2431" s="21">
        <f>IFERROR(INDEX(Users!$D$2:$D$310,MATCH(A2431,Users!$B$2:$B$310,0)),"")</f>
        <v/>
      </c>
      <c r="I2431" s="19">
        <f>AND(G2431="Service A",H2431="Band 3")</f>
        <v/>
      </c>
      <c r="J2431" s="33">
        <f>IF(AND(YEAR(B2431)=2025,G2431="Service B",OR(H2431="Band 3",H2431="Band 5"),ISNUMBER(F2431)),F2431,"")</f>
        <v/>
      </c>
    </row>
    <row r="2432">
      <c r="A2432" s="19" t="inlineStr">
        <is>
          <t>User1260</t>
        </is>
      </c>
      <c r="B2432" s="60" t="n">
        <v>46023</v>
      </c>
      <c r="C2432" s="21" t="n">
        <v>155.4</v>
      </c>
      <c r="D2432" s="21" t="n">
        <v>167.8933333333333</v>
      </c>
      <c r="E2432" s="21" t="n">
        <v>94.81</v>
      </c>
      <c r="F2432" s="27">
        <f>IFERROR(IF(OR(C2432="",D2432="",C2432=0),"",D2432/C2432),"")</f>
        <v/>
      </c>
      <c r="G2432" s="21">
        <f>IFERROR(INDEX(Users!$A$2:$A$310,MATCH(A2432,Users!$B$2:$B$310,0)),"")</f>
        <v/>
      </c>
      <c r="H2432" s="21">
        <f>IFERROR(INDEX(Users!$D$2:$D$310,MATCH(A2432,Users!$B$2:$B$310,0)),"")</f>
        <v/>
      </c>
      <c r="I2432" s="19">
        <f>AND(G2432="Service A",H2432="Band 3")</f>
        <v/>
      </c>
      <c r="J2432" s="33">
        <f>IF(AND(YEAR(B2432)=2025,G2432="Service B",OR(H2432="Band 3",H2432="Band 5"),ISNUMBER(F2432)),F2432,"")</f>
        <v/>
      </c>
    </row>
    <row r="2433">
      <c r="A2433" s="19" t="inlineStr">
        <is>
          <t>User1261</t>
        </is>
      </c>
      <c r="B2433" s="60" t="n">
        <v>45658</v>
      </c>
      <c r="C2433" s="21" t="n">
        <v>162.8</v>
      </c>
      <c r="D2433" s="21" t="n">
        <v>143.9866666666667</v>
      </c>
      <c r="E2433" s="21" t="n">
        <v>45.82000000000006</v>
      </c>
      <c r="F2433" s="27">
        <f>IFERROR(IF(OR(C2433="",D2433="",C2433=0),"",D2433/C2433),"")</f>
        <v/>
      </c>
      <c r="G2433" s="21">
        <f>IFERROR(INDEX(Users!$A$2:$A$310,MATCH(A2433,Users!$B$2:$B$310,0)),"")</f>
        <v/>
      </c>
      <c r="H2433" s="21">
        <f>IFERROR(INDEX(Users!$D$2:$D$310,MATCH(A2433,Users!$B$2:$B$310,0)),"")</f>
        <v/>
      </c>
      <c r="I2433" s="19">
        <f>AND(G2433="Service A",H2433="Band 3")</f>
        <v/>
      </c>
      <c r="J2433" s="33">
        <f>IF(AND(YEAR(B2433)=2025,G2433="Service B",OR(H2433="Band 3",H2433="Band 5"),ISNUMBER(F2433)),F2433,"")</f>
        <v/>
      </c>
    </row>
    <row r="2434">
      <c r="A2434" s="19" t="inlineStr">
        <is>
          <t>User1261</t>
        </is>
      </c>
      <c r="B2434" s="60" t="n">
        <v>45689</v>
      </c>
      <c r="C2434" s="21" t="n">
        <v>111</v>
      </c>
      <c r="D2434" s="21" t="n">
        <v>105.7066666666667</v>
      </c>
      <c r="E2434" s="21" t="n">
        <v>5.79</v>
      </c>
      <c r="F2434" s="27">
        <f>IFERROR(IF(OR(C2434="",D2434="",C2434=0),"",D2434/C2434),"")</f>
        <v/>
      </c>
      <c r="G2434" s="21">
        <f>IFERROR(INDEX(Users!$A$2:$A$310,MATCH(A2434,Users!$B$2:$B$310,0)),"")</f>
        <v/>
      </c>
      <c r="H2434" s="21">
        <f>IFERROR(INDEX(Users!$D$2:$D$310,MATCH(A2434,Users!$B$2:$B$310,0)),"")</f>
        <v/>
      </c>
      <c r="I2434" s="19">
        <f>AND(G2434="Service A",H2434="Band 3")</f>
        <v/>
      </c>
      <c r="J2434" s="33">
        <f>IF(AND(YEAR(B2434)=2025,G2434="Service B",OR(H2434="Band 3",H2434="Band 5"),ISNUMBER(F2434)),F2434,"")</f>
        <v/>
      </c>
    </row>
    <row r="2435">
      <c r="A2435" s="19" t="inlineStr">
        <is>
          <t>User1262</t>
        </is>
      </c>
      <c r="B2435" s="60" t="n">
        <v>45962</v>
      </c>
      <c r="C2435" s="21" t="n">
        <v>148.0000000000001</v>
      </c>
      <c r="D2435" s="21" t="n"/>
      <c r="E2435" s="21" t="n"/>
      <c r="F2435" s="27">
        <f>IFERROR(IF(OR(C2435="",D2435="",C2435=0),"",D2435/C2435),"")</f>
        <v/>
      </c>
      <c r="G2435" s="21">
        <f>IFERROR(INDEX(Users!$A$2:$A$310,MATCH(A2435,Users!$B$2:$B$310,0)),"")</f>
        <v/>
      </c>
      <c r="H2435" s="21">
        <f>IFERROR(INDEX(Users!$D$2:$D$310,MATCH(A2435,Users!$B$2:$B$310,0)),"")</f>
        <v/>
      </c>
      <c r="I2435" s="19">
        <f>AND(G2435="Service A",H2435="Band 3")</f>
        <v/>
      </c>
      <c r="J2435" s="33">
        <f>IF(AND(YEAR(B2435)=2025,G2435="Service B",OR(H2435="Band 3",H2435="Band 5"),ISNUMBER(F2435)),F2435,"")</f>
        <v/>
      </c>
    </row>
    <row r="2436">
      <c r="A2436" s="19" t="inlineStr">
        <is>
          <t>User1262</t>
        </is>
      </c>
      <c r="B2436" s="60" t="n">
        <v>45992</v>
      </c>
      <c r="C2436" s="21" t="n">
        <v>155.4000000000001</v>
      </c>
      <c r="D2436" s="21" t="n">
        <v>70.25</v>
      </c>
      <c r="E2436" s="21" t="n">
        <v>2.5</v>
      </c>
      <c r="F2436" s="27">
        <f>IFERROR(IF(OR(C2436="",D2436="",C2436=0),"",D2436/C2436),"")</f>
        <v/>
      </c>
      <c r="G2436" s="21">
        <f>IFERROR(INDEX(Users!$A$2:$A$310,MATCH(A2436,Users!$B$2:$B$310,0)),"")</f>
        <v/>
      </c>
      <c r="H2436" s="21">
        <f>IFERROR(INDEX(Users!$D$2:$D$310,MATCH(A2436,Users!$B$2:$B$310,0)),"")</f>
        <v/>
      </c>
      <c r="I2436" s="19">
        <f>AND(G2436="Service A",H2436="Band 3")</f>
        <v/>
      </c>
      <c r="J2436" s="33">
        <f>IF(AND(YEAR(B2436)=2025,G2436="Service B",OR(H2436="Band 3",H2436="Band 5"),ISNUMBER(F2436)),F2436,"")</f>
        <v/>
      </c>
    </row>
    <row r="2437">
      <c r="A2437" s="19" t="inlineStr">
        <is>
          <t>User1262</t>
        </is>
      </c>
      <c r="B2437" s="60" t="n">
        <v>46023</v>
      </c>
      <c r="C2437" s="21" t="n">
        <v>155.4000000000001</v>
      </c>
      <c r="D2437" s="21" t="n">
        <v>72.91</v>
      </c>
      <c r="E2437" s="21" t="n">
        <v>10.66</v>
      </c>
      <c r="F2437" s="27">
        <f>IFERROR(IF(OR(C2437="",D2437="",C2437=0),"",D2437/C2437),"")</f>
        <v/>
      </c>
      <c r="G2437" s="21">
        <f>IFERROR(INDEX(Users!$A$2:$A$310,MATCH(A2437,Users!$B$2:$B$310,0)),"")</f>
        <v/>
      </c>
      <c r="H2437" s="21">
        <f>IFERROR(INDEX(Users!$D$2:$D$310,MATCH(A2437,Users!$B$2:$B$310,0)),"")</f>
        <v/>
      </c>
      <c r="I2437" s="19">
        <f>AND(G2437="Service A",H2437="Band 3")</f>
        <v/>
      </c>
      <c r="J2437" s="33">
        <f>IF(AND(YEAR(B2437)=2025,G2437="Service B",OR(H2437="Band 3",H2437="Band 5"),ISNUMBER(F2437)),F2437,"")</f>
        <v/>
      </c>
    </row>
    <row r="2438">
      <c r="A2438" s="19" t="inlineStr">
        <is>
          <t>User1263</t>
        </is>
      </c>
      <c r="B2438" s="60" t="n">
        <v>45962</v>
      </c>
      <c r="C2438" s="21" t="n">
        <v>148.0000000000001</v>
      </c>
      <c r="D2438" s="21" t="n"/>
      <c r="E2438" s="21" t="n"/>
      <c r="F2438" s="27">
        <f>IFERROR(IF(OR(C2438="",D2438="",C2438=0),"",D2438/C2438),"")</f>
        <v/>
      </c>
      <c r="G2438" s="21">
        <f>IFERROR(INDEX(Users!$A$2:$A$310,MATCH(A2438,Users!$B$2:$B$310,0)),"")</f>
        <v/>
      </c>
      <c r="H2438" s="21">
        <f>IFERROR(INDEX(Users!$D$2:$D$310,MATCH(A2438,Users!$B$2:$B$310,0)),"")</f>
        <v/>
      </c>
      <c r="I2438" s="19">
        <f>AND(G2438="Service A",H2438="Band 3")</f>
        <v/>
      </c>
      <c r="J2438" s="33">
        <f>IF(AND(YEAR(B2438)=2025,G2438="Service B",OR(H2438="Band 3",H2438="Band 5"),ISNUMBER(F2438)),F2438,"")</f>
        <v/>
      </c>
    </row>
    <row r="2439">
      <c r="A2439" s="19" t="inlineStr">
        <is>
          <t>User1263</t>
        </is>
      </c>
      <c r="B2439" s="60" t="n">
        <v>45992</v>
      </c>
      <c r="C2439" s="21" t="n">
        <v>155.4000000000001</v>
      </c>
      <c r="D2439" s="21" t="n">
        <v>90.46333333333331</v>
      </c>
      <c r="E2439" s="21" t="n">
        <v>17.58</v>
      </c>
      <c r="F2439" s="27">
        <f>IFERROR(IF(OR(C2439="",D2439="",C2439=0),"",D2439/C2439),"")</f>
        <v/>
      </c>
      <c r="G2439" s="21">
        <f>IFERROR(INDEX(Users!$A$2:$A$310,MATCH(A2439,Users!$B$2:$B$310,0)),"")</f>
        <v/>
      </c>
      <c r="H2439" s="21">
        <f>IFERROR(INDEX(Users!$D$2:$D$310,MATCH(A2439,Users!$B$2:$B$310,0)),"")</f>
        <v/>
      </c>
      <c r="I2439" s="19">
        <f>AND(G2439="Service A",H2439="Band 3")</f>
        <v/>
      </c>
      <c r="J2439" s="33">
        <f>IF(AND(YEAR(B2439)=2025,G2439="Service B",OR(H2439="Band 3",H2439="Band 5"),ISNUMBER(F2439)),F2439,"")</f>
        <v/>
      </c>
    </row>
    <row r="2440">
      <c r="A2440" s="19" t="inlineStr">
        <is>
          <t>User1263</t>
        </is>
      </c>
      <c r="B2440" s="60" t="n">
        <v>46023</v>
      </c>
      <c r="C2440" s="21" t="n">
        <v>155.4000000000001</v>
      </c>
      <c r="D2440" s="21" t="n">
        <v>102.53</v>
      </c>
      <c r="E2440" s="21" t="n">
        <v>21.03</v>
      </c>
      <c r="F2440" s="27">
        <f>IFERROR(IF(OR(C2440="",D2440="",C2440=0),"",D2440/C2440),"")</f>
        <v/>
      </c>
      <c r="G2440" s="21">
        <f>IFERROR(INDEX(Users!$A$2:$A$310,MATCH(A2440,Users!$B$2:$B$310,0)),"")</f>
        <v/>
      </c>
      <c r="H2440" s="21">
        <f>IFERROR(INDEX(Users!$D$2:$D$310,MATCH(A2440,Users!$B$2:$B$310,0)),"")</f>
        <v/>
      </c>
      <c r="I2440" s="19">
        <f>AND(G2440="Service A",H2440="Band 3")</f>
        <v/>
      </c>
      <c r="J2440" s="33">
        <f>IF(AND(YEAR(B2440)=2025,G2440="Service B",OR(H2440="Band 3",H2440="Band 5"),ISNUMBER(F2440)),F2440,"")</f>
        <v/>
      </c>
    </row>
    <row r="2441">
      <c r="A2441" s="19" t="inlineStr">
        <is>
          <t>User1264</t>
        </is>
      </c>
      <c r="B2441" s="60" t="n">
        <v>45962</v>
      </c>
      <c r="C2441" s="21" t="n">
        <v>148.0000000000001</v>
      </c>
      <c r="D2441" s="21" t="n"/>
      <c r="E2441" s="21" t="n"/>
      <c r="F2441" s="27">
        <f>IFERROR(IF(OR(C2441="",D2441="",C2441=0),"",D2441/C2441),"")</f>
        <v/>
      </c>
      <c r="G2441" s="21">
        <f>IFERROR(INDEX(Users!$A$2:$A$310,MATCH(A2441,Users!$B$2:$B$310,0)),"")</f>
        <v/>
      </c>
      <c r="H2441" s="21">
        <f>IFERROR(INDEX(Users!$D$2:$D$310,MATCH(A2441,Users!$B$2:$B$310,0)),"")</f>
        <v/>
      </c>
      <c r="I2441" s="19">
        <f>AND(G2441="Service A",H2441="Band 3")</f>
        <v/>
      </c>
      <c r="J2441" s="33">
        <f>IF(AND(YEAR(B2441)=2025,G2441="Service B",OR(H2441="Band 3",H2441="Band 5"),ISNUMBER(F2441)),F2441,"")</f>
        <v/>
      </c>
    </row>
    <row r="2442">
      <c r="A2442" s="19" t="inlineStr">
        <is>
          <t>User1264</t>
        </is>
      </c>
      <c r="B2442" s="60" t="n">
        <v>45992</v>
      </c>
      <c r="C2442" s="21" t="n">
        <v>155.4000000000001</v>
      </c>
      <c r="D2442" s="21" t="n">
        <v>0.75</v>
      </c>
      <c r="E2442" s="21" t="n">
        <v>0.75</v>
      </c>
      <c r="F2442" s="27">
        <f>IFERROR(IF(OR(C2442="",D2442="",C2442=0),"",D2442/C2442),"")</f>
        <v/>
      </c>
      <c r="G2442" s="21">
        <f>IFERROR(INDEX(Users!$A$2:$A$310,MATCH(A2442,Users!$B$2:$B$310,0)),"")</f>
        <v/>
      </c>
      <c r="H2442" s="21">
        <f>IFERROR(INDEX(Users!$D$2:$D$310,MATCH(A2442,Users!$B$2:$B$310,0)),"")</f>
        <v/>
      </c>
      <c r="I2442" s="19">
        <f>AND(G2442="Service A",H2442="Band 3")</f>
        <v/>
      </c>
      <c r="J2442" s="33">
        <f>IF(AND(YEAR(B2442)=2025,G2442="Service B",OR(H2442="Band 3",H2442="Band 5"),ISNUMBER(F2442)),F2442,"")</f>
        <v/>
      </c>
    </row>
    <row r="2443">
      <c r="A2443" s="19" t="inlineStr">
        <is>
          <t>User1264</t>
        </is>
      </c>
      <c r="B2443" s="60" t="n">
        <v>46023</v>
      </c>
      <c r="C2443" s="21" t="n">
        <v>155.4000000000001</v>
      </c>
      <c r="D2443" s="21" t="n">
        <v>142.8866666666667</v>
      </c>
      <c r="E2443" s="21" t="n">
        <v>43.96999999999998</v>
      </c>
      <c r="F2443" s="27">
        <f>IFERROR(IF(OR(C2443="",D2443="",C2443=0),"",D2443/C2443),"")</f>
        <v/>
      </c>
      <c r="G2443" s="21">
        <f>IFERROR(INDEX(Users!$A$2:$A$310,MATCH(A2443,Users!$B$2:$B$310,0)),"")</f>
        <v/>
      </c>
      <c r="H2443" s="21">
        <f>IFERROR(INDEX(Users!$D$2:$D$310,MATCH(A2443,Users!$B$2:$B$310,0)),"")</f>
        <v/>
      </c>
      <c r="I2443" s="19">
        <f>AND(G2443="Service A",H2443="Band 3")</f>
        <v/>
      </c>
      <c r="J2443" s="33">
        <f>IF(AND(YEAR(B2443)=2025,G2443="Service B",OR(H2443="Band 3",H2443="Band 5"),ISNUMBER(F2443)),F2443,"")</f>
        <v/>
      </c>
    </row>
    <row r="2444">
      <c r="A2444" s="19" t="inlineStr">
        <is>
          <t>User1265</t>
        </is>
      </c>
      <c r="B2444" s="60" t="n">
        <v>45992</v>
      </c>
      <c r="C2444" s="21" t="n">
        <v>155.4000000000001</v>
      </c>
      <c r="D2444" s="21" t="n"/>
      <c r="E2444" s="21" t="n"/>
      <c r="F2444" s="27">
        <f>IFERROR(IF(OR(C2444="",D2444="",C2444=0),"",D2444/C2444),"")</f>
        <v/>
      </c>
      <c r="G2444" s="21">
        <f>IFERROR(INDEX(Users!$A$2:$A$310,MATCH(A2444,Users!$B$2:$B$310,0)),"")</f>
        <v/>
      </c>
      <c r="H2444" s="21">
        <f>IFERROR(INDEX(Users!$D$2:$D$310,MATCH(A2444,Users!$B$2:$B$310,0)),"")</f>
        <v/>
      </c>
      <c r="I2444" s="19">
        <f>AND(G2444="Service A",H2444="Band 3")</f>
        <v/>
      </c>
      <c r="J2444" s="33">
        <f>IF(AND(YEAR(B2444)=2025,G2444="Service B",OR(H2444="Band 3",H2444="Band 5"),ISNUMBER(F2444)),F2444,"")</f>
        <v/>
      </c>
    </row>
    <row r="2445">
      <c r="A2445" s="19" t="inlineStr">
        <is>
          <t>User1265</t>
        </is>
      </c>
      <c r="B2445" s="60" t="n">
        <v>46023</v>
      </c>
      <c r="C2445" s="21" t="n">
        <v>155.4000000000001</v>
      </c>
      <c r="D2445" s="21" t="n">
        <v>112.6033333333333</v>
      </c>
      <c r="E2445" s="21" t="n">
        <v>8.020000000000001</v>
      </c>
      <c r="F2445" s="27">
        <f>IFERROR(IF(OR(C2445="",D2445="",C2445=0),"",D2445/C2445),"")</f>
        <v/>
      </c>
      <c r="G2445" s="21">
        <f>IFERROR(INDEX(Users!$A$2:$A$310,MATCH(A2445,Users!$B$2:$B$310,0)),"")</f>
        <v/>
      </c>
      <c r="H2445" s="21">
        <f>IFERROR(INDEX(Users!$D$2:$D$310,MATCH(A2445,Users!$B$2:$B$310,0)),"")</f>
        <v/>
      </c>
      <c r="I2445" s="19">
        <f>AND(G2445="Service A",H2445="Band 3")</f>
        <v/>
      </c>
      <c r="J2445" s="33">
        <f>IF(AND(YEAR(B2445)=2025,G2445="Service B",OR(H2445="Band 3",H2445="Band 5"),ISNUMBER(F2445)),F2445,"")</f>
        <v/>
      </c>
    </row>
    <row r="2446">
      <c r="A2446" s="19" t="inlineStr">
        <is>
          <t>User1266</t>
        </is>
      </c>
      <c r="B2446" s="60" t="n">
        <v>45962</v>
      </c>
      <c r="C2446" s="21" t="n">
        <v>148</v>
      </c>
      <c r="D2446" s="21" t="n">
        <v>11.65</v>
      </c>
      <c r="E2446" s="21" t="n">
        <v>4.25</v>
      </c>
      <c r="F2446" s="27">
        <f>IFERROR(IF(OR(C2446="",D2446="",C2446=0),"",D2446/C2446),"")</f>
        <v/>
      </c>
      <c r="G2446" s="21">
        <f>IFERROR(INDEX(Users!$A$2:$A$310,MATCH(A2446,Users!$B$2:$B$310,0)),"")</f>
        <v/>
      </c>
      <c r="H2446" s="21">
        <f>IFERROR(INDEX(Users!$D$2:$D$310,MATCH(A2446,Users!$B$2:$B$310,0)),"")</f>
        <v/>
      </c>
      <c r="I2446" s="19">
        <f>AND(G2446="Service A",H2446="Band 3")</f>
        <v/>
      </c>
      <c r="J2446" s="33">
        <f>IF(AND(YEAR(B2446)=2025,G2446="Service B",OR(H2446="Band 3",H2446="Band 5"),ISNUMBER(F2446)),F2446,"")</f>
        <v/>
      </c>
    </row>
    <row r="2447">
      <c r="A2447" s="19" t="inlineStr">
        <is>
          <t>User1266</t>
        </is>
      </c>
      <c r="B2447" s="60" t="n">
        <v>45992</v>
      </c>
      <c r="C2447" s="21" t="n">
        <v>155.4</v>
      </c>
      <c r="D2447" s="21" t="n">
        <v>15</v>
      </c>
      <c r="E2447" s="21" t="n">
        <v>15</v>
      </c>
      <c r="F2447" s="27">
        <f>IFERROR(IF(OR(C2447="",D2447="",C2447=0),"",D2447/C2447),"")</f>
        <v/>
      </c>
      <c r="G2447" s="21">
        <f>IFERROR(INDEX(Users!$A$2:$A$310,MATCH(A2447,Users!$B$2:$B$310,0)),"")</f>
        <v/>
      </c>
      <c r="H2447" s="21">
        <f>IFERROR(INDEX(Users!$D$2:$D$310,MATCH(A2447,Users!$B$2:$B$310,0)),"")</f>
        <v/>
      </c>
      <c r="I2447" s="19">
        <f>AND(G2447="Service A",H2447="Band 3")</f>
        <v/>
      </c>
      <c r="J2447" s="33">
        <f>IF(AND(YEAR(B2447)=2025,G2447="Service B",OR(H2447="Band 3",H2447="Band 5"),ISNUMBER(F2447)),F2447,"")</f>
        <v/>
      </c>
    </row>
    <row r="2448">
      <c r="A2448" s="19" t="inlineStr">
        <is>
          <t>User1266</t>
        </is>
      </c>
      <c r="B2448" s="60" t="n">
        <v>46023</v>
      </c>
      <c r="C2448" s="21" t="n">
        <v>155.4</v>
      </c>
      <c r="D2448" s="21" t="n">
        <v>78.59666666666666</v>
      </c>
      <c r="E2448" s="21" t="n">
        <v>47.38</v>
      </c>
      <c r="F2448" s="27">
        <f>IFERROR(IF(OR(C2448="",D2448="",C2448=0),"",D2448/C2448),"")</f>
        <v/>
      </c>
      <c r="G2448" s="21">
        <f>IFERROR(INDEX(Users!$A$2:$A$310,MATCH(A2448,Users!$B$2:$B$310,0)),"")</f>
        <v/>
      </c>
      <c r="H2448" s="21">
        <f>IFERROR(INDEX(Users!$D$2:$D$310,MATCH(A2448,Users!$B$2:$B$310,0)),"")</f>
        <v/>
      </c>
      <c r="I2448" s="19">
        <f>AND(G2448="Service A",H2448="Band 3")</f>
        <v/>
      </c>
      <c r="J2448" s="33">
        <f>IF(AND(YEAR(B2448)=2025,G2448="Service B",OR(H2448="Band 3",H2448="Band 5"),ISNUMBER(F2448)),F2448,"")</f>
        <v/>
      </c>
    </row>
    <row r="2449">
      <c r="A2449" s="19" t="inlineStr">
        <is>
          <t>User1267</t>
        </is>
      </c>
      <c r="B2449" s="60" t="n">
        <v>45962</v>
      </c>
      <c r="C2449" s="21" t="n">
        <v>148</v>
      </c>
      <c r="D2449" s="21" t="n">
        <v>2</v>
      </c>
      <c r="E2449" s="21" t="n">
        <v>2</v>
      </c>
      <c r="F2449" s="27">
        <f>IFERROR(IF(OR(C2449="",D2449="",C2449=0),"",D2449/C2449),"")</f>
        <v/>
      </c>
      <c r="G2449" s="21">
        <f>IFERROR(INDEX(Users!$A$2:$A$310,MATCH(A2449,Users!$B$2:$B$310,0)),"")</f>
        <v/>
      </c>
      <c r="H2449" s="21">
        <f>IFERROR(INDEX(Users!$D$2:$D$310,MATCH(A2449,Users!$B$2:$B$310,0)),"")</f>
        <v/>
      </c>
      <c r="I2449" s="19">
        <f>AND(G2449="Service A",H2449="Band 3")</f>
        <v/>
      </c>
      <c r="J2449" s="33">
        <f>IF(AND(YEAR(B2449)=2025,G2449="Service B",OR(H2449="Band 3",H2449="Band 5"),ISNUMBER(F2449)),F2449,"")</f>
        <v/>
      </c>
    </row>
    <row r="2450">
      <c r="A2450" s="19" t="inlineStr">
        <is>
          <t>User1267</t>
        </is>
      </c>
      <c r="B2450" s="60" t="n">
        <v>45992</v>
      </c>
      <c r="C2450" s="21" t="n">
        <v>155.4</v>
      </c>
      <c r="D2450" s="21" t="n">
        <v>0.4</v>
      </c>
      <c r="E2450" s="21" t="n">
        <v>0.4</v>
      </c>
      <c r="F2450" s="27">
        <f>IFERROR(IF(OR(C2450="",D2450="",C2450=0),"",D2450/C2450),"")</f>
        <v/>
      </c>
      <c r="G2450" s="21">
        <f>IFERROR(INDEX(Users!$A$2:$A$310,MATCH(A2450,Users!$B$2:$B$310,0)),"")</f>
        <v/>
      </c>
      <c r="H2450" s="21">
        <f>IFERROR(INDEX(Users!$D$2:$D$310,MATCH(A2450,Users!$B$2:$B$310,0)),"")</f>
        <v/>
      </c>
      <c r="I2450" s="19">
        <f>AND(G2450="Service A",H2450="Band 3")</f>
        <v/>
      </c>
      <c r="J2450" s="33">
        <f>IF(AND(YEAR(B2450)=2025,G2450="Service B",OR(H2450="Band 3",H2450="Band 5"),ISNUMBER(F2450)),F2450,"")</f>
        <v/>
      </c>
    </row>
    <row r="2451">
      <c r="A2451" s="19" t="inlineStr">
        <is>
          <t>User1267</t>
        </is>
      </c>
      <c r="B2451" s="60" t="n">
        <v>46023</v>
      </c>
      <c r="C2451" s="21" t="n">
        <v>155.4</v>
      </c>
      <c r="D2451" s="21" t="n">
        <v>18.95</v>
      </c>
      <c r="E2451" s="21" t="n">
        <v>18.95</v>
      </c>
      <c r="F2451" s="27">
        <f>IFERROR(IF(OR(C2451="",D2451="",C2451=0),"",D2451/C2451),"")</f>
        <v/>
      </c>
      <c r="G2451" s="21">
        <f>IFERROR(INDEX(Users!$A$2:$A$310,MATCH(A2451,Users!$B$2:$B$310,0)),"")</f>
        <v/>
      </c>
      <c r="H2451" s="21">
        <f>IFERROR(INDEX(Users!$D$2:$D$310,MATCH(A2451,Users!$B$2:$B$310,0)),"")</f>
        <v/>
      </c>
      <c r="I2451" s="19">
        <f>AND(G2451="Service A",H2451="Band 3")</f>
        <v/>
      </c>
      <c r="J2451" s="33">
        <f>IF(AND(YEAR(B2451)=2025,G2451="Service B",OR(H2451="Band 3",H2451="Band 5"),ISNUMBER(F2451)),F2451,"")</f>
        <v/>
      </c>
    </row>
    <row r="2452">
      <c r="A2452" s="19" t="inlineStr">
        <is>
          <t>User1268</t>
        </is>
      </c>
      <c r="B2452" s="60" t="n">
        <v>45658</v>
      </c>
      <c r="C2452" s="21" t="n"/>
      <c r="D2452" s="21" t="n">
        <v>122.28</v>
      </c>
      <c r="E2452" s="21" t="n">
        <v>69.27999999999999</v>
      </c>
      <c r="F2452" s="27">
        <f>IFERROR(IF(OR(C2452="",D2452="",C2452=0),"",D2452/C2452),"")</f>
        <v/>
      </c>
      <c r="G2452" s="21">
        <f>IFERROR(INDEX(Users!$A$2:$A$310,MATCH(A2452,Users!$B$2:$B$310,0)),"")</f>
        <v/>
      </c>
      <c r="H2452" s="21">
        <f>IFERROR(INDEX(Users!$D$2:$D$310,MATCH(A2452,Users!$B$2:$B$310,0)),"")</f>
        <v/>
      </c>
      <c r="I2452" s="19">
        <f>AND(G2452="Service A",H2452="Band 3")</f>
        <v/>
      </c>
      <c r="J2452" s="33">
        <f>IF(AND(YEAR(B2452)=2025,G2452="Service B",OR(H2452="Band 3",H2452="Band 5"),ISNUMBER(F2452)),F2452,"")</f>
        <v/>
      </c>
    </row>
    <row r="2453">
      <c r="A2453" s="19" t="inlineStr">
        <is>
          <t>User1268</t>
        </is>
      </c>
      <c r="B2453" s="60" t="n">
        <v>45689</v>
      </c>
      <c r="C2453" s="21" t="n"/>
      <c r="D2453" s="21" t="n">
        <v>90.15000000000001</v>
      </c>
      <c r="E2453" s="21" t="n">
        <v>41.2</v>
      </c>
      <c r="F2453" s="27">
        <f>IFERROR(IF(OR(C2453="",D2453="",C2453=0),"",D2453/C2453),"")</f>
        <v/>
      </c>
      <c r="G2453" s="21">
        <f>IFERROR(INDEX(Users!$A$2:$A$310,MATCH(A2453,Users!$B$2:$B$310,0)),"")</f>
        <v/>
      </c>
      <c r="H2453" s="21">
        <f>IFERROR(INDEX(Users!$D$2:$D$310,MATCH(A2453,Users!$B$2:$B$310,0)),"")</f>
        <v/>
      </c>
      <c r="I2453" s="19">
        <f>AND(G2453="Service A",H2453="Band 3")</f>
        <v/>
      </c>
      <c r="J2453" s="33">
        <f>IF(AND(YEAR(B2453)=2025,G2453="Service B",OR(H2453="Band 3",H2453="Band 5"),ISNUMBER(F2453)),F2453,"")</f>
        <v/>
      </c>
    </row>
    <row r="2454">
      <c r="A2454" s="19" t="inlineStr">
        <is>
          <t>User1268</t>
        </is>
      </c>
      <c r="B2454" s="60" t="n">
        <v>45717</v>
      </c>
      <c r="C2454" s="21" t="n"/>
      <c r="D2454" s="21" t="n">
        <v>121.54</v>
      </c>
      <c r="E2454" s="21" t="n">
        <v>58.04000000000001</v>
      </c>
      <c r="F2454" s="27">
        <f>IFERROR(IF(OR(C2454="",D2454="",C2454=0),"",D2454/C2454),"")</f>
        <v/>
      </c>
      <c r="G2454" s="21">
        <f>IFERROR(INDEX(Users!$A$2:$A$310,MATCH(A2454,Users!$B$2:$B$310,0)),"")</f>
        <v/>
      </c>
      <c r="H2454" s="21">
        <f>IFERROR(INDEX(Users!$D$2:$D$310,MATCH(A2454,Users!$B$2:$B$310,0)),"")</f>
        <v/>
      </c>
      <c r="I2454" s="19">
        <f>AND(G2454="Service A",H2454="Band 3")</f>
        <v/>
      </c>
      <c r="J2454" s="33">
        <f>IF(AND(YEAR(B2454)=2025,G2454="Service B",OR(H2454="Band 3",H2454="Band 5"),ISNUMBER(F2454)),F2454,"")</f>
        <v/>
      </c>
    </row>
    <row r="2455">
      <c r="A2455" s="19" t="inlineStr">
        <is>
          <t>User1268</t>
        </is>
      </c>
      <c r="B2455" s="60" t="n">
        <v>45748</v>
      </c>
      <c r="C2455" s="21" t="n"/>
      <c r="D2455" s="21" t="n">
        <v>100.45</v>
      </c>
      <c r="E2455" s="21" t="n">
        <v>55.45</v>
      </c>
      <c r="F2455" s="27">
        <f>IFERROR(IF(OR(C2455="",D2455="",C2455=0),"",D2455/C2455),"")</f>
        <v/>
      </c>
      <c r="G2455" s="21">
        <f>IFERROR(INDEX(Users!$A$2:$A$310,MATCH(A2455,Users!$B$2:$B$310,0)),"")</f>
        <v/>
      </c>
      <c r="H2455" s="21">
        <f>IFERROR(INDEX(Users!$D$2:$D$310,MATCH(A2455,Users!$B$2:$B$310,0)),"")</f>
        <v/>
      </c>
      <c r="I2455" s="19">
        <f>AND(G2455="Service A",H2455="Band 3")</f>
        <v/>
      </c>
      <c r="J2455" s="33">
        <f>IF(AND(YEAR(B2455)=2025,G2455="Service B",OR(H2455="Band 3",H2455="Band 5"),ISNUMBER(F2455)),F2455,"")</f>
        <v/>
      </c>
    </row>
    <row r="2456">
      <c r="A2456" s="19" t="inlineStr">
        <is>
          <t>User1268</t>
        </is>
      </c>
      <c r="B2456" s="60" t="n">
        <v>45778</v>
      </c>
      <c r="C2456" s="21" t="n"/>
      <c r="D2456" s="21" t="n">
        <v>117.3166666666667</v>
      </c>
      <c r="E2456" s="21" t="n">
        <v>65.39999999999999</v>
      </c>
      <c r="F2456" s="27">
        <f>IFERROR(IF(OR(C2456="",D2456="",C2456=0),"",D2456/C2456),"")</f>
        <v/>
      </c>
      <c r="G2456" s="21">
        <f>IFERROR(INDEX(Users!$A$2:$A$310,MATCH(A2456,Users!$B$2:$B$310,0)),"")</f>
        <v/>
      </c>
      <c r="H2456" s="21">
        <f>IFERROR(INDEX(Users!$D$2:$D$310,MATCH(A2456,Users!$B$2:$B$310,0)),"")</f>
        <v/>
      </c>
      <c r="I2456" s="19">
        <f>AND(G2456="Service A",H2456="Band 3")</f>
        <v/>
      </c>
      <c r="J2456" s="33">
        <f>IF(AND(YEAR(B2456)=2025,G2456="Service B",OR(H2456="Band 3",H2456="Band 5"),ISNUMBER(F2456)),F2456,"")</f>
        <v/>
      </c>
    </row>
    <row r="2457">
      <c r="A2457" s="19" t="inlineStr">
        <is>
          <t>User1268</t>
        </is>
      </c>
      <c r="B2457" s="60" t="n">
        <v>45809</v>
      </c>
      <c r="C2457" s="21" t="n"/>
      <c r="D2457" s="21" t="n">
        <v>149.5733333333334</v>
      </c>
      <c r="E2457" s="21" t="n">
        <v>99.09000000000003</v>
      </c>
      <c r="F2457" s="27">
        <f>IFERROR(IF(OR(C2457="",D2457="",C2457=0),"",D2457/C2457),"")</f>
        <v/>
      </c>
      <c r="G2457" s="21">
        <f>IFERROR(INDEX(Users!$A$2:$A$310,MATCH(A2457,Users!$B$2:$B$310,0)),"")</f>
        <v/>
      </c>
      <c r="H2457" s="21">
        <f>IFERROR(INDEX(Users!$D$2:$D$310,MATCH(A2457,Users!$B$2:$B$310,0)),"")</f>
        <v/>
      </c>
      <c r="I2457" s="19">
        <f>AND(G2457="Service A",H2457="Band 3")</f>
        <v/>
      </c>
      <c r="J2457" s="33">
        <f>IF(AND(YEAR(B2457)=2025,G2457="Service B",OR(H2457="Band 3",H2457="Band 5"),ISNUMBER(F2457)),F2457,"")</f>
        <v/>
      </c>
    </row>
    <row r="2458">
      <c r="A2458" s="19" t="inlineStr">
        <is>
          <t>User1268</t>
        </is>
      </c>
      <c r="B2458" s="60" t="n">
        <v>45839</v>
      </c>
      <c r="C2458" s="21" t="n"/>
      <c r="D2458" s="21" t="n">
        <v>31.65</v>
      </c>
      <c r="E2458" s="21" t="n">
        <v>22.15</v>
      </c>
      <c r="F2458" s="27">
        <f>IFERROR(IF(OR(C2458="",D2458="",C2458=0),"",D2458/C2458),"")</f>
        <v/>
      </c>
      <c r="G2458" s="21">
        <f>IFERROR(INDEX(Users!$A$2:$A$310,MATCH(A2458,Users!$B$2:$B$310,0)),"")</f>
        <v/>
      </c>
      <c r="H2458" s="21">
        <f>IFERROR(INDEX(Users!$D$2:$D$310,MATCH(A2458,Users!$B$2:$B$310,0)),"")</f>
        <v/>
      </c>
      <c r="I2458" s="19">
        <f>AND(G2458="Service A",H2458="Band 3")</f>
        <v/>
      </c>
      <c r="J2458" s="33">
        <f>IF(AND(YEAR(B2458)=2025,G2458="Service B",OR(H2458="Band 3",H2458="Band 5"),ISNUMBER(F2458)),F2458,"")</f>
        <v/>
      </c>
    </row>
    <row r="2459">
      <c r="A2459" s="19" t="inlineStr">
        <is>
          <t>User1268</t>
        </is>
      </c>
      <c r="B2459" s="60" t="n">
        <v>45870</v>
      </c>
      <c r="C2459" s="21" t="n"/>
      <c r="D2459" s="21" t="n"/>
      <c r="E2459" s="21" t="n"/>
      <c r="F2459" s="27">
        <f>IFERROR(IF(OR(C2459="",D2459="",C2459=0),"",D2459/C2459),"")</f>
        <v/>
      </c>
      <c r="G2459" s="21">
        <f>IFERROR(INDEX(Users!$A$2:$A$310,MATCH(A2459,Users!$B$2:$B$310,0)),"")</f>
        <v/>
      </c>
      <c r="H2459" s="21">
        <f>IFERROR(INDEX(Users!$D$2:$D$310,MATCH(A2459,Users!$B$2:$B$310,0)),"")</f>
        <v/>
      </c>
      <c r="I2459" s="19">
        <f>AND(G2459="Service A",H2459="Band 3")</f>
        <v/>
      </c>
      <c r="J2459" s="33">
        <f>IF(AND(YEAR(B2459)=2025,G2459="Service B",OR(H2459="Band 3",H2459="Band 5"),ISNUMBER(F2459)),F2459,"")</f>
        <v/>
      </c>
    </row>
    <row r="2460">
      <c r="A2460" s="19" t="inlineStr">
        <is>
          <t>User1268</t>
        </is>
      </c>
      <c r="B2460" s="60" t="n">
        <v>45901</v>
      </c>
      <c r="C2460" s="21" t="n"/>
      <c r="D2460" s="21" t="n">
        <v>93.04333333333332</v>
      </c>
      <c r="E2460" s="21" t="n">
        <v>40.85999999999999</v>
      </c>
      <c r="F2460" s="27">
        <f>IFERROR(IF(OR(C2460="",D2460="",C2460=0),"",D2460/C2460),"")</f>
        <v/>
      </c>
      <c r="G2460" s="21">
        <f>IFERROR(INDEX(Users!$A$2:$A$310,MATCH(A2460,Users!$B$2:$B$310,0)),"")</f>
        <v/>
      </c>
      <c r="H2460" s="21">
        <f>IFERROR(INDEX(Users!$D$2:$D$310,MATCH(A2460,Users!$B$2:$B$310,0)),"")</f>
        <v/>
      </c>
      <c r="I2460" s="19">
        <f>AND(G2460="Service A",H2460="Band 3")</f>
        <v/>
      </c>
      <c r="J2460" s="33">
        <f>IF(AND(YEAR(B2460)=2025,G2460="Service B",OR(H2460="Band 3",H2460="Band 5"),ISNUMBER(F2460)),F2460,"")</f>
        <v/>
      </c>
    </row>
    <row r="2461">
      <c r="A2461" s="19" t="inlineStr">
        <is>
          <t>User1268</t>
        </is>
      </c>
      <c r="B2461" s="60" t="n">
        <v>45931</v>
      </c>
      <c r="C2461" s="21" t="n"/>
      <c r="D2461" s="21" t="n">
        <v>127.2366666666667</v>
      </c>
      <c r="E2461" s="21" t="n">
        <v>29.82000000000001</v>
      </c>
      <c r="F2461" s="27">
        <f>IFERROR(IF(OR(C2461="",D2461="",C2461=0),"",D2461/C2461),"")</f>
        <v/>
      </c>
      <c r="G2461" s="21">
        <f>IFERROR(INDEX(Users!$A$2:$A$310,MATCH(A2461,Users!$B$2:$B$310,0)),"")</f>
        <v/>
      </c>
      <c r="H2461" s="21">
        <f>IFERROR(INDEX(Users!$D$2:$D$310,MATCH(A2461,Users!$B$2:$B$310,0)),"")</f>
        <v/>
      </c>
      <c r="I2461" s="19">
        <f>AND(G2461="Service A",H2461="Band 3")</f>
        <v/>
      </c>
      <c r="J2461" s="33">
        <f>IF(AND(YEAR(B2461)=2025,G2461="Service B",OR(H2461="Band 3",H2461="Band 5"),ISNUMBER(F2461)),F2461,"")</f>
        <v/>
      </c>
    </row>
    <row r="2462">
      <c r="A2462" s="19" t="inlineStr">
        <is>
          <t>User1268</t>
        </is>
      </c>
      <c r="B2462" s="60" t="n">
        <v>45962</v>
      </c>
      <c r="C2462" s="21" t="n">
        <v>148.0000000000001</v>
      </c>
      <c r="D2462" s="21" t="n"/>
      <c r="E2462" s="21" t="n"/>
      <c r="F2462" s="27">
        <f>IFERROR(IF(OR(C2462="",D2462="",C2462=0),"",D2462/C2462),"")</f>
        <v/>
      </c>
      <c r="G2462" s="21">
        <f>IFERROR(INDEX(Users!$A$2:$A$310,MATCH(A2462,Users!$B$2:$B$310,0)),"")</f>
        <v/>
      </c>
      <c r="H2462" s="21">
        <f>IFERROR(INDEX(Users!$D$2:$D$310,MATCH(A2462,Users!$B$2:$B$310,0)),"")</f>
        <v/>
      </c>
      <c r="I2462" s="19">
        <f>AND(G2462="Service A",H2462="Band 3")</f>
        <v/>
      </c>
      <c r="J2462" s="33">
        <f>IF(AND(YEAR(B2462)=2025,G2462="Service B",OR(H2462="Band 3",H2462="Band 5"),ISNUMBER(F2462)),F2462,"")</f>
        <v/>
      </c>
    </row>
    <row r="2463">
      <c r="A2463" s="19" t="inlineStr">
        <is>
          <t>User1268</t>
        </is>
      </c>
      <c r="B2463" s="60" t="n">
        <v>45992</v>
      </c>
      <c r="C2463" s="21" t="n">
        <v>155.4000000000001</v>
      </c>
      <c r="D2463" s="21" t="n">
        <v>0.08</v>
      </c>
      <c r="E2463" s="21" t="n">
        <v>0.08</v>
      </c>
      <c r="F2463" s="27">
        <f>IFERROR(IF(OR(C2463="",D2463="",C2463=0),"",D2463/C2463),"")</f>
        <v/>
      </c>
      <c r="G2463" s="21">
        <f>IFERROR(INDEX(Users!$A$2:$A$310,MATCH(A2463,Users!$B$2:$B$310,0)),"")</f>
        <v/>
      </c>
      <c r="H2463" s="21">
        <f>IFERROR(INDEX(Users!$D$2:$D$310,MATCH(A2463,Users!$B$2:$B$310,0)),"")</f>
        <v/>
      </c>
      <c r="I2463" s="19">
        <f>AND(G2463="Service A",H2463="Band 3")</f>
        <v/>
      </c>
      <c r="J2463" s="33">
        <f>IF(AND(YEAR(B2463)=2025,G2463="Service B",OR(H2463="Band 3",H2463="Band 5"),ISNUMBER(F2463)),F2463,"")</f>
        <v/>
      </c>
    </row>
    <row r="2464">
      <c r="A2464" s="19" t="inlineStr">
        <is>
          <t>User1268</t>
        </is>
      </c>
      <c r="B2464" s="60" t="n">
        <v>46023</v>
      </c>
      <c r="C2464" s="21" t="n">
        <v>155.4000000000001</v>
      </c>
      <c r="D2464" s="21" t="n"/>
      <c r="E2464" s="21" t="n"/>
      <c r="F2464" s="27">
        <f>IFERROR(IF(OR(C2464="",D2464="",C2464=0),"",D2464/C2464),"")</f>
        <v/>
      </c>
      <c r="G2464" s="21">
        <f>IFERROR(INDEX(Users!$A$2:$A$310,MATCH(A2464,Users!$B$2:$B$310,0)),"")</f>
        <v/>
      </c>
      <c r="H2464" s="21">
        <f>IFERROR(INDEX(Users!$D$2:$D$310,MATCH(A2464,Users!$B$2:$B$310,0)),"")</f>
        <v/>
      </c>
      <c r="I2464" s="19">
        <f>AND(G2464="Service A",H2464="Band 3")</f>
        <v/>
      </c>
      <c r="J2464" s="33">
        <f>IF(AND(YEAR(B2464)=2025,G2464="Service B",OR(H2464="Band 3",H2464="Band 5"),ISNUMBER(F2464)),F2464,"")</f>
        <v/>
      </c>
    </row>
    <row r="2465">
      <c r="A2465" s="19" t="inlineStr">
        <is>
          <t>User1269</t>
        </is>
      </c>
      <c r="B2465" s="60" t="n">
        <v>45992</v>
      </c>
      <c r="C2465" s="21" t="n">
        <v>155.4000000000001</v>
      </c>
      <c r="D2465" s="21" t="n"/>
      <c r="E2465" s="21" t="n"/>
      <c r="F2465" s="27">
        <f>IFERROR(IF(OR(C2465="",D2465="",C2465=0),"",D2465/C2465),"")</f>
        <v/>
      </c>
      <c r="G2465" s="21">
        <f>IFERROR(INDEX(Users!$A$2:$A$310,MATCH(A2465,Users!$B$2:$B$310,0)),"")</f>
        <v/>
      </c>
      <c r="H2465" s="21">
        <f>IFERROR(INDEX(Users!$D$2:$D$310,MATCH(A2465,Users!$B$2:$B$310,0)),"")</f>
        <v/>
      </c>
      <c r="I2465" s="19">
        <f>AND(G2465="Service A",H2465="Band 3")</f>
        <v/>
      </c>
      <c r="J2465" s="33">
        <f>IF(AND(YEAR(B2465)=2025,G2465="Service B",OR(H2465="Band 3",H2465="Band 5"),ISNUMBER(F2465)),F2465,"")</f>
        <v/>
      </c>
    </row>
    <row r="2466">
      <c r="A2466" s="19" t="inlineStr">
        <is>
          <t>User1269</t>
        </is>
      </c>
      <c r="B2466" s="60" t="n">
        <v>46023</v>
      </c>
      <c r="C2466" s="21" t="n">
        <v>155.4000000000001</v>
      </c>
      <c r="D2466" s="21" t="n">
        <v>149</v>
      </c>
      <c r="E2466" s="21" t="n">
        <v>2.25</v>
      </c>
      <c r="F2466" s="27">
        <f>IFERROR(IF(OR(C2466="",D2466="",C2466=0),"",D2466/C2466),"")</f>
        <v/>
      </c>
      <c r="G2466" s="21">
        <f>IFERROR(INDEX(Users!$A$2:$A$310,MATCH(A2466,Users!$B$2:$B$310,0)),"")</f>
        <v/>
      </c>
      <c r="H2466" s="21">
        <f>IFERROR(INDEX(Users!$D$2:$D$310,MATCH(A2466,Users!$B$2:$B$310,0)),"")</f>
        <v/>
      </c>
      <c r="I2466" s="19">
        <f>AND(G2466="Service A",H2466="Band 3")</f>
        <v/>
      </c>
      <c r="J2466" s="33">
        <f>IF(AND(YEAR(B2466)=2025,G2466="Service B",OR(H2466="Band 3",H2466="Band 5"),ISNUMBER(F2466)),F2466,"")</f>
        <v/>
      </c>
    </row>
    <row r="2467">
      <c r="A2467" s="19" t="inlineStr">
        <is>
          <t>User1270</t>
        </is>
      </c>
      <c r="B2467" s="60" t="n">
        <v>45962</v>
      </c>
      <c r="C2467" s="21" t="n">
        <v>148</v>
      </c>
      <c r="D2467" s="21" t="n">
        <v>12</v>
      </c>
      <c r="E2467" s="21" t="n">
        <v>12</v>
      </c>
      <c r="F2467" s="27">
        <f>IFERROR(IF(OR(C2467="",D2467="",C2467=0),"",D2467/C2467),"")</f>
        <v/>
      </c>
      <c r="G2467" s="21">
        <f>IFERROR(INDEX(Users!$A$2:$A$310,MATCH(A2467,Users!$B$2:$B$310,0)),"")</f>
        <v/>
      </c>
      <c r="H2467" s="21">
        <f>IFERROR(INDEX(Users!$D$2:$D$310,MATCH(A2467,Users!$B$2:$B$310,0)),"")</f>
        <v/>
      </c>
      <c r="I2467" s="19">
        <f>AND(G2467="Service A",H2467="Band 3")</f>
        <v/>
      </c>
      <c r="J2467" s="33">
        <f>IF(AND(YEAR(B2467)=2025,G2467="Service B",OR(H2467="Band 3",H2467="Band 5"),ISNUMBER(F2467)),F2467,"")</f>
        <v/>
      </c>
    </row>
    <row r="2468">
      <c r="A2468" s="19" t="inlineStr">
        <is>
          <t>User1270</t>
        </is>
      </c>
      <c r="B2468" s="60" t="n">
        <v>45992</v>
      </c>
      <c r="C2468" s="21" t="n">
        <v>155.4</v>
      </c>
      <c r="D2468" s="21" t="n">
        <v>37</v>
      </c>
      <c r="E2468" s="21" t="n">
        <v>37</v>
      </c>
      <c r="F2468" s="27">
        <f>IFERROR(IF(OR(C2468="",D2468="",C2468=0),"",D2468/C2468),"")</f>
        <v/>
      </c>
      <c r="G2468" s="21">
        <f>IFERROR(INDEX(Users!$A$2:$A$310,MATCH(A2468,Users!$B$2:$B$310,0)),"")</f>
        <v/>
      </c>
      <c r="H2468" s="21">
        <f>IFERROR(INDEX(Users!$D$2:$D$310,MATCH(A2468,Users!$B$2:$B$310,0)),"")</f>
        <v/>
      </c>
      <c r="I2468" s="19">
        <f>AND(G2468="Service A",H2468="Band 3")</f>
        <v/>
      </c>
      <c r="J2468" s="33">
        <f>IF(AND(YEAR(B2468)=2025,G2468="Service B",OR(H2468="Band 3",H2468="Band 5"),ISNUMBER(F2468)),F2468,"")</f>
        <v/>
      </c>
    </row>
    <row r="2469">
      <c r="A2469" s="19" t="inlineStr">
        <is>
          <t>User1270</t>
        </is>
      </c>
      <c r="B2469" s="60" t="n">
        <v>46023</v>
      </c>
      <c r="C2469" s="21" t="n">
        <v>155.4</v>
      </c>
      <c r="D2469" s="21" t="n">
        <v>52.5</v>
      </c>
      <c r="E2469" s="21" t="n">
        <v>52.5</v>
      </c>
      <c r="F2469" s="27">
        <f>IFERROR(IF(OR(C2469="",D2469="",C2469=0),"",D2469/C2469),"")</f>
        <v/>
      </c>
      <c r="G2469" s="21">
        <f>IFERROR(INDEX(Users!$A$2:$A$310,MATCH(A2469,Users!$B$2:$B$310,0)),"")</f>
        <v/>
      </c>
      <c r="H2469" s="21">
        <f>IFERROR(INDEX(Users!$D$2:$D$310,MATCH(A2469,Users!$B$2:$B$310,0)),"")</f>
        <v/>
      </c>
      <c r="I2469" s="19">
        <f>AND(G2469="Service A",H2469="Band 3")</f>
        <v/>
      </c>
      <c r="J2469" s="33">
        <f>IF(AND(YEAR(B2469)=2025,G2469="Service B",OR(H2469="Band 3",H2469="Band 5"),ISNUMBER(F2469)),F2469,"")</f>
        <v/>
      </c>
    </row>
    <row r="2470">
      <c r="A2470" s="19" t="inlineStr">
        <is>
          <t>User1271</t>
        </is>
      </c>
      <c r="B2470" s="60" t="n">
        <v>45962</v>
      </c>
      <c r="C2470" s="21" t="n">
        <v>148.0000000000001</v>
      </c>
      <c r="D2470" s="21" t="n"/>
      <c r="E2470" s="21" t="n"/>
      <c r="F2470" s="27">
        <f>IFERROR(IF(OR(C2470="",D2470="",C2470=0),"",D2470/C2470),"")</f>
        <v/>
      </c>
      <c r="G2470" s="21">
        <f>IFERROR(INDEX(Users!$A$2:$A$310,MATCH(A2470,Users!$B$2:$B$310,0)),"")</f>
        <v/>
      </c>
      <c r="H2470" s="21">
        <f>IFERROR(INDEX(Users!$D$2:$D$310,MATCH(A2470,Users!$B$2:$B$310,0)),"")</f>
        <v/>
      </c>
      <c r="I2470" s="19">
        <f>AND(G2470="Service A",H2470="Band 3")</f>
        <v/>
      </c>
      <c r="J2470" s="33">
        <f>IF(AND(YEAR(B2470)=2025,G2470="Service B",OR(H2470="Band 3",H2470="Band 5"),ISNUMBER(F2470)),F2470,"")</f>
        <v/>
      </c>
    </row>
    <row r="2471">
      <c r="A2471" s="19" t="inlineStr">
        <is>
          <t>User1271</t>
        </is>
      </c>
      <c r="B2471" s="60" t="n">
        <v>45992</v>
      </c>
      <c r="C2471" s="21" t="n">
        <v>155.4000000000001</v>
      </c>
      <c r="D2471" s="21" t="n"/>
      <c r="E2471" s="21" t="n"/>
      <c r="F2471" s="27">
        <f>IFERROR(IF(OR(C2471="",D2471="",C2471=0),"",D2471/C2471),"")</f>
        <v/>
      </c>
      <c r="G2471" s="21">
        <f>IFERROR(INDEX(Users!$A$2:$A$310,MATCH(A2471,Users!$B$2:$B$310,0)),"")</f>
        <v/>
      </c>
      <c r="H2471" s="21">
        <f>IFERROR(INDEX(Users!$D$2:$D$310,MATCH(A2471,Users!$B$2:$B$310,0)),"")</f>
        <v/>
      </c>
      <c r="I2471" s="19">
        <f>AND(G2471="Service A",H2471="Band 3")</f>
        <v/>
      </c>
      <c r="J2471" s="33">
        <f>IF(AND(YEAR(B2471)=2025,G2471="Service B",OR(H2471="Band 3",H2471="Band 5"),ISNUMBER(F2471)),F2471,"")</f>
        <v/>
      </c>
    </row>
    <row r="2472">
      <c r="A2472" s="19" t="inlineStr">
        <is>
          <t>User1271</t>
        </is>
      </c>
      <c r="B2472" s="60" t="n">
        <v>46023</v>
      </c>
      <c r="C2472" s="21" t="n">
        <v>155.4000000000001</v>
      </c>
      <c r="D2472" s="21" t="n">
        <v>104.8766666666667</v>
      </c>
      <c r="E2472" s="21" t="n">
        <v>1.91</v>
      </c>
      <c r="F2472" s="27">
        <f>IFERROR(IF(OR(C2472="",D2472="",C2472=0),"",D2472/C2472),"")</f>
        <v/>
      </c>
      <c r="G2472" s="21">
        <f>IFERROR(INDEX(Users!$A$2:$A$310,MATCH(A2472,Users!$B$2:$B$310,0)),"")</f>
        <v/>
      </c>
      <c r="H2472" s="21">
        <f>IFERROR(INDEX(Users!$D$2:$D$310,MATCH(A2472,Users!$B$2:$B$310,0)),"")</f>
        <v/>
      </c>
      <c r="I2472" s="19">
        <f>AND(G2472="Service A",H2472="Band 3")</f>
        <v/>
      </c>
      <c r="J2472" s="33">
        <f>IF(AND(YEAR(B2472)=2025,G2472="Service B",OR(H2472="Band 3",H2472="Band 5"),ISNUMBER(F2472)),F2472,"")</f>
        <v/>
      </c>
    </row>
    <row r="2473">
      <c r="A2473" s="19" t="inlineStr">
        <is>
          <t>User1272</t>
        </is>
      </c>
      <c r="B2473" s="60" t="n">
        <v>45962</v>
      </c>
      <c r="C2473" s="21" t="n">
        <v>148</v>
      </c>
      <c r="D2473" s="21" t="n"/>
      <c r="E2473" s="21" t="n"/>
      <c r="F2473" s="27">
        <f>IFERROR(IF(OR(C2473="",D2473="",C2473=0),"",D2473/C2473),"")</f>
        <v/>
      </c>
      <c r="G2473" s="21">
        <f>IFERROR(INDEX(Users!$A$2:$A$310,MATCH(A2473,Users!$B$2:$B$310,0)),"")</f>
        <v/>
      </c>
      <c r="H2473" s="21">
        <f>IFERROR(INDEX(Users!$D$2:$D$310,MATCH(A2473,Users!$B$2:$B$310,0)),"")</f>
        <v/>
      </c>
      <c r="I2473" s="19">
        <f>AND(G2473="Service A",H2473="Band 3")</f>
        <v/>
      </c>
      <c r="J2473" s="33">
        <f>IF(AND(YEAR(B2473)=2025,G2473="Service B",OR(H2473="Band 3",H2473="Band 5"),ISNUMBER(F2473)),F2473,"")</f>
        <v/>
      </c>
    </row>
    <row r="2474">
      <c r="A2474" s="19" t="inlineStr">
        <is>
          <t>User1272</t>
        </is>
      </c>
      <c r="B2474" s="60" t="n">
        <v>45992</v>
      </c>
      <c r="C2474" s="21" t="n">
        <v>155.4</v>
      </c>
      <c r="D2474" s="21" t="n">
        <v>84</v>
      </c>
      <c r="E2474" s="21" t="n"/>
      <c r="F2474" s="27">
        <f>IFERROR(IF(OR(C2474="",D2474="",C2474=0),"",D2474/C2474),"")</f>
        <v/>
      </c>
      <c r="G2474" s="21">
        <f>IFERROR(INDEX(Users!$A$2:$A$310,MATCH(A2474,Users!$B$2:$B$310,0)),"")</f>
        <v/>
      </c>
      <c r="H2474" s="21">
        <f>IFERROR(INDEX(Users!$D$2:$D$310,MATCH(A2474,Users!$B$2:$B$310,0)),"")</f>
        <v/>
      </c>
      <c r="I2474" s="19">
        <f>AND(G2474="Service A",H2474="Band 3")</f>
        <v/>
      </c>
      <c r="J2474" s="33">
        <f>IF(AND(YEAR(B2474)=2025,G2474="Service B",OR(H2474="Band 3",H2474="Band 5"),ISNUMBER(F2474)),F2474,"")</f>
        <v/>
      </c>
    </row>
    <row r="2475">
      <c r="A2475" s="19" t="inlineStr">
        <is>
          <t>User1272</t>
        </is>
      </c>
      <c r="B2475" s="60" t="n">
        <v>46023</v>
      </c>
      <c r="C2475" s="21" t="n">
        <v>155.4</v>
      </c>
      <c r="D2475" s="21" t="n">
        <v>150.75</v>
      </c>
      <c r="E2475" s="21" t="n"/>
      <c r="F2475" s="27">
        <f>IFERROR(IF(OR(C2475="",D2475="",C2475=0),"",D2475/C2475),"")</f>
        <v/>
      </c>
      <c r="G2475" s="21">
        <f>IFERROR(INDEX(Users!$A$2:$A$310,MATCH(A2475,Users!$B$2:$B$310,0)),"")</f>
        <v/>
      </c>
      <c r="H2475" s="21">
        <f>IFERROR(INDEX(Users!$D$2:$D$310,MATCH(A2475,Users!$B$2:$B$310,0)),"")</f>
        <v/>
      </c>
      <c r="I2475" s="19">
        <f>AND(G2475="Service A",H2475="Band 3")</f>
        <v/>
      </c>
      <c r="J2475" s="33">
        <f>IF(AND(YEAR(B2475)=2025,G2475="Service B",OR(H2475="Band 3",H2475="Band 5"),ISNUMBER(F2475)),F2475,"")</f>
        <v/>
      </c>
    </row>
    <row r="2476">
      <c r="A2476" s="19" t="inlineStr">
        <is>
          <t>User1273</t>
        </is>
      </c>
      <c r="B2476" s="60" t="n">
        <v>45931</v>
      </c>
      <c r="C2476" s="21" t="n">
        <v>148</v>
      </c>
      <c r="D2476" s="21" t="n">
        <v>135.1066666666667</v>
      </c>
      <c r="E2476" s="21" t="n">
        <v>44.18999999999998</v>
      </c>
      <c r="F2476" s="27">
        <f>IFERROR(IF(OR(C2476="",D2476="",C2476=0),"",D2476/C2476),"")</f>
        <v/>
      </c>
      <c r="G2476" s="21">
        <f>IFERROR(INDEX(Users!$A$2:$A$310,MATCH(A2476,Users!$B$2:$B$310,0)),"")</f>
        <v/>
      </c>
      <c r="H2476" s="21">
        <f>IFERROR(INDEX(Users!$D$2:$D$310,MATCH(A2476,Users!$B$2:$B$310,0)),"")</f>
        <v/>
      </c>
      <c r="I2476" s="19">
        <f>AND(G2476="Service A",H2476="Band 3")</f>
        <v/>
      </c>
      <c r="J2476" s="33">
        <f>IF(AND(YEAR(B2476)=2025,G2476="Service B",OR(H2476="Band 3",H2476="Band 5"),ISNUMBER(F2476)),F2476,"")</f>
        <v/>
      </c>
    </row>
    <row r="2477">
      <c r="A2477" s="19" t="inlineStr">
        <is>
          <t>User1273</t>
        </is>
      </c>
      <c r="B2477" s="60" t="n">
        <v>45962</v>
      </c>
      <c r="C2477" s="21" t="n">
        <v>148</v>
      </c>
      <c r="D2477" s="21" t="n">
        <v>149.83</v>
      </c>
      <c r="E2477" s="21" t="n">
        <v>4.83</v>
      </c>
      <c r="F2477" s="27">
        <f>IFERROR(IF(OR(C2477="",D2477="",C2477=0),"",D2477/C2477),"")</f>
        <v/>
      </c>
      <c r="G2477" s="21">
        <f>IFERROR(INDEX(Users!$A$2:$A$310,MATCH(A2477,Users!$B$2:$B$310,0)),"")</f>
        <v/>
      </c>
      <c r="H2477" s="21">
        <f>IFERROR(INDEX(Users!$D$2:$D$310,MATCH(A2477,Users!$B$2:$B$310,0)),"")</f>
        <v/>
      </c>
      <c r="I2477" s="19">
        <f>AND(G2477="Service A",H2477="Band 3")</f>
        <v/>
      </c>
      <c r="J2477" s="33">
        <f>IF(AND(YEAR(B2477)=2025,G2477="Service B",OR(H2477="Band 3",H2477="Band 5"),ISNUMBER(F2477)),F2477,"")</f>
        <v/>
      </c>
    </row>
    <row r="2478">
      <c r="A2478" s="19" t="inlineStr">
        <is>
          <t>User1273</t>
        </is>
      </c>
      <c r="B2478" s="60" t="n">
        <v>45992</v>
      </c>
      <c r="C2478" s="21" t="n">
        <v>155.4</v>
      </c>
      <c r="D2478" s="21" t="n">
        <v>108.65</v>
      </c>
      <c r="E2478" s="21" t="n"/>
      <c r="F2478" s="27">
        <f>IFERROR(IF(OR(C2478="",D2478="",C2478=0),"",D2478/C2478),"")</f>
        <v/>
      </c>
      <c r="G2478" s="21">
        <f>IFERROR(INDEX(Users!$A$2:$A$310,MATCH(A2478,Users!$B$2:$B$310,0)),"")</f>
        <v/>
      </c>
      <c r="H2478" s="21">
        <f>IFERROR(INDEX(Users!$D$2:$D$310,MATCH(A2478,Users!$B$2:$B$310,0)),"")</f>
        <v/>
      </c>
      <c r="I2478" s="19">
        <f>AND(G2478="Service A",H2478="Band 3")</f>
        <v/>
      </c>
      <c r="J2478" s="33">
        <f>IF(AND(YEAR(B2478)=2025,G2478="Service B",OR(H2478="Band 3",H2478="Band 5"),ISNUMBER(F2478)),F2478,"")</f>
        <v/>
      </c>
    </row>
    <row r="2479">
      <c r="A2479" s="19" t="inlineStr">
        <is>
          <t>User1273</t>
        </is>
      </c>
      <c r="B2479" s="60" t="n">
        <v>46023</v>
      </c>
      <c r="C2479" s="21" t="n">
        <v>155.4</v>
      </c>
      <c r="D2479" s="21" t="n">
        <v>150.5</v>
      </c>
      <c r="E2479" s="21" t="n">
        <v>7.5</v>
      </c>
      <c r="F2479" s="27">
        <f>IFERROR(IF(OR(C2479="",D2479="",C2479=0),"",D2479/C2479),"")</f>
        <v/>
      </c>
      <c r="G2479" s="21">
        <f>IFERROR(INDEX(Users!$A$2:$A$310,MATCH(A2479,Users!$B$2:$B$310,0)),"")</f>
        <v/>
      </c>
      <c r="H2479" s="21">
        <f>IFERROR(INDEX(Users!$D$2:$D$310,MATCH(A2479,Users!$B$2:$B$310,0)),"")</f>
        <v/>
      </c>
      <c r="I2479" s="19">
        <f>AND(G2479="Service A",H2479="Band 3")</f>
        <v/>
      </c>
      <c r="J2479" s="33">
        <f>IF(AND(YEAR(B2479)=2025,G2479="Service B",OR(H2479="Band 3",H2479="Band 5"),ISNUMBER(F2479)),F2479,"")</f>
        <v/>
      </c>
    </row>
    <row r="2480">
      <c r="A2480" s="19" t="inlineStr">
        <is>
          <t>User1274</t>
        </is>
      </c>
      <c r="B2480" s="60" t="n">
        <v>46023</v>
      </c>
      <c r="C2480" s="21" t="n">
        <v>148.0000000000001</v>
      </c>
      <c r="D2480" s="21" t="n">
        <v>97.05</v>
      </c>
      <c r="E2480" s="21" t="n">
        <v>3.5</v>
      </c>
      <c r="F2480" s="27">
        <f>IFERROR(IF(OR(C2480="",D2480="",C2480=0),"",D2480/C2480),"")</f>
        <v/>
      </c>
      <c r="G2480" s="21">
        <f>IFERROR(INDEX(Users!$A$2:$A$310,MATCH(A2480,Users!$B$2:$B$310,0)),"")</f>
        <v/>
      </c>
      <c r="H2480" s="21">
        <f>IFERROR(INDEX(Users!$D$2:$D$310,MATCH(A2480,Users!$B$2:$B$310,0)),"")</f>
        <v/>
      </c>
      <c r="I2480" s="19">
        <f>AND(G2480="Service A",H2480="Band 3")</f>
        <v/>
      </c>
      <c r="J2480" s="33">
        <f>IF(AND(YEAR(B2480)=2025,G2480="Service B",OR(H2480="Band 3",H2480="Band 5"),ISNUMBER(F2480)),F2480,"")</f>
        <v/>
      </c>
    </row>
    <row r="2481">
      <c r="A2481" s="19" t="inlineStr">
        <is>
          <t>User1275</t>
        </is>
      </c>
      <c r="B2481" s="60" t="n">
        <v>45931</v>
      </c>
      <c r="C2481" s="21" t="n">
        <v>148</v>
      </c>
      <c r="D2481" s="21" t="n">
        <v>112.0466666666667</v>
      </c>
      <c r="E2481" s="21" t="n">
        <v>53.63000000000002</v>
      </c>
      <c r="F2481" s="27">
        <f>IFERROR(IF(OR(C2481="",D2481="",C2481=0),"",D2481/C2481),"")</f>
        <v/>
      </c>
      <c r="G2481" s="21">
        <f>IFERROR(INDEX(Users!$A$2:$A$310,MATCH(A2481,Users!$B$2:$B$310,0)),"")</f>
        <v/>
      </c>
      <c r="H2481" s="21">
        <f>IFERROR(INDEX(Users!$D$2:$D$310,MATCH(A2481,Users!$B$2:$B$310,0)),"")</f>
        <v/>
      </c>
      <c r="I2481" s="19">
        <f>AND(G2481="Service A",H2481="Band 3")</f>
        <v/>
      </c>
      <c r="J2481" s="33">
        <f>IF(AND(YEAR(B2481)=2025,G2481="Service B",OR(H2481="Band 3",H2481="Band 5"),ISNUMBER(F2481)),F2481,"")</f>
        <v/>
      </c>
    </row>
    <row r="2482">
      <c r="A2482" s="19" t="inlineStr">
        <is>
          <t>User1275</t>
        </is>
      </c>
      <c r="B2482" s="60" t="n">
        <v>45962</v>
      </c>
      <c r="C2482" s="21" t="n">
        <v>148</v>
      </c>
      <c r="D2482" s="21" t="n">
        <v>146.92</v>
      </c>
      <c r="E2482" s="21" t="n">
        <v>11.17</v>
      </c>
      <c r="F2482" s="27">
        <f>IFERROR(IF(OR(C2482="",D2482="",C2482=0),"",D2482/C2482),"")</f>
        <v/>
      </c>
      <c r="G2482" s="21">
        <f>IFERROR(INDEX(Users!$A$2:$A$310,MATCH(A2482,Users!$B$2:$B$310,0)),"")</f>
        <v/>
      </c>
      <c r="H2482" s="21">
        <f>IFERROR(INDEX(Users!$D$2:$D$310,MATCH(A2482,Users!$B$2:$B$310,0)),"")</f>
        <v/>
      </c>
      <c r="I2482" s="19">
        <f>AND(G2482="Service A",H2482="Band 3")</f>
        <v/>
      </c>
      <c r="J2482" s="33">
        <f>IF(AND(YEAR(B2482)=2025,G2482="Service B",OR(H2482="Band 3",H2482="Band 5"),ISNUMBER(F2482)),F2482,"")</f>
        <v/>
      </c>
    </row>
    <row r="2483">
      <c r="A2483" s="19" t="inlineStr">
        <is>
          <t>User1275</t>
        </is>
      </c>
      <c r="B2483" s="60" t="n">
        <v>45992</v>
      </c>
      <c r="C2483" s="21" t="n">
        <v>155.4</v>
      </c>
      <c r="D2483" s="21" t="n">
        <v>103.6666666666667</v>
      </c>
      <c r="E2483" s="21" t="n">
        <v>5</v>
      </c>
      <c r="F2483" s="27">
        <f>IFERROR(IF(OR(C2483="",D2483="",C2483=0),"",D2483/C2483),"")</f>
        <v/>
      </c>
      <c r="G2483" s="21">
        <f>IFERROR(INDEX(Users!$A$2:$A$310,MATCH(A2483,Users!$B$2:$B$310,0)),"")</f>
        <v/>
      </c>
      <c r="H2483" s="21">
        <f>IFERROR(INDEX(Users!$D$2:$D$310,MATCH(A2483,Users!$B$2:$B$310,0)),"")</f>
        <v/>
      </c>
      <c r="I2483" s="19">
        <f>AND(G2483="Service A",H2483="Band 3")</f>
        <v/>
      </c>
      <c r="J2483" s="33">
        <f>IF(AND(YEAR(B2483)=2025,G2483="Service B",OR(H2483="Band 3",H2483="Band 5"),ISNUMBER(F2483)),F2483,"")</f>
        <v/>
      </c>
    </row>
    <row r="2484">
      <c r="A2484" s="19" t="inlineStr">
        <is>
          <t>User1275</t>
        </is>
      </c>
      <c r="B2484" s="60" t="n">
        <v>46023</v>
      </c>
      <c r="C2484" s="21" t="n">
        <v>155.4</v>
      </c>
      <c r="D2484" s="21" t="n">
        <v>147.0866666666666</v>
      </c>
      <c r="E2484" s="21" t="n">
        <v>10.67</v>
      </c>
      <c r="F2484" s="27">
        <f>IFERROR(IF(OR(C2484="",D2484="",C2484=0),"",D2484/C2484),"")</f>
        <v/>
      </c>
      <c r="G2484" s="21">
        <f>IFERROR(INDEX(Users!$A$2:$A$310,MATCH(A2484,Users!$B$2:$B$310,0)),"")</f>
        <v/>
      </c>
      <c r="H2484" s="21">
        <f>IFERROR(INDEX(Users!$D$2:$D$310,MATCH(A2484,Users!$B$2:$B$310,0)),"")</f>
        <v/>
      </c>
      <c r="I2484" s="19">
        <f>AND(G2484="Service A",H2484="Band 3")</f>
        <v/>
      </c>
      <c r="J2484" s="33">
        <f>IF(AND(YEAR(B2484)=2025,G2484="Service B",OR(H2484="Band 3",H2484="Band 5"),ISNUMBER(F2484)),F2484,"")</f>
        <v/>
      </c>
    </row>
    <row r="2485">
      <c r="A2485" s="19" t="inlineStr">
        <is>
          <t>User1276</t>
        </is>
      </c>
      <c r="B2485" s="60" t="n">
        <v>46023</v>
      </c>
      <c r="C2485" s="21" t="n">
        <v>148.0000000000001</v>
      </c>
      <c r="D2485" s="21" t="n">
        <v>148</v>
      </c>
      <c r="E2485" s="21" t="n"/>
      <c r="F2485" s="27">
        <f>IFERROR(IF(OR(C2485="",D2485="",C2485=0),"",D2485/C2485),"")</f>
        <v/>
      </c>
      <c r="G2485" s="21">
        <f>IFERROR(INDEX(Users!$A$2:$A$310,MATCH(A2485,Users!$B$2:$B$310,0)),"")</f>
        <v/>
      </c>
      <c r="H2485" s="21">
        <f>IFERROR(INDEX(Users!$D$2:$D$310,MATCH(A2485,Users!$B$2:$B$310,0)),"")</f>
        <v/>
      </c>
      <c r="I2485" s="19">
        <f>AND(G2485="Service A",H2485="Band 3")</f>
        <v/>
      </c>
      <c r="J2485" s="33">
        <f>IF(AND(YEAR(B2485)=2025,G2485="Service B",OR(H2485="Band 3",H2485="Band 5"),ISNUMBER(F2485)),F2485,"")</f>
        <v/>
      </c>
    </row>
    <row r="2486">
      <c r="A2486" s="19" t="inlineStr">
        <is>
          <t>User1277</t>
        </is>
      </c>
      <c r="B2486" s="60" t="n">
        <v>45992</v>
      </c>
      <c r="C2486" s="21" t="n">
        <v>155.4000000000001</v>
      </c>
      <c r="D2486" s="21" t="n">
        <v>5.75</v>
      </c>
      <c r="E2486" s="21" t="n">
        <v>5.75</v>
      </c>
      <c r="F2486" s="27">
        <f>IFERROR(IF(OR(C2486="",D2486="",C2486=0),"",D2486/C2486),"")</f>
        <v/>
      </c>
      <c r="G2486" s="21">
        <f>IFERROR(INDEX(Users!$A$2:$A$310,MATCH(A2486,Users!$B$2:$B$310,0)),"")</f>
        <v/>
      </c>
      <c r="H2486" s="21">
        <f>IFERROR(INDEX(Users!$D$2:$D$310,MATCH(A2486,Users!$B$2:$B$310,0)),"")</f>
        <v/>
      </c>
      <c r="I2486" s="19">
        <f>AND(G2486="Service A",H2486="Band 3")</f>
        <v/>
      </c>
      <c r="J2486" s="33">
        <f>IF(AND(YEAR(B2486)=2025,G2486="Service B",OR(H2486="Band 3",H2486="Band 5"),ISNUMBER(F2486)),F2486,"")</f>
        <v/>
      </c>
    </row>
    <row r="2487">
      <c r="A2487" s="19" t="inlineStr">
        <is>
          <t>User1277</t>
        </is>
      </c>
      <c r="B2487" s="60" t="n">
        <v>46023</v>
      </c>
      <c r="C2487" s="21" t="n">
        <v>155.4000000000001</v>
      </c>
      <c r="D2487" s="21" t="n">
        <v>117.9166666666667</v>
      </c>
      <c r="E2487" s="21" t="n">
        <v>9</v>
      </c>
      <c r="F2487" s="27">
        <f>IFERROR(IF(OR(C2487="",D2487="",C2487=0),"",D2487/C2487),"")</f>
        <v/>
      </c>
      <c r="G2487" s="21">
        <f>IFERROR(INDEX(Users!$A$2:$A$310,MATCH(A2487,Users!$B$2:$B$310,0)),"")</f>
        <v/>
      </c>
      <c r="H2487" s="21">
        <f>IFERROR(INDEX(Users!$D$2:$D$310,MATCH(A2487,Users!$B$2:$B$310,0)),"")</f>
        <v/>
      </c>
      <c r="I2487" s="19">
        <f>AND(G2487="Service A",H2487="Band 3")</f>
        <v/>
      </c>
      <c r="J2487" s="33">
        <f>IF(AND(YEAR(B2487)=2025,G2487="Service B",OR(H2487="Band 3",H2487="Band 5"),ISNUMBER(F2487)),F2487,"")</f>
        <v/>
      </c>
    </row>
    <row r="2488">
      <c r="A2488" s="19" t="inlineStr">
        <is>
          <t>User1278</t>
        </is>
      </c>
      <c r="B2488" s="60" t="n">
        <v>45962</v>
      </c>
      <c r="C2488" s="21" t="n">
        <v>148.0000000000001</v>
      </c>
      <c r="D2488" s="21" t="n"/>
      <c r="E2488" s="21" t="n"/>
      <c r="F2488" s="27">
        <f>IFERROR(IF(OR(C2488="",D2488="",C2488=0),"",D2488/C2488),"")</f>
        <v/>
      </c>
      <c r="G2488" s="21">
        <f>IFERROR(INDEX(Users!$A$2:$A$310,MATCH(A2488,Users!$B$2:$B$310,0)),"")</f>
        <v/>
      </c>
      <c r="H2488" s="21">
        <f>IFERROR(INDEX(Users!$D$2:$D$310,MATCH(A2488,Users!$B$2:$B$310,0)),"")</f>
        <v/>
      </c>
      <c r="I2488" s="19">
        <f>AND(G2488="Service A",H2488="Band 3")</f>
        <v/>
      </c>
      <c r="J2488" s="33">
        <f>IF(AND(YEAR(B2488)=2025,G2488="Service B",OR(H2488="Band 3",H2488="Band 5"),ISNUMBER(F2488)),F2488,"")</f>
        <v/>
      </c>
    </row>
    <row r="2489">
      <c r="A2489" s="19" t="inlineStr">
        <is>
          <t>User1278</t>
        </is>
      </c>
      <c r="B2489" s="60" t="n">
        <v>45992</v>
      </c>
      <c r="C2489" s="21" t="n">
        <v>155.4000000000001</v>
      </c>
      <c r="D2489" s="21" t="n">
        <v>0.42</v>
      </c>
      <c r="E2489" s="21" t="n">
        <v>0.42</v>
      </c>
      <c r="F2489" s="27">
        <f>IFERROR(IF(OR(C2489="",D2489="",C2489=0),"",D2489/C2489),"")</f>
        <v/>
      </c>
      <c r="G2489" s="21">
        <f>IFERROR(INDEX(Users!$A$2:$A$310,MATCH(A2489,Users!$B$2:$B$310,0)),"")</f>
        <v/>
      </c>
      <c r="H2489" s="21">
        <f>IFERROR(INDEX(Users!$D$2:$D$310,MATCH(A2489,Users!$B$2:$B$310,0)),"")</f>
        <v/>
      </c>
      <c r="I2489" s="19">
        <f>AND(G2489="Service A",H2489="Band 3")</f>
        <v/>
      </c>
      <c r="J2489" s="33">
        <f>IF(AND(YEAR(B2489)=2025,G2489="Service B",OR(H2489="Band 3",H2489="Band 5"),ISNUMBER(F2489)),F2489,"")</f>
        <v/>
      </c>
    </row>
    <row r="2490">
      <c r="A2490" s="19" t="inlineStr">
        <is>
          <t>User1278</t>
        </is>
      </c>
      <c r="B2490" s="60" t="n">
        <v>46023</v>
      </c>
      <c r="C2490" s="21" t="n">
        <v>155.4000000000001</v>
      </c>
      <c r="D2490" s="21" t="n">
        <v>144.9077777777778</v>
      </c>
      <c r="E2490" s="21" t="n">
        <v>56.56999999999999</v>
      </c>
      <c r="F2490" s="27">
        <f>IFERROR(IF(OR(C2490="",D2490="",C2490=0),"",D2490/C2490),"")</f>
        <v/>
      </c>
      <c r="G2490" s="21">
        <f>IFERROR(INDEX(Users!$A$2:$A$310,MATCH(A2490,Users!$B$2:$B$310,0)),"")</f>
        <v/>
      </c>
      <c r="H2490" s="21">
        <f>IFERROR(INDEX(Users!$D$2:$D$310,MATCH(A2490,Users!$B$2:$B$310,0)),"")</f>
        <v/>
      </c>
      <c r="I2490" s="19">
        <f>AND(G2490="Service A",H2490="Band 3")</f>
        <v/>
      </c>
      <c r="J2490" s="33">
        <f>IF(AND(YEAR(B2490)=2025,G2490="Service B",OR(H2490="Band 3",H2490="Band 5"),ISNUMBER(F2490)),F2490,"")</f>
        <v/>
      </c>
    </row>
    <row r="2491">
      <c r="A2491" s="19" t="inlineStr">
        <is>
          <t>User1279</t>
        </is>
      </c>
      <c r="B2491" s="60" t="n">
        <v>45962</v>
      </c>
      <c r="C2491" s="21" t="n">
        <v>37</v>
      </c>
      <c r="D2491" s="21" t="n"/>
      <c r="E2491" s="21" t="n"/>
      <c r="F2491" s="27">
        <f>IFERROR(IF(OR(C2491="",D2491="",C2491=0),"",D2491/C2491),"")</f>
        <v/>
      </c>
      <c r="G2491" s="21">
        <f>IFERROR(INDEX(Users!$A$2:$A$310,MATCH(A2491,Users!$B$2:$B$310,0)),"")</f>
        <v/>
      </c>
      <c r="H2491" s="21">
        <f>IFERROR(INDEX(Users!$D$2:$D$310,MATCH(A2491,Users!$B$2:$B$310,0)),"")</f>
        <v/>
      </c>
      <c r="I2491" s="19">
        <f>AND(G2491="Service A",H2491="Band 3")</f>
        <v/>
      </c>
      <c r="J2491" s="33">
        <f>IF(AND(YEAR(B2491)=2025,G2491="Service B",OR(H2491="Band 3",H2491="Band 5"),ISNUMBER(F2491)),F2491,"")</f>
        <v/>
      </c>
    </row>
    <row r="2492">
      <c r="A2492" s="19" t="inlineStr">
        <is>
          <t>User1280</t>
        </is>
      </c>
      <c r="B2492" s="60" t="n">
        <v>45992</v>
      </c>
      <c r="C2492" s="21" t="n">
        <v>155.4000000000001</v>
      </c>
      <c r="D2492" s="21" t="n">
        <v>130.3333333333333</v>
      </c>
      <c r="E2492" s="21" t="n"/>
      <c r="F2492" s="27">
        <f>IFERROR(IF(OR(C2492="",D2492="",C2492=0),"",D2492/C2492),"")</f>
        <v/>
      </c>
      <c r="G2492" s="21">
        <f>IFERROR(INDEX(Users!$A$2:$A$310,MATCH(A2492,Users!$B$2:$B$310,0)),"")</f>
        <v/>
      </c>
      <c r="H2492" s="21">
        <f>IFERROR(INDEX(Users!$D$2:$D$310,MATCH(A2492,Users!$B$2:$B$310,0)),"")</f>
        <v/>
      </c>
      <c r="I2492" s="19">
        <f>AND(G2492="Service A",H2492="Band 3")</f>
        <v/>
      </c>
      <c r="J2492" s="33">
        <f>IF(AND(YEAR(B2492)=2025,G2492="Service B",OR(H2492="Band 3",H2492="Band 5"),ISNUMBER(F2492)),F2492,"")</f>
        <v/>
      </c>
    </row>
    <row r="2493">
      <c r="A2493" s="19" t="inlineStr">
        <is>
          <t>User1280</t>
        </is>
      </c>
      <c r="B2493" s="60" t="n">
        <v>46023</v>
      </c>
      <c r="C2493" s="21" t="n">
        <v>155.4000000000001</v>
      </c>
      <c r="D2493" s="21" t="n">
        <v>144.0666666666667</v>
      </c>
      <c r="E2493" s="21" t="n">
        <v>10.75</v>
      </c>
      <c r="F2493" s="27">
        <f>IFERROR(IF(OR(C2493="",D2493="",C2493=0),"",D2493/C2493),"")</f>
        <v/>
      </c>
      <c r="G2493" s="21">
        <f>IFERROR(INDEX(Users!$A$2:$A$310,MATCH(A2493,Users!$B$2:$B$310,0)),"")</f>
        <v/>
      </c>
      <c r="H2493" s="21">
        <f>IFERROR(INDEX(Users!$D$2:$D$310,MATCH(A2493,Users!$B$2:$B$310,0)),"")</f>
        <v/>
      </c>
      <c r="I2493" s="19">
        <f>AND(G2493="Service A",H2493="Band 3")</f>
        <v/>
      </c>
      <c r="J2493" s="33">
        <f>IF(AND(YEAR(B2493)=2025,G2493="Service B",OR(H2493="Band 3",H2493="Band 5"),ISNUMBER(F2493)),F2493,"")</f>
        <v/>
      </c>
    </row>
    <row r="2494">
      <c r="A2494" s="19" t="inlineStr">
        <is>
          <t>User1281</t>
        </is>
      </c>
      <c r="B2494" s="60" t="n">
        <v>45962</v>
      </c>
      <c r="C2494" s="21" t="n"/>
      <c r="D2494" s="21" t="n">
        <v>55.33666666666667</v>
      </c>
      <c r="E2494" s="21" t="n">
        <v>28.42</v>
      </c>
      <c r="F2494" s="27">
        <f>IFERROR(IF(OR(C2494="",D2494="",C2494=0),"",D2494/C2494),"")</f>
        <v/>
      </c>
      <c r="G2494" s="21">
        <f>IFERROR(INDEX(Users!$A$2:$A$310,MATCH(A2494,Users!$B$2:$B$310,0)),"")</f>
        <v/>
      </c>
      <c r="H2494" s="21">
        <f>IFERROR(INDEX(Users!$D$2:$D$310,MATCH(A2494,Users!$B$2:$B$310,0)),"")</f>
        <v/>
      </c>
      <c r="I2494" s="19">
        <f>AND(G2494="Service A",H2494="Band 3")</f>
        <v/>
      </c>
      <c r="J2494" s="33">
        <f>IF(AND(YEAR(B2494)=2025,G2494="Service B",OR(H2494="Band 3",H2494="Band 5"),ISNUMBER(F2494)),F2494,"")</f>
        <v/>
      </c>
    </row>
    <row r="2495">
      <c r="A2495" s="19" t="inlineStr">
        <is>
          <t>User1281</t>
        </is>
      </c>
      <c r="B2495" s="60" t="n">
        <v>45992</v>
      </c>
      <c r="C2495" s="21" t="n">
        <v>22.2</v>
      </c>
      <c r="D2495" s="21" t="n">
        <v>11.85</v>
      </c>
      <c r="E2495" s="21" t="n">
        <v>11.85</v>
      </c>
      <c r="F2495" s="27">
        <f>IFERROR(IF(OR(C2495="",D2495="",C2495=0),"",D2495/C2495),"")</f>
        <v/>
      </c>
      <c r="G2495" s="21">
        <f>IFERROR(INDEX(Users!$A$2:$A$310,MATCH(A2495,Users!$B$2:$B$310,0)),"")</f>
        <v/>
      </c>
      <c r="H2495" s="21">
        <f>IFERROR(INDEX(Users!$D$2:$D$310,MATCH(A2495,Users!$B$2:$B$310,0)),"")</f>
        <v/>
      </c>
      <c r="I2495" s="19">
        <f>AND(G2495="Service A",H2495="Band 3")</f>
        <v/>
      </c>
      <c r="J2495" s="33">
        <f>IF(AND(YEAR(B2495)=2025,G2495="Service B",OR(H2495="Band 3",H2495="Band 5"),ISNUMBER(F2495)),F2495,"")</f>
        <v/>
      </c>
    </row>
    <row r="2496">
      <c r="A2496" s="19" t="inlineStr">
        <is>
          <t>User1281</t>
        </is>
      </c>
      <c r="B2496" s="60" t="n">
        <v>46023</v>
      </c>
      <c r="C2496" s="21" t="n">
        <v>155.4000000000001</v>
      </c>
      <c r="D2496" s="21" t="n">
        <v>3.44</v>
      </c>
      <c r="E2496" s="21" t="n">
        <v>3.44</v>
      </c>
      <c r="F2496" s="27">
        <f>IFERROR(IF(OR(C2496="",D2496="",C2496=0),"",D2496/C2496),"")</f>
        <v/>
      </c>
      <c r="G2496" s="21">
        <f>IFERROR(INDEX(Users!$A$2:$A$310,MATCH(A2496,Users!$B$2:$B$310,0)),"")</f>
        <v/>
      </c>
      <c r="H2496" s="21">
        <f>IFERROR(INDEX(Users!$D$2:$D$310,MATCH(A2496,Users!$B$2:$B$310,0)),"")</f>
        <v/>
      </c>
      <c r="I2496" s="19">
        <f>AND(G2496="Service A",H2496="Band 3")</f>
        <v/>
      </c>
      <c r="J2496" s="33">
        <f>IF(AND(YEAR(B2496)=2025,G2496="Service B",OR(H2496="Band 3",H2496="Band 5"),ISNUMBER(F2496)),F2496,"")</f>
        <v/>
      </c>
    </row>
    <row r="2497">
      <c r="A2497" s="19" t="inlineStr">
        <is>
          <t>User1282</t>
        </is>
      </c>
      <c r="B2497" s="60" t="n">
        <v>45962</v>
      </c>
      <c r="C2497" s="21" t="n">
        <v>148</v>
      </c>
      <c r="D2497" s="21" t="n"/>
      <c r="E2497" s="21" t="n"/>
      <c r="F2497" s="27">
        <f>IFERROR(IF(OR(C2497="",D2497="",C2497=0),"",D2497/C2497),"")</f>
        <v/>
      </c>
      <c r="G2497" s="21">
        <f>IFERROR(INDEX(Users!$A$2:$A$310,MATCH(A2497,Users!$B$2:$B$310,0)),"")</f>
        <v/>
      </c>
      <c r="H2497" s="21">
        <f>IFERROR(INDEX(Users!$D$2:$D$310,MATCH(A2497,Users!$B$2:$B$310,0)),"")</f>
        <v/>
      </c>
      <c r="I2497" s="19">
        <f>AND(G2497="Service A",H2497="Band 3")</f>
        <v/>
      </c>
      <c r="J2497" s="33">
        <f>IF(AND(YEAR(B2497)=2025,G2497="Service B",OR(H2497="Band 3",H2497="Band 5"),ISNUMBER(F2497)),F2497,"")</f>
        <v/>
      </c>
    </row>
    <row r="2498">
      <c r="A2498" s="19" t="inlineStr">
        <is>
          <t>User1282</t>
        </is>
      </c>
      <c r="B2498" s="60" t="n">
        <v>45992</v>
      </c>
      <c r="C2498" s="21" t="n">
        <v>155.4</v>
      </c>
      <c r="D2498" s="21" t="n">
        <v>59.20222222222222</v>
      </c>
      <c r="E2498" s="21" t="n"/>
      <c r="F2498" s="27">
        <f>IFERROR(IF(OR(C2498="",D2498="",C2498=0),"",D2498/C2498),"")</f>
        <v/>
      </c>
      <c r="G2498" s="21">
        <f>IFERROR(INDEX(Users!$A$2:$A$310,MATCH(A2498,Users!$B$2:$B$310,0)),"")</f>
        <v/>
      </c>
      <c r="H2498" s="21">
        <f>IFERROR(INDEX(Users!$D$2:$D$310,MATCH(A2498,Users!$B$2:$B$310,0)),"")</f>
        <v/>
      </c>
      <c r="I2498" s="19">
        <f>AND(G2498="Service A",H2498="Band 3")</f>
        <v/>
      </c>
      <c r="J2498" s="33">
        <f>IF(AND(YEAR(B2498)=2025,G2498="Service B",OR(H2498="Band 3",H2498="Band 5"),ISNUMBER(F2498)),F2498,"")</f>
        <v/>
      </c>
    </row>
    <row r="2499">
      <c r="A2499" s="19" t="inlineStr">
        <is>
          <t>User1282</t>
        </is>
      </c>
      <c r="B2499" s="60" t="n">
        <v>46023</v>
      </c>
      <c r="C2499" s="21" t="n">
        <v>155.4</v>
      </c>
      <c r="D2499" s="21" t="n"/>
      <c r="E2499" s="21" t="n"/>
      <c r="F2499" s="27">
        <f>IFERROR(IF(OR(C2499="",D2499="",C2499=0),"",D2499/C2499),"")</f>
        <v/>
      </c>
      <c r="G2499" s="21">
        <f>IFERROR(INDEX(Users!$A$2:$A$310,MATCH(A2499,Users!$B$2:$B$310,0)),"")</f>
        <v/>
      </c>
      <c r="H2499" s="21">
        <f>IFERROR(INDEX(Users!$D$2:$D$310,MATCH(A2499,Users!$B$2:$B$310,0)),"")</f>
        <v/>
      </c>
      <c r="I2499" s="19">
        <f>AND(G2499="Service A",H2499="Band 3")</f>
        <v/>
      </c>
      <c r="J2499" s="33">
        <f>IF(AND(YEAR(B2499)=2025,G2499="Service B",OR(H2499="Band 3",H2499="Band 5"),ISNUMBER(F2499)),F2499,"")</f>
        <v/>
      </c>
    </row>
    <row r="2500">
      <c r="A2500" s="19" t="inlineStr">
        <is>
          <t>User1283</t>
        </is>
      </c>
      <c r="B2500" s="60" t="n">
        <v>45962</v>
      </c>
      <c r="C2500" s="21" t="n">
        <v>148</v>
      </c>
      <c r="D2500" s="21" t="n">
        <v>140.9300000000001</v>
      </c>
      <c r="E2500" s="21" t="n">
        <v>0.33</v>
      </c>
      <c r="F2500" s="27">
        <f>IFERROR(IF(OR(C2500="",D2500="",C2500=0),"",D2500/C2500),"")</f>
        <v/>
      </c>
      <c r="G2500" s="21">
        <f>IFERROR(INDEX(Users!$A$2:$A$310,MATCH(A2500,Users!$B$2:$B$310,0)),"")</f>
        <v/>
      </c>
      <c r="H2500" s="21">
        <f>IFERROR(INDEX(Users!$D$2:$D$310,MATCH(A2500,Users!$B$2:$B$310,0)),"")</f>
        <v/>
      </c>
      <c r="I2500" s="19">
        <f>AND(G2500="Service A",H2500="Band 3")</f>
        <v/>
      </c>
      <c r="J2500" s="33">
        <f>IF(AND(YEAR(B2500)=2025,G2500="Service B",OR(H2500="Band 3",H2500="Band 5"),ISNUMBER(F2500)),F2500,"")</f>
        <v/>
      </c>
    </row>
    <row r="2501">
      <c r="A2501" s="19" t="inlineStr">
        <is>
          <t>User1283</t>
        </is>
      </c>
      <c r="B2501" s="60" t="n">
        <v>45992</v>
      </c>
      <c r="C2501" s="21" t="n">
        <v>155.4</v>
      </c>
      <c r="D2501" s="21" t="n">
        <v>139.8333333333334</v>
      </c>
      <c r="E2501" s="21" t="n">
        <v>10.5</v>
      </c>
      <c r="F2501" s="27">
        <f>IFERROR(IF(OR(C2501="",D2501="",C2501=0),"",D2501/C2501),"")</f>
        <v/>
      </c>
      <c r="G2501" s="21">
        <f>IFERROR(INDEX(Users!$A$2:$A$310,MATCH(A2501,Users!$B$2:$B$310,0)),"")</f>
        <v/>
      </c>
      <c r="H2501" s="21">
        <f>IFERROR(INDEX(Users!$D$2:$D$310,MATCH(A2501,Users!$B$2:$B$310,0)),"")</f>
        <v/>
      </c>
      <c r="I2501" s="19">
        <f>AND(G2501="Service A",H2501="Band 3")</f>
        <v/>
      </c>
      <c r="J2501" s="33">
        <f>IF(AND(YEAR(B2501)=2025,G2501="Service B",OR(H2501="Band 3",H2501="Band 5"),ISNUMBER(F2501)),F2501,"")</f>
        <v/>
      </c>
    </row>
    <row r="2502">
      <c r="A2502" s="19" t="inlineStr">
        <is>
          <t>User1283</t>
        </is>
      </c>
      <c r="B2502" s="60" t="n">
        <v>46023</v>
      </c>
      <c r="C2502" s="21" t="n">
        <v>155.4</v>
      </c>
      <c r="D2502" s="21" t="n">
        <v>129.8633333333333</v>
      </c>
      <c r="E2502" s="21" t="n">
        <v>29.53000000000001</v>
      </c>
      <c r="F2502" s="27">
        <f>IFERROR(IF(OR(C2502="",D2502="",C2502=0),"",D2502/C2502),"")</f>
        <v/>
      </c>
      <c r="G2502" s="21">
        <f>IFERROR(INDEX(Users!$A$2:$A$310,MATCH(A2502,Users!$B$2:$B$310,0)),"")</f>
        <v/>
      </c>
      <c r="H2502" s="21">
        <f>IFERROR(INDEX(Users!$D$2:$D$310,MATCH(A2502,Users!$B$2:$B$310,0)),"")</f>
        <v/>
      </c>
      <c r="I2502" s="19">
        <f>AND(G2502="Service A",H2502="Band 3")</f>
        <v/>
      </c>
      <c r="J2502" s="33">
        <f>IF(AND(YEAR(B2502)=2025,G2502="Service B",OR(H2502="Band 3",H2502="Band 5"),ISNUMBER(F2502)),F2502,"")</f>
        <v/>
      </c>
    </row>
    <row r="2503">
      <c r="A2503" s="19" t="inlineStr">
        <is>
          <t>User1284</t>
        </is>
      </c>
      <c r="B2503" s="60" t="n">
        <v>45962</v>
      </c>
      <c r="C2503" s="21" t="n">
        <v>148.0000000000001</v>
      </c>
      <c r="D2503" s="21" t="n">
        <v>74</v>
      </c>
      <c r="E2503" s="21" t="n"/>
      <c r="F2503" s="27">
        <f>IFERROR(IF(OR(C2503="",D2503="",C2503=0),"",D2503/C2503),"")</f>
        <v/>
      </c>
      <c r="G2503" s="21">
        <f>IFERROR(INDEX(Users!$A$2:$A$310,MATCH(A2503,Users!$B$2:$B$310,0)),"")</f>
        <v/>
      </c>
      <c r="H2503" s="21">
        <f>IFERROR(INDEX(Users!$D$2:$D$310,MATCH(A2503,Users!$B$2:$B$310,0)),"")</f>
        <v/>
      </c>
      <c r="I2503" s="19">
        <f>AND(G2503="Service A",H2503="Band 3")</f>
        <v/>
      </c>
      <c r="J2503" s="33">
        <f>IF(AND(YEAR(B2503)=2025,G2503="Service B",OR(H2503="Band 3",H2503="Band 5"),ISNUMBER(F2503)),F2503,"")</f>
        <v/>
      </c>
    </row>
    <row r="2504">
      <c r="A2504" s="19" t="inlineStr">
        <is>
          <t>User1284</t>
        </is>
      </c>
      <c r="B2504" s="60" t="n">
        <v>45992</v>
      </c>
      <c r="C2504" s="21" t="n">
        <v>155.4000000000001</v>
      </c>
      <c r="D2504" s="21" t="n">
        <v>97.33333333333333</v>
      </c>
      <c r="E2504" s="21" t="n">
        <v>3</v>
      </c>
      <c r="F2504" s="27">
        <f>IFERROR(IF(OR(C2504="",D2504="",C2504=0),"",D2504/C2504),"")</f>
        <v/>
      </c>
      <c r="G2504" s="21">
        <f>IFERROR(INDEX(Users!$A$2:$A$310,MATCH(A2504,Users!$B$2:$B$310,0)),"")</f>
        <v/>
      </c>
      <c r="H2504" s="21">
        <f>IFERROR(INDEX(Users!$D$2:$D$310,MATCH(A2504,Users!$B$2:$B$310,0)),"")</f>
        <v/>
      </c>
      <c r="I2504" s="19">
        <f>AND(G2504="Service A",H2504="Band 3")</f>
        <v/>
      </c>
      <c r="J2504" s="33">
        <f>IF(AND(YEAR(B2504)=2025,G2504="Service B",OR(H2504="Band 3",H2504="Band 5"),ISNUMBER(F2504)),F2504,"")</f>
        <v/>
      </c>
    </row>
    <row r="2505">
      <c r="A2505" s="19" t="inlineStr">
        <is>
          <t>User1284</t>
        </is>
      </c>
      <c r="B2505" s="60" t="n">
        <v>46023</v>
      </c>
      <c r="C2505" s="21" t="n">
        <v>155.4000000000001</v>
      </c>
      <c r="D2505" s="21" t="n">
        <v>167.8333333333334</v>
      </c>
      <c r="E2505" s="21" t="n">
        <v>27.50000000000001</v>
      </c>
      <c r="F2505" s="27">
        <f>IFERROR(IF(OR(C2505="",D2505="",C2505=0),"",D2505/C2505),"")</f>
        <v/>
      </c>
      <c r="G2505" s="21">
        <f>IFERROR(INDEX(Users!$A$2:$A$310,MATCH(A2505,Users!$B$2:$B$310,0)),"")</f>
        <v/>
      </c>
      <c r="H2505" s="21">
        <f>IFERROR(INDEX(Users!$D$2:$D$310,MATCH(A2505,Users!$B$2:$B$310,0)),"")</f>
        <v/>
      </c>
      <c r="I2505" s="19">
        <f>AND(G2505="Service A",H2505="Band 3")</f>
        <v/>
      </c>
      <c r="J2505" s="33">
        <f>IF(AND(YEAR(B2505)=2025,G2505="Service B",OR(H2505="Band 3",H2505="Band 5"),ISNUMBER(F2505)),F2505,"")</f>
        <v/>
      </c>
    </row>
    <row r="2506">
      <c r="A2506" s="19" t="inlineStr">
        <is>
          <t>User1285</t>
        </is>
      </c>
      <c r="B2506" s="60" t="n">
        <v>45992</v>
      </c>
      <c r="C2506" s="21" t="n">
        <v>155.4000000000001</v>
      </c>
      <c r="D2506" s="21" t="n"/>
      <c r="E2506" s="21" t="n"/>
      <c r="F2506" s="27">
        <f>IFERROR(IF(OR(C2506="",D2506="",C2506=0),"",D2506/C2506),"")</f>
        <v/>
      </c>
      <c r="G2506" s="21">
        <f>IFERROR(INDEX(Users!$A$2:$A$310,MATCH(A2506,Users!$B$2:$B$310,0)),"")</f>
        <v/>
      </c>
      <c r="H2506" s="21">
        <f>IFERROR(INDEX(Users!$D$2:$D$310,MATCH(A2506,Users!$B$2:$B$310,0)),"")</f>
        <v/>
      </c>
      <c r="I2506" s="19">
        <f>AND(G2506="Service A",H2506="Band 3")</f>
        <v/>
      </c>
      <c r="J2506" s="33">
        <f>IF(AND(YEAR(B2506)=2025,G2506="Service B",OR(H2506="Band 3",H2506="Band 5"),ISNUMBER(F2506)),F2506,"")</f>
        <v/>
      </c>
    </row>
    <row r="2507">
      <c r="A2507" s="19" t="inlineStr">
        <is>
          <t>User1285</t>
        </is>
      </c>
      <c r="B2507" s="60" t="n">
        <v>46023</v>
      </c>
      <c r="C2507" s="21" t="n">
        <v>155.4000000000001</v>
      </c>
      <c r="D2507" s="21" t="n">
        <v>40.775</v>
      </c>
      <c r="E2507" s="21" t="n">
        <v>20.75</v>
      </c>
      <c r="F2507" s="27">
        <f>IFERROR(IF(OR(C2507="",D2507="",C2507=0),"",D2507/C2507),"")</f>
        <v/>
      </c>
      <c r="G2507" s="21">
        <f>IFERROR(INDEX(Users!$A$2:$A$310,MATCH(A2507,Users!$B$2:$B$310,0)),"")</f>
        <v/>
      </c>
      <c r="H2507" s="21">
        <f>IFERROR(INDEX(Users!$D$2:$D$310,MATCH(A2507,Users!$B$2:$B$310,0)),"")</f>
        <v/>
      </c>
      <c r="I2507" s="19">
        <f>AND(G2507="Service A",H2507="Band 3")</f>
        <v/>
      </c>
      <c r="J2507" s="33">
        <f>IF(AND(YEAR(B2507)=2025,G2507="Service B",OR(H2507="Band 3",H2507="Band 5"),ISNUMBER(F2507)),F2507,"")</f>
        <v/>
      </c>
    </row>
    <row r="2508">
      <c r="A2508" s="19" t="inlineStr">
        <is>
          <t>User1286</t>
        </is>
      </c>
      <c r="B2508" s="60" t="n">
        <v>45992</v>
      </c>
      <c r="C2508" s="21" t="n">
        <v>118.4</v>
      </c>
      <c r="D2508" s="21" t="n"/>
      <c r="E2508" s="21" t="n"/>
      <c r="F2508" s="27">
        <f>IFERROR(IF(OR(C2508="",D2508="",C2508=0),"",D2508/C2508),"")</f>
        <v/>
      </c>
      <c r="G2508" s="21">
        <f>IFERROR(INDEX(Users!$A$2:$A$310,MATCH(A2508,Users!$B$2:$B$310,0)),"")</f>
        <v/>
      </c>
      <c r="H2508" s="21">
        <f>IFERROR(INDEX(Users!$D$2:$D$310,MATCH(A2508,Users!$B$2:$B$310,0)),"")</f>
        <v/>
      </c>
      <c r="I2508" s="19">
        <f>AND(G2508="Service A",H2508="Band 3")</f>
        <v/>
      </c>
      <c r="J2508" s="33">
        <f>IF(AND(YEAR(B2508)=2025,G2508="Service B",OR(H2508="Band 3",H2508="Band 5"),ISNUMBER(F2508)),F2508,"")</f>
        <v/>
      </c>
    </row>
    <row r="2509">
      <c r="A2509" s="19" t="inlineStr">
        <is>
          <t>User1286</t>
        </is>
      </c>
      <c r="B2509" s="60" t="n">
        <v>46023</v>
      </c>
      <c r="C2509" s="21" t="n">
        <v>155.4</v>
      </c>
      <c r="D2509" s="21" t="n"/>
      <c r="E2509" s="21" t="n"/>
      <c r="F2509" s="27">
        <f>IFERROR(IF(OR(C2509="",D2509="",C2509=0),"",D2509/C2509),"")</f>
        <v/>
      </c>
      <c r="G2509" s="21">
        <f>IFERROR(INDEX(Users!$A$2:$A$310,MATCH(A2509,Users!$B$2:$B$310,0)),"")</f>
        <v/>
      </c>
      <c r="H2509" s="21">
        <f>IFERROR(INDEX(Users!$D$2:$D$310,MATCH(A2509,Users!$B$2:$B$310,0)),"")</f>
        <v/>
      </c>
      <c r="I2509" s="19">
        <f>AND(G2509="Service A",H2509="Band 3")</f>
        <v/>
      </c>
      <c r="J2509" s="33">
        <f>IF(AND(YEAR(B2509)=2025,G2509="Service B",OR(H2509="Band 3",H2509="Band 5"),ISNUMBER(F2509)),F2509,"")</f>
        <v/>
      </c>
    </row>
    <row r="2510">
      <c r="A2510" s="19" t="inlineStr">
        <is>
          <t>User1287</t>
        </is>
      </c>
      <c r="B2510" s="60" t="n">
        <v>45962</v>
      </c>
      <c r="C2510" s="21" t="n">
        <v>148</v>
      </c>
      <c r="D2510" s="21" t="n"/>
      <c r="E2510" s="21" t="n"/>
      <c r="F2510" s="27">
        <f>IFERROR(IF(OR(C2510="",D2510="",C2510=0),"",D2510/C2510),"")</f>
        <v/>
      </c>
      <c r="G2510" s="21">
        <f>IFERROR(INDEX(Users!$A$2:$A$310,MATCH(A2510,Users!$B$2:$B$310,0)),"")</f>
        <v/>
      </c>
      <c r="H2510" s="21">
        <f>IFERROR(INDEX(Users!$D$2:$D$310,MATCH(A2510,Users!$B$2:$B$310,0)),"")</f>
        <v/>
      </c>
      <c r="I2510" s="19">
        <f>AND(G2510="Service A",H2510="Band 3")</f>
        <v/>
      </c>
      <c r="J2510" s="33">
        <f>IF(AND(YEAR(B2510)=2025,G2510="Service B",OR(H2510="Band 3",H2510="Band 5"),ISNUMBER(F2510)),F2510,"")</f>
        <v/>
      </c>
    </row>
    <row r="2511">
      <c r="A2511" s="19" t="inlineStr">
        <is>
          <t>User1287</t>
        </is>
      </c>
      <c r="B2511" s="60" t="n">
        <v>45992</v>
      </c>
      <c r="C2511" s="21" t="n">
        <v>155.4</v>
      </c>
      <c r="D2511" s="21" t="n"/>
      <c r="E2511" s="21" t="n"/>
      <c r="F2511" s="27">
        <f>IFERROR(IF(OR(C2511="",D2511="",C2511=0),"",D2511/C2511),"")</f>
        <v/>
      </c>
      <c r="G2511" s="21">
        <f>IFERROR(INDEX(Users!$A$2:$A$310,MATCH(A2511,Users!$B$2:$B$310,0)),"")</f>
        <v/>
      </c>
      <c r="H2511" s="21">
        <f>IFERROR(INDEX(Users!$D$2:$D$310,MATCH(A2511,Users!$B$2:$B$310,0)),"")</f>
        <v/>
      </c>
      <c r="I2511" s="19">
        <f>AND(G2511="Service A",H2511="Band 3")</f>
        <v/>
      </c>
      <c r="J2511" s="33">
        <f>IF(AND(YEAR(B2511)=2025,G2511="Service B",OR(H2511="Band 3",H2511="Band 5"),ISNUMBER(F2511)),F2511,"")</f>
        <v/>
      </c>
    </row>
    <row r="2512">
      <c r="A2512" s="19" t="inlineStr">
        <is>
          <t>User1287</t>
        </is>
      </c>
      <c r="B2512" s="60" t="n">
        <v>46023</v>
      </c>
      <c r="C2512" s="21" t="n">
        <v>155.4</v>
      </c>
      <c r="D2512" s="21" t="n"/>
      <c r="E2512" s="21" t="n"/>
      <c r="F2512" s="27">
        <f>IFERROR(IF(OR(C2512="",D2512="",C2512=0),"",D2512/C2512),"")</f>
        <v/>
      </c>
      <c r="G2512" s="21">
        <f>IFERROR(INDEX(Users!$A$2:$A$310,MATCH(A2512,Users!$B$2:$B$310,0)),"")</f>
        <v/>
      </c>
      <c r="H2512" s="21">
        <f>IFERROR(INDEX(Users!$D$2:$D$310,MATCH(A2512,Users!$B$2:$B$310,0)),"")</f>
        <v/>
      </c>
      <c r="I2512" s="19">
        <f>AND(G2512="Service A",H2512="Band 3")</f>
        <v/>
      </c>
      <c r="J2512" s="33">
        <f>IF(AND(YEAR(B2512)=2025,G2512="Service B",OR(H2512="Band 3",H2512="Band 5"),ISNUMBER(F2512)),F2512,"")</f>
        <v/>
      </c>
    </row>
    <row r="2513">
      <c r="A2513" s="19" t="inlineStr">
        <is>
          <t>User1288</t>
        </is>
      </c>
      <c r="B2513" s="60" t="n">
        <v>46023</v>
      </c>
      <c r="C2513" s="21" t="n">
        <v>148.0000000000001</v>
      </c>
      <c r="D2513" s="21" t="n">
        <v>29.29</v>
      </c>
      <c r="E2513" s="21" t="n">
        <v>29.29</v>
      </c>
      <c r="F2513" s="27">
        <f>IFERROR(IF(OR(C2513="",D2513="",C2513=0),"",D2513/C2513),"")</f>
        <v/>
      </c>
      <c r="G2513" s="21">
        <f>IFERROR(INDEX(Users!$A$2:$A$310,MATCH(A2513,Users!$B$2:$B$310,0)),"")</f>
        <v/>
      </c>
      <c r="H2513" s="21">
        <f>IFERROR(INDEX(Users!$D$2:$D$310,MATCH(A2513,Users!$B$2:$B$310,0)),"")</f>
        <v/>
      </c>
      <c r="I2513" s="19">
        <f>AND(G2513="Service A",H2513="Band 3")</f>
        <v/>
      </c>
      <c r="J2513" s="33">
        <f>IF(AND(YEAR(B2513)=2025,G2513="Service B",OR(H2513="Band 3",H2513="Band 5"),ISNUMBER(F2513)),F2513,"")</f>
        <v/>
      </c>
    </row>
    <row r="2514">
      <c r="A2514" s="19" t="inlineStr">
        <is>
          <t>User1289</t>
        </is>
      </c>
      <c r="B2514" s="60" t="n">
        <v>46023</v>
      </c>
      <c r="C2514" s="21" t="n">
        <v>74</v>
      </c>
      <c r="D2514" s="21" t="n">
        <v>37.5</v>
      </c>
      <c r="E2514" s="21" t="n"/>
      <c r="F2514" s="27">
        <f>IFERROR(IF(OR(C2514="",D2514="",C2514=0),"",D2514/C2514),"")</f>
        <v/>
      </c>
      <c r="G2514" s="21">
        <f>IFERROR(INDEX(Users!$A$2:$A$310,MATCH(A2514,Users!$B$2:$B$310,0)),"")</f>
        <v/>
      </c>
      <c r="H2514" s="21">
        <f>IFERROR(INDEX(Users!$D$2:$D$310,MATCH(A2514,Users!$B$2:$B$310,0)),"")</f>
        <v/>
      </c>
      <c r="I2514" s="19">
        <f>AND(G2514="Service A",H2514="Band 3")</f>
        <v/>
      </c>
      <c r="J2514" s="33">
        <f>IF(AND(YEAR(B2514)=2025,G2514="Service B",OR(H2514="Band 3",H2514="Band 5"),ISNUMBER(F2514)),F2514,"")</f>
        <v/>
      </c>
    </row>
    <row r="2515">
      <c r="A2515" s="19" t="inlineStr">
        <is>
          <t>User1290</t>
        </is>
      </c>
      <c r="B2515" s="60" t="n">
        <v>46023</v>
      </c>
      <c r="C2515" s="21" t="n">
        <v>148.0000000000001</v>
      </c>
      <c r="D2515" s="21" t="n">
        <v>0.75</v>
      </c>
      <c r="E2515" s="21" t="n">
        <v>0.75</v>
      </c>
      <c r="F2515" s="27">
        <f>IFERROR(IF(OR(C2515="",D2515="",C2515=0),"",D2515/C2515),"")</f>
        <v/>
      </c>
      <c r="G2515" s="21">
        <f>IFERROR(INDEX(Users!$A$2:$A$310,MATCH(A2515,Users!$B$2:$B$310,0)),"")</f>
        <v/>
      </c>
      <c r="H2515" s="21">
        <f>IFERROR(INDEX(Users!$D$2:$D$310,MATCH(A2515,Users!$B$2:$B$310,0)),"")</f>
        <v/>
      </c>
      <c r="I2515" s="19">
        <f>AND(G2515="Service A",H2515="Band 3")</f>
        <v/>
      </c>
      <c r="J2515" s="33">
        <f>IF(AND(YEAR(B2515)=2025,G2515="Service B",OR(H2515="Band 3",H2515="Band 5"),ISNUMBER(F2515)),F2515,"")</f>
        <v/>
      </c>
    </row>
    <row r="2516">
      <c r="A2516" s="19" t="inlineStr">
        <is>
          <t>User1291</t>
        </is>
      </c>
      <c r="B2516" s="60" t="n">
        <v>46023</v>
      </c>
      <c r="C2516" s="21" t="n">
        <v>148.0000000000001</v>
      </c>
      <c r="D2516" s="21" t="n">
        <v>2.25</v>
      </c>
      <c r="E2516" s="21" t="n">
        <v>2.25</v>
      </c>
      <c r="F2516" s="27">
        <f>IFERROR(IF(OR(C2516="",D2516="",C2516=0),"",D2516/C2516),"")</f>
        <v/>
      </c>
      <c r="G2516" s="21">
        <f>IFERROR(INDEX(Users!$A$2:$A$310,MATCH(A2516,Users!$B$2:$B$310,0)),"")</f>
        <v/>
      </c>
      <c r="H2516" s="21">
        <f>IFERROR(INDEX(Users!$D$2:$D$310,MATCH(A2516,Users!$B$2:$B$310,0)),"")</f>
        <v/>
      </c>
      <c r="I2516" s="19">
        <f>AND(G2516="Service A",H2516="Band 3")</f>
        <v/>
      </c>
      <c r="J2516" s="33">
        <f>IF(AND(YEAR(B2516)=2025,G2516="Service B",OR(H2516="Band 3",H2516="Band 5"),ISNUMBER(F2516)),F2516,"")</f>
        <v/>
      </c>
    </row>
    <row r="2517">
      <c r="A2517" s="19" t="inlineStr">
        <is>
          <t>User1292</t>
        </is>
      </c>
      <c r="B2517" s="60" t="n">
        <v>46023</v>
      </c>
      <c r="C2517" s="21" t="n">
        <v>148.0000000000001</v>
      </c>
      <c r="D2517" s="21" t="n">
        <v>3.33</v>
      </c>
      <c r="E2517" s="21" t="n">
        <v>3.33</v>
      </c>
      <c r="F2517" s="27">
        <f>IFERROR(IF(OR(C2517="",D2517="",C2517=0),"",D2517/C2517),"")</f>
        <v/>
      </c>
      <c r="G2517" s="21">
        <f>IFERROR(INDEX(Users!$A$2:$A$310,MATCH(A2517,Users!$B$2:$B$310,0)),"")</f>
        <v/>
      </c>
      <c r="H2517" s="21">
        <f>IFERROR(INDEX(Users!$D$2:$D$310,MATCH(A2517,Users!$B$2:$B$310,0)),"")</f>
        <v/>
      </c>
      <c r="I2517" s="19">
        <f>AND(G2517="Service A",H2517="Band 3")</f>
        <v/>
      </c>
      <c r="J2517" s="33">
        <f>IF(AND(YEAR(B2517)=2025,G2517="Service B",OR(H2517="Band 3",H2517="Band 5"),ISNUMBER(F2517)),F2517,"")</f>
        <v/>
      </c>
    </row>
    <row r="2518">
      <c r="A2518" s="19" t="inlineStr">
        <is>
          <t>User1293</t>
        </is>
      </c>
      <c r="B2518" s="60" t="n">
        <v>46023</v>
      </c>
      <c r="C2518" s="21" t="n">
        <v>148.0000000000001</v>
      </c>
      <c r="D2518" s="21" t="n">
        <v>39.64333333333333</v>
      </c>
      <c r="E2518" s="21" t="n">
        <v>13.71</v>
      </c>
      <c r="F2518" s="27">
        <f>IFERROR(IF(OR(C2518="",D2518="",C2518=0),"",D2518/C2518),"")</f>
        <v/>
      </c>
      <c r="G2518" s="21">
        <f>IFERROR(INDEX(Users!$A$2:$A$310,MATCH(A2518,Users!$B$2:$B$310,0)),"")</f>
        <v/>
      </c>
      <c r="H2518" s="21">
        <f>IFERROR(INDEX(Users!$D$2:$D$310,MATCH(A2518,Users!$B$2:$B$310,0)),"")</f>
        <v/>
      </c>
      <c r="I2518" s="19">
        <f>AND(G2518="Service A",H2518="Band 3")</f>
        <v/>
      </c>
      <c r="J2518" s="33">
        <f>IF(AND(YEAR(B2518)=2025,G2518="Service B",OR(H2518="Band 3",H2518="Band 5"),ISNUMBER(F2518)),F2518,"")</f>
        <v/>
      </c>
    </row>
    <row r="2519">
      <c r="A2519" s="19" t="inlineStr">
        <is>
          <t>User1294</t>
        </is>
      </c>
      <c r="B2519" s="60" t="n">
        <v>45992</v>
      </c>
      <c r="C2519" s="21" t="n">
        <v>155.4</v>
      </c>
      <c r="D2519" s="21" t="n">
        <v>84.16666666666667</v>
      </c>
      <c r="E2519" s="21" t="n"/>
      <c r="F2519" s="27">
        <f>IFERROR(IF(OR(C2519="",D2519="",C2519=0),"",D2519/C2519),"")</f>
        <v/>
      </c>
      <c r="G2519" s="21">
        <f>IFERROR(INDEX(Users!$A$2:$A$310,MATCH(A2519,Users!$B$2:$B$310,0)),"")</f>
        <v/>
      </c>
      <c r="H2519" s="21">
        <f>IFERROR(INDEX(Users!$D$2:$D$310,MATCH(A2519,Users!$B$2:$B$310,0)),"")</f>
        <v/>
      </c>
      <c r="I2519" s="19">
        <f>AND(G2519="Service A",H2519="Band 3")</f>
        <v/>
      </c>
      <c r="J2519" s="33">
        <f>IF(AND(YEAR(B2519)=2025,G2519="Service B",OR(H2519="Band 3",H2519="Band 5"),ISNUMBER(F2519)),F2519,"")</f>
        <v/>
      </c>
    </row>
    <row r="2520">
      <c r="A2520" s="19" t="inlineStr">
        <is>
          <t>User1294</t>
        </is>
      </c>
      <c r="B2520" s="60" t="n">
        <v>46023</v>
      </c>
      <c r="C2520" s="21" t="n">
        <v>155.4</v>
      </c>
      <c r="D2520" s="21" t="n">
        <v>150.4833333333333</v>
      </c>
      <c r="E2520" s="21" t="n"/>
      <c r="F2520" s="27">
        <f>IFERROR(IF(OR(C2520="",D2520="",C2520=0),"",D2520/C2520),"")</f>
        <v/>
      </c>
      <c r="G2520" s="21">
        <f>IFERROR(INDEX(Users!$A$2:$A$310,MATCH(A2520,Users!$B$2:$B$310,0)),"")</f>
        <v/>
      </c>
      <c r="H2520" s="21">
        <f>IFERROR(INDEX(Users!$D$2:$D$310,MATCH(A2520,Users!$B$2:$B$310,0)),"")</f>
        <v/>
      </c>
      <c r="I2520" s="19">
        <f>AND(G2520="Service A",H2520="Band 3")</f>
        <v/>
      </c>
      <c r="J2520" s="33">
        <f>IF(AND(YEAR(B2520)=2025,G2520="Service B",OR(H2520="Band 3",H2520="Band 5"),ISNUMBER(F2520)),F2520,"")</f>
        <v/>
      </c>
    </row>
    <row r="2521">
      <c r="A2521" s="19" t="inlineStr">
        <is>
          <t>User1295</t>
        </is>
      </c>
      <c r="B2521" s="60" t="n">
        <v>46023</v>
      </c>
      <c r="C2521" s="21" t="n">
        <v>148.0000000000001</v>
      </c>
      <c r="D2521" s="21" t="n">
        <v>59.41</v>
      </c>
      <c r="E2521" s="21" t="n">
        <v>34.81</v>
      </c>
      <c r="F2521" s="27">
        <f>IFERROR(IF(OR(C2521="",D2521="",C2521=0),"",D2521/C2521),"")</f>
        <v/>
      </c>
      <c r="G2521" s="21">
        <f>IFERROR(INDEX(Users!$A$2:$A$310,MATCH(A2521,Users!$B$2:$B$310,0)),"")</f>
        <v/>
      </c>
      <c r="H2521" s="21">
        <f>IFERROR(INDEX(Users!$D$2:$D$310,MATCH(A2521,Users!$B$2:$B$310,0)),"")</f>
        <v/>
      </c>
      <c r="I2521" s="19">
        <f>AND(G2521="Service A",H2521="Band 3")</f>
        <v/>
      </c>
      <c r="J2521" s="33">
        <f>IF(AND(YEAR(B2521)=2025,G2521="Service B",OR(H2521="Band 3",H2521="Band 5"),ISNUMBER(F2521)),F2521,"")</f>
        <v/>
      </c>
    </row>
    <row r="2522">
      <c r="A2522" s="19" t="inlineStr">
        <is>
          <t>User1296</t>
        </is>
      </c>
      <c r="B2522" s="60" t="n">
        <v>46023</v>
      </c>
      <c r="C2522" s="21" t="n">
        <v>148.0000000000001</v>
      </c>
      <c r="D2522" s="21" t="n">
        <v>1.75</v>
      </c>
      <c r="E2522" s="21" t="n">
        <v>1.75</v>
      </c>
      <c r="F2522" s="27">
        <f>IFERROR(IF(OR(C2522="",D2522="",C2522=0),"",D2522/C2522),"")</f>
        <v/>
      </c>
      <c r="G2522" s="21">
        <f>IFERROR(INDEX(Users!$A$2:$A$310,MATCH(A2522,Users!$B$2:$B$310,0)),"")</f>
        <v/>
      </c>
      <c r="H2522" s="21">
        <f>IFERROR(INDEX(Users!$D$2:$D$310,MATCH(A2522,Users!$B$2:$B$310,0)),"")</f>
        <v/>
      </c>
      <c r="I2522" s="19">
        <f>AND(G2522="Service A",H2522="Band 3")</f>
        <v/>
      </c>
      <c r="J2522" s="33">
        <f>IF(AND(YEAR(B2522)=2025,G2522="Service B",OR(H2522="Band 3",H2522="Band 5"),ISNUMBER(F2522)),F2522,"")</f>
        <v/>
      </c>
    </row>
    <row r="2523">
      <c r="A2523" s="19" t="inlineStr">
        <is>
          <t>User1297</t>
        </is>
      </c>
      <c r="B2523" s="60" t="n">
        <v>45992</v>
      </c>
      <c r="C2523" s="21" t="n"/>
      <c r="D2523" s="21" t="n">
        <v>1.172222222222222</v>
      </c>
      <c r="E2523" s="21" t="n"/>
      <c r="F2523" s="27">
        <f>IFERROR(IF(OR(C2523="",D2523="",C2523=0),"",D2523/C2523),"")</f>
        <v/>
      </c>
      <c r="G2523" s="21">
        <f>IFERROR(INDEX(Users!$A$2:$A$310,MATCH(A2523,Users!$B$2:$B$310,0)),"")</f>
        <v/>
      </c>
      <c r="H2523" s="21">
        <f>IFERROR(INDEX(Users!$D$2:$D$310,MATCH(A2523,Users!$B$2:$B$310,0)),"")</f>
        <v/>
      </c>
      <c r="I2523" s="19">
        <f>AND(G2523="Service A",H2523="Band 3")</f>
        <v/>
      </c>
      <c r="J2523" s="33">
        <f>IF(AND(YEAR(B2523)=2025,G2523="Service B",OR(H2523="Band 3",H2523="Band 5"),ISNUMBER(F2523)),F2523,"")</f>
        <v/>
      </c>
    </row>
    <row r="2524">
      <c r="A2524" s="19" t="inlineStr">
        <is>
          <t>User1297</t>
        </is>
      </c>
      <c r="B2524" s="60" t="n">
        <v>46023</v>
      </c>
      <c r="C2524" s="21" t="n">
        <v>148.0000000000001</v>
      </c>
      <c r="D2524" s="21" t="n">
        <v>29.04</v>
      </c>
      <c r="E2524" s="21" t="n">
        <v>29.04</v>
      </c>
      <c r="F2524" s="27">
        <f>IFERROR(IF(OR(C2524="",D2524="",C2524=0),"",D2524/C2524),"")</f>
        <v/>
      </c>
      <c r="G2524" s="21">
        <f>IFERROR(INDEX(Users!$A$2:$A$310,MATCH(A2524,Users!$B$2:$B$310,0)),"")</f>
        <v/>
      </c>
      <c r="H2524" s="21">
        <f>IFERROR(INDEX(Users!$D$2:$D$310,MATCH(A2524,Users!$B$2:$B$310,0)),"")</f>
        <v/>
      </c>
      <c r="I2524" s="19">
        <f>AND(G2524="Service A",H2524="Band 3")</f>
        <v/>
      </c>
      <c r="J2524" s="33">
        <f>IF(AND(YEAR(B2524)=2025,G2524="Service B",OR(H2524="Band 3",H2524="Band 5"),ISNUMBER(F2524)),F2524,"")</f>
        <v/>
      </c>
    </row>
    <row r="2525">
      <c r="A2525" s="19" t="inlineStr">
        <is>
          <t>User1298</t>
        </is>
      </c>
      <c r="B2525" s="60" t="n">
        <v>45962</v>
      </c>
      <c r="C2525" s="21" t="n">
        <v>148</v>
      </c>
      <c r="D2525" s="21" t="n"/>
      <c r="E2525" s="21" t="n"/>
      <c r="F2525" s="27">
        <f>IFERROR(IF(OR(C2525="",D2525="",C2525=0),"",D2525/C2525),"")</f>
        <v/>
      </c>
      <c r="G2525" s="21">
        <f>IFERROR(INDEX(Users!$A$2:$A$310,MATCH(A2525,Users!$B$2:$B$310,0)),"")</f>
        <v/>
      </c>
      <c r="H2525" s="21">
        <f>IFERROR(INDEX(Users!$D$2:$D$310,MATCH(A2525,Users!$B$2:$B$310,0)),"")</f>
        <v/>
      </c>
      <c r="I2525" s="19">
        <f>AND(G2525="Service A",H2525="Band 3")</f>
        <v/>
      </c>
      <c r="J2525" s="33">
        <f>IF(AND(YEAR(B2525)=2025,G2525="Service B",OR(H2525="Band 3",H2525="Band 5"),ISNUMBER(F2525)),F2525,"")</f>
        <v/>
      </c>
    </row>
    <row r="2526">
      <c r="A2526" s="19" t="inlineStr">
        <is>
          <t>User1298</t>
        </is>
      </c>
      <c r="B2526" s="60" t="n">
        <v>45992</v>
      </c>
      <c r="C2526" s="21" t="n">
        <v>155.4</v>
      </c>
      <c r="D2526" s="21" t="n"/>
      <c r="E2526" s="21" t="n"/>
      <c r="F2526" s="27">
        <f>IFERROR(IF(OR(C2526="",D2526="",C2526=0),"",D2526/C2526),"")</f>
        <v/>
      </c>
      <c r="G2526" s="21">
        <f>IFERROR(INDEX(Users!$A$2:$A$310,MATCH(A2526,Users!$B$2:$B$310,0)),"")</f>
        <v/>
      </c>
      <c r="H2526" s="21">
        <f>IFERROR(INDEX(Users!$D$2:$D$310,MATCH(A2526,Users!$B$2:$B$310,0)),"")</f>
        <v/>
      </c>
      <c r="I2526" s="19">
        <f>AND(G2526="Service A",H2526="Band 3")</f>
        <v/>
      </c>
      <c r="J2526" s="33">
        <f>IF(AND(YEAR(B2526)=2025,G2526="Service B",OR(H2526="Band 3",H2526="Band 5"),ISNUMBER(F2526)),F2526,"")</f>
        <v/>
      </c>
    </row>
    <row r="2527">
      <c r="A2527" s="19" t="inlineStr">
        <is>
          <t>User1298</t>
        </is>
      </c>
      <c r="B2527" s="60" t="n">
        <v>46023</v>
      </c>
      <c r="C2527" s="21" t="n">
        <v>155.4</v>
      </c>
      <c r="D2527" s="21" t="n"/>
      <c r="E2527" s="21" t="n"/>
      <c r="F2527" s="27">
        <f>IFERROR(IF(OR(C2527="",D2527="",C2527=0),"",D2527/C2527),"")</f>
        <v/>
      </c>
      <c r="G2527" s="21">
        <f>IFERROR(INDEX(Users!$A$2:$A$310,MATCH(A2527,Users!$B$2:$B$310,0)),"")</f>
        <v/>
      </c>
      <c r="H2527" s="21">
        <f>IFERROR(INDEX(Users!$D$2:$D$310,MATCH(A2527,Users!$B$2:$B$310,0)),"")</f>
        <v/>
      </c>
      <c r="I2527" s="19">
        <f>AND(G2527="Service A",H2527="Band 3")</f>
        <v/>
      </c>
      <c r="J2527" s="33">
        <f>IF(AND(YEAR(B2527)=2025,G2527="Service B",OR(H2527="Band 3",H2527="Band 5"),ISNUMBER(F2527)),F2527,"")</f>
        <v/>
      </c>
    </row>
    <row r="2528">
      <c r="A2528" s="19" t="inlineStr">
        <is>
          <t>User1299</t>
        </is>
      </c>
      <c r="B2528" s="60" t="n">
        <v>46023</v>
      </c>
      <c r="C2528" s="21" t="n">
        <v>148.0000000000001</v>
      </c>
      <c r="D2528" s="21" t="n"/>
      <c r="E2528" s="21" t="n"/>
      <c r="F2528" s="27">
        <f>IFERROR(IF(OR(C2528="",D2528="",C2528=0),"",D2528/C2528),"")</f>
        <v/>
      </c>
      <c r="G2528" s="21">
        <f>IFERROR(INDEX(Users!$A$2:$A$310,MATCH(A2528,Users!$B$2:$B$310,0)),"")</f>
        <v/>
      </c>
      <c r="H2528" s="21">
        <f>IFERROR(INDEX(Users!$D$2:$D$310,MATCH(A2528,Users!$B$2:$B$310,0)),"")</f>
        <v/>
      </c>
      <c r="I2528" s="19">
        <f>AND(G2528="Service A",H2528="Band 3")</f>
        <v/>
      </c>
      <c r="J2528" s="33">
        <f>IF(AND(YEAR(B2528)=2025,G2528="Service B",OR(H2528="Band 3",H2528="Band 5"),ISNUMBER(F2528)),F2528,"")</f>
        <v/>
      </c>
    </row>
    <row r="2529">
      <c r="A2529" s="19" t="inlineStr">
        <is>
          <t>User1300</t>
        </is>
      </c>
      <c r="B2529" s="60" t="n">
        <v>46023</v>
      </c>
      <c r="C2529" s="21" t="n">
        <v>148.0000000000001</v>
      </c>
      <c r="D2529" s="21" t="n">
        <v>148.0000000000001</v>
      </c>
      <c r="E2529" s="21" t="n"/>
      <c r="F2529" s="27">
        <f>IFERROR(IF(OR(C2529="",D2529="",C2529=0),"",D2529/C2529),"")</f>
        <v/>
      </c>
      <c r="G2529" s="21">
        <f>IFERROR(INDEX(Users!$A$2:$A$310,MATCH(A2529,Users!$B$2:$B$310,0)),"")</f>
        <v/>
      </c>
      <c r="H2529" s="21">
        <f>IFERROR(INDEX(Users!$D$2:$D$310,MATCH(A2529,Users!$B$2:$B$310,0)),"")</f>
        <v/>
      </c>
      <c r="I2529" s="19">
        <f>AND(G2529="Service A",H2529="Band 3")</f>
        <v/>
      </c>
      <c r="J2529" s="33">
        <f>IF(AND(YEAR(B2529)=2025,G2529="Service B",OR(H2529="Band 3",H2529="Band 5"),ISNUMBER(F2529)),F2529,"")</f>
        <v/>
      </c>
    </row>
    <row r="2530">
      <c r="A2530" s="19" t="inlineStr">
        <is>
          <t>User1301</t>
        </is>
      </c>
      <c r="B2530" s="60" t="n">
        <v>46023</v>
      </c>
      <c r="C2530" s="21" t="n">
        <v>148.0000000000001</v>
      </c>
      <c r="D2530" s="21" t="n">
        <v>17.48</v>
      </c>
      <c r="E2530" s="21" t="n">
        <v>17.48</v>
      </c>
      <c r="F2530" s="27">
        <f>IFERROR(IF(OR(C2530="",D2530="",C2530=0),"",D2530/C2530),"")</f>
        <v/>
      </c>
      <c r="G2530" s="21">
        <f>IFERROR(INDEX(Users!$A$2:$A$310,MATCH(A2530,Users!$B$2:$B$310,0)),"")</f>
        <v/>
      </c>
      <c r="H2530" s="21">
        <f>IFERROR(INDEX(Users!$D$2:$D$310,MATCH(A2530,Users!$B$2:$B$310,0)),"")</f>
        <v/>
      </c>
      <c r="I2530" s="19">
        <f>AND(G2530="Service A",H2530="Band 3")</f>
        <v/>
      </c>
      <c r="J2530" s="33">
        <f>IF(AND(YEAR(B2530)=2025,G2530="Service B",OR(H2530="Band 3",H2530="Band 5"),ISNUMBER(F2530)),F2530,"")</f>
        <v/>
      </c>
    </row>
    <row r="2531">
      <c r="A2531" s="19" t="inlineStr">
        <is>
          <t>User1302</t>
        </is>
      </c>
      <c r="B2531" s="60" t="n">
        <v>45992</v>
      </c>
      <c r="C2531" s="21" t="n">
        <v>155.4000000000001</v>
      </c>
      <c r="D2531" s="21" t="n">
        <v>129.2516666666667</v>
      </c>
      <c r="E2531" s="21" t="n"/>
      <c r="F2531" s="27">
        <f>IFERROR(IF(OR(C2531="",D2531="",C2531=0),"",D2531/C2531),"")</f>
        <v/>
      </c>
      <c r="G2531" s="21">
        <f>IFERROR(INDEX(Users!$A$2:$A$310,MATCH(A2531,Users!$B$2:$B$310,0)),"")</f>
        <v/>
      </c>
      <c r="H2531" s="21">
        <f>IFERROR(INDEX(Users!$D$2:$D$310,MATCH(A2531,Users!$B$2:$B$310,0)),"")</f>
        <v/>
      </c>
      <c r="I2531" s="19">
        <f>AND(G2531="Service A",H2531="Band 3")</f>
        <v/>
      </c>
      <c r="J2531" s="33">
        <f>IF(AND(YEAR(B2531)=2025,G2531="Service B",OR(H2531="Band 3",H2531="Band 5"),ISNUMBER(F2531)),F2531,"")</f>
        <v/>
      </c>
    </row>
    <row r="2532">
      <c r="A2532" s="19" t="inlineStr">
        <is>
          <t>User1302</t>
        </is>
      </c>
      <c r="B2532" s="60" t="n">
        <v>46023</v>
      </c>
      <c r="C2532" s="21" t="n">
        <v>155.4000000000001</v>
      </c>
      <c r="D2532" s="21" t="n">
        <v>124.42</v>
      </c>
      <c r="E2532" s="21" t="n">
        <v>2.67</v>
      </c>
      <c r="F2532" s="27">
        <f>IFERROR(IF(OR(C2532="",D2532="",C2532=0),"",D2532/C2532),"")</f>
        <v/>
      </c>
      <c r="G2532" s="21">
        <f>IFERROR(INDEX(Users!$A$2:$A$310,MATCH(A2532,Users!$B$2:$B$310,0)),"")</f>
        <v/>
      </c>
      <c r="H2532" s="21">
        <f>IFERROR(INDEX(Users!$D$2:$D$310,MATCH(A2532,Users!$B$2:$B$310,0)),"")</f>
        <v/>
      </c>
      <c r="I2532" s="19">
        <f>AND(G2532="Service A",H2532="Band 3")</f>
        <v/>
      </c>
      <c r="J2532" s="33">
        <f>IF(AND(YEAR(B2532)=2025,G2532="Service B",OR(H2532="Band 3",H2532="Band 5"),ISNUMBER(F2532)),F2532,"")</f>
        <v/>
      </c>
    </row>
    <row r="2533">
      <c r="A2533" s="19" t="inlineStr">
        <is>
          <t>User1303</t>
        </is>
      </c>
      <c r="B2533" s="60" t="n">
        <v>46023</v>
      </c>
      <c r="C2533" s="21" t="n">
        <v>148.0000000000001</v>
      </c>
      <c r="D2533" s="21" t="n">
        <v>99.58944444444442</v>
      </c>
      <c r="E2533" s="21" t="n"/>
      <c r="F2533" s="27">
        <f>IFERROR(IF(OR(C2533="",D2533="",C2533=0),"",D2533/C2533),"")</f>
        <v/>
      </c>
      <c r="G2533" s="21">
        <f>IFERROR(INDEX(Users!$A$2:$A$310,MATCH(A2533,Users!$B$2:$B$310,0)),"")</f>
        <v/>
      </c>
      <c r="H2533" s="21">
        <f>IFERROR(INDEX(Users!$D$2:$D$310,MATCH(A2533,Users!$B$2:$B$310,0)),"")</f>
        <v/>
      </c>
      <c r="I2533" s="19">
        <f>AND(G2533="Service A",H2533="Band 3")</f>
        <v/>
      </c>
      <c r="J2533" s="33">
        <f>IF(AND(YEAR(B2533)=2025,G2533="Service B",OR(H2533="Band 3",H2533="Band 5"),ISNUMBER(F2533)),F2533,"")</f>
        <v/>
      </c>
    </row>
    <row r="2534">
      <c r="A2534" s="19" t="inlineStr">
        <is>
          <t>User1304</t>
        </is>
      </c>
      <c r="B2534" s="60" t="n">
        <v>46023</v>
      </c>
      <c r="C2534" s="21" t="n">
        <v>148.0000000000001</v>
      </c>
      <c r="D2534" s="21" t="n">
        <v>2.25</v>
      </c>
      <c r="E2534" s="21" t="n">
        <v>2.25</v>
      </c>
      <c r="F2534" s="27">
        <f>IFERROR(IF(OR(C2534="",D2534="",C2534=0),"",D2534/C2534),"")</f>
        <v/>
      </c>
      <c r="G2534" s="21">
        <f>IFERROR(INDEX(Users!$A$2:$A$310,MATCH(A2534,Users!$B$2:$B$310,0)),"")</f>
        <v/>
      </c>
      <c r="H2534" s="21">
        <f>IFERROR(INDEX(Users!$D$2:$D$310,MATCH(A2534,Users!$B$2:$B$310,0)),"")</f>
        <v/>
      </c>
      <c r="I2534" s="19">
        <f>AND(G2534="Service A",H2534="Band 3")</f>
        <v/>
      </c>
      <c r="J2534" s="33">
        <f>IF(AND(YEAR(B2534)=2025,G2534="Service B",OR(H2534="Band 3",H2534="Band 5"),ISNUMBER(F2534)),F2534,"")</f>
        <v/>
      </c>
    </row>
    <row r="2535">
      <c r="A2535" s="19" t="inlineStr">
        <is>
          <t>User1305</t>
        </is>
      </c>
      <c r="B2535" s="60" t="n">
        <v>46023</v>
      </c>
      <c r="C2535" s="21" t="n">
        <v>148.0000000000001</v>
      </c>
      <c r="D2535" s="21" t="n"/>
      <c r="E2535" s="21" t="n"/>
      <c r="F2535" s="27">
        <f>IFERROR(IF(OR(C2535="",D2535="",C2535=0),"",D2535/C2535),"")</f>
        <v/>
      </c>
      <c r="G2535" s="21">
        <f>IFERROR(INDEX(Users!$A$2:$A$310,MATCH(A2535,Users!$B$2:$B$310,0)),"")</f>
        <v/>
      </c>
      <c r="H2535" s="21">
        <f>IFERROR(INDEX(Users!$D$2:$D$310,MATCH(A2535,Users!$B$2:$B$310,0)),"")</f>
        <v/>
      </c>
      <c r="I2535" s="19">
        <f>AND(G2535="Service A",H2535="Band 3")</f>
        <v/>
      </c>
      <c r="J2535" s="33">
        <f>IF(AND(YEAR(B2535)=2025,G2535="Service B",OR(H2535="Band 3",H2535="Band 5"),ISNUMBER(F2535)),F2535,"")</f>
        <v/>
      </c>
    </row>
    <row r="2536">
      <c r="A2536" s="19" t="inlineStr">
        <is>
          <t>User1306</t>
        </is>
      </c>
      <c r="B2536" s="60" t="n">
        <v>45992</v>
      </c>
      <c r="C2536" s="21" t="n"/>
      <c r="D2536" s="21" t="n">
        <v>5.916666666666667</v>
      </c>
      <c r="E2536" s="21" t="n"/>
      <c r="F2536" s="27">
        <f>IFERROR(IF(OR(C2536="",D2536="",C2536=0),"",D2536/C2536),"")</f>
        <v/>
      </c>
      <c r="G2536" s="21">
        <f>IFERROR(INDEX(Users!$A$2:$A$310,MATCH(A2536,Users!$B$2:$B$310,0)),"")</f>
        <v/>
      </c>
      <c r="H2536" s="21">
        <f>IFERROR(INDEX(Users!$D$2:$D$310,MATCH(A2536,Users!$B$2:$B$310,0)),"")</f>
        <v/>
      </c>
      <c r="I2536" s="19">
        <f>AND(G2536="Service A",H2536="Band 3")</f>
        <v/>
      </c>
      <c r="J2536" s="33">
        <f>IF(AND(YEAR(B2536)=2025,G2536="Service B",OR(H2536="Band 3",H2536="Band 5"),ISNUMBER(F2536)),F2536,"")</f>
        <v/>
      </c>
    </row>
    <row r="2537">
      <c r="A2537" s="19" t="inlineStr">
        <is>
          <t>User1306</t>
        </is>
      </c>
      <c r="B2537" s="60" t="n">
        <v>46023</v>
      </c>
      <c r="C2537" s="21" t="n">
        <v>148.0000000000001</v>
      </c>
      <c r="D2537" s="21" t="n">
        <v>2.01</v>
      </c>
      <c r="E2537" s="21" t="n">
        <v>2.01</v>
      </c>
      <c r="F2537" s="27">
        <f>IFERROR(IF(OR(C2537="",D2537="",C2537=0),"",D2537/C2537),"")</f>
        <v/>
      </c>
      <c r="G2537" s="21">
        <f>IFERROR(INDEX(Users!$A$2:$A$310,MATCH(A2537,Users!$B$2:$B$310,0)),"")</f>
        <v/>
      </c>
      <c r="H2537" s="21">
        <f>IFERROR(INDEX(Users!$D$2:$D$310,MATCH(A2537,Users!$B$2:$B$310,0)),"")</f>
        <v/>
      </c>
      <c r="I2537" s="19">
        <f>AND(G2537="Service A",H2537="Band 3")</f>
        <v/>
      </c>
      <c r="J2537" s="33">
        <f>IF(AND(YEAR(B2537)=2025,G2537="Service B",OR(H2537="Band 3",H2537="Band 5"),ISNUMBER(F2537)),F2537,"")</f>
        <v/>
      </c>
    </row>
    <row r="2538">
      <c r="A2538" s="19" t="inlineStr">
        <is>
          <t>User1307</t>
        </is>
      </c>
      <c r="B2538" s="60" t="n">
        <v>45992</v>
      </c>
      <c r="C2538" s="21" t="n">
        <v>155.4</v>
      </c>
      <c r="D2538" s="21" t="n">
        <v>66.59999999999999</v>
      </c>
      <c r="E2538" s="21" t="n"/>
      <c r="F2538" s="27">
        <f>IFERROR(IF(OR(C2538="",D2538="",C2538=0),"",D2538/C2538),"")</f>
        <v/>
      </c>
      <c r="G2538" s="21">
        <f>IFERROR(INDEX(Users!$A$2:$A$310,MATCH(A2538,Users!$B$2:$B$310,0)),"")</f>
        <v/>
      </c>
      <c r="H2538" s="21">
        <f>IFERROR(INDEX(Users!$D$2:$D$310,MATCH(A2538,Users!$B$2:$B$310,0)),"")</f>
        <v/>
      </c>
      <c r="I2538" s="19">
        <f>AND(G2538="Service A",H2538="Band 3")</f>
        <v/>
      </c>
      <c r="J2538" s="33">
        <f>IF(AND(YEAR(B2538)=2025,G2538="Service B",OR(H2538="Band 3",H2538="Band 5"),ISNUMBER(F2538)),F2538,"")</f>
        <v/>
      </c>
    </row>
    <row r="2539">
      <c r="A2539" s="19" t="inlineStr">
        <is>
          <t>User1307</t>
        </is>
      </c>
      <c r="B2539" s="60" t="n">
        <v>46023</v>
      </c>
      <c r="C2539" s="21" t="n">
        <v>155.4</v>
      </c>
      <c r="D2539" s="21" t="n">
        <v>156.2</v>
      </c>
      <c r="E2539" s="21" t="n"/>
      <c r="F2539" s="27">
        <f>IFERROR(IF(OR(C2539="",D2539="",C2539=0),"",D2539/C2539),"")</f>
        <v/>
      </c>
      <c r="G2539" s="21">
        <f>IFERROR(INDEX(Users!$A$2:$A$310,MATCH(A2539,Users!$B$2:$B$310,0)),"")</f>
        <v/>
      </c>
      <c r="H2539" s="21">
        <f>IFERROR(INDEX(Users!$D$2:$D$310,MATCH(A2539,Users!$B$2:$B$310,0)),"")</f>
        <v/>
      </c>
      <c r="I2539" s="19">
        <f>AND(G2539="Service A",H2539="Band 3")</f>
        <v/>
      </c>
      <c r="J2539" s="33">
        <f>IF(AND(YEAR(B2539)=2025,G2539="Service B",OR(H2539="Band 3",H2539="Band 5"),ISNUMBER(F2539)),F2539,"")</f>
        <v/>
      </c>
    </row>
    <row r="2540">
      <c r="A2540" s="19" t="inlineStr">
        <is>
          <t>User1308</t>
        </is>
      </c>
      <c r="B2540" s="60" t="n">
        <v>46023</v>
      </c>
      <c r="C2540" s="21" t="n">
        <v>148.0000000000001</v>
      </c>
      <c r="D2540" s="21" t="n">
        <v>5.33</v>
      </c>
      <c r="E2540" s="21" t="n">
        <v>5.33</v>
      </c>
      <c r="F2540" s="27">
        <f>IFERROR(IF(OR(C2540="",D2540="",C2540=0),"",D2540/C2540),"")</f>
        <v/>
      </c>
      <c r="G2540" s="21">
        <f>IFERROR(INDEX(Users!$A$2:$A$310,MATCH(A2540,Users!$B$2:$B$310,0)),"")</f>
        <v/>
      </c>
      <c r="H2540" s="21">
        <f>IFERROR(INDEX(Users!$D$2:$D$310,MATCH(A2540,Users!$B$2:$B$310,0)),"")</f>
        <v/>
      </c>
      <c r="I2540" s="19">
        <f>AND(G2540="Service A",H2540="Band 3")</f>
        <v/>
      </c>
      <c r="J2540" s="33">
        <f>IF(AND(YEAR(B2540)=2025,G2540="Service B",OR(H2540="Band 3",H2540="Band 5"),ISNUMBER(F2540)),F2540,"")</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5"/>
  <sheetViews>
    <sheetView showGridLines="1" tabSelected="1" workbookViewId="0">
      <selection activeCell="A1" sqref="A1:E1"/>
    </sheetView>
  </sheetViews>
  <sheetFormatPr baseColWidth="8" defaultRowHeight="15"/>
  <cols>
    <col width="16" customWidth="1" min="1" max="1"/>
    <col width="26" customWidth="1" min="2" max="2"/>
    <col width="26" customWidth="1" min="3" max="4"/>
    <col width="26" customWidth="1" min="4" max="4"/>
    <col width="22" customWidth="1" min="5" max="5"/>
    <col width="12" customWidth="1" min="7" max="14"/>
  </cols>
  <sheetData>
    <row r="1" ht="32" customHeight="1">
      <c r="A1" s="61" t="inlineStr">
        <is>
          <t>Data Analyst Practical Assessment — Executive Performance Dashboard (2025)</t>
        </is>
      </c>
      <c r="B1" s="62" t="n"/>
      <c r="C1" s="62" t="n"/>
      <c r="D1" s="62" t="n"/>
      <c r="E1" s="62" t="n"/>
    </row>
    <row r="3" ht="60" customHeight="1">
      <c r="A3" s="63" t="inlineStr">
        <is>
          <t>Service Filter:</t>
        </is>
      </c>
      <c r="B3" s="64" t="inlineStr">
        <is>
          <t>Service B</t>
        </is>
      </c>
      <c r="D3" s="65" t="inlineStr">
        <is>
          <t>Instructions:</t>
        </is>
      </c>
      <c r="E3" s="66" t="inlineStr">
        <is>
          <t>Select Service / Band dropdowns to dynamically update monthly trends &amp; chart.</t>
        </is>
      </c>
    </row>
    <row r="4" ht="75" customHeight="1">
      <c r="A4" s="63" t="inlineStr">
        <is>
          <t>Band Filter:</t>
        </is>
      </c>
      <c r="B4" s="64" t="inlineStr">
        <is>
          <t>Band 3</t>
        </is>
      </c>
      <c r="D4" s="65" t="inlineStr">
        <is>
          <t>Chart Comparison:</t>
        </is>
      </c>
      <c r="E4" s="66" t="inlineStr">
        <is>
          <t>Compares selected segment against Service benchmark, Band benchmark &amp; Overall org.</t>
        </is>
      </c>
    </row>
    <row r="7" ht="24" customHeight="1">
      <c r="A7" s="67" t="inlineStr">
        <is>
          <t>Question 4 — Benchmark QA &amp; Validation (2025 | Service B | Band 3 &amp; Band 5)</t>
        </is>
      </c>
      <c r="B7" s="68" t="n"/>
      <c r="C7" s="68" t="n"/>
      <c r="D7" s="68" t="n"/>
    </row>
    <row r="8">
      <c r="A8" s="69" t="inlineStr">
        <is>
          <t>Metric</t>
        </is>
      </c>
      <c r="B8" s="70" t="inlineStr">
        <is>
          <t>Calculated Result (Formula)</t>
        </is>
      </c>
      <c r="C8" s="70" t="inlineStr">
        <is>
          <t>Expected Target</t>
        </is>
      </c>
      <c r="D8" s="70" t="inlineStr">
        <is>
          <t>QA Status</t>
        </is>
      </c>
    </row>
    <row r="9">
      <c r="A9" s="71" t="inlineStr">
        <is>
          <t>Average Availability %</t>
        </is>
      </c>
      <c r="B9" s="72">
        <f>IFERROR(AVERAGE('Performance Data'!$J$2:$J$2540),"")</f>
        <v/>
      </c>
      <c r="C9" s="73" t="n">
        <v>0.7891</v>
      </c>
      <c r="D9" s="74">
        <f>IF(ISNUMBER(B9),IF(ROUND(B9,4)=ROUND(C9,4),"PASS","FAIL"),"FAIL")</f>
        <v/>
      </c>
    </row>
    <row r="10">
      <c r="A10" s="71" t="inlineStr">
        <is>
          <t>Median Availability %</t>
        </is>
      </c>
      <c r="B10" s="72">
        <f>IFERROR(MEDIAN('Performance Data'!$J$2:$J$2540),"")</f>
        <v/>
      </c>
      <c r="C10" s="73" t="n">
        <v>0.8505</v>
      </c>
      <c r="D10" s="74">
        <f>IF(ISNUMBER(B10),IF(ROUND(B10,4)=ROUND(C10,4),"PASS","FAIL"),"FAIL")</f>
        <v/>
      </c>
    </row>
    <row r="12" ht="24" customHeight="1">
      <c r="A12" s="67" t="inlineStr">
        <is>
          <t>Question 5 — Dynamic 2025 Monthly Availability Summary &amp; Benchmark Comparison</t>
        </is>
      </c>
      <c r="B12" s="68" t="n"/>
      <c r="C12" s="68" t="n"/>
      <c r="D12" s="68" t="n"/>
      <c r="E12" s="68" t="n"/>
    </row>
    <row r="13" ht="28" customHeight="1">
      <c r="A13" s="75" t="inlineStr">
        <is>
          <t>Month</t>
        </is>
      </c>
      <c r="B13" s="75" t="inlineStr">
        <is>
          <t>Selected Service + Band</t>
        </is>
      </c>
      <c r="C13" s="75" t="inlineStr">
        <is>
          <t>Selected Service (all Bands)</t>
        </is>
      </c>
      <c r="D13" s="75" t="inlineStr">
        <is>
          <t>Selected Band (all Services)</t>
        </is>
      </c>
      <c r="E13" s="75" t="inlineStr">
        <is>
          <t>Overall Organisation</t>
        </is>
      </c>
    </row>
    <row r="14" ht="20" customHeight="1">
      <c r="A14" s="76" t="n">
        <v>45658</v>
      </c>
      <c r="B14" s="77">
        <f>IFERROR(IF(AND($B$3="All",$B$4="All"),AVERAGEIFS('Performance Data'!$F$2:$F$2540,'Performance Data'!$B$2:$B$2540,$A14),IF($B$3="All",AVERAGEIFS('Performance Data'!$F$2:$F$2540,'Performance Data'!$B$2:$B$2540,$A14,'Performance Data'!$H$2:$H$2540,$B$4),IF($B$4="All",AVERAGEIFS('Performance Data'!$F$2:$F$2540,'Performance Data'!$B$2:$B$2540,$A14,'Performance Data'!$G$2:$G$2540,$B$3),AVERAGEIFS('Performance Data'!$F$2:$F$2540,'Performance Data'!$B$2:$B$2540,$A14,'Performance Data'!$G$2:$G$2540,$B$3,'Performance Data'!$H$2:$H$2540,$B$4)))),"")</f>
        <v/>
      </c>
      <c r="C14" s="78">
        <f>IFERROR(IF($B$3="All",AVERAGEIFS('Performance Data'!$F$2:$F$2540,'Performance Data'!$B$2:$B$2540,$A14),AVERAGEIFS('Performance Data'!$F$2:$F$2540,'Performance Data'!$B$2:$B$2540,$A14,'Performance Data'!$G$2:$G$2540,$B$3)),"")</f>
        <v/>
      </c>
      <c r="D14" s="78">
        <f>IFERROR(IF($B$4="All",AVERAGEIFS('Performance Data'!$F$2:$F$2540,'Performance Data'!$B$2:$B$2540,$A14),AVERAGEIFS('Performance Data'!$F$2:$F$2540,'Performance Data'!$B$2:$B$2540,$A14,'Performance Data'!$H$2:$H$2540,$B$4)),"")</f>
        <v/>
      </c>
      <c r="E14" s="78">
        <f>IFERROR(AVERAGEIFS('Performance Data'!$F$2:$F$2540,'Performance Data'!$B$2:$B$2540,$A14),"")</f>
        <v/>
      </c>
    </row>
    <row r="15" ht="20" customHeight="1">
      <c r="A15" s="76" t="n">
        <v>45689</v>
      </c>
      <c r="B15" s="77">
        <f>IFERROR(IF(AND($B$3="All",$B$4="All"),AVERAGEIFS('Performance Data'!$F$2:$F$2540,'Performance Data'!$B$2:$B$2540,$A15),IF($B$3="All",AVERAGEIFS('Performance Data'!$F$2:$F$2540,'Performance Data'!$B$2:$B$2540,$A15,'Performance Data'!$H$2:$H$2540,$B$4),IF($B$4="All",AVERAGEIFS('Performance Data'!$F$2:$F$2540,'Performance Data'!$B$2:$B$2540,$A15,'Performance Data'!$G$2:$G$2540,$B$3),AVERAGEIFS('Performance Data'!$F$2:$F$2540,'Performance Data'!$B$2:$B$2540,$A15,'Performance Data'!$G$2:$G$2540,$B$3,'Performance Data'!$H$2:$H$2540,$B$4)))),"")</f>
        <v/>
      </c>
      <c r="C15" s="78">
        <f>IFERROR(IF($B$3="All",AVERAGEIFS('Performance Data'!$F$2:$F$2540,'Performance Data'!$B$2:$B$2540,$A15),AVERAGEIFS('Performance Data'!$F$2:$F$2540,'Performance Data'!$B$2:$B$2540,$A15,'Performance Data'!$G$2:$G$2540,$B$3)),"")</f>
        <v/>
      </c>
      <c r="D15" s="78">
        <f>IFERROR(IF($B$4="All",AVERAGEIFS('Performance Data'!$F$2:$F$2540,'Performance Data'!$B$2:$B$2540,$A15),AVERAGEIFS('Performance Data'!$F$2:$F$2540,'Performance Data'!$B$2:$B$2540,$A15,'Performance Data'!$H$2:$H$2540,$B$4)),"")</f>
        <v/>
      </c>
      <c r="E15" s="78">
        <f>IFERROR(AVERAGEIFS('Performance Data'!$F$2:$F$2540,'Performance Data'!$B$2:$B$2540,$A15),"")</f>
        <v/>
      </c>
    </row>
    <row r="16" ht="20" customHeight="1">
      <c r="A16" s="76" t="n">
        <v>45717</v>
      </c>
      <c r="B16" s="77">
        <f>IFERROR(IF(AND($B$3="All",$B$4="All"),AVERAGEIFS('Performance Data'!$F$2:$F$2540,'Performance Data'!$B$2:$B$2540,$A16),IF($B$3="All",AVERAGEIFS('Performance Data'!$F$2:$F$2540,'Performance Data'!$B$2:$B$2540,$A16,'Performance Data'!$H$2:$H$2540,$B$4),IF($B$4="All",AVERAGEIFS('Performance Data'!$F$2:$F$2540,'Performance Data'!$B$2:$B$2540,$A16,'Performance Data'!$G$2:$G$2540,$B$3),AVERAGEIFS('Performance Data'!$F$2:$F$2540,'Performance Data'!$B$2:$B$2540,$A16,'Performance Data'!$G$2:$G$2540,$B$3,'Performance Data'!$H$2:$H$2540,$B$4)))),"")</f>
        <v/>
      </c>
      <c r="C16" s="78">
        <f>IFERROR(IF($B$3="All",AVERAGEIFS('Performance Data'!$F$2:$F$2540,'Performance Data'!$B$2:$B$2540,$A16),AVERAGEIFS('Performance Data'!$F$2:$F$2540,'Performance Data'!$B$2:$B$2540,$A16,'Performance Data'!$G$2:$G$2540,$B$3)),"")</f>
        <v/>
      </c>
      <c r="D16" s="78">
        <f>IFERROR(IF($B$4="All",AVERAGEIFS('Performance Data'!$F$2:$F$2540,'Performance Data'!$B$2:$B$2540,$A16),AVERAGEIFS('Performance Data'!$F$2:$F$2540,'Performance Data'!$B$2:$B$2540,$A16,'Performance Data'!$H$2:$H$2540,$B$4)),"")</f>
        <v/>
      </c>
      <c r="E16" s="78">
        <f>IFERROR(AVERAGEIFS('Performance Data'!$F$2:$F$2540,'Performance Data'!$B$2:$B$2540,$A16),"")</f>
        <v/>
      </c>
    </row>
    <row r="17" ht="20" customHeight="1">
      <c r="A17" s="76" t="n">
        <v>45748</v>
      </c>
      <c r="B17" s="77">
        <f>IFERROR(IF(AND($B$3="All",$B$4="All"),AVERAGEIFS('Performance Data'!$F$2:$F$2540,'Performance Data'!$B$2:$B$2540,$A17),IF($B$3="All",AVERAGEIFS('Performance Data'!$F$2:$F$2540,'Performance Data'!$B$2:$B$2540,$A17,'Performance Data'!$H$2:$H$2540,$B$4),IF($B$4="All",AVERAGEIFS('Performance Data'!$F$2:$F$2540,'Performance Data'!$B$2:$B$2540,$A17,'Performance Data'!$G$2:$G$2540,$B$3),AVERAGEIFS('Performance Data'!$F$2:$F$2540,'Performance Data'!$B$2:$B$2540,$A17,'Performance Data'!$G$2:$G$2540,$B$3,'Performance Data'!$H$2:$H$2540,$B$4)))),"")</f>
        <v/>
      </c>
      <c r="C17" s="78">
        <f>IFERROR(IF($B$3="All",AVERAGEIFS('Performance Data'!$F$2:$F$2540,'Performance Data'!$B$2:$B$2540,$A17),AVERAGEIFS('Performance Data'!$F$2:$F$2540,'Performance Data'!$B$2:$B$2540,$A17,'Performance Data'!$G$2:$G$2540,$B$3)),"")</f>
        <v/>
      </c>
      <c r="D17" s="78">
        <f>IFERROR(IF($B$4="All",AVERAGEIFS('Performance Data'!$F$2:$F$2540,'Performance Data'!$B$2:$B$2540,$A17),AVERAGEIFS('Performance Data'!$F$2:$F$2540,'Performance Data'!$B$2:$B$2540,$A17,'Performance Data'!$H$2:$H$2540,$B$4)),"")</f>
        <v/>
      </c>
      <c r="E17" s="78">
        <f>IFERROR(AVERAGEIFS('Performance Data'!$F$2:$F$2540,'Performance Data'!$B$2:$B$2540,$A17),"")</f>
        <v/>
      </c>
    </row>
    <row r="18" ht="20" customHeight="1">
      <c r="A18" s="76" t="n">
        <v>45778</v>
      </c>
      <c r="B18" s="77">
        <f>IFERROR(IF(AND($B$3="All",$B$4="All"),AVERAGEIFS('Performance Data'!$F$2:$F$2540,'Performance Data'!$B$2:$B$2540,$A18),IF($B$3="All",AVERAGEIFS('Performance Data'!$F$2:$F$2540,'Performance Data'!$B$2:$B$2540,$A18,'Performance Data'!$H$2:$H$2540,$B$4),IF($B$4="All",AVERAGEIFS('Performance Data'!$F$2:$F$2540,'Performance Data'!$B$2:$B$2540,$A18,'Performance Data'!$G$2:$G$2540,$B$3),AVERAGEIFS('Performance Data'!$F$2:$F$2540,'Performance Data'!$B$2:$B$2540,$A18,'Performance Data'!$G$2:$G$2540,$B$3,'Performance Data'!$H$2:$H$2540,$B$4)))),"")</f>
        <v/>
      </c>
      <c r="C18" s="78">
        <f>IFERROR(IF($B$3="All",AVERAGEIFS('Performance Data'!$F$2:$F$2540,'Performance Data'!$B$2:$B$2540,$A18),AVERAGEIFS('Performance Data'!$F$2:$F$2540,'Performance Data'!$B$2:$B$2540,$A18,'Performance Data'!$G$2:$G$2540,$B$3)),"")</f>
        <v/>
      </c>
      <c r="D18" s="78">
        <f>IFERROR(IF($B$4="All",AVERAGEIFS('Performance Data'!$F$2:$F$2540,'Performance Data'!$B$2:$B$2540,$A18),AVERAGEIFS('Performance Data'!$F$2:$F$2540,'Performance Data'!$B$2:$B$2540,$A18,'Performance Data'!$H$2:$H$2540,$B$4)),"")</f>
        <v/>
      </c>
      <c r="E18" s="78">
        <f>IFERROR(AVERAGEIFS('Performance Data'!$F$2:$F$2540,'Performance Data'!$B$2:$B$2540,$A18),"")</f>
        <v/>
      </c>
    </row>
    <row r="19" ht="20" customHeight="1">
      <c r="A19" s="76" t="n">
        <v>45809</v>
      </c>
      <c r="B19" s="77">
        <f>IFERROR(IF(AND($B$3="All",$B$4="All"),AVERAGEIFS('Performance Data'!$F$2:$F$2540,'Performance Data'!$B$2:$B$2540,$A19),IF($B$3="All",AVERAGEIFS('Performance Data'!$F$2:$F$2540,'Performance Data'!$B$2:$B$2540,$A19,'Performance Data'!$H$2:$H$2540,$B$4),IF($B$4="All",AVERAGEIFS('Performance Data'!$F$2:$F$2540,'Performance Data'!$B$2:$B$2540,$A19,'Performance Data'!$G$2:$G$2540,$B$3),AVERAGEIFS('Performance Data'!$F$2:$F$2540,'Performance Data'!$B$2:$B$2540,$A19,'Performance Data'!$G$2:$G$2540,$B$3,'Performance Data'!$H$2:$H$2540,$B$4)))),"")</f>
        <v/>
      </c>
      <c r="C19" s="78">
        <f>IFERROR(IF($B$3="All",AVERAGEIFS('Performance Data'!$F$2:$F$2540,'Performance Data'!$B$2:$B$2540,$A19),AVERAGEIFS('Performance Data'!$F$2:$F$2540,'Performance Data'!$B$2:$B$2540,$A19,'Performance Data'!$G$2:$G$2540,$B$3)),"")</f>
        <v/>
      </c>
      <c r="D19" s="78">
        <f>IFERROR(IF($B$4="All",AVERAGEIFS('Performance Data'!$F$2:$F$2540,'Performance Data'!$B$2:$B$2540,$A19),AVERAGEIFS('Performance Data'!$F$2:$F$2540,'Performance Data'!$B$2:$B$2540,$A19,'Performance Data'!$H$2:$H$2540,$B$4)),"")</f>
        <v/>
      </c>
      <c r="E19" s="78">
        <f>IFERROR(AVERAGEIFS('Performance Data'!$F$2:$F$2540,'Performance Data'!$B$2:$B$2540,$A19),"")</f>
        <v/>
      </c>
    </row>
    <row r="20" ht="20" customHeight="1">
      <c r="A20" s="76" t="n">
        <v>45839</v>
      </c>
      <c r="B20" s="77">
        <f>IFERROR(IF(AND($B$3="All",$B$4="All"),AVERAGEIFS('Performance Data'!$F$2:$F$2540,'Performance Data'!$B$2:$B$2540,$A20),IF($B$3="All",AVERAGEIFS('Performance Data'!$F$2:$F$2540,'Performance Data'!$B$2:$B$2540,$A20,'Performance Data'!$H$2:$H$2540,$B$4),IF($B$4="All",AVERAGEIFS('Performance Data'!$F$2:$F$2540,'Performance Data'!$B$2:$B$2540,$A20,'Performance Data'!$G$2:$G$2540,$B$3),AVERAGEIFS('Performance Data'!$F$2:$F$2540,'Performance Data'!$B$2:$B$2540,$A20,'Performance Data'!$G$2:$G$2540,$B$3,'Performance Data'!$H$2:$H$2540,$B$4)))),"")</f>
        <v/>
      </c>
      <c r="C20" s="78">
        <f>IFERROR(IF($B$3="All",AVERAGEIFS('Performance Data'!$F$2:$F$2540,'Performance Data'!$B$2:$B$2540,$A20),AVERAGEIFS('Performance Data'!$F$2:$F$2540,'Performance Data'!$B$2:$B$2540,$A20,'Performance Data'!$G$2:$G$2540,$B$3)),"")</f>
        <v/>
      </c>
      <c r="D20" s="78">
        <f>IFERROR(IF($B$4="All",AVERAGEIFS('Performance Data'!$F$2:$F$2540,'Performance Data'!$B$2:$B$2540,$A20),AVERAGEIFS('Performance Data'!$F$2:$F$2540,'Performance Data'!$B$2:$B$2540,$A20,'Performance Data'!$H$2:$H$2540,$B$4)),"")</f>
        <v/>
      </c>
      <c r="E20" s="78">
        <f>IFERROR(AVERAGEIFS('Performance Data'!$F$2:$F$2540,'Performance Data'!$B$2:$B$2540,$A20),"")</f>
        <v/>
      </c>
    </row>
    <row r="21" ht="20" customHeight="1">
      <c r="A21" s="76" t="n">
        <v>45870</v>
      </c>
      <c r="B21" s="77">
        <f>IFERROR(IF(AND($B$3="All",$B$4="All"),AVERAGEIFS('Performance Data'!$F$2:$F$2540,'Performance Data'!$B$2:$B$2540,$A21),IF($B$3="All",AVERAGEIFS('Performance Data'!$F$2:$F$2540,'Performance Data'!$B$2:$B$2540,$A21,'Performance Data'!$H$2:$H$2540,$B$4),IF($B$4="All",AVERAGEIFS('Performance Data'!$F$2:$F$2540,'Performance Data'!$B$2:$B$2540,$A21,'Performance Data'!$G$2:$G$2540,$B$3),AVERAGEIFS('Performance Data'!$F$2:$F$2540,'Performance Data'!$B$2:$B$2540,$A21,'Performance Data'!$G$2:$G$2540,$B$3,'Performance Data'!$H$2:$H$2540,$B$4)))),"")</f>
        <v/>
      </c>
      <c r="C21" s="78">
        <f>IFERROR(IF($B$3="All",AVERAGEIFS('Performance Data'!$F$2:$F$2540,'Performance Data'!$B$2:$B$2540,$A21),AVERAGEIFS('Performance Data'!$F$2:$F$2540,'Performance Data'!$B$2:$B$2540,$A21,'Performance Data'!$G$2:$G$2540,$B$3)),"")</f>
        <v/>
      </c>
      <c r="D21" s="78">
        <f>IFERROR(IF($B$4="All",AVERAGEIFS('Performance Data'!$F$2:$F$2540,'Performance Data'!$B$2:$B$2540,$A21),AVERAGEIFS('Performance Data'!$F$2:$F$2540,'Performance Data'!$B$2:$B$2540,$A21,'Performance Data'!$H$2:$H$2540,$B$4)),"")</f>
        <v/>
      </c>
      <c r="E21" s="78">
        <f>IFERROR(AVERAGEIFS('Performance Data'!$F$2:$F$2540,'Performance Data'!$B$2:$B$2540,$A21),"")</f>
        <v/>
      </c>
    </row>
    <row r="22" ht="20" customHeight="1">
      <c r="A22" s="76" t="n">
        <v>45901</v>
      </c>
      <c r="B22" s="77">
        <f>IFERROR(IF(AND($B$3="All",$B$4="All"),AVERAGEIFS('Performance Data'!$F$2:$F$2540,'Performance Data'!$B$2:$B$2540,$A22),IF($B$3="All",AVERAGEIFS('Performance Data'!$F$2:$F$2540,'Performance Data'!$B$2:$B$2540,$A22,'Performance Data'!$H$2:$H$2540,$B$4),IF($B$4="All",AVERAGEIFS('Performance Data'!$F$2:$F$2540,'Performance Data'!$B$2:$B$2540,$A22,'Performance Data'!$G$2:$G$2540,$B$3),AVERAGEIFS('Performance Data'!$F$2:$F$2540,'Performance Data'!$B$2:$B$2540,$A22,'Performance Data'!$G$2:$G$2540,$B$3,'Performance Data'!$H$2:$H$2540,$B$4)))),"")</f>
        <v/>
      </c>
      <c r="C22" s="78">
        <f>IFERROR(IF($B$3="All",AVERAGEIFS('Performance Data'!$F$2:$F$2540,'Performance Data'!$B$2:$B$2540,$A22),AVERAGEIFS('Performance Data'!$F$2:$F$2540,'Performance Data'!$B$2:$B$2540,$A22,'Performance Data'!$G$2:$G$2540,$B$3)),"")</f>
        <v/>
      </c>
      <c r="D22" s="78">
        <f>IFERROR(IF($B$4="All",AVERAGEIFS('Performance Data'!$F$2:$F$2540,'Performance Data'!$B$2:$B$2540,$A22),AVERAGEIFS('Performance Data'!$F$2:$F$2540,'Performance Data'!$B$2:$B$2540,$A22,'Performance Data'!$H$2:$H$2540,$B$4)),"")</f>
        <v/>
      </c>
      <c r="E22" s="78">
        <f>IFERROR(AVERAGEIFS('Performance Data'!$F$2:$F$2540,'Performance Data'!$B$2:$B$2540,$A22),"")</f>
        <v/>
      </c>
    </row>
    <row r="23" ht="20" customHeight="1">
      <c r="A23" s="76" t="n">
        <v>45931</v>
      </c>
      <c r="B23" s="77">
        <f>IFERROR(IF(AND($B$3="All",$B$4="All"),AVERAGEIFS('Performance Data'!$F$2:$F$2540,'Performance Data'!$B$2:$B$2540,$A23),IF($B$3="All",AVERAGEIFS('Performance Data'!$F$2:$F$2540,'Performance Data'!$B$2:$B$2540,$A23,'Performance Data'!$H$2:$H$2540,$B$4),IF($B$4="All",AVERAGEIFS('Performance Data'!$F$2:$F$2540,'Performance Data'!$B$2:$B$2540,$A23,'Performance Data'!$G$2:$G$2540,$B$3),AVERAGEIFS('Performance Data'!$F$2:$F$2540,'Performance Data'!$B$2:$B$2540,$A23,'Performance Data'!$G$2:$G$2540,$B$3,'Performance Data'!$H$2:$H$2540,$B$4)))),"")</f>
        <v/>
      </c>
      <c r="C23" s="78">
        <f>IFERROR(IF($B$3="All",AVERAGEIFS('Performance Data'!$F$2:$F$2540,'Performance Data'!$B$2:$B$2540,$A23),AVERAGEIFS('Performance Data'!$F$2:$F$2540,'Performance Data'!$B$2:$B$2540,$A23,'Performance Data'!$G$2:$G$2540,$B$3)),"")</f>
        <v/>
      </c>
      <c r="D23" s="78">
        <f>IFERROR(IF($B$4="All",AVERAGEIFS('Performance Data'!$F$2:$F$2540,'Performance Data'!$B$2:$B$2540,$A23),AVERAGEIFS('Performance Data'!$F$2:$F$2540,'Performance Data'!$B$2:$B$2540,$A23,'Performance Data'!$H$2:$H$2540,$B$4)),"")</f>
        <v/>
      </c>
      <c r="E23" s="78">
        <f>IFERROR(AVERAGEIFS('Performance Data'!$F$2:$F$2540,'Performance Data'!$B$2:$B$2540,$A23),"")</f>
        <v/>
      </c>
    </row>
    <row r="24" ht="20" customHeight="1">
      <c r="A24" s="76" t="n">
        <v>45962</v>
      </c>
      <c r="B24" s="77">
        <f>IFERROR(IF(AND($B$3="All",$B$4="All"),AVERAGEIFS('Performance Data'!$F$2:$F$2540,'Performance Data'!$B$2:$B$2540,$A24),IF($B$3="All",AVERAGEIFS('Performance Data'!$F$2:$F$2540,'Performance Data'!$B$2:$B$2540,$A24,'Performance Data'!$H$2:$H$2540,$B$4),IF($B$4="All",AVERAGEIFS('Performance Data'!$F$2:$F$2540,'Performance Data'!$B$2:$B$2540,$A24,'Performance Data'!$G$2:$G$2540,$B$3),AVERAGEIFS('Performance Data'!$F$2:$F$2540,'Performance Data'!$B$2:$B$2540,$A24,'Performance Data'!$G$2:$G$2540,$B$3,'Performance Data'!$H$2:$H$2540,$B$4)))),"")</f>
        <v/>
      </c>
      <c r="C24" s="78">
        <f>IFERROR(IF($B$3="All",AVERAGEIFS('Performance Data'!$F$2:$F$2540,'Performance Data'!$B$2:$B$2540,$A24),AVERAGEIFS('Performance Data'!$F$2:$F$2540,'Performance Data'!$B$2:$B$2540,$A24,'Performance Data'!$G$2:$G$2540,$B$3)),"")</f>
        <v/>
      </c>
      <c r="D24" s="78">
        <f>IFERROR(IF($B$4="All",AVERAGEIFS('Performance Data'!$F$2:$F$2540,'Performance Data'!$B$2:$B$2540,$A24),AVERAGEIFS('Performance Data'!$F$2:$F$2540,'Performance Data'!$B$2:$B$2540,$A24,'Performance Data'!$H$2:$H$2540,$B$4)),"")</f>
        <v/>
      </c>
      <c r="E24" s="78">
        <f>IFERROR(AVERAGEIFS('Performance Data'!$F$2:$F$2540,'Performance Data'!$B$2:$B$2540,$A24),"")</f>
        <v/>
      </c>
    </row>
    <row r="25" ht="20" customHeight="1">
      <c r="A25" s="76" t="n">
        <v>45992</v>
      </c>
      <c r="B25" s="77">
        <f>IFERROR(IF(AND($B$3="All",$B$4="All"),AVERAGEIFS('Performance Data'!$F$2:$F$2540,'Performance Data'!$B$2:$B$2540,$A25),IF($B$3="All",AVERAGEIFS('Performance Data'!$F$2:$F$2540,'Performance Data'!$B$2:$B$2540,$A25,'Performance Data'!$H$2:$H$2540,$B$4),IF($B$4="All",AVERAGEIFS('Performance Data'!$F$2:$F$2540,'Performance Data'!$B$2:$B$2540,$A25,'Performance Data'!$G$2:$G$2540,$B$3),AVERAGEIFS('Performance Data'!$F$2:$F$2540,'Performance Data'!$B$2:$B$2540,$A25,'Performance Data'!$G$2:$G$2540,$B$3,'Performance Data'!$H$2:$H$2540,$B$4)))),"")</f>
        <v/>
      </c>
      <c r="C25" s="78">
        <f>IFERROR(IF($B$3="All",AVERAGEIFS('Performance Data'!$F$2:$F$2540,'Performance Data'!$B$2:$B$2540,$A25),AVERAGEIFS('Performance Data'!$F$2:$F$2540,'Performance Data'!$B$2:$B$2540,$A25,'Performance Data'!$G$2:$G$2540,$B$3)),"")</f>
        <v/>
      </c>
      <c r="D25" s="78">
        <f>IFERROR(IF($B$4="All",AVERAGEIFS('Performance Data'!$F$2:$F$2540,'Performance Data'!$B$2:$B$2540,$A25),AVERAGEIFS('Performance Data'!$F$2:$F$2540,'Performance Data'!$B$2:$B$2540,$A25,'Performance Data'!$H$2:$H$2540,$B$4)),"")</f>
        <v/>
      </c>
      <c r="E25" s="78">
        <f>IFERROR(AVERAGEIFS('Performance Data'!$F$2:$F$2540,'Performance Data'!$B$2:$B$2540,$A25),"")</f>
        <v/>
      </c>
    </row>
  </sheetData>
  <mergeCells count="3">
    <mergeCell ref="A7:C7"/>
    <mergeCell ref="A1:E1"/>
    <mergeCell ref="A12:E12"/>
  </mergeCells>
  <conditionalFormatting sqref="B14:B25">
    <cfRule type="dataBar" priority="1">
      <dataBar>
        <cfvo type="min"/>
        <cfvo type="max"/>
        <color rgb="FF156082"/>
      </dataBar>
    </cfRule>
    <cfRule type="dataBar" priority="2">
      <dataBar>
        <cfvo type="min"/>
        <cfvo type="max"/>
        <color rgb="FF156082"/>
      </dataBar>
    </cfRule>
  </conditionalFormatting>
  <dataValidations count="2">
    <dataValidation sqref="B3" showDropDown="0" showInputMessage="0" showErrorMessage="0" allowBlank="0" type="list">
      <formula1>"All,Service A,Service B,Service C,Service D"</formula1>
    </dataValidation>
    <dataValidation sqref="B4" showDropDown="0" showInputMessage="0" showErrorMessage="0" allowBlank="0" type="list">
      <formula1>"All,Band 3,Band 4,Band 5"</formula1>
    </dataValidation>
  </dataValidation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2026-09-15T08:30:18Z</dcterms:created>
  <dcterms:modified xmlns:dcterms="http://purl.org/dc/terms/" xmlns:xsi="http://www.w3.org/2001/XMLSchema-instance" xsi:type="dcterms:W3CDTF">2026-09-15T08:30:19Z</dcterms:modified>
  <cp:lastModifiedBy>Daramola Omoyele</cp:lastModifiedBy>
</cp:coreProperties>
</file>